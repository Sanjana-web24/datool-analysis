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omments1.xml" ContentType="application/vnd.openxmlformats-officedocument.spreadsheetml.comments+xml"/>
  <Override PartName="/xl/customProperty3.bin" ContentType="application/vnd.openxmlformats-officedocument.spreadsheetml.customProperty"/>
  <Override PartName="/xl/drawings/drawing1.xml" ContentType="application/vnd.openxmlformats-officedocument.drawing+xml"/>
  <Override PartName="/xl/comments2.xml" ContentType="application/vnd.openxmlformats-officedocument.spreadsheetml.comments+xml"/>
  <Override PartName="/xl/customProperty4.bin" ContentType="application/vnd.openxmlformats-officedocument.spreadsheetml.customProperty"/>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16"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Prakash\Desktop\Projects\EXPLORER\EROS\"/>
    </mc:Choice>
  </mc:AlternateContent>
  <xr:revisionPtr revIDLastSave="0" documentId="8_{234FD2B9-87B2-4981-AF7B-6AB9942DA639}" xr6:coauthVersionLast="36" xr6:coauthVersionMax="36" xr10:uidLastSave="{00000000-0000-0000-0000-000000000000}"/>
  <bookViews>
    <workbookView xWindow="0" yWindow="0" windowWidth="12000" windowHeight="7630" tabRatio="879" activeTab="4" xr2:uid="{00000000-000D-0000-FFFF-FFFF00000000}"/>
  </bookViews>
  <sheets>
    <sheet name="dcon" sheetId="1" r:id="rId1"/>
    <sheet name="instructions" sheetId="2" r:id="rId2"/>
    <sheet name="Specifications" sheetId="3" r:id="rId3"/>
    <sheet name="boilerplate specs" sheetId="4" r:id="rId4"/>
    <sheet name="specs_for_word" sheetId="5" r:id="rId5"/>
    <sheet name="functional" sheetId="6" r:id="rId6"/>
    <sheet name="DV-IDENTITY-0" sheetId="7" state="veryHidden" r:id="rId7"/>
    <sheet name="Datasheet Template" sheetId="8" r:id="rId8"/>
    <sheet name="Competition" sheetId="9" r:id="rId9"/>
    <sheet name="Block_modes" sheetId="10" r:id="rId10"/>
  </sheets>
  <externalReferences>
    <externalReference r:id="rId11"/>
  </externalReferences>
  <definedNames>
    <definedName name="_xlnm._FilterDatabase" localSheetId="2" hidden="1">Specifications!$A$2:$AG$430</definedName>
    <definedName name="block">#REF!</definedName>
    <definedName name="chip_level">specs_for_word!$A$2:$H$93</definedName>
    <definedName name="dft_dfm">#REF!</definedName>
    <definedName name="package">#REF!</definedName>
    <definedName name="power">#REF!</definedName>
    <definedName name="publishRange">Specifications!$A$1:$AM$434</definedName>
    <definedName name="puzzlewit">[1]specs_for_word!$A$2:$M$477</definedName>
    <definedName name="specs_for_word">specs_for_word!$A$2:$H$467</definedName>
    <definedName name="specs_for_word2">specs_for_word!$A$2:$M$467</definedName>
    <definedName name="tempname">'boilerplate specs'!$B$2:$I$108</definedName>
    <definedName name="Z_00D35A15_206C_4C0C_8347_C5B4FB706EF6_.wvu.Cols" localSheetId="7" hidden="1">'Datasheet Template'!$F:$I,'Datasheet Template'!$L:$M,'Datasheet Template'!$S:$AG</definedName>
    <definedName name="Z_00D35A15_206C_4C0C_8347_C5B4FB706EF6_.wvu.FilterData" localSheetId="2" hidden="1">Specifications!$A$2:$K$232</definedName>
    <definedName name="Z_00D35A15_206C_4C0C_8347_C5B4FB706EF6_.wvu.Rows" localSheetId="7" hidden="1">'Datasheet Template'!$3:$3</definedName>
  </definedNames>
  <calcPr calcId="191029"/>
  <customWorkbookViews>
    <customWorkbookView name="Ata Khan - Personal View" guid="{00D35A15-206C-4C0C-8347-C5B4FB706EF6}" mergeInterval="0" personalView="1" maximized="1" xWindow="1" yWindow="1" windowWidth="1440" windowHeight="671" tabRatio="796" activeSheetId="5"/>
  </customWorkbookViews>
  <webPublishObjects count="6">
    <webPublishObject id="3093" divId="002-35693_Specifications_3093" sourceObject="publishRange" destinationFile="C:\IFX\EROS\002-35693\002-35693_Specifications_specifications.htm"/>
    <webPublishObject id="7814" divId="002-35693_7814" sourceObject="publishRange" destinationFile="C:\IFX\EROS\002-35693\002-35693_specifications.htm"/>
    <webPublishObject id="13100" divId="002-35693_13100" sourceObject="publishRange" destinationFile="C:\IFX\EROS\002-35693\002-35693_specifications.htm"/>
    <webPublishObject id="16922" divId="002-35693_16922" sourceObject="publishRange" destinationFile="n:\dcon\EROS\002-35693_specifications.htm"/>
    <webPublishObject id="17561" divId="002-35693_17561" sourceObject="publishRange" destinationFile="n:\dcon\EROS\002-35693_Specifications.htm"/>
    <webPublishObject id="24669" divId="002-35693_24669" sourceObject="publishRange" destinationFile="n:\dcon\EROS\002-35693_Specifications.htm"/>
  </webPublishObjects>
</workbook>
</file>

<file path=xl/calcChain.xml><?xml version="1.0" encoding="utf-8"?>
<calcChain xmlns="http://schemas.openxmlformats.org/spreadsheetml/2006/main">
  <c r="B277" i="4" l="1"/>
  <c r="B276" i="4"/>
  <c r="B275" i="4"/>
  <c r="B274" i="4"/>
  <c r="B273" i="4"/>
  <c r="B272" i="4"/>
  <c r="B271" i="4"/>
  <c r="B270" i="4"/>
  <c r="B269" i="4"/>
  <c r="B268" i="4"/>
  <c r="B267" i="4"/>
  <c r="B266" i="4"/>
  <c r="B265" i="4"/>
  <c r="B264" i="4"/>
  <c r="B263" i="4"/>
  <c r="B262" i="4"/>
  <c r="B261" i="4"/>
  <c r="B260" i="4"/>
  <c r="B259" i="4"/>
  <c r="B258" i="4"/>
  <c r="B257" i="4"/>
  <c r="B256" i="4"/>
  <c r="B255" i="4"/>
  <c r="B254" i="4"/>
  <c r="B253" i="4"/>
  <c r="B252" i="4"/>
  <c r="B251" i="4"/>
  <c r="B250" i="4"/>
  <c r="B249" i="4"/>
  <c r="B248" i="4"/>
  <c r="B247" i="4"/>
  <c r="B246" i="4"/>
  <c r="B245" i="4"/>
  <c r="B244" i="4"/>
  <c r="B243" i="4"/>
  <c r="B242" i="4"/>
  <c r="B241" i="4"/>
  <c r="B240" i="4"/>
  <c r="B239" i="4"/>
  <c r="B238" i="4"/>
  <c r="B237" i="4"/>
  <c r="B234" i="4"/>
  <c r="B233" i="4"/>
  <c r="B232" i="4"/>
  <c r="B231" i="4"/>
  <c r="B230" i="4"/>
  <c r="B229" i="4"/>
  <c r="B228" i="4"/>
  <c r="B227" i="4"/>
  <c r="B203" i="4"/>
  <c r="B202" i="4"/>
  <c r="B201" i="4"/>
  <c r="B200" i="4"/>
  <c r="B197" i="4"/>
  <c r="B196" i="4"/>
  <c r="B195" i="4"/>
  <c r="B193" i="4"/>
  <c r="B190" i="4"/>
  <c r="B189" i="4"/>
  <c r="B187" i="4"/>
  <c r="B186" i="4"/>
  <c r="B185" i="4"/>
  <c r="B184" i="4"/>
  <c r="B180" i="4"/>
  <c r="B179" i="4"/>
  <c r="B178" i="4"/>
  <c r="B177" i="4"/>
  <c r="B170" i="4"/>
  <c r="B163" i="4"/>
  <c r="B162" i="4"/>
  <c r="B161" i="4"/>
  <c r="B160" i="4"/>
  <c r="B159" i="4"/>
  <c r="B158" i="4"/>
  <c r="B154" i="4"/>
  <c r="B148" i="4"/>
  <c r="B147" i="4"/>
  <c r="B145" i="4"/>
  <c r="B144" i="4"/>
  <c r="B143" i="4"/>
  <c r="B142" i="4"/>
  <c r="B141" i="4"/>
  <c r="B140" i="4"/>
  <c r="B139" i="4"/>
  <c r="B138" i="4"/>
  <c r="B137" i="4"/>
  <c r="B136" i="4"/>
  <c r="B135" i="4"/>
  <c r="B134" i="4"/>
  <c r="B133" i="4"/>
  <c r="B132" i="4"/>
  <c r="B131" i="4"/>
  <c r="B130" i="4"/>
  <c r="B129" i="4"/>
  <c r="B128" i="4"/>
  <c r="B127" i="4"/>
  <c r="B126" i="4"/>
  <c r="B125" i="4"/>
  <c r="B124" i="4"/>
  <c r="B123" i="4"/>
  <c r="B122" i="4"/>
  <c r="B121" i="4"/>
  <c r="B120" i="4"/>
  <c r="B119" i="4"/>
  <c r="B118" i="4"/>
  <c r="B117" i="4"/>
  <c r="B116" i="4"/>
  <c r="B115" i="4"/>
  <c r="B114" i="4"/>
  <c r="B113" i="4"/>
  <c r="B112" i="4"/>
  <c r="B111" i="4"/>
  <c r="B110" i="4"/>
  <c r="B109" i="4"/>
  <c r="B108" i="4"/>
  <c r="B107" i="4"/>
  <c r="B106" i="4"/>
  <c r="B105" i="4"/>
  <c r="B104" i="4"/>
  <c r="B103" i="4"/>
  <c r="B102" i="4"/>
  <c r="B101" i="4"/>
  <c r="B100" i="4"/>
  <c r="B99" i="4"/>
  <c r="B98" i="4"/>
  <c r="B97" i="4"/>
  <c r="B96" i="4"/>
  <c r="B95" i="4"/>
  <c r="B94" i="4"/>
  <c r="B93" i="4"/>
  <c r="B92" i="4"/>
  <c r="B91" i="4"/>
  <c r="B90" i="4"/>
  <c r="B89" i="4"/>
  <c r="B88" i="4"/>
  <c r="B87" i="4"/>
  <c r="B86" i="4"/>
  <c r="B85" i="4"/>
  <c r="B84" i="4"/>
  <c r="B83" i="4"/>
  <c r="B82" i="4"/>
  <c r="B81" i="4"/>
  <c r="B80" i="4"/>
  <c r="B79" i="4"/>
  <c r="B78" i="4"/>
  <c r="B77" i="4"/>
  <c r="B76" i="4"/>
  <c r="B75" i="4"/>
  <c r="B74" i="4"/>
  <c r="B73" i="4"/>
  <c r="B72" i="4"/>
  <c r="B71" i="4"/>
  <c r="B70" i="4"/>
  <c r="B69" i="4"/>
  <c r="B68" i="4"/>
  <c r="B67" i="4"/>
  <c r="B66" i="4"/>
  <c r="B65" i="4"/>
  <c r="B64" i="4"/>
  <c r="B63" i="4"/>
  <c r="B62" i="4"/>
  <c r="B61" i="4"/>
  <c r="B60" i="4"/>
  <c r="B59" i="4"/>
  <c r="B58" i="4"/>
  <c r="B57" i="4"/>
  <c r="B56" i="4"/>
  <c r="B55" i="4"/>
  <c r="B54" i="4"/>
  <c r="B53" i="4"/>
  <c r="B52" i="4"/>
  <c r="B51" i="4"/>
  <c r="B50" i="4"/>
  <c r="B49" i="4"/>
  <c r="B48" i="4"/>
  <c r="B47" i="4"/>
  <c r="B46" i="4"/>
  <c r="B45" i="4"/>
  <c r="B44" i="4"/>
  <c r="B43" i="4"/>
  <c r="B42" i="4"/>
  <c r="B41" i="4"/>
  <c r="B40" i="4"/>
  <c r="B38" i="4"/>
  <c r="B37" i="4"/>
  <c r="B36" i="4"/>
  <c r="B35" i="4"/>
  <c r="B34" i="4"/>
  <c r="B32" i="4"/>
  <c r="B31" i="4"/>
  <c r="B30" i="4"/>
  <c r="B29" i="4"/>
  <c r="B23" i="4"/>
  <c r="B22" i="4"/>
  <c r="B21" i="4"/>
  <c r="B5" i="4"/>
  <c r="I370" i="3"/>
  <c r="G370" i="3"/>
  <c r="I223" i="3"/>
  <c r="G223" i="3"/>
  <c r="H90" i="3"/>
  <c r="I26" i="3"/>
  <c r="G26" i="3"/>
  <c r="K7" i="8" l="1"/>
  <c r="L7" i="8"/>
  <c r="N7" i="8"/>
  <c r="O7" i="8"/>
  <c r="P7" i="8"/>
  <c r="S7" i="8" s="1"/>
  <c r="Q7" i="8"/>
  <c r="T7" i="8" s="1"/>
  <c r="R7" i="8"/>
  <c r="U7" i="8" s="1"/>
  <c r="V7" i="8"/>
  <c r="W7" i="8"/>
  <c r="X7" i="8"/>
  <c r="Y7" i="8"/>
  <c r="Z7" i="8"/>
  <c r="AA7" i="8"/>
  <c r="AB7" i="8"/>
  <c r="AC7" i="8"/>
  <c r="AD7" i="8"/>
  <c r="AE7" i="8"/>
  <c r="AF7" i="8"/>
  <c r="AG7" i="8"/>
  <c r="AH7" i="8"/>
  <c r="K8" i="8"/>
  <c r="L8" i="8"/>
  <c r="N8" i="8"/>
  <c r="O8" i="8"/>
  <c r="P8" i="8"/>
  <c r="S8" i="8" s="1"/>
  <c r="Q8" i="8"/>
  <c r="T8" i="8" s="1"/>
  <c r="R8" i="8"/>
  <c r="U8" i="8" s="1"/>
  <c r="V8" i="8"/>
  <c r="W8" i="8"/>
  <c r="X8" i="8"/>
  <c r="Y8" i="8"/>
  <c r="Z8" i="8"/>
  <c r="AA8" i="8"/>
  <c r="AB8" i="8"/>
  <c r="AC8" i="8"/>
  <c r="AD8" i="8"/>
  <c r="AE8" i="8"/>
  <c r="AF8" i="8"/>
  <c r="AG8" i="8"/>
  <c r="AH8" i="8"/>
  <c r="K9" i="8"/>
  <c r="L9" i="8"/>
  <c r="N9" i="8"/>
  <c r="O9" i="8"/>
  <c r="P9" i="8"/>
  <c r="S9" i="8" s="1"/>
  <c r="Q9" i="8"/>
  <c r="T9" i="8" s="1"/>
  <c r="R9" i="8"/>
  <c r="U9" i="8" s="1"/>
  <c r="V9" i="8"/>
  <c r="W9" i="8"/>
  <c r="X9" i="8"/>
  <c r="Y9" i="8"/>
  <c r="Z9" i="8"/>
  <c r="AA9" i="8"/>
  <c r="AB9" i="8"/>
  <c r="AC9" i="8"/>
  <c r="AD9" i="8"/>
  <c r="AE9" i="8"/>
  <c r="AF9" i="8"/>
  <c r="AG9" i="8"/>
  <c r="AH9" i="8"/>
  <c r="K10" i="8"/>
  <c r="L10" i="8"/>
  <c r="N10" i="8"/>
  <c r="O10" i="8"/>
  <c r="P10" i="8"/>
  <c r="S10" i="8" s="1"/>
  <c r="Q10" i="8"/>
  <c r="T10" i="8" s="1"/>
  <c r="R10" i="8"/>
  <c r="U10" i="8" s="1"/>
  <c r="V10" i="8"/>
  <c r="W10" i="8"/>
  <c r="X10" i="8"/>
  <c r="Y10" i="8"/>
  <c r="Z10" i="8"/>
  <c r="AA10" i="8"/>
  <c r="AB10" i="8"/>
  <c r="AC10" i="8"/>
  <c r="AD10" i="8"/>
  <c r="AE10" i="8"/>
  <c r="AF10" i="8"/>
  <c r="AG10" i="8"/>
  <c r="AH10" i="8"/>
  <c r="K11" i="8"/>
  <c r="L11" i="8"/>
  <c r="N11" i="8"/>
  <c r="O11" i="8"/>
  <c r="P11" i="8"/>
  <c r="S11" i="8" s="1"/>
  <c r="Q11" i="8"/>
  <c r="T11" i="8" s="1"/>
  <c r="R11" i="8"/>
  <c r="U11" i="8" s="1"/>
  <c r="V11" i="8"/>
  <c r="W11" i="8"/>
  <c r="X11" i="8"/>
  <c r="Y11" i="8"/>
  <c r="Z11" i="8"/>
  <c r="AA11" i="8"/>
  <c r="AB11" i="8"/>
  <c r="AC11" i="8"/>
  <c r="AD11" i="8"/>
  <c r="AE11" i="8"/>
  <c r="AF11" i="8"/>
  <c r="AG11" i="8"/>
  <c r="AH11" i="8"/>
  <c r="K12" i="8"/>
  <c r="L12" i="8"/>
  <c r="N12" i="8"/>
  <c r="O12" i="8"/>
  <c r="P12" i="8"/>
  <c r="S12" i="8" s="1"/>
  <c r="Q12" i="8"/>
  <c r="T12" i="8" s="1"/>
  <c r="R12" i="8"/>
  <c r="U12" i="8" s="1"/>
  <c r="V12" i="8"/>
  <c r="W12" i="8"/>
  <c r="X12" i="8"/>
  <c r="Y12" i="8"/>
  <c r="Z12" i="8"/>
  <c r="AA12" i="8"/>
  <c r="AB12" i="8"/>
  <c r="AC12" i="8"/>
  <c r="AD12" i="8"/>
  <c r="AE12" i="8"/>
  <c r="AF12" i="8"/>
  <c r="AG12" i="8"/>
  <c r="AH12" i="8"/>
  <c r="K13" i="8"/>
  <c r="L13" i="8"/>
  <c r="N13" i="8"/>
  <c r="O13" i="8"/>
  <c r="P13" i="8"/>
  <c r="S13" i="8" s="1"/>
  <c r="Q13" i="8"/>
  <c r="T13" i="8" s="1"/>
  <c r="R13" i="8"/>
  <c r="U13" i="8" s="1"/>
  <c r="V13" i="8"/>
  <c r="W13" i="8"/>
  <c r="X13" i="8"/>
  <c r="Y13" i="8"/>
  <c r="Z13" i="8"/>
  <c r="AA13" i="8"/>
  <c r="AB13" i="8"/>
  <c r="AC13" i="8"/>
  <c r="AD13" i="8"/>
  <c r="AE13" i="8"/>
  <c r="AF13" i="8"/>
  <c r="AG13" i="8"/>
  <c r="AH13" i="8"/>
  <c r="K14" i="8"/>
  <c r="L14" i="8"/>
  <c r="N14" i="8"/>
  <c r="O14" i="8"/>
  <c r="P14" i="8"/>
  <c r="S14" i="8" s="1"/>
  <c r="Q14" i="8"/>
  <c r="T14" i="8" s="1"/>
  <c r="R14" i="8"/>
  <c r="U14" i="8" s="1"/>
  <c r="V14" i="8"/>
  <c r="W14" i="8"/>
  <c r="X14" i="8"/>
  <c r="Y14" i="8"/>
  <c r="Z14" i="8"/>
  <c r="AA14" i="8"/>
  <c r="AB14" i="8"/>
  <c r="AC14" i="8"/>
  <c r="AD14" i="8"/>
  <c r="AE14" i="8"/>
  <c r="AF14" i="8"/>
  <c r="AG14" i="8"/>
  <c r="AH14" i="8"/>
  <c r="K15" i="8"/>
  <c r="L15" i="8"/>
  <c r="N15" i="8"/>
  <c r="O15" i="8"/>
  <c r="P15" i="8"/>
  <c r="S15" i="8" s="1"/>
  <c r="Q15" i="8"/>
  <c r="T15" i="8" s="1"/>
  <c r="R15" i="8"/>
  <c r="U15" i="8" s="1"/>
  <c r="V15" i="8"/>
  <c r="W15" i="8"/>
  <c r="X15" i="8"/>
  <c r="Y15" i="8"/>
  <c r="Z15" i="8"/>
  <c r="AA15" i="8"/>
  <c r="AB15" i="8"/>
  <c r="AC15" i="8"/>
  <c r="AD15" i="8"/>
  <c r="AE15" i="8"/>
  <c r="AF15" i="8"/>
  <c r="AG15" i="8"/>
  <c r="AH15" i="8"/>
  <c r="K16" i="8"/>
  <c r="L16" i="8"/>
  <c r="N16" i="8"/>
  <c r="O16" i="8"/>
  <c r="P16" i="8"/>
  <c r="S16" i="8" s="1"/>
  <c r="Q16" i="8"/>
  <c r="T16" i="8" s="1"/>
  <c r="R16" i="8"/>
  <c r="U16" i="8" s="1"/>
  <c r="V16" i="8"/>
  <c r="W16" i="8"/>
  <c r="X16" i="8"/>
  <c r="Y16" i="8"/>
  <c r="Z16" i="8"/>
  <c r="AA16" i="8"/>
  <c r="AB16" i="8"/>
  <c r="AC16" i="8"/>
  <c r="AD16" i="8"/>
  <c r="AE16" i="8"/>
  <c r="AF16" i="8"/>
  <c r="AG16" i="8"/>
  <c r="AH16" i="8"/>
  <c r="K17" i="8"/>
  <c r="L17" i="8"/>
  <c r="N17" i="8"/>
  <c r="O17" i="8"/>
  <c r="P17" i="8"/>
  <c r="S17" i="8" s="1"/>
  <c r="Q17" i="8"/>
  <c r="T17" i="8" s="1"/>
  <c r="R17" i="8"/>
  <c r="U17" i="8" s="1"/>
  <c r="V17" i="8"/>
  <c r="W17" i="8"/>
  <c r="X17" i="8"/>
  <c r="Y17" i="8"/>
  <c r="Z17" i="8"/>
  <c r="AA17" i="8"/>
  <c r="AB17" i="8"/>
  <c r="AC17" i="8"/>
  <c r="AD17" i="8"/>
  <c r="AE17" i="8"/>
  <c r="AF17" i="8"/>
  <c r="AG17" i="8"/>
  <c r="AH17" i="8"/>
  <c r="K18" i="8"/>
  <c r="L18" i="8"/>
  <c r="N18" i="8"/>
  <c r="O18" i="8"/>
  <c r="P18" i="8"/>
  <c r="S18" i="8" s="1"/>
  <c r="Q18" i="8"/>
  <c r="T18" i="8" s="1"/>
  <c r="R18" i="8"/>
  <c r="U18" i="8" s="1"/>
  <c r="V18" i="8"/>
  <c r="W18" i="8"/>
  <c r="X18" i="8"/>
  <c r="Y18" i="8"/>
  <c r="Z18" i="8"/>
  <c r="AA18" i="8"/>
  <c r="AB18" i="8"/>
  <c r="AC18" i="8"/>
  <c r="AD18" i="8"/>
  <c r="AE18" i="8"/>
  <c r="AF18" i="8"/>
  <c r="AG18" i="8"/>
  <c r="AH18" i="8"/>
  <c r="K19" i="8"/>
  <c r="L19" i="8"/>
  <c r="N19" i="8"/>
  <c r="O19" i="8"/>
  <c r="P19" i="8"/>
  <c r="S19" i="8" s="1"/>
  <c r="Q19" i="8"/>
  <c r="T19" i="8" s="1"/>
  <c r="R19" i="8"/>
  <c r="U19" i="8" s="1"/>
  <c r="V19" i="8"/>
  <c r="W19" i="8"/>
  <c r="X19" i="8"/>
  <c r="Y19" i="8"/>
  <c r="Z19" i="8"/>
  <c r="AA19" i="8"/>
  <c r="AB19" i="8"/>
  <c r="AC19" i="8"/>
  <c r="AD19" i="8"/>
  <c r="AE19" i="8"/>
  <c r="AF19" i="8"/>
  <c r="AG19" i="8"/>
  <c r="AH19" i="8"/>
  <c r="K20" i="8"/>
  <c r="L20" i="8"/>
  <c r="N20" i="8"/>
  <c r="O20" i="8"/>
  <c r="P20" i="8"/>
  <c r="S20" i="8" s="1"/>
  <c r="Q20" i="8"/>
  <c r="T20" i="8" s="1"/>
  <c r="R20" i="8"/>
  <c r="U20" i="8" s="1"/>
  <c r="V20" i="8"/>
  <c r="W20" i="8"/>
  <c r="X20" i="8"/>
  <c r="Y20" i="8"/>
  <c r="Z20" i="8"/>
  <c r="AA20" i="8"/>
  <c r="AB20" i="8"/>
  <c r="AC20" i="8"/>
  <c r="AD20" i="8"/>
  <c r="AE20" i="8"/>
  <c r="AF20" i="8"/>
  <c r="AG20" i="8"/>
  <c r="AH20" i="8"/>
  <c r="K21" i="8"/>
  <c r="L21" i="8"/>
  <c r="N21" i="8"/>
  <c r="O21" i="8"/>
  <c r="P21" i="8"/>
  <c r="S21" i="8" s="1"/>
  <c r="Q21" i="8"/>
  <c r="T21" i="8" s="1"/>
  <c r="R21" i="8"/>
  <c r="U21" i="8" s="1"/>
  <c r="V21" i="8"/>
  <c r="W21" i="8"/>
  <c r="X21" i="8"/>
  <c r="Y21" i="8"/>
  <c r="Z21" i="8"/>
  <c r="AA21" i="8"/>
  <c r="AB21" i="8"/>
  <c r="AC21" i="8"/>
  <c r="AD21" i="8"/>
  <c r="AE21" i="8"/>
  <c r="AF21" i="8"/>
  <c r="AG21" i="8"/>
  <c r="AH21" i="8"/>
  <c r="K22" i="8"/>
  <c r="L22" i="8"/>
  <c r="N22" i="8"/>
  <c r="O22" i="8"/>
  <c r="P22" i="8"/>
  <c r="S22" i="8" s="1"/>
  <c r="Q22" i="8"/>
  <c r="T22" i="8" s="1"/>
  <c r="R22" i="8"/>
  <c r="U22" i="8" s="1"/>
  <c r="V22" i="8"/>
  <c r="W22" i="8"/>
  <c r="X22" i="8"/>
  <c r="Y22" i="8"/>
  <c r="Z22" i="8"/>
  <c r="AA22" i="8"/>
  <c r="AB22" i="8"/>
  <c r="AC22" i="8"/>
  <c r="AD22" i="8"/>
  <c r="AE22" i="8"/>
  <c r="AF22" i="8"/>
  <c r="AG22" i="8"/>
  <c r="AH22" i="8"/>
  <c r="K23" i="8"/>
  <c r="L23" i="8"/>
  <c r="N23" i="8"/>
  <c r="O23" i="8"/>
  <c r="P23" i="8"/>
  <c r="S23" i="8" s="1"/>
  <c r="Q23" i="8"/>
  <c r="T23" i="8" s="1"/>
  <c r="R23" i="8"/>
  <c r="U23" i="8" s="1"/>
  <c r="V23" i="8"/>
  <c r="W23" i="8"/>
  <c r="X23" i="8"/>
  <c r="Y23" i="8"/>
  <c r="Z23" i="8"/>
  <c r="AA23" i="8"/>
  <c r="AB23" i="8"/>
  <c r="AC23" i="8"/>
  <c r="AD23" i="8"/>
  <c r="AE23" i="8"/>
  <c r="AF23" i="8"/>
  <c r="AG23" i="8"/>
  <c r="AH23" i="8"/>
  <c r="K24" i="8"/>
  <c r="L24" i="8"/>
  <c r="N24" i="8"/>
  <c r="O24" i="8"/>
  <c r="P24" i="8"/>
  <c r="S24" i="8" s="1"/>
  <c r="Q24" i="8"/>
  <c r="T24" i="8" s="1"/>
  <c r="R24" i="8"/>
  <c r="U24" i="8" s="1"/>
  <c r="V24" i="8"/>
  <c r="W24" i="8"/>
  <c r="X24" i="8"/>
  <c r="Y24" i="8"/>
  <c r="Z24" i="8"/>
  <c r="AA24" i="8"/>
  <c r="AB24" i="8"/>
  <c r="AC24" i="8"/>
  <c r="AD24" i="8"/>
  <c r="AE24" i="8"/>
  <c r="AF24" i="8"/>
  <c r="AG24" i="8"/>
  <c r="AH24" i="8"/>
  <c r="K25" i="8"/>
  <c r="L25" i="8"/>
  <c r="N25" i="8"/>
  <c r="O25" i="8"/>
  <c r="P25" i="8"/>
  <c r="S25" i="8" s="1"/>
  <c r="Q25" i="8"/>
  <c r="T25" i="8" s="1"/>
  <c r="R25" i="8"/>
  <c r="U25" i="8" s="1"/>
  <c r="V25" i="8"/>
  <c r="W25" i="8"/>
  <c r="X25" i="8"/>
  <c r="Y25" i="8"/>
  <c r="Z25" i="8"/>
  <c r="AA25" i="8"/>
  <c r="AB25" i="8"/>
  <c r="AC25" i="8"/>
  <c r="AD25" i="8"/>
  <c r="AE25" i="8"/>
  <c r="AF25" i="8"/>
  <c r="AG25" i="8"/>
  <c r="AH25" i="8"/>
  <c r="K26" i="8"/>
  <c r="L26" i="8"/>
  <c r="N26" i="8"/>
  <c r="O26" i="8"/>
  <c r="P26" i="8"/>
  <c r="S26" i="8" s="1"/>
  <c r="Q26" i="8"/>
  <c r="T26" i="8" s="1"/>
  <c r="R26" i="8"/>
  <c r="U26" i="8" s="1"/>
  <c r="V26" i="8"/>
  <c r="W26" i="8"/>
  <c r="X26" i="8"/>
  <c r="Y26" i="8"/>
  <c r="Z26" i="8"/>
  <c r="AA26" i="8"/>
  <c r="AB26" i="8"/>
  <c r="AC26" i="8"/>
  <c r="AD26" i="8"/>
  <c r="AE26" i="8"/>
  <c r="AF26" i="8"/>
  <c r="AG26" i="8"/>
  <c r="AH26" i="8"/>
  <c r="K27" i="8"/>
  <c r="L27" i="8"/>
  <c r="N27" i="8"/>
  <c r="O27" i="8"/>
  <c r="P27" i="8"/>
  <c r="S27" i="8" s="1"/>
  <c r="Q27" i="8"/>
  <c r="T27" i="8" s="1"/>
  <c r="R27" i="8"/>
  <c r="U27" i="8" s="1"/>
  <c r="V27" i="8"/>
  <c r="W27" i="8"/>
  <c r="X27" i="8"/>
  <c r="Y27" i="8"/>
  <c r="Z27" i="8"/>
  <c r="AA27" i="8"/>
  <c r="AB27" i="8"/>
  <c r="AC27" i="8"/>
  <c r="AD27" i="8"/>
  <c r="AE27" i="8"/>
  <c r="AF27" i="8"/>
  <c r="AG27" i="8"/>
  <c r="AH27" i="8"/>
  <c r="K28" i="8"/>
  <c r="L28" i="8"/>
  <c r="N28" i="8"/>
  <c r="O28" i="8"/>
  <c r="P28" i="8"/>
  <c r="S28" i="8" s="1"/>
  <c r="Q28" i="8"/>
  <c r="T28" i="8" s="1"/>
  <c r="R28" i="8"/>
  <c r="U28" i="8" s="1"/>
  <c r="V28" i="8"/>
  <c r="W28" i="8"/>
  <c r="X28" i="8"/>
  <c r="Y28" i="8"/>
  <c r="Z28" i="8"/>
  <c r="AA28" i="8"/>
  <c r="AB28" i="8"/>
  <c r="AC28" i="8"/>
  <c r="AD28" i="8"/>
  <c r="AE28" i="8"/>
  <c r="AF28" i="8"/>
  <c r="AG28" i="8"/>
  <c r="AH28" i="8"/>
  <c r="K29" i="8"/>
  <c r="L29" i="8"/>
  <c r="N29" i="8"/>
  <c r="O29" i="8"/>
  <c r="P29" i="8"/>
  <c r="S29" i="8" s="1"/>
  <c r="Q29" i="8"/>
  <c r="T29" i="8" s="1"/>
  <c r="R29" i="8"/>
  <c r="U29" i="8" s="1"/>
  <c r="V29" i="8"/>
  <c r="W29" i="8"/>
  <c r="X29" i="8"/>
  <c r="Y29" i="8"/>
  <c r="Z29" i="8"/>
  <c r="AA29" i="8"/>
  <c r="AB29" i="8"/>
  <c r="AC29" i="8"/>
  <c r="AD29" i="8"/>
  <c r="AE29" i="8"/>
  <c r="AF29" i="8"/>
  <c r="AG29" i="8"/>
  <c r="AH29" i="8"/>
  <c r="K30" i="8"/>
  <c r="L30" i="8"/>
  <c r="N30" i="8"/>
  <c r="O30" i="8"/>
  <c r="P30" i="8"/>
  <c r="S30" i="8" s="1"/>
  <c r="Q30" i="8"/>
  <c r="T30" i="8" s="1"/>
  <c r="R30" i="8"/>
  <c r="U30" i="8" s="1"/>
  <c r="V30" i="8"/>
  <c r="W30" i="8"/>
  <c r="X30" i="8"/>
  <c r="Y30" i="8"/>
  <c r="Z30" i="8"/>
  <c r="AA30" i="8"/>
  <c r="AB30" i="8"/>
  <c r="AC30" i="8"/>
  <c r="AD30" i="8"/>
  <c r="AE30" i="8"/>
  <c r="AF30" i="8"/>
  <c r="AG30" i="8"/>
  <c r="AH30" i="8"/>
  <c r="K31" i="8"/>
  <c r="L31" i="8"/>
  <c r="N31" i="8"/>
  <c r="O31" i="8"/>
  <c r="P31" i="8"/>
  <c r="S31" i="8" s="1"/>
  <c r="Q31" i="8"/>
  <c r="T31" i="8" s="1"/>
  <c r="R31" i="8"/>
  <c r="U31" i="8" s="1"/>
  <c r="V31" i="8"/>
  <c r="W31" i="8"/>
  <c r="X31" i="8"/>
  <c r="Y31" i="8"/>
  <c r="Z31" i="8"/>
  <c r="AA31" i="8"/>
  <c r="AB31" i="8"/>
  <c r="AC31" i="8"/>
  <c r="AD31" i="8"/>
  <c r="AE31" i="8"/>
  <c r="AF31" i="8"/>
  <c r="AG31" i="8"/>
  <c r="AH31" i="8"/>
  <c r="K32" i="8"/>
  <c r="L32" i="8"/>
  <c r="N32" i="8"/>
  <c r="O32" i="8"/>
  <c r="P32" i="8"/>
  <c r="S32" i="8" s="1"/>
  <c r="Q32" i="8"/>
  <c r="T32" i="8" s="1"/>
  <c r="R32" i="8"/>
  <c r="U32" i="8" s="1"/>
  <c r="V32" i="8"/>
  <c r="W32" i="8"/>
  <c r="X32" i="8"/>
  <c r="Y32" i="8"/>
  <c r="Z32" i="8"/>
  <c r="AA32" i="8"/>
  <c r="AB32" i="8"/>
  <c r="AC32" i="8"/>
  <c r="AD32" i="8"/>
  <c r="AE32" i="8"/>
  <c r="AF32" i="8"/>
  <c r="AG32" i="8"/>
  <c r="AH32" i="8"/>
  <c r="K33" i="8"/>
  <c r="L33" i="8"/>
  <c r="N33" i="8"/>
  <c r="O33" i="8"/>
  <c r="P33" i="8"/>
  <c r="S33" i="8" s="1"/>
  <c r="Q33" i="8"/>
  <c r="T33" i="8" s="1"/>
  <c r="R33" i="8"/>
  <c r="U33" i="8" s="1"/>
  <c r="V33" i="8"/>
  <c r="W33" i="8"/>
  <c r="X33" i="8"/>
  <c r="Y33" i="8"/>
  <c r="Z33" i="8"/>
  <c r="AA33" i="8"/>
  <c r="AB33" i="8"/>
  <c r="AC33" i="8"/>
  <c r="AD33" i="8"/>
  <c r="AE33" i="8"/>
  <c r="AF33" i="8"/>
  <c r="AG33" i="8"/>
  <c r="AH33" i="8"/>
  <c r="K34" i="8"/>
  <c r="L34" i="8"/>
  <c r="N34" i="8"/>
  <c r="O34" i="8"/>
  <c r="P34" i="8"/>
  <c r="S34" i="8" s="1"/>
  <c r="Q34" i="8"/>
  <c r="T34" i="8" s="1"/>
  <c r="R34" i="8"/>
  <c r="U34" i="8" s="1"/>
  <c r="V34" i="8"/>
  <c r="W34" i="8"/>
  <c r="X34" i="8"/>
  <c r="Y34" i="8"/>
  <c r="Z34" i="8"/>
  <c r="AA34" i="8"/>
  <c r="AB34" i="8"/>
  <c r="AC34" i="8"/>
  <c r="AD34" i="8"/>
  <c r="AE34" i="8"/>
  <c r="AF34" i="8"/>
  <c r="AG34" i="8"/>
  <c r="AH34" i="8"/>
  <c r="K35" i="8"/>
  <c r="L35" i="8"/>
  <c r="N35" i="8"/>
  <c r="O35" i="8"/>
  <c r="P35" i="8"/>
  <c r="S35" i="8" s="1"/>
  <c r="Q35" i="8"/>
  <c r="T35" i="8" s="1"/>
  <c r="R35" i="8"/>
  <c r="U35" i="8" s="1"/>
  <c r="V35" i="8"/>
  <c r="W35" i="8"/>
  <c r="X35" i="8"/>
  <c r="Y35" i="8"/>
  <c r="Z35" i="8"/>
  <c r="AA35" i="8"/>
  <c r="AB35" i="8"/>
  <c r="AC35" i="8"/>
  <c r="AD35" i="8"/>
  <c r="AE35" i="8"/>
  <c r="AF35" i="8"/>
  <c r="AG35" i="8"/>
  <c r="AH35" i="8"/>
  <c r="K36" i="8"/>
  <c r="L36" i="8"/>
  <c r="N36" i="8"/>
  <c r="O36" i="8"/>
  <c r="P36" i="8"/>
  <c r="S36" i="8" s="1"/>
  <c r="Q36" i="8"/>
  <c r="T36" i="8" s="1"/>
  <c r="R36" i="8"/>
  <c r="U36" i="8" s="1"/>
  <c r="V36" i="8"/>
  <c r="W36" i="8"/>
  <c r="X36" i="8"/>
  <c r="Y36" i="8"/>
  <c r="Z36" i="8"/>
  <c r="AA36" i="8"/>
  <c r="AB36" i="8"/>
  <c r="AC36" i="8"/>
  <c r="AD36" i="8"/>
  <c r="AE36" i="8"/>
  <c r="AF36" i="8"/>
  <c r="AG36" i="8"/>
  <c r="AH36" i="8"/>
  <c r="K37" i="8"/>
  <c r="L37" i="8"/>
  <c r="N37" i="8"/>
  <c r="O37" i="8"/>
  <c r="P37" i="8"/>
  <c r="S37" i="8" s="1"/>
  <c r="Q37" i="8"/>
  <c r="T37" i="8" s="1"/>
  <c r="R37" i="8"/>
  <c r="U37" i="8" s="1"/>
  <c r="V37" i="8"/>
  <c r="W37" i="8"/>
  <c r="X37" i="8"/>
  <c r="Y37" i="8"/>
  <c r="Z37" i="8"/>
  <c r="AA37" i="8"/>
  <c r="AB37" i="8"/>
  <c r="AC37" i="8"/>
  <c r="AD37" i="8"/>
  <c r="AE37" i="8"/>
  <c r="AF37" i="8"/>
  <c r="AG37" i="8"/>
  <c r="AH37" i="8"/>
  <c r="K38" i="8"/>
  <c r="L38" i="8"/>
  <c r="N38" i="8"/>
  <c r="O38" i="8"/>
  <c r="P38" i="8"/>
  <c r="S38" i="8" s="1"/>
  <c r="Q38" i="8"/>
  <c r="T38" i="8" s="1"/>
  <c r="R38" i="8"/>
  <c r="U38" i="8" s="1"/>
  <c r="V38" i="8"/>
  <c r="W38" i="8"/>
  <c r="X38" i="8"/>
  <c r="Y38" i="8"/>
  <c r="Z38" i="8"/>
  <c r="AA38" i="8"/>
  <c r="AB38" i="8"/>
  <c r="AC38" i="8"/>
  <c r="AD38" i="8"/>
  <c r="AE38" i="8"/>
  <c r="AF38" i="8"/>
  <c r="AG38" i="8"/>
  <c r="AH38" i="8"/>
  <c r="K39" i="8"/>
  <c r="L39" i="8"/>
  <c r="N39" i="8"/>
  <c r="O39" i="8"/>
  <c r="P39" i="8"/>
  <c r="S39" i="8" s="1"/>
  <c r="Q39" i="8"/>
  <c r="T39" i="8" s="1"/>
  <c r="R39" i="8"/>
  <c r="U39" i="8" s="1"/>
  <c r="V39" i="8"/>
  <c r="W39" i="8"/>
  <c r="X39" i="8"/>
  <c r="Y39" i="8"/>
  <c r="Z39" i="8"/>
  <c r="AA39" i="8"/>
  <c r="AB39" i="8"/>
  <c r="AC39" i="8"/>
  <c r="AD39" i="8"/>
  <c r="AE39" i="8"/>
  <c r="AF39" i="8"/>
  <c r="AG39" i="8"/>
  <c r="AH39" i="8"/>
  <c r="K40" i="8"/>
  <c r="L40" i="8"/>
  <c r="N40" i="8"/>
  <c r="O40" i="8"/>
  <c r="P40" i="8"/>
  <c r="S40" i="8" s="1"/>
  <c r="Q40" i="8"/>
  <c r="T40" i="8" s="1"/>
  <c r="R40" i="8"/>
  <c r="U40" i="8" s="1"/>
  <c r="V40" i="8"/>
  <c r="W40" i="8"/>
  <c r="X40" i="8"/>
  <c r="Y40" i="8"/>
  <c r="Z40" i="8"/>
  <c r="AA40" i="8"/>
  <c r="AB40" i="8"/>
  <c r="AC40" i="8"/>
  <c r="AD40" i="8"/>
  <c r="AE40" i="8"/>
  <c r="AF40" i="8"/>
  <c r="AG40" i="8"/>
  <c r="AH40" i="8"/>
  <c r="K41" i="8"/>
  <c r="L41" i="8"/>
  <c r="N41" i="8"/>
  <c r="O41" i="8"/>
  <c r="P41" i="8"/>
  <c r="S41" i="8" s="1"/>
  <c r="Q41" i="8"/>
  <c r="T41" i="8" s="1"/>
  <c r="R41" i="8"/>
  <c r="U41" i="8" s="1"/>
  <c r="V41" i="8"/>
  <c r="W41" i="8"/>
  <c r="X41" i="8"/>
  <c r="Y41" i="8"/>
  <c r="Z41" i="8"/>
  <c r="AA41" i="8"/>
  <c r="AB41" i="8"/>
  <c r="AC41" i="8"/>
  <c r="AD41" i="8"/>
  <c r="AE41" i="8"/>
  <c r="AF41" i="8"/>
  <c r="AG41" i="8"/>
  <c r="AH41" i="8"/>
  <c r="K42" i="8"/>
  <c r="L42" i="8"/>
  <c r="N42" i="8"/>
  <c r="O42" i="8"/>
  <c r="P42" i="8"/>
  <c r="S42" i="8" s="1"/>
  <c r="Q42" i="8"/>
  <c r="T42" i="8" s="1"/>
  <c r="R42" i="8"/>
  <c r="U42" i="8" s="1"/>
  <c r="V42" i="8"/>
  <c r="W42" i="8"/>
  <c r="X42" i="8"/>
  <c r="Y42" i="8"/>
  <c r="Z42" i="8"/>
  <c r="AA42" i="8"/>
  <c r="AB42" i="8"/>
  <c r="AC42" i="8"/>
  <c r="AD42" i="8"/>
  <c r="AE42" i="8"/>
  <c r="AF42" i="8"/>
  <c r="AG42" i="8"/>
  <c r="AH42" i="8"/>
  <c r="K43" i="8"/>
  <c r="L43" i="8"/>
  <c r="N43" i="8"/>
  <c r="O43" i="8"/>
  <c r="P43" i="8"/>
  <c r="S43" i="8" s="1"/>
  <c r="Q43" i="8"/>
  <c r="T43" i="8" s="1"/>
  <c r="R43" i="8"/>
  <c r="U43" i="8" s="1"/>
  <c r="V43" i="8"/>
  <c r="W43" i="8"/>
  <c r="X43" i="8"/>
  <c r="Y43" i="8"/>
  <c r="Z43" i="8"/>
  <c r="AA43" i="8"/>
  <c r="AB43" i="8"/>
  <c r="AC43" i="8"/>
  <c r="AD43" i="8"/>
  <c r="AE43" i="8"/>
  <c r="AF43" i="8"/>
  <c r="AG43" i="8"/>
  <c r="AH43" i="8"/>
  <c r="K44" i="8"/>
  <c r="L44" i="8"/>
  <c r="N44" i="8"/>
  <c r="O44" i="8"/>
  <c r="P44" i="8"/>
  <c r="S44" i="8" s="1"/>
  <c r="Q44" i="8"/>
  <c r="T44" i="8" s="1"/>
  <c r="R44" i="8"/>
  <c r="U44" i="8" s="1"/>
  <c r="V44" i="8"/>
  <c r="W44" i="8"/>
  <c r="X44" i="8"/>
  <c r="Y44" i="8"/>
  <c r="Z44" i="8"/>
  <c r="AA44" i="8"/>
  <c r="AB44" i="8"/>
  <c r="AC44" i="8"/>
  <c r="AD44" i="8"/>
  <c r="AE44" i="8"/>
  <c r="AF44" i="8"/>
  <c r="AG44" i="8"/>
  <c r="AH44" i="8"/>
  <c r="K45" i="8"/>
  <c r="L45" i="8"/>
  <c r="N45" i="8"/>
  <c r="O45" i="8"/>
  <c r="P45" i="8"/>
  <c r="S45" i="8" s="1"/>
  <c r="Q45" i="8"/>
  <c r="T45" i="8" s="1"/>
  <c r="R45" i="8"/>
  <c r="U45" i="8" s="1"/>
  <c r="V45" i="8"/>
  <c r="W45" i="8"/>
  <c r="X45" i="8"/>
  <c r="Y45" i="8"/>
  <c r="Z45" i="8"/>
  <c r="AA45" i="8"/>
  <c r="AB45" i="8"/>
  <c r="AC45" i="8"/>
  <c r="AD45" i="8"/>
  <c r="AE45" i="8"/>
  <c r="AF45" i="8"/>
  <c r="AG45" i="8"/>
  <c r="AH45" i="8"/>
  <c r="K46" i="8"/>
  <c r="L46" i="8"/>
  <c r="N46" i="8"/>
  <c r="O46" i="8"/>
  <c r="P46" i="8"/>
  <c r="S46" i="8" s="1"/>
  <c r="Q46" i="8"/>
  <c r="T46" i="8" s="1"/>
  <c r="R46" i="8"/>
  <c r="U46" i="8" s="1"/>
  <c r="V46" i="8"/>
  <c r="W46" i="8"/>
  <c r="X46" i="8"/>
  <c r="Y46" i="8"/>
  <c r="Z46" i="8"/>
  <c r="AA46" i="8"/>
  <c r="AB46" i="8"/>
  <c r="AC46" i="8"/>
  <c r="AD46" i="8"/>
  <c r="AE46" i="8"/>
  <c r="AF46" i="8"/>
  <c r="AG46" i="8"/>
  <c r="AH46" i="8"/>
  <c r="K47" i="8"/>
  <c r="L47" i="8"/>
  <c r="N47" i="8"/>
  <c r="O47" i="8"/>
  <c r="P47" i="8"/>
  <c r="S47" i="8" s="1"/>
  <c r="Q47" i="8"/>
  <c r="T47" i="8" s="1"/>
  <c r="R47" i="8"/>
  <c r="U47" i="8" s="1"/>
  <c r="V47" i="8"/>
  <c r="W47" i="8"/>
  <c r="X47" i="8"/>
  <c r="Y47" i="8"/>
  <c r="Z47" i="8"/>
  <c r="AA47" i="8"/>
  <c r="AB47" i="8"/>
  <c r="AC47" i="8"/>
  <c r="AD47" i="8"/>
  <c r="AE47" i="8"/>
  <c r="AF47" i="8"/>
  <c r="AG47" i="8"/>
  <c r="AH47" i="8"/>
  <c r="K48" i="8"/>
  <c r="L48" i="8"/>
  <c r="N48" i="8"/>
  <c r="O48" i="8"/>
  <c r="P48" i="8"/>
  <c r="S48" i="8" s="1"/>
  <c r="Q48" i="8"/>
  <c r="T48" i="8" s="1"/>
  <c r="R48" i="8"/>
  <c r="U48" i="8" s="1"/>
  <c r="V48" i="8"/>
  <c r="W48" i="8"/>
  <c r="X48" i="8"/>
  <c r="Y48" i="8"/>
  <c r="Z48" i="8"/>
  <c r="AA48" i="8"/>
  <c r="AB48" i="8"/>
  <c r="AC48" i="8"/>
  <c r="AD48" i="8"/>
  <c r="AE48" i="8"/>
  <c r="AF48" i="8"/>
  <c r="AG48" i="8"/>
  <c r="AH48" i="8"/>
  <c r="K49" i="8"/>
  <c r="L49" i="8"/>
  <c r="N49" i="8"/>
  <c r="O49" i="8"/>
  <c r="P49" i="8"/>
  <c r="S49" i="8" s="1"/>
  <c r="Q49" i="8"/>
  <c r="T49" i="8" s="1"/>
  <c r="R49" i="8"/>
  <c r="U49" i="8" s="1"/>
  <c r="V49" i="8"/>
  <c r="W49" i="8"/>
  <c r="X49" i="8"/>
  <c r="Y49" i="8"/>
  <c r="Z49" i="8"/>
  <c r="AA49" i="8"/>
  <c r="AB49" i="8"/>
  <c r="AC49" i="8"/>
  <c r="AD49" i="8"/>
  <c r="AE49" i="8"/>
  <c r="AF49" i="8"/>
  <c r="AG49" i="8"/>
  <c r="AH49" i="8"/>
  <c r="K50" i="8"/>
  <c r="L50" i="8"/>
  <c r="N50" i="8"/>
  <c r="O50" i="8"/>
  <c r="P50" i="8"/>
  <c r="S50" i="8" s="1"/>
  <c r="Q50" i="8"/>
  <c r="T50" i="8" s="1"/>
  <c r="R50" i="8"/>
  <c r="U50" i="8" s="1"/>
  <c r="V50" i="8"/>
  <c r="W50" i="8"/>
  <c r="X50" i="8"/>
  <c r="Y50" i="8"/>
  <c r="Z50" i="8"/>
  <c r="AA50" i="8"/>
  <c r="AB50" i="8"/>
  <c r="AC50" i="8"/>
  <c r="AD50" i="8"/>
  <c r="AE50" i="8"/>
  <c r="AF50" i="8"/>
  <c r="AG50" i="8"/>
  <c r="AH50" i="8"/>
  <c r="K51" i="8"/>
  <c r="L51" i="8"/>
  <c r="N51" i="8"/>
  <c r="O51" i="8"/>
  <c r="P51" i="8"/>
  <c r="S51" i="8" s="1"/>
  <c r="Q51" i="8"/>
  <c r="T51" i="8" s="1"/>
  <c r="R51" i="8"/>
  <c r="U51" i="8" s="1"/>
  <c r="V51" i="8"/>
  <c r="W51" i="8"/>
  <c r="X51" i="8"/>
  <c r="Y51" i="8"/>
  <c r="Z51" i="8"/>
  <c r="AA51" i="8"/>
  <c r="AB51" i="8"/>
  <c r="AC51" i="8"/>
  <c r="AD51" i="8"/>
  <c r="AE51" i="8"/>
  <c r="AF51" i="8"/>
  <c r="AG51" i="8"/>
  <c r="AH51" i="8"/>
  <c r="K52" i="8"/>
  <c r="L52" i="8"/>
  <c r="N52" i="8"/>
  <c r="O52" i="8"/>
  <c r="P52" i="8"/>
  <c r="S52" i="8" s="1"/>
  <c r="Q52" i="8"/>
  <c r="T52" i="8" s="1"/>
  <c r="R52" i="8"/>
  <c r="U52" i="8" s="1"/>
  <c r="V52" i="8"/>
  <c r="W52" i="8"/>
  <c r="X52" i="8"/>
  <c r="Y52" i="8"/>
  <c r="Z52" i="8"/>
  <c r="AA52" i="8"/>
  <c r="AB52" i="8"/>
  <c r="AC52" i="8"/>
  <c r="AD52" i="8"/>
  <c r="AE52" i="8"/>
  <c r="AF52" i="8"/>
  <c r="AG52" i="8"/>
  <c r="AH52" i="8"/>
  <c r="K53" i="8"/>
  <c r="L53" i="8"/>
  <c r="N53" i="8"/>
  <c r="O53" i="8"/>
  <c r="P53" i="8"/>
  <c r="S53" i="8" s="1"/>
  <c r="Q53" i="8"/>
  <c r="T53" i="8" s="1"/>
  <c r="R53" i="8"/>
  <c r="U53" i="8" s="1"/>
  <c r="V53" i="8"/>
  <c r="W53" i="8"/>
  <c r="X53" i="8"/>
  <c r="Y53" i="8"/>
  <c r="Z53" i="8"/>
  <c r="AA53" i="8"/>
  <c r="AB53" i="8"/>
  <c r="AC53" i="8"/>
  <c r="AD53" i="8"/>
  <c r="AE53" i="8"/>
  <c r="AF53" i="8"/>
  <c r="AG53" i="8"/>
  <c r="AH53" i="8"/>
  <c r="K54" i="8"/>
  <c r="L54" i="8"/>
  <c r="N54" i="8"/>
  <c r="O54" i="8"/>
  <c r="P54" i="8"/>
  <c r="S54" i="8" s="1"/>
  <c r="Q54" i="8"/>
  <c r="T54" i="8" s="1"/>
  <c r="R54" i="8"/>
  <c r="U54" i="8" s="1"/>
  <c r="V54" i="8"/>
  <c r="W54" i="8"/>
  <c r="X54" i="8"/>
  <c r="Y54" i="8"/>
  <c r="Z54" i="8"/>
  <c r="AA54" i="8"/>
  <c r="AB54" i="8"/>
  <c r="AC54" i="8"/>
  <c r="AD54" i="8"/>
  <c r="AE54" i="8"/>
  <c r="AF54" i="8"/>
  <c r="AG54" i="8"/>
  <c r="AH54" i="8"/>
  <c r="K55" i="8"/>
  <c r="L55" i="8"/>
  <c r="N55" i="8"/>
  <c r="O55" i="8"/>
  <c r="P55" i="8"/>
  <c r="S55" i="8" s="1"/>
  <c r="Q55" i="8"/>
  <c r="T55" i="8" s="1"/>
  <c r="R55" i="8"/>
  <c r="U55" i="8" s="1"/>
  <c r="V55" i="8"/>
  <c r="W55" i="8"/>
  <c r="X55" i="8"/>
  <c r="Y55" i="8"/>
  <c r="Z55" i="8"/>
  <c r="AA55" i="8"/>
  <c r="AB55" i="8"/>
  <c r="AC55" i="8"/>
  <c r="AD55" i="8"/>
  <c r="AE55" i="8"/>
  <c r="AF55" i="8"/>
  <c r="AG55" i="8"/>
  <c r="AH55" i="8"/>
  <c r="K56" i="8"/>
  <c r="L56" i="8"/>
  <c r="N56" i="8"/>
  <c r="O56" i="8"/>
  <c r="P56" i="8"/>
  <c r="S56" i="8" s="1"/>
  <c r="Q56" i="8"/>
  <c r="T56" i="8" s="1"/>
  <c r="R56" i="8"/>
  <c r="U56" i="8" s="1"/>
  <c r="V56" i="8"/>
  <c r="W56" i="8"/>
  <c r="X56" i="8"/>
  <c r="Y56" i="8"/>
  <c r="Z56" i="8"/>
  <c r="AA56" i="8"/>
  <c r="AB56" i="8"/>
  <c r="AC56" i="8"/>
  <c r="AD56" i="8"/>
  <c r="AE56" i="8"/>
  <c r="AF56" i="8"/>
  <c r="AG56" i="8"/>
  <c r="AH56" i="8"/>
  <c r="K57" i="8"/>
  <c r="L57" i="8"/>
  <c r="N57" i="8"/>
  <c r="O57" i="8"/>
  <c r="P57" i="8"/>
  <c r="S57" i="8" s="1"/>
  <c r="Q57" i="8"/>
  <c r="T57" i="8" s="1"/>
  <c r="R57" i="8"/>
  <c r="U57" i="8" s="1"/>
  <c r="V57" i="8"/>
  <c r="W57" i="8"/>
  <c r="X57" i="8"/>
  <c r="Y57" i="8"/>
  <c r="Z57" i="8"/>
  <c r="AA57" i="8"/>
  <c r="AB57" i="8"/>
  <c r="AC57" i="8"/>
  <c r="AD57" i="8"/>
  <c r="AE57" i="8"/>
  <c r="AF57" i="8"/>
  <c r="AG57" i="8"/>
  <c r="AH57" i="8"/>
  <c r="K58" i="8"/>
  <c r="L58" i="8"/>
  <c r="N58" i="8"/>
  <c r="O58" i="8"/>
  <c r="P58" i="8"/>
  <c r="S58" i="8" s="1"/>
  <c r="Q58" i="8"/>
  <c r="T58" i="8" s="1"/>
  <c r="R58" i="8"/>
  <c r="U58" i="8" s="1"/>
  <c r="V58" i="8"/>
  <c r="W58" i="8"/>
  <c r="X58" i="8"/>
  <c r="Y58" i="8"/>
  <c r="Z58" i="8"/>
  <c r="AA58" i="8"/>
  <c r="AB58" i="8"/>
  <c r="AC58" i="8"/>
  <c r="AD58" i="8"/>
  <c r="AE58" i="8"/>
  <c r="AF58" i="8"/>
  <c r="AG58" i="8"/>
  <c r="AH58" i="8"/>
  <c r="K59" i="8"/>
  <c r="L59" i="8"/>
  <c r="N59" i="8"/>
  <c r="O59" i="8"/>
  <c r="P59" i="8"/>
  <c r="S59" i="8" s="1"/>
  <c r="Q59" i="8"/>
  <c r="T59" i="8" s="1"/>
  <c r="R59" i="8"/>
  <c r="U59" i="8" s="1"/>
  <c r="V59" i="8"/>
  <c r="W59" i="8"/>
  <c r="X59" i="8"/>
  <c r="Y59" i="8"/>
  <c r="Z59" i="8"/>
  <c r="AA59" i="8"/>
  <c r="AB59" i="8"/>
  <c r="AC59" i="8"/>
  <c r="AD59" i="8"/>
  <c r="AE59" i="8"/>
  <c r="AF59" i="8"/>
  <c r="AG59" i="8"/>
  <c r="AH59" i="8"/>
  <c r="K60" i="8"/>
  <c r="L60" i="8"/>
  <c r="N60" i="8"/>
  <c r="O60" i="8"/>
  <c r="P60" i="8"/>
  <c r="S60" i="8" s="1"/>
  <c r="Q60" i="8"/>
  <c r="T60" i="8" s="1"/>
  <c r="R60" i="8"/>
  <c r="U60" i="8" s="1"/>
  <c r="V60" i="8"/>
  <c r="W60" i="8"/>
  <c r="X60" i="8"/>
  <c r="Y60" i="8"/>
  <c r="Z60" i="8"/>
  <c r="AA60" i="8"/>
  <c r="AB60" i="8"/>
  <c r="AC60" i="8"/>
  <c r="AD60" i="8"/>
  <c r="AE60" i="8"/>
  <c r="AF60" i="8"/>
  <c r="AG60" i="8"/>
  <c r="AH60" i="8"/>
  <c r="K61" i="8"/>
  <c r="L61" i="8"/>
  <c r="N61" i="8"/>
  <c r="O61" i="8"/>
  <c r="P61" i="8"/>
  <c r="S61" i="8" s="1"/>
  <c r="Q61" i="8"/>
  <c r="T61" i="8" s="1"/>
  <c r="R61" i="8"/>
  <c r="U61" i="8" s="1"/>
  <c r="V61" i="8"/>
  <c r="W61" i="8"/>
  <c r="X61" i="8"/>
  <c r="Y61" i="8"/>
  <c r="Z61" i="8"/>
  <c r="AA61" i="8"/>
  <c r="AB61" i="8"/>
  <c r="AC61" i="8"/>
  <c r="AD61" i="8"/>
  <c r="AE61" i="8"/>
  <c r="AF61" i="8"/>
  <c r="AG61" i="8"/>
  <c r="AH61" i="8"/>
  <c r="K62" i="8"/>
  <c r="L62" i="8"/>
  <c r="N62" i="8"/>
  <c r="O62" i="8"/>
  <c r="P62" i="8"/>
  <c r="S62" i="8" s="1"/>
  <c r="Q62" i="8"/>
  <c r="T62" i="8" s="1"/>
  <c r="R62" i="8"/>
  <c r="U62" i="8" s="1"/>
  <c r="V62" i="8"/>
  <c r="W62" i="8"/>
  <c r="X62" i="8"/>
  <c r="Y62" i="8"/>
  <c r="Z62" i="8"/>
  <c r="AA62" i="8"/>
  <c r="AB62" i="8"/>
  <c r="AC62" i="8"/>
  <c r="AD62" i="8"/>
  <c r="AE62" i="8"/>
  <c r="AF62" i="8"/>
  <c r="AG62" i="8"/>
  <c r="AH62" i="8"/>
  <c r="K63" i="8"/>
  <c r="L63" i="8"/>
  <c r="N63" i="8"/>
  <c r="O63" i="8"/>
  <c r="P63" i="8"/>
  <c r="S63" i="8" s="1"/>
  <c r="Q63" i="8"/>
  <c r="T63" i="8" s="1"/>
  <c r="R63" i="8"/>
  <c r="U63" i="8" s="1"/>
  <c r="V63" i="8"/>
  <c r="W63" i="8"/>
  <c r="X63" i="8"/>
  <c r="Y63" i="8"/>
  <c r="Z63" i="8"/>
  <c r="AA63" i="8"/>
  <c r="AB63" i="8"/>
  <c r="AC63" i="8"/>
  <c r="AD63" i="8"/>
  <c r="AE63" i="8"/>
  <c r="AF63" i="8"/>
  <c r="AG63" i="8"/>
  <c r="AH63" i="8"/>
  <c r="K64" i="8"/>
  <c r="L64" i="8"/>
  <c r="N64" i="8"/>
  <c r="O64" i="8"/>
  <c r="P64" i="8"/>
  <c r="S64" i="8" s="1"/>
  <c r="Q64" i="8"/>
  <c r="T64" i="8" s="1"/>
  <c r="R64" i="8"/>
  <c r="U64" i="8" s="1"/>
  <c r="V64" i="8"/>
  <c r="W64" i="8"/>
  <c r="X64" i="8"/>
  <c r="Y64" i="8"/>
  <c r="Z64" i="8"/>
  <c r="AA64" i="8"/>
  <c r="AB64" i="8"/>
  <c r="AC64" i="8"/>
  <c r="AD64" i="8"/>
  <c r="AE64" i="8"/>
  <c r="AF64" i="8"/>
  <c r="AG64" i="8"/>
  <c r="AH64" i="8"/>
  <c r="K65" i="8"/>
  <c r="L65" i="8"/>
  <c r="N65" i="8"/>
  <c r="O65" i="8"/>
  <c r="P65" i="8"/>
  <c r="S65" i="8" s="1"/>
  <c r="Q65" i="8"/>
  <c r="T65" i="8" s="1"/>
  <c r="R65" i="8"/>
  <c r="U65" i="8" s="1"/>
  <c r="V65" i="8"/>
  <c r="W65" i="8"/>
  <c r="X65" i="8"/>
  <c r="Y65" i="8"/>
  <c r="Z65" i="8"/>
  <c r="AA65" i="8"/>
  <c r="AB65" i="8"/>
  <c r="AC65" i="8"/>
  <c r="AD65" i="8"/>
  <c r="AE65" i="8"/>
  <c r="AF65" i="8"/>
  <c r="AG65" i="8"/>
  <c r="AH65" i="8"/>
  <c r="K66" i="8"/>
  <c r="L66" i="8"/>
  <c r="N66" i="8"/>
  <c r="O66" i="8"/>
  <c r="P66" i="8"/>
  <c r="S66" i="8" s="1"/>
  <c r="Q66" i="8"/>
  <c r="T66" i="8" s="1"/>
  <c r="R66" i="8"/>
  <c r="U66" i="8" s="1"/>
  <c r="V66" i="8"/>
  <c r="W66" i="8"/>
  <c r="X66" i="8"/>
  <c r="Y66" i="8"/>
  <c r="Z66" i="8"/>
  <c r="AA66" i="8"/>
  <c r="AB66" i="8"/>
  <c r="AC66" i="8"/>
  <c r="AD66" i="8"/>
  <c r="AE66" i="8"/>
  <c r="AF66" i="8"/>
  <c r="AG66" i="8"/>
  <c r="AH66" i="8"/>
  <c r="K67" i="8"/>
  <c r="L67" i="8"/>
  <c r="N67" i="8"/>
  <c r="O67" i="8"/>
  <c r="P67" i="8"/>
  <c r="S67" i="8" s="1"/>
  <c r="Q67" i="8"/>
  <c r="T67" i="8" s="1"/>
  <c r="R67" i="8"/>
  <c r="U67" i="8" s="1"/>
  <c r="V67" i="8"/>
  <c r="W67" i="8"/>
  <c r="X67" i="8"/>
  <c r="Y67" i="8"/>
  <c r="Z67" i="8"/>
  <c r="AA67" i="8"/>
  <c r="AB67" i="8"/>
  <c r="AC67" i="8"/>
  <c r="AD67" i="8"/>
  <c r="AE67" i="8"/>
  <c r="AF67" i="8"/>
  <c r="AG67" i="8"/>
  <c r="AH67" i="8"/>
  <c r="K68" i="8"/>
  <c r="L68" i="8"/>
  <c r="N68" i="8"/>
  <c r="O68" i="8"/>
  <c r="P68" i="8"/>
  <c r="S68" i="8" s="1"/>
  <c r="Q68" i="8"/>
  <c r="T68" i="8" s="1"/>
  <c r="R68" i="8"/>
  <c r="U68" i="8" s="1"/>
  <c r="V68" i="8"/>
  <c r="W68" i="8"/>
  <c r="X68" i="8"/>
  <c r="Y68" i="8"/>
  <c r="Z68" i="8"/>
  <c r="AA68" i="8"/>
  <c r="AB68" i="8"/>
  <c r="AC68" i="8"/>
  <c r="AD68" i="8"/>
  <c r="AE68" i="8"/>
  <c r="AF68" i="8"/>
  <c r="AG68" i="8"/>
  <c r="AH68" i="8"/>
  <c r="K69" i="8"/>
  <c r="L69" i="8"/>
  <c r="N69" i="8"/>
  <c r="O69" i="8"/>
  <c r="P69" i="8"/>
  <c r="S69" i="8" s="1"/>
  <c r="Q69" i="8"/>
  <c r="T69" i="8" s="1"/>
  <c r="R69" i="8"/>
  <c r="U69" i="8" s="1"/>
  <c r="V69" i="8"/>
  <c r="W69" i="8"/>
  <c r="X69" i="8"/>
  <c r="Y69" i="8"/>
  <c r="Z69" i="8"/>
  <c r="AA69" i="8"/>
  <c r="AB69" i="8"/>
  <c r="AC69" i="8"/>
  <c r="AD69" i="8"/>
  <c r="AE69" i="8"/>
  <c r="AF69" i="8"/>
  <c r="AG69" i="8"/>
  <c r="AH69" i="8"/>
  <c r="K70" i="8"/>
  <c r="L70" i="8"/>
  <c r="N70" i="8"/>
  <c r="O70" i="8"/>
  <c r="P70" i="8"/>
  <c r="S70" i="8" s="1"/>
  <c r="Q70" i="8"/>
  <c r="T70" i="8" s="1"/>
  <c r="R70" i="8"/>
  <c r="U70" i="8" s="1"/>
  <c r="V70" i="8"/>
  <c r="W70" i="8"/>
  <c r="X70" i="8"/>
  <c r="Y70" i="8"/>
  <c r="Z70" i="8"/>
  <c r="AA70" i="8"/>
  <c r="AB70" i="8"/>
  <c r="AC70" i="8"/>
  <c r="AD70" i="8"/>
  <c r="AE70" i="8"/>
  <c r="AF70" i="8"/>
  <c r="AG70" i="8"/>
  <c r="AH70" i="8"/>
  <c r="K71" i="8"/>
  <c r="L71" i="8"/>
  <c r="N71" i="8"/>
  <c r="O71" i="8"/>
  <c r="P71" i="8"/>
  <c r="S71" i="8" s="1"/>
  <c r="Q71" i="8"/>
  <c r="T71" i="8" s="1"/>
  <c r="R71" i="8"/>
  <c r="U71" i="8" s="1"/>
  <c r="V71" i="8"/>
  <c r="W71" i="8"/>
  <c r="X71" i="8"/>
  <c r="Y71" i="8"/>
  <c r="Z71" i="8"/>
  <c r="AA71" i="8"/>
  <c r="AB71" i="8"/>
  <c r="AC71" i="8"/>
  <c r="AD71" i="8"/>
  <c r="AE71" i="8"/>
  <c r="AF71" i="8"/>
  <c r="AG71" i="8"/>
  <c r="AH71" i="8"/>
  <c r="K72" i="8"/>
  <c r="L72" i="8"/>
  <c r="N72" i="8"/>
  <c r="O72" i="8"/>
  <c r="P72" i="8"/>
  <c r="S72" i="8" s="1"/>
  <c r="Q72" i="8"/>
  <c r="T72" i="8" s="1"/>
  <c r="R72" i="8"/>
  <c r="U72" i="8" s="1"/>
  <c r="V72" i="8"/>
  <c r="W72" i="8"/>
  <c r="X72" i="8"/>
  <c r="Y72" i="8"/>
  <c r="Z72" i="8"/>
  <c r="AA72" i="8"/>
  <c r="AB72" i="8"/>
  <c r="AC72" i="8"/>
  <c r="AD72" i="8"/>
  <c r="AE72" i="8"/>
  <c r="AF72" i="8"/>
  <c r="AG72" i="8"/>
  <c r="AH72" i="8"/>
  <c r="K73" i="8"/>
  <c r="L73" i="8"/>
  <c r="N73" i="8"/>
  <c r="O73" i="8"/>
  <c r="P73" i="8"/>
  <c r="S73" i="8" s="1"/>
  <c r="Q73" i="8"/>
  <c r="T73" i="8" s="1"/>
  <c r="R73" i="8"/>
  <c r="U73" i="8" s="1"/>
  <c r="V73" i="8"/>
  <c r="W73" i="8"/>
  <c r="X73" i="8"/>
  <c r="Y73" i="8"/>
  <c r="Z73" i="8"/>
  <c r="AA73" i="8"/>
  <c r="AB73" i="8"/>
  <c r="AC73" i="8"/>
  <c r="AD73" i="8"/>
  <c r="AE73" i="8"/>
  <c r="AF73" i="8"/>
  <c r="AG73" i="8"/>
  <c r="AH73" i="8"/>
  <c r="K74" i="8"/>
  <c r="L74" i="8"/>
  <c r="N74" i="8"/>
  <c r="O74" i="8"/>
  <c r="P74" i="8"/>
  <c r="S74" i="8" s="1"/>
  <c r="Q74" i="8"/>
  <c r="T74" i="8" s="1"/>
  <c r="R74" i="8"/>
  <c r="U74" i="8" s="1"/>
  <c r="V74" i="8"/>
  <c r="W74" i="8"/>
  <c r="X74" i="8"/>
  <c r="Y74" i="8"/>
  <c r="Z74" i="8"/>
  <c r="AA74" i="8"/>
  <c r="AB74" i="8"/>
  <c r="AC74" i="8"/>
  <c r="AD74" i="8"/>
  <c r="AE74" i="8"/>
  <c r="AF74" i="8"/>
  <c r="AG74" i="8"/>
  <c r="AH74" i="8"/>
  <c r="K75" i="8"/>
  <c r="L75" i="8"/>
  <c r="N75" i="8"/>
  <c r="O75" i="8"/>
  <c r="P75" i="8"/>
  <c r="S75" i="8" s="1"/>
  <c r="Q75" i="8"/>
  <c r="T75" i="8" s="1"/>
  <c r="R75" i="8"/>
  <c r="U75" i="8" s="1"/>
  <c r="V75" i="8"/>
  <c r="W75" i="8"/>
  <c r="X75" i="8"/>
  <c r="Y75" i="8"/>
  <c r="Z75" i="8"/>
  <c r="AA75" i="8"/>
  <c r="AB75" i="8"/>
  <c r="AC75" i="8"/>
  <c r="AD75" i="8"/>
  <c r="AE75" i="8"/>
  <c r="AF75" i="8"/>
  <c r="AG75" i="8"/>
  <c r="AH75" i="8"/>
  <c r="K76" i="8"/>
  <c r="L76" i="8"/>
  <c r="N76" i="8"/>
  <c r="O76" i="8"/>
  <c r="P76" i="8"/>
  <c r="S76" i="8" s="1"/>
  <c r="Q76" i="8"/>
  <c r="T76" i="8" s="1"/>
  <c r="R76" i="8"/>
  <c r="U76" i="8" s="1"/>
  <c r="V76" i="8"/>
  <c r="W76" i="8"/>
  <c r="X76" i="8"/>
  <c r="Y76" i="8"/>
  <c r="Z76" i="8"/>
  <c r="AA76" i="8"/>
  <c r="AB76" i="8"/>
  <c r="AC76" i="8"/>
  <c r="AD76" i="8"/>
  <c r="AE76" i="8"/>
  <c r="AF76" i="8"/>
  <c r="AG76" i="8"/>
  <c r="AH76" i="8"/>
  <c r="K77" i="8"/>
  <c r="L77" i="8"/>
  <c r="N77" i="8"/>
  <c r="O77" i="8"/>
  <c r="P77" i="8"/>
  <c r="S77" i="8" s="1"/>
  <c r="Q77" i="8"/>
  <c r="T77" i="8" s="1"/>
  <c r="R77" i="8"/>
  <c r="U77" i="8" s="1"/>
  <c r="V77" i="8"/>
  <c r="W77" i="8"/>
  <c r="X77" i="8"/>
  <c r="Y77" i="8"/>
  <c r="Z77" i="8"/>
  <c r="AA77" i="8"/>
  <c r="AB77" i="8"/>
  <c r="AC77" i="8"/>
  <c r="AD77" i="8"/>
  <c r="AE77" i="8"/>
  <c r="AF77" i="8"/>
  <c r="AG77" i="8"/>
  <c r="AH77" i="8"/>
  <c r="K78" i="8"/>
  <c r="L78" i="8"/>
  <c r="N78" i="8"/>
  <c r="O78" i="8"/>
  <c r="P78" i="8"/>
  <c r="S78" i="8" s="1"/>
  <c r="Q78" i="8"/>
  <c r="T78" i="8" s="1"/>
  <c r="R78" i="8"/>
  <c r="U78" i="8" s="1"/>
  <c r="V78" i="8"/>
  <c r="W78" i="8"/>
  <c r="X78" i="8"/>
  <c r="Y78" i="8"/>
  <c r="Z78" i="8"/>
  <c r="AA78" i="8"/>
  <c r="AB78" i="8"/>
  <c r="AC78" i="8"/>
  <c r="AD78" i="8"/>
  <c r="AE78" i="8"/>
  <c r="AF78" i="8"/>
  <c r="AG78" i="8"/>
  <c r="AH78" i="8"/>
  <c r="K79" i="8"/>
  <c r="L79" i="8"/>
  <c r="N79" i="8"/>
  <c r="O79" i="8"/>
  <c r="P79" i="8"/>
  <c r="S79" i="8" s="1"/>
  <c r="Q79" i="8"/>
  <c r="T79" i="8" s="1"/>
  <c r="R79" i="8"/>
  <c r="U79" i="8" s="1"/>
  <c r="V79" i="8"/>
  <c r="W79" i="8"/>
  <c r="X79" i="8"/>
  <c r="Y79" i="8"/>
  <c r="Z79" i="8"/>
  <c r="AA79" i="8"/>
  <c r="AB79" i="8"/>
  <c r="AC79" i="8"/>
  <c r="AD79" i="8"/>
  <c r="AE79" i="8"/>
  <c r="AF79" i="8"/>
  <c r="AG79" i="8"/>
  <c r="AH79" i="8"/>
  <c r="K80" i="8"/>
  <c r="L80" i="8"/>
  <c r="N80" i="8"/>
  <c r="O80" i="8"/>
  <c r="P80" i="8"/>
  <c r="S80" i="8" s="1"/>
  <c r="Q80" i="8"/>
  <c r="T80" i="8" s="1"/>
  <c r="R80" i="8"/>
  <c r="U80" i="8" s="1"/>
  <c r="V80" i="8"/>
  <c r="W80" i="8"/>
  <c r="X80" i="8"/>
  <c r="Y80" i="8"/>
  <c r="Z80" i="8"/>
  <c r="AA80" i="8"/>
  <c r="AB80" i="8"/>
  <c r="AC80" i="8"/>
  <c r="AD80" i="8"/>
  <c r="AE80" i="8"/>
  <c r="AF80" i="8"/>
  <c r="AG80" i="8"/>
  <c r="AH80" i="8"/>
  <c r="K81" i="8"/>
  <c r="L81" i="8"/>
  <c r="N81" i="8"/>
  <c r="O81" i="8"/>
  <c r="P81" i="8"/>
  <c r="S81" i="8" s="1"/>
  <c r="Q81" i="8"/>
  <c r="T81" i="8" s="1"/>
  <c r="R81" i="8"/>
  <c r="U81" i="8" s="1"/>
  <c r="V81" i="8"/>
  <c r="W81" i="8"/>
  <c r="X81" i="8"/>
  <c r="Y81" i="8"/>
  <c r="Z81" i="8"/>
  <c r="AA81" i="8"/>
  <c r="AB81" i="8"/>
  <c r="AC81" i="8"/>
  <c r="AD81" i="8"/>
  <c r="AE81" i="8"/>
  <c r="AF81" i="8"/>
  <c r="AG81" i="8"/>
  <c r="AH81" i="8"/>
  <c r="K82" i="8"/>
  <c r="L82" i="8"/>
  <c r="N82" i="8"/>
  <c r="O82" i="8"/>
  <c r="P82" i="8"/>
  <c r="S82" i="8" s="1"/>
  <c r="Q82" i="8"/>
  <c r="T82" i="8" s="1"/>
  <c r="R82" i="8"/>
  <c r="U82" i="8" s="1"/>
  <c r="V82" i="8"/>
  <c r="W82" i="8"/>
  <c r="X82" i="8"/>
  <c r="Y82" i="8"/>
  <c r="Z82" i="8"/>
  <c r="AA82" i="8"/>
  <c r="AB82" i="8"/>
  <c r="AC82" i="8"/>
  <c r="AD82" i="8"/>
  <c r="AE82" i="8"/>
  <c r="AF82" i="8"/>
  <c r="AG82" i="8"/>
  <c r="AH82" i="8"/>
  <c r="K83" i="8"/>
  <c r="L83" i="8"/>
  <c r="N83" i="8"/>
  <c r="O83" i="8"/>
  <c r="P83" i="8"/>
  <c r="S83" i="8" s="1"/>
  <c r="Q83" i="8"/>
  <c r="T83" i="8" s="1"/>
  <c r="R83" i="8"/>
  <c r="U83" i="8" s="1"/>
  <c r="V83" i="8"/>
  <c r="W83" i="8"/>
  <c r="X83" i="8"/>
  <c r="Y83" i="8"/>
  <c r="Z83" i="8"/>
  <c r="AA83" i="8"/>
  <c r="AB83" i="8"/>
  <c r="AC83" i="8"/>
  <c r="AD83" i="8"/>
  <c r="AE83" i="8"/>
  <c r="AF83" i="8"/>
  <c r="AG83" i="8"/>
  <c r="AH83" i="8"/>
  <c r="K84" i="8"/>
  <c r="L84" i="8"/>
  <c r="N84" i="8"/>
  <c r="O84" i="8"/>
  <c r="P84" i="8"/>
  <c r="S84" i="8" s="1"/>
  <c r="Q84" i="8"/>
  <c r="T84" i="8" s="1"/>
  <c r="R84" i="8"/>
  <c r="U84" i="8" s="1"/>
  <c r="V84" i="8"/>
  <c r="W84" i="8"/>
  <c r="X84" i="8"/>
  <c r="Y84" i="8"/>
  <c r="Z84" i="8"/>
  <c r="AA84" i="8"/>
  <c r="AB84" i="8"/>
  <c r="AC84" i="8"/>
  <c r="AD84" i="8"/>
  <c r="AE84" i="8"/>
  <c r="AF84" i="8"/>
  <c r="AG84" i="8"/>
  <c r="AH84" i="8"/>
  <c r="K85" i="8"/>
  <c r="L85" i="8"/>
  <c r="N85" i="8"/>
  <c r="O85" i="8"/>
  <c r="P85" i="8"/>
  <c r="S85" i="8" s="1"/>
  <c r="Q85" i="8"/>
  <c r="T85" i="8" s="1"/>
  <c r="R85" i="8"/>
  <c r="U85" i="8" s="1"/>
  <c r="V85" i="8"/>
  <c r="W85" i="8"/>
  <c r="X85" i="8"/>
  <c r="Y85" i="8"/>
  <c r="Z85" i="8"/>
  <c r="AA85" i="8"/>
  <c r="AB85" i="8"/>
  <c r="AC85" i="8"/>
  <c r="AD85" i="8"/>
  <c r="AE85" i="8"/>
  <c r="AF85" i="8"/>
  <c r="AG85" i="8"/>
  <c r="AH85" i="8"/>
  <c r="K86" i="8"/>
  <c r="L86" i="8"/>
  <c r="N86" i="8"/>
  <c r="O86" i="8"/>
  <c r="P86" i="8"/>
  <c r="S86" i="8" s="1"/>
  <c r="Q86" i="8"/>
  <c r="T86" i="8" s="1"/>
  <c r="R86" i="8"/>
  <c r="U86" i="8" s="1"/>
  <c r="V86" i="8"/>
  <c r="W86" i="8"/>
  <c r="X86" i="8"/>
  <c r="Y86" i="8"/>
  <c r="Z86" i="8"/>
  <c r="AA86" i="8"/>
  <c r="AB86" i="8"/>
  <c r="AC86" i="8"/>
  <c r="AD86" i="8"/>
  <c r="AE86" i="8"/>
  <c r="AF86" i="8"/>
  <c r="AG86" i="8"/>
  <c r="AH86" i="8"/>
  <c r="K87" i="8"/>
  <c r="L87" i="8"/>
  <c r="N87" i="8"/>
  <c r="O87" i="8"/>
  <c r="P87" i="8"/>
  <c r="S87" i="8" s="1"/>
  <c r="Q87" i="8"/>
  <c r="T87" i="8" s="1"/>
  <c r="R87" i="8"/>
  <c r="U87" i="8" s="1"/>
  <c r="V87" i="8"/>
  <c r="W87" i="8"/>
  <c r="X87" i="8"/>
  <c r="Y87" i="8"/>
  <c r="Z87" i="8"/>
  <c r="AA87" i="8"/>
  <c r="AB87" i="8"/>
  <c r="AC87" i="8"/>
  <c r="AD87" i="8"/>
  <c r="AE87" i="8"/>
  <c r="AF87" i="8"/>
  <c r="AG87" i="8"/>
  <c r="AH87" i="8"/>
  <c r="K88" i="8"/>
  <c r="L88" i="8"/>
  <c r="N88" i="8"/>
  <c r="O88" i="8"/>
  <c r="P88" i="8"/>
  <c r="S88" i="8" s="1"/>
  <c r="Q88" i="8"/>
  <c r="T88" i="8" s="1"/>
  <c r="R88" i="8"/>
  <c r="U88" i="8" s="1"/>
  <c r="V88" i="8"/>
  <c r="W88" i="8"/>
  <c r="X88" i="8"/>
  <c r="Y88" i="8"/>
  <c r="Z88" i="8"/>
  <c r="AA88" i="8"/>
  <c r="AB88" i="8"/>
  <c r="AC88" i="8"/>
  <c r="AD88" i="8"/>
  <c r="AE88" i="8"/>
  <c r="AF88" i="8"/>
  <c r="AG88" i="8"/>
  <c r="AH88" i="8"/>
  <c r="K89" i="8"/>
  <c r="L89" i="8"/>
  <c r="N89" i="8"/>
  <c r="O89" i="8"/>
  <c r="P89" i="8"/>
  <c r="S89" i="8" s="1"/>
  <c r="Q89" i="8"/>
  <c r="T89" i="8" s="1"/>
  <c r="R89" i="8"/>
  <c r="U89" i="8" s="1"/>
  <c r="V89" i="8"/>
  <c r="W89" i="8"/>
  <c r="X89" i="8"/>
  <c r="Y89" i="8"/>
  <c r="Z89" i="8"/>
  <c r="AA89" i="8"/>
  <c r="AB89" i="8"/>
  <c r="AC89" i="8"/>
  <c r="AD89" i="8"/>
  <c r="AE89" i="8"/>
  <c r="AF89" i="8"/>
  <c r="AG89" i="8"/>
  <c r="AH89" i="8"/>
  <c r="K90" i="8"/>
  <c r="L90" i="8"/>
  <c r="N90" i="8"/>
  <c r="O90" i="8"/>
  <c r="P90" i="8"/>
  <c r="S90" i="8" s="1"/>
  <c r="Q90" i="8"/>
  <c r="T90" i="8" s="1"/>
  <c r="R90" i="8"/>
  <c r="U90" i="8" s="1"/>
  <c r="V90" i="8"/>
  <c r="W90" i="8"/>
  <c r="X90" i="8"/>
  <c r="Y90" i="8"/>
  <c r="Z90" i="8"/>
  <c r="AA90" i="8"/>
  <c r="AB90" i="8"/>
  <c r="AC90" i="8"/>
  <c r="AD90" i="8"/>
  <c r="AE90" i="8"/>
  <c r="AF90" i="8"/>
  <c r="AG90" i="8"/>
  <c r="AH90" i="8"/>
  <c r="K91" i="8"/>
  <c r="L91" i="8"/>
  <c r="N91" i="8"/>
  <c r="O91" i="8"/>
  <c r="P91" i="8"/>
  <c r="S91" i="8" s="1"/>
  <c r="Q91" i="8"/>
  <c r="T91" i="8" s="1"/>
  <c r="R91" i="8"/>
  <c r="U91" i="8" s="1"/>
  <c r="V91" i="8"/>
  <c r="W91" i="8"/>
  <c r="X91" i="8"/>
  <c r="Y91" i="8"/>
  <c r="Z91" i="8"/>
  <c r="AA91" i="8"/>
  <c r="AB91" i="8"/>
  <c r="AC91" i="8"/>
  <c r="AD91" i="8"/>
  <c r="AE91" i="8"/>
  <c r="AF91" i="8"/>
  <c r="AG91" i="8"/>
  <c r="AH91" i="8"/>
  <c r="K92" i="8"/>
  <c r="L92" i="8"/>
  <c r="N92" i="8"/>
  <c r="O92" i="8"/>
  <c r="P92" i="8"/>
  <c r="S92" i="8" s="1"/>
  <c r="Q92" i="8"/>
  <c r="T92" i="8" s="1"/>
  <c r="R92" i="8"/>
  <c r="U92" i="8" s="1"/>
  <c r="V92" i="8"/>
  <c r="W92" i="8"/>
  <c r="X92" i="8"/>
  <c r="Y92" i="8"/>
  <c r="Z92" i="8"/>
  <c r="AA92" i="8"/>
  <c r="AB92" i="8"/>
  <c r="AC92" i="8"/>
  <c r="AD92" i="8"/>
  <c r="AE92" i="8"/>
  <c r="AF92" i="8"/>
  <c r="AG92" i="8"/>
  <c r="AH92" i="8"/>
  <c r="K93" i="8"/>
  <c r="L93" i="8"/>
  <c r="N93" i="8"/>
  <c r="O93" i="8"/>
  <c r="P93" i="8"/>
  <c r="S93" i="8" s="1"/>
  <c r="Q93" i="8"/>
  <c r="T93" i="8" s="1"/>
  <c r="R93" i="8"/>
  <c r="U93" i="8" s="1"/>
  <c r="V93" i="8"/>
  <c r="W93" i="8"/>
  <c r="X93" i="8"/>
  <c r="Y93" i="8"/>
  <c r="Z93" i="8"/>
  <c r="AA93" i="8"/>
  <c r="AB93" i="8"/>
  <c r="AC93" i="8"/>
  <c r="AD93" i="8"/>
  <c r="AE93" i="8"/>
  <c r="AF93" i="8"/>
  <c r="AG93" i="8"/>
  <c r="AH93" i="8"/>
  <c r="K94" i="8"/>
  <c r="L94" i="8"/>
  <c r="N94" i="8"/>
  <c r="O94" i="8"/>
  <c r="P94" i="8"/>
  <c r="S94" i="8" s="1"/>
  <c r="Q94" i="8"/>
  <c r="T94" i="8" s="1"/>
  <c r="R94" i="8"/>
  <c r="U94" i="8" s="1"/>
  <c r="V94" i="8"/>
  <c r="W94" i="8"/>
  <c r="X94" i="8"/>
  <c r="Y94" i="8"/>
  <c r="Z94" i="8"/>
  <c r="AA94" i="8"/>
  <c r="AB94" i="8"/>
  <c r="AC94" i="8"/>
  <c r="AD94" i="8"/>
  <c r="AE94" i="8"/>
  <c r="AF94" i="8"/>
  <c r="AG94" i="8"/>
  <c r="AH94" i="8"/>
  <c r="K95" i="8"/>
  <c r="L95" i="8"/>
  <c r="N95" i="8"/>
  <c r="O95" i="8"/>
  <c r="P95" i="8"/>
  <c r="S95" i="8" s="1"/>
  <c r="Q95" i="8"/>
  <c r="T95" i="8" s="1"/>
  <c r="R95" i="8"/>
  <c r="U95" i="8" s="1"/>
  <c r="V95" i="8"/>
  <c r="W95" i="8"/>
  <c r="X95" i="8"/>
  <c r="Y95" i="8"/>
  <c r="Z95" i="8"/>
  <c r="AA95" i="8"/>
  <c r="AB95" i="8"/>
  <c r="AC95" i="8"/>
  <c r="AD95" i="8"/>
  <c r="AE95" i="8"/>
  <c r="AF95" i="8"/>
  <c r="AG95" i="8"/>
  <c r="AH95" i="8"/>
  <c r="K96" i="8"/>
  <c r="L96" i="8"/>
  <c r="N96" i="8"/>
  <c r="O96" i="8"/>
  <c r="P96" i="8"/>
  <c r="S96" i="8" s="1"/>
  <c r="Q96" i="8"/>
  <c r="T96" i="8" s="1"/>
  <c r="R96" i="8"/>
  <c r="U96" i="8" s="1"/>
  <c r="V96" i="8"/>
  <c r="W96" i="8"/>
  <c r="X96" i="8"/>
  <c r="Y96" i="8"/>
  <c r="Z96" i="8"/>
  <c r="AA96" i="8"/>
  <c r="AB96" i="8"/>
  <c r="AC96" i="8"/>
  <c r="AD96" i="8"/>
  <c r="AE96" i="8"/>
  <c r="AF96" i="8"/>
  <c r="AG96" i="8"/>
  <c r="AH96" i="8"/>
  <c r="K97" i="8"/>
  <c r="L97" i="8"/>
  <c r="N97" i="8"/>
  <c r="O97" i="8"/>
  <c r="P97" i="8"/>
  <c r="S97" i="8" s="1"/>
  <c r="Q97" i="8"/>
  <c r="T97" i="8" s="1"/>
  <c r="R97" i="8"/>
  <c r="U97" i="8" s="1"/>
  <c r="V97" i="8"/>
  <c r="W97" i="8"/>
  <c r="X97" i="8"/>
  <c r="Y97" i="8"/>
  <c r="Z97" i="8"/>
  <c r="AA97" i="8"/>
  <c r="AB97" i="8"/>
  <c r="AC97" i="8"/>
  <c r="AD97" i="8"/>
  <c r="AE97" i="8"/>
  <c r="AF97" i="8"/>
  <c r="AG97" i="8"/>
  <c r="AH97" i="8"/>
  <c r="K98" i="8"/>
  <c r="L98" i="8"/>
  <c r="N98" i="8"/>
  <c r="O98" i="8"/>
  <c r="P98" i="8"/>
  <c r="S98" i="8" s="1"/>
  <c r="Q98" i="8"/>
  <c r="T98" i="8" s="1"/>
  <c r="R98" i="8"/>
  <c r="U98" i="8" s="1"/>
  <c r="V98" i="8"/>
  <c r="W98" i="8"/>
  <c r="X98" i="8"/>
  <c r="Y98" i="8"/>
  <c r="Z98" i="8"/>
  <c r="AA98" i="8"/>
  <c r="AB98" i="8"/>
  <c r="AC98" i="8"/>
  <c r="AD98" i="8"/>
  <c r="AE98" i="8"/>
  <c r="AF98" i="8"/>
  <c r="AG98" i="8"/>
  <c r="AH98" i="8"/>
  <c r="K99" i="8"/>
  <c r="L99" i="8"/>
  <c r="N99" i="8"/>
  <c r="O99" i="8"/>
  <c r="P99" i="8"/>
  <c r="S99" i="8" s="1"/>
  <c r="Q99" i="8"/>
  <c r="T99" i="8" s="1"/>
  <c r="R99" i="8"/>
  <c r="U99" i="8" s="1"/>
  <c r="V99" i="8"/>
  <c r="W99" i="8"/>
  <c r="X99" i="8"/>
  <c r="Y99" i="8"/>
  <c r="Z99" i="8"/>
  <c r="AA99" i="8"/>
  <c r="AB99" i="8"/>
  <c r="AC99" i="8"/>
  <c r="AD99" i="8"/>
  <c r="AE99" i="8"/>
  <c r="AF99" i="8"/>
  <c r="AG99" i="8"/>
  <c r="AH99" i="8"/>
  <c r="K100" i="8"/>
  <c r="L100" i="8"/>
  <c r="N100" i="8"/>
  <c r="O100" i="8"/>
  <c r="P100" i="8"/>
  <c r="S100" i="8" s="1"/>
  <c r="Q100" i="8"/>
  <c r="T100" i="8" s="1"/>
  <c r="R100" i="8"/>
  <c r="U100" i="8" s="1"/>
  <c r="V100" i="8"/>
  <c r="W100" i="8"/>
  <c r="X100" i="8"/>
  <c r="Y100" i="8"/>
  <c r="Z100" i="8"/>
  <c r="AA100" i="8"/>
  <c r="AB100" i="8"/>
  <c r="AC100" i="8"/>
  <c r="AD100" i="8"/>
  <c r="AE100" i="8"/>
  <c r="AF100" i="8"/>
  <c r="AG100" i="8"/>
  <c r="AH100" i="8"/>
  <c r="K101" i="8"/>
  <c r="L101" i="8"/>
  <c r="N101" i="8"/>
  <c r="O101" i="8"/>
  <c r="P101" i="8"/>
  <c r="S101" i="8" s="1"/>
  <c r="Q101" i="8"/>
  <c r="T101" i="8" s="1"/>
  <c r="R101" i="8"/>
  <c r="U101" i="8" s="1"/>
  <c r="V101" i="8"/>
  <c r="W101" i="8"/>
  <c r="X101" i="8"/>
  <c r="Y101" i="8"/>
  <c r="Z101" i="8"/>
  <c r="AA101" i="8"/>
  <c r="AB101" i="8"/>
  <c r="AC101" i="8"/>
  <c r="AD101" i="8"/>
  <c r="AE101" i="8"/>
  <c r="AF101" i="8"/>
  <c r="AG101" i="8"/>
  <c r="AH101" i="8"/>
  <c r="A1" i="7"/>
  <c r="B1" i="7"/>
  <c r="C1" i="7"/>
  <c r="D1" i="7"/>
  <c r="E1" i="7"/>
  <c r="F1" i="7"/>
  <c r="G1" i="7"/>
  <c r="H1" i="7"/>
  <c r="I1" i="7"/>
  <c r="J1" i="7"/>
  <c r="K1" i="7"/>
  <c r="L1" i="7"/>
  <c r="M1" i="7"/>
  <c r="N1" i="7"/>
  <c r="O1" i="7"/>
  <c r="P1" i="7"/>
  <c r="Q1" i="7"/>
  <c r="R1" i="7"/>
  <c r="S1" i="7"/>
  <c r="T1" i="7"/>
  <c r="U1" i="7"/>
  <c r="V1" i="7"/>
  <c r="W1" i="7"/>
  <c r="X1" i="7"/>
  <c r="Y1" i="7"/>
  <c r="Z1" i="7"/>
  <c r="AA1" i="7"/>
  <c r="AB1" i="7"/>
  <c r="AC1" i="7"/>
  <c r="AD1" i="7"/>
  <c r="AE1" i="7"/>
  <c r="AF1" i="7"/>
  <c r="AG1" i="7"/>
  <c r="AH1" i="7"/>
  <c r="AI1" i="7"/>
  <c r="AJ1" i="7"/>
  <c r="AK1" i="7"/>
  <c r="AL1" i="7"/>
  <c r="AM1" i="7"/>
  <c r="AN1" i="7"/>
  <c r="AO1" i="7"/>
  <c r="AP1" i="7"/>
  <c r="AQ1" i="7"/>
  <c r="AR1" i="7"/>
  <c r="AS1" i="7"/>
  <c r="AT1" i="7"/>
  <c r="AU1" i="7"/>
  <c r="AV1" i="7"/>
  <c r="AW1" i="7"/>
  <c r="AX1" i="7"/>
  <c r="AY1" i="7"/>
  <c r="AZ1" i="7"/>
  <c r="BA1" i="7"/>
  <c r="BB1" i="7"/>
  <c r="BC1" i="7"/>
  <c r="BD1" i="7"/>
  <c r="BE1" i="7"/>
  <c r="BF1" i="7"/>
  <c r="BG1" i="7"/>
  <c r="BH1" i="7"/>
  <c r="BI1" i="7"/>
  <c r="BJ1" i="7"/>
  <c r="BK1" i="7"/>
  <c r="BL1" i="7"/>
  <c r="BM1" i="7"/>
  <c r="BN1" i="7"/>
  <c r="BO1" i="7"/>
  <c r="BP1" i="7"/>
  <c r="BQ1" i="7"/>
  <c r="BR1" i="7"/>
  <c r="BS1" i="7"/>
  <c r="BT1" i="7"/>
  <c r="BU1" i="7"/>
  <c r="BV1" i="7"/>
  <c r="BW1" i="7"/>
  <c r="BX1" i="7"/>
  <c r="BY1" i="7"/>
  <c r="BZ1" i="7"/>
  <c r="CA1" i="7"/>
  <c r="CB1" i="7"/>
  <c r="CC1" i="7"/>
  <c r="CD1" i="7"/>
  <c r="CE1" i="7"/>
  <c r="CF1" i="7"/>
  <c r="CG1" i="7"/>
  <c r="CH1" i="7"/>
  <c r="CI1" i="7"/>
  <c r="CJ1" i="7"/>
  <c r="CK1" i="7"/>
  <c r="CL1" i="7"/>
  <c r="CM1" i="7"/>
  <c r="CN1" i="7"/>
  <c r="CO1" i="7"/>
  <c r="CP1" i="7"/>
  <c r="CQ1" i="7"/>
  <c r="CR1" i="7"/>
  <c r="CS1" i="7"/>
  <c r="CT1" i="7"/>
  <c r="CU1" i="7"/>
  <c r="CV1" i="7"/>
  <c r="CW1" i="7"/>
  <c r="CX1" i="7"/>
  <c r="CY1" i="7"/>
  <c r="CZ1" i="7"/>
  <c r="DA1" i="7"/>
  <c r="DB1" i="7"/>
  <c r="DC1" i="7"/>
  <c r="DD1" i="7"/>
  <c r="DE1" i="7"/>
  <c r="DF1" i="7"/>
  <c r="DG1" i="7"/>
  <c r="DH1" i="7"/>
  <c r="DI1" i="7"/>
  <c r="DJ1" i="7"/>
  <c r="DK1" i="7"/>
  <c r="DL1" i="7"/>
  <c r="DM1" i="7"/>
  <c r="DN1" i="7"/>
  <c r="DO1" i="7"/>
  <c r="DP1" i="7"/>
  <c r="DQ1" i="7"/>
  <c r="DR1" i="7"/>
  <c r="DS1" i="7"/>
  <c r="DT1" i="7"/>
  <c r="DU1" i="7"/>
  <c r="DV1" i="7"/>
  <c r="DW1" i="7"/>
  <c r="DX1" i="7"/>
  <c r="DY1" i="7"/>
  <c r="DZ1" i="7"/>
  <c r="EA1" i="7"/>
  <c r="EB1" i="7"/>
  <c r="EC1" i="7"/>
  <c r="ED1" i="7"/>
  <c r="EE1" i="7"/>
  <c r="EF1" i="7"/>
  <c r="EG1" i="7"/>
  <c r="EH1" i="7"/>
  <c r="EI1" i="7"/>
  <c r="EJ1" i="7"/>
  <c r="EK1" i="7"/>
  <c r="EL1" i="7"/>
  <c r="EM1" i="7"/>
  <c r="EN1" i="7"/>
  <c r="EO1" i="7"/>
  <c r="EP1" i="7"/>
  <c r="EQ1" i="7"/>
  <c r="ER1" i="7"/>
  <c r="ES1" i="7"/>
  <c r="ET1" i="7"/>
  <c r="EU1" i="7"/>
  <c r="EV1" i="7"/>
  <c r="EW1" i="7"/>
  <c r="EX1" i="7"/>
  <c r="EY1" i="7"/>
  <c r="EZ1" i="7"/>
  <c r="FA1" i="7"/>
  <c r="FB1" i="7"/>
  <c r="FC1" i="7"/>
  <c r="FD1" i="7"/>
  <c r="FE1" i="7"/>
  <c r="FF1" i="7"/>
  <c r="FG1" i="7"/>
  <c r="FH1" i="7"/>
  <c r="FI1" i="7"/>
  <c r="FJ1" i="7"/>
  <c r="FK1" i="7"/>
  <c r="FL1" i="7"/>
  <c r="FM1" i="7"/>
  <c r="FN1" i="7"/>
  <c r="FO1" i="7"/>
  <c r="FP1" i="7"/>
  <c r="FQ1" i="7"/>
  <c r="FR1" i="7"/>
  <c r="FS1" i="7"/>
  <c r="FT1" i="7"/>
  <c r="FU1" i="7"/>
  <c r="FV1" i="7"/>
  <c r="FW1" i="7"/>
  <c r="FX1" i="7"/>
  <c r="FY1" i="7"/>
  <c r="FZ1" i="7"/>
  <c r="GA1" i="7"/>
  <c r="GB1" i="7"/>
  <c r="GC1" i="7"/>
  <c r="GD1" i="7"/>
  <c r="GE1" i="7"/>
  <c r="GF1" i="7"/>
  <c r="GG1" i="7"/>
  <c r="GH1" i="7"/>
  <c r="GI1" i="7"/>
  <c r="GJ1" i="7"/>
  <c r="GK1" i="7"/>
  <c r="GL1" i="7"/>
  <c r="GM1" i="7"/>
  <c r="GN1" i="7"/>
  <c r="GO1" i="7"/>
  <c r="GP1" i="7"/>
  <c r="GQ1" i="7"/>
  <c r="GR1" i="7"/>
  <c r="GS1" i="7"/>
  <c r="GT1" i="7"/>
  <c r="GU1" i="7"/>
  <c r="GV1" i="7"/>
  <c r="GW1" i="7"/>
  <c r="GX1" i="7"/>
  <c r="GY1" i="7"/>
  <c r="GZ1" i="7"/>
  <c r="HA1" i="7"/>
  <c r="HB1" i="7"/>
  <c r="HC1" i="7"/>
  <c r="HD1" i="7"/>
  <c r="HE1" i="7"/>
  <c r="HF1" i="7"/>
  <c r="HG1" i="7"/>
  <c r="HH1" i="7"/>
  <c r="HI1" i="7"/>
  <c r="HJ1" i="7"/>
  <c r="HK1" i="7"/>
  <c r="HL1" i="7"/>
  <c r="HM1" i="7"/>
  <c r="HN1" i="7"/>
  <c r="HO1" i="7"/>
  <c r="HP1" i="7"/>
  <c r="HQ1" i="7"/>
  <c r="HR1" i="7"/>
  <c r="HS1" i="7"/>
  <c r="HT1" i="7"/>
  <c r="HU1" i="7"/>
  <c r="HV1" i="7"/>
  <c r="HW1" i="7"/>
  <c r="HX1" i="7"/>
  <c r="HY1" i="7"/>
  <c r="HZ1" i="7"/>
  <c r="IA1" i="7"/>
  <c r="IB1" i="7"/>
  <c r="IC1" i="7"/>
  <c r="ID1" i="7"/>
  <c r="IE1" i="7"/>
  <c r="IF1" i="7"/>
  <c r="IG1" i="7"/>
  <c r="IH1" i="7"/>
  <c r="II1" i="7"/>
  <c r="IJ1" i="7"/>
  <c r="IK1" i="7"/>
  <c r="IL1" i="7"/>
  <c r="IM1" i="7"/>
  <c r="IN1" i="7"/>
  <c r="IO1" i="7"/>
  <c r="IP1" i="7"/>
  <c r="IQ1" i="7"/>
  <c r="IR1" i="7"/>
  <c r="IS1" i="7"/>
  <c r="IT1" i="7"/>
  <c r="IU1" i="7"/>
  <c r="IV1" i="7"/>
  <c r="A2" i="7"/>
  <c r="B2" i="7"/>
  <c r="C2" i="7"/>
  <c r="D2" i="7"/>
  <c r="E2" i="7"/>
  <c r="F2" i="7"/>
  <c r="G2" i="7"/>
  <c r="H2" i="7"/>
  <c r="I2" i="7"/>
  <c r="J2" i="7"/>
  <c r="K2" i="7"/>
  <c r="L2" i="7"/>
  <c r="M2" i="7"/>
  <c r="N2" i="7"/>
  <c r="O2" i="7"/>
  <c r="P2" i="7"/>
  <c r="Q2" i="7"/>
  <c r="R2" i="7"/>
  <c r="S2" i="7"/>
  <c r="T2" i="7"/>
  <c r="U2" i="7"/>
  <c r="V2" i="7"/>
  <c r="W2" i="7"/>
  <c r="X2" i="7"/>
  <c r="Y2" i="7"/>
  <c r="Z2" i="7"/>
  <c r="AA2" i="7"/>
  <c r="AB2" i="7"/>
  <c r="AC2" i="7"/>
  <c r="AD2" i="7"/>
  <c r="AE2" i="7"/>
  <c r="AF2" i="7"/>
  <c r="AG2" i="7"/>
  <c r="AH2" i="7"/>
  <c r="AI2" i="7"/>
  <c r="AJ2" i="7"/>
  <c r="AK2" i="7"/>
  <c r="AL2" i="7"/>
  <c r="AM2" i="7"/>
  <c r="AN2" i="7"/>
  <c r="AO2" i="7"/>
  <c r="AP2" i="7"/>
  <c r="AQ2" i="7"/>
  <c r="AR2" i="7"/>
  <c r="AS2" i="7"/>
  <c r="AT2" i="7"/>
  <c r="AU2" i="7"/>
  <c r="AV2" i="7"/>
  <c r="AW2" i="7"/>
  <c r="AX2" i="7"/>
  <c r="AY2" i="7"/>
  <c r="AZ2" i="7"/>
  <c r="BA2" i="7"/>
  <c r="BB2" i="7"/>
  <c r="BC2" i="7"/>
  <c r="BD2" i="7"/>
  <c r="BE2" i="7"/>
  <c r="BF2" i="7"/>
  <c r="BG2" i="7"/>
  <c r="BH2" i="7"/>
  <c r="BI2" i="7"/>
  <c r="BJ2" i="7"/>
  <c r="BK2" i="7"/>
  <c r="BL2" i="7"/>
  <c r="BM2" i="7"/>
  <c r="BN2" i="7"/>
  <c r="BO2" i="7"/>
  <c r="BP2" i="7"/>
  <c r="BQ2" i="7"/>
  <c r="BR2" i="7"/>
  <c r="BS2" i="7"/>
  <c r="BT2" i="7"/>
  <c r="BU2" i="7"/>
  <c r="BV2" i="7"/>
  <c r="BW2" i="7"/>
  <c r="BX2" i="7"/>
  <c r="BY2" i="7"/>
  <c r="BZ2" i="7"/>
  <c r="CA2" i="7"/>
  <c r="CB2" i="7"/>
  <c r="CC2" i="7"/>
  <c r="CD2" i="7"/>
  <c r="CE2" i="7"/>
  <c r="CF2" i="7"/>
  <c r="CG2" i="7"/>
  <c r="CH2" i="7"/>
  <c r="CI2" i="7"/>
  <c r="CJ2" i="7"/>
  <c r="CK2" i="7"/>
  <c r="CL2" i="7"/>
  <c r="CM2" i="7"/>
  <c r="CN2" i="7"/>
  <c r="CO2" i="7"/>
  <c r="CP2" i="7"/>
  <c r="CQ2" i="7"/>
  <c r="CR2" i="7"/>
  <c r="CS2" i="7"/>
  <c r="CT2" i="7"/>
  <c r="CU2" i="7"/>
  <c r="CV2" i="7"/>
  <c r="CW2" i="7"/>
  <c r="CX2" i="7"/>
  <c r="CY2" i="7"/>
  <c r="CZ2" i="7"/>
  <c r="DA2" i="7"/>
  <c r="DB2" i="7"/>
  <c r="DC2" i="7"/>
  <c r="DD2" i="7"/>
  <c r="DE2" i="7"/>
  <c r="DF2" i="7"/>
  <c r="DG2" i="7"/>
  <c r="DH2" i="7"/>
  <c r="DI2" i="7"/>
  <c r="DJ2" i="7"/>
  <c r="DK2" i="7"/>
  <c r="DL2" i="7"/>
  <c r="DM2" i="7"/>
  <c r="DN2" i="7"/>
  <c r="DO2" i="7"/>
  <c r="DP2" i="7"/>
  <c r="DQ2" i="7"/>
  <c r="DR2" i="7"/>
  <c r="DS2" i="7"/>
  <c r="DT2" i="7"/>
  <c r="DU2" i="7"/>
  <c r="DV2" i="7"/>
  <c r="DW2" i="7"/>
  <c r="DX2" i="7"/>
  <c r="DY2" i="7"/>
  <c r="DZ2" i="7"/>
  <c r="EA2" i="7"/>
  <c r="EB2" i="7"/>
  <c r="EC2" i="7"/>
  <c r="ED2" i="7"/>
  <c r="EE2" i="7"/>
  <c r="EF2" i="7"/>
  <c r="EG2" i="7"/>
  <c r="EH2" i="7"/>
  <c r="EI2" i="7"/>
  <c r="EJ2" i="7"/>
  <c r="EK2" i="7"/>
  <c r="EL2" i="7"/>
  <c r="EM2" i="7"/>
  <c r="EN2" i="7"/>
  <c r="EO2" i="7"/>
  <c r="EP2" i="7"/>
  <c r="EQ2" i="7"/>
  <c r="ER2" i="7"/>
  <c r="ES2" i="7"/>
  <c r="ET2" i="7"/>
  <c r="EU2" i="7"/>
  <c r="EV2" i="7"/>
  <c r="EW2" i="7"/>
  <c r="EX2" i="7"/>
  <c r="EY2" i="7"/>
  <c r="EZ2" i="7"/>
  <c r="FA2" i="7"/>
  <c r="FB2" i="7"/>
  <c r="FC2" i="7"/>
  <c r="FD2" i="7"/>
  <c r="FE2" i="7"/>
  <c r="FF2" i="7"/>
  <c r="FG2" i="7"/>
  <c r="FH2" i="7"/>
  <c r="FI2" i="7"/>
  <c r="FJ2" i="7"/>
  <c r="FK2" i="7"/>
  <c r="FL2" i="7"/>
  <c r="FM2" i="7"/>
  <c r="FN2" i="7"/>
  <c r="FO2" i="7"/>
  <c r="FP2" i="7"/>
  <c r="FQ2" i="7"/>
  <c r="FR2" i="7"/>
  <c r="FS2" i="7"/>
  <c r="FT2" i="7"/>
  <c r="FU2" i="7"/>
  <c r="FV2" i="7"/>
  <c r="FW2" i="7"/>
  <c r="FX2" i="7"/>
  <c r="FY2" i="7"/>
  <c r="FZ2" i="7"/>
  <c r="GA2" i="7"/>
  <c r="GB2" i="7"/>
  <c r="GC2" i="7"/>
  <c r="GD2" i="7"/>
  <c r="GE2" i="7"/>
  <c r="GF2" i="7"/>
  <c r="GG2" i="7"/>
  <c r="GH2" i="7"/>
  <c r="GI2" i="7"/>
  <c r="GJ2" i="7"/>
  <c r="GK2" i="7"/>
  <c r="GL2" i="7"/>
  <c r="GM2" i="7"/>
  <c r="GN2" i="7"/>
  <c r="GO2" i="7"/>
  <c r="GP2" i="7"/>
  <c r="GQ2" i="7"/>
  <c r="GR2" i="7"/>
  <c r="GS2" i="7"/>
  <c r="GT2" i="7"/>
  <c r="GU2" i="7"/>
  <c r="GV2" i="7"/>
  <c r="GW2" i="7"/>
  <c r="GX2" i="7"/>
  <c r="GY2" i="7"/>
  <c r="GZ2" i="7"/>
  <c r="HA2" i="7"/>
  <c r="HB2" i="7"/>
  <c r="HC2" i="7"/>
  <c r="HD2" i="7"/>
  <c r="HE2" i="7"/>
  <c r="HF2" i="7"/>
  <c r="HG2" i="7"/>
  <c r="HH2" i="7"/>
  <c r="HI2" i="7"/>
  <c r="HJ2" i="7"/>
  <c r="HK2" i="7"/>
  <c r="HL2" i="7"/>
  <c r="HM2" i="7"/>
  <c r="HN2" i="7"/>
  <c r="HO2" i="7"/>
  <c r="HP2" i="7"/>
  <c r="HQ2" i="7"/>
  <c r="HR2" i="7"/>
  <c r="HS2" i="7"/>
  <c r="HT2" i="7"/>
  <c r="HU2" i="7"/>
  <c r="HV2" i="7"/>
  <c r="HW2" i="7"/>
  <c r="HX2" i="7"/>
  <c r="HY2" i="7"/>
  <c r="HZ2" i="7"/>
  <c r="IA2" i="7"/>
  <c r="IB2" i="7"/>
  <c r="IC2" i="7"/>
  <c r="ID2" i="7"/>
  <c r="IE2" i="7"/>
  <c r="IF2" i="7"/>
  <c r="IG2" i="7"/>
  <c r="IH2" i="7"/>
  <c r="II2" i="7"/>
  <c r="IJ2" i="7"/>
  <c r="IK2" i="7"/>
  <c r="IL2" i="7"/>
  <c r="IM2" i="7"/>
  <c r="IN2" i="7"/>
  <c r="IO2" i="7"/>
  <c r="IP2" i="7"/>
  <c r="IQ2" i="7"/>
  <c r="IR2" i="7"/>
  <c r="IS2" i="7"/>
  <c r="IT2" i="7"/>
  <c r="IU2" i="7"/>
  <c r="IV2" i="7"/>
  <c r="A3" i="7"/>
  <c r="B3" i="7"/>
  <c r="C3" i="7"/>
  <c r="D3" i="7"/>
  <c r="E3" i="7"/>
  <c r="F3" i="7"/>
  <c r="G3" i="7"/>
  <c r="H3" i="7"/>
  <c r="I3" i="7"/>
  <c r="J3" i="7"/>
  <c r="K3" i="7"/>
  <c r="L3" i="7"/>
  <c r="M3" i="7"/>
  <c r="N3" i="7"/>
  <c r="O3" i="7"/>
  <c r="P3" i="7"/>
  <c r="Q3" i="7"/>
  <c r="R3" i="7"/>
  <c r="S3" i="7"/>
  <c r="T3" i="7"/>
  <c r="U3" i="7"/>
  <c r="V3" i="7"/>
  <c r="W3" i="7"/>
  <c r="X3" i="7"/>
  <c r="Y3" i="7"/>
  <c r="Z3" i="7"/>
  <c r="AA3" i="7"/>
  <c r="AB3" i="7"/>
  <c r="AC3" i="7"/>
  <c r="AD3" i="7"/>
  <c r="AE3" i="7"/>
  <c r="AF3" i="7"/>
  <c r="AG3" i="7"/>
  <c r="AH3" i="7"/>
  <c r="AI3" i="7"/>
  <c r="AJ3" i="7"/>
  <c r="AK3" i="7"/>
  <c r="AL3" i="7"/>
  <c r="AM3" i="7"/>
  <c r="AN3" i="7"/>
  <c r="AO3" i="7"/>
  <c r="AP3" i="7"/>
  <c r="AQ3" i="7"/>
  <c r="AR3" i="7"/>
  <c r="AS3" i="7"/>
  <c r="AT3" i="7"/>
  <c r="AU3" i="7"/>
  <c r="AV3" i="7"/>
  <c r="AW3" i="7"/>
  <c r="AX3" i="7"/>
  <c r="AY3" i="7"/>
  <c r="AZ3" i="7"/>
  <c r="BA3" i="7"/>
  <c r="BB3" i="7"/>
  <c r="BC3" i="7"/>
  <c r="BD3" i="7"/>
  <c r="BE3" i="7"/>
  <c r="BF3" i="7"/>
  <c r="BG3" i="7"/>
  <c r="BH3" i="7"/>
  <c r="BI3" i="7"/>
  <c r="BJ3" i="7"/>
  <c r="BK3" i="7"/>
  <c r="BL3" i="7"/>
  <c r="BM3" i="7"/>
  <c r="BN3" i="7"/>
  <c r="BO3" i="7"/>
  <c r="BP3" i="7"/>
  <c r="BQ3" i="7"/>
  <c r="BR3" i="7"/>
  <c r="BS3" i="7"/>
  <c r="BT3" i="7"/>
  <c r="BU3" i="7"/>
  <c r="BV3" i="7"/>
  <c r="BW3" i="7"/>
  <c r="BX3" i="7"/>
  <c r="BY3" i="7"/>
  <c r="BZ3" i="7"/>
  <c r="CA3" i="7"/>
  <c r="CB3" i="7"/>
  <c r="CC3" i="7"/>
  <c r="CD3" i="7"/>
  <c r="CE3" i="7"/>
  <c r="CF3" i="7"/>
  <c r="CG3" i="7"/>
  <c r="CH3" i="7"/>
  <c r="CI3" i="7"/>
  <c r="CJ3" i="7"/>
  <c r="CK3" i="7"/>
  <c r="CL3" i="7"/>
  <c r="CM3" i="7"/>
  <c r="CN3" i="7"/>
  <c r="CO3" i="7"/>
  <c r="CP3" i="7"/>
  <c r="CQ3" i="7"/>
  <c r="CR3" i="7"/>
  <c r="CS3" i="7"/>
  <c r="CT3" i="7"/>
  <c r="CU3" i="7"/>
  <c r="CV3" i="7"/>
  <c r="CW3" i="7"/>
  <c r="CX3" i="7"/>
  <c r="CY3" i="7"/>
  <c r="CZ3" i="7"/>
  <c r="DA3" i="7"/>
  <c r="DB3" i="7"/>
  <c r="DC3" i="7"/>
  <c r="DD3" i="7"/>
  <c r="DE3" i="7"/>
  <c r="DF3" i="7"/>
  <c r="DG3" i="7"/>
  <c r="DH3" i="7"/>
  <c r="DI3" i="7"/>
  <c r="DJ3" i="7"/>
  <c r="DK3" i="7"/>
  <c r="DL3" i="7"/>
  <c r="DM3" i="7"/>
  <c r="DN3" i="7"/>
  <c r="DO3" i="7"/>
  <c r="DP3" i="7"/>
  <c r="DQ3" i="7"/>
  <c r="DR3" i="7"/>
  <c r="DS3" i="7"/>
  <c r="DT3" i="7"/>
  <c r="DU3" i="7"/>
  <c r="DV3" i="7"/>
  <c r="DW3" i="7"/>
  <c r="DX3" i="7"/>
  <c r="DY3" i="7"/>
  <c r="DZ3" i="7"/>
  <c r="EA3" i="7"/>
  <c r="EB3" i="7"/>
  <c r="EC3" i="7"/>
  <c r="ED3" i="7"/>
  <c r="EE3" i="7"/>
  <c r="EF3" i="7"/>
  <c r="EG3" i="7"/>
  <c r="EH3" i="7"/>
  <c r="EI3" i="7"/>
  <c r="EJ3" i="7"/>
  <c r="EK3" i="7"/>
  <c r="EL3" i="7"/>
  <c r="EM3" i="7"/>
  <c r="EN3" i="7"/>
  <c r="EO3" i="7"/>
  <c r="EP3" i="7"/>
  <c r="EQ3" i="7"/>
  <c r="ER3" i="7"/>
  <c r="ES3" i="7"/>
  <c r="ET3" i="7"/>
  <c r="EU3" i="7"/>
  <c r="EV3" i="7"/>
  <c r="EW3" i="7"/>
  <c r="EX3" i="7"/>
  <c r="EY3" i="7"/>
  <c r="EZ3" i="7"/>
  <c r="FA3" i="7"/>
  <c r="FB3" i="7"/>
  <c r="FC3" i="7"/>
  <c r="FD3" i="7"/>
  <c r="FE3" i="7"/>
  <c r="FF3" i="7"/>
  <c r="FG3" i="7"/>
  <c r="FH3" i="7"/>
  <c r="FI3" i="7"/>
  <c r="FJ3" i="7"/>
  <c r="FK3" i="7"/>
  <c r="FL3" i="7"/>
  <c r="FM3" i="7"/>
  <c r="FN3" i="7"/>
  <c r="FO3" i="7"/>
  <c r="FP3" i="7"/>
  <c r="FQ3" i="7"/>
  <c r="FR3" i="7"/>
  <c r="FS3" i="7"/>
  <c r="FT3" i="7"/>
  <c r="FU3" i="7"/>
  <c r="FV3" i="7"/>
  <c r="FW3" i="7"/>
  <c r="FX3" i="7"/>
  <c r="FY3" i="7"/>
  <c r="FZ3" i="7"/>
  <c r="GA3" i="7"/>
  <c r="GB3" i="7"/>
  <c r="GC3" i="7"/>
  <c r="GD3" i="7"/>
  <c r="GE3" i="7"/>
  <c r="GF3" i="7"/>
  <c r="GG3" i="7"/>
  <c r="GH3" i="7"/>
  <c r="GI3" i="7"/>
  <c r="GJ3" i="7"/>
  <c r="GK3" i="7"/>
  <c r="GL3" i="7"/>
  <c r="GM3" i="7"/>
  <c r="GN3" i="7"/>
  <c r="GO3" i="7"/>
  <c r="GP3" i="7"/>
  <c r="GQ3" i="7"/>
  <c r="GR3" i="7"/>
  <c r="GS3" i="7"/>
  <c r="GT3" i="7"/>
  <c r="GU3" i="7"/>
  <c r="GV3" i="7"/>
  <c r="GW3" i="7"/>
  <c r="GX3" i="7"/>
  <c r="GY3" i="7"/>
  <c r="GZ3" i="7"/>
  <c r="HA3" i="7"/>
  <c r="HB3" i="7"/>
  <c r="HC3" i="7"/>
  <c r="HD3" i="7"/>
  <c r="HE3" i="7"/>
  <c r="HF3" i="7"/>
  <c r="HG3" i="7"/>
  <c r="HH3" i="7"/>
  <c r="HI3" i="7"/>
  <c r="HJ3" i="7"/>
  <c r="HK3" i="7"/>
  <c r="HL3" i="7"/>
  <c r="HM3" i="7"/>
  <c r="HN3" i="7"/>
  <c r="HO3" i="7"/>
  <c r="HP3" i="7"/>
  <c r="HQ3" i="7"/>
  <c r="HR3" i="7"/>
  <c r="HS3" i="7"/>
  <c r="HT3" i="7"/>
  <c r="HU3" i="7"/>
  <c r="HV3" i="7"/>
  <c r="HW3" i="7"/>
  <c r="HX3" i="7"/>
  <c r="HY3" i="7"/>
  <c r="HZ3" i="7"/>
  <c r="IA3" i="7"/>
  <c r="IB3" i="7"/>
  <c r="IC3" i="7"/>
  <c r="ID3" i="7"/>
  <c r="IE3" i="7"/>
  <c r="IF3" i="7"/>
  <c r="IG3" i="7"/>
  <c r="IH3" i="7"/>
  <c r="II3" i="7"/>
  <c r="IJ3" i="7"/>
  <c r="IK3" i="7"/>
  <c r="IL3" i="7"/>
  <c r="IM3" i="7"/>
  <c r="IN3" i="7"/>
  <c r="IO3" i="7"/>
  <c r="IP3" i="7"/>
  <c r="IQ3" i="7"/>
  <c r="IR3" i="7"/>
  <c r="IS3" i="7"/>
  <c r="IT3" i="7"/>
  <c r="IU3" i="7"/>
  <c r="IV3" i="7"/>
  <c r="A4" i="7"/>
  <c r="B4" i="7"/>
  <c r="C4" i="7"/>
  <c r="D4" i="7"/>
  <c r="E4" i="7"/>
  <c r="F4" i="7"/>
  <c r="G4" i="7"/>
  <c r="H4" i="7"/>
  <c r="I4" i="7"/>
  <c r="J4" i="7"/>
  <c r="K4" i="7"/>
  <c r="L4" i="7"/>
  <c r="M4" i="7"/>
  <c r="N4" i="7"/>
  <c r="O4" i="7"/>
  <c r="P4" i="7"/>
  <c r="Q4" i="7"/>
  <c r="R4" i="7"/>
  <c r="S4" i="7"/>
  <c r="T4" i="7"/>
  <c r="U4" i="7"/>
  <c r="V4" i="7"/>
  <c r="W4" i="7"/>
  <c r="X4" i="7"/>
  <c r="Y4" i="7"/>
  <c r="Z4" i="7"/>
  <c r="AA4" i="7"/>
  <c r="AB4" i="7"/>
  <c r="AC4" i="7"/>
  <c r="AD4" i="7"/>
  <c r="AE4" i="7"/>
  <c r="AF4" i="7"/>
  <c r="AG4" i="7"/>
  <c r="AH4" i="7"/>
  <c r="AI4" i="7"/>
  <c r="AJ4" i="7"/>
  <c r="AK4" i="7"/>
  <c r="AL4" i="7"/>
  <c r="AM4" i="7"/>
  <c r="AN4" i="7"/>
  <c r="AO4" i="7"/>
  <c r="AP4" i="7"/>
  <c r="AQ4" i="7"/>
  <c r="AR4" i="7"/>
  <c r="AS4" i="7"/>
  <c r="AT4" i="7"/>
  <c r="AU4" i="7"/>
  <c r="AV4" i="7"/>
  <c r="AW4" i="7"/>
  <c r="AX4" i="7"/>
  <c r="AY4" i="7"/>
  <c r="AZ4" i="7"/>
  <c r="BA4" i="7"/>
  <c r="BB4" i="7"/>
  <c r="BC4" i="7"/>
  <c r="BD4" i="7"/>
  <c r="BE4" i="7"/>
  <c r="BF4" i="7"/>
  <c r="BG4" i="7"/>
  <c r="BH4" i="7"/>
  <c r="BI4" i="7"/>
  <c r="BJ4" i="7"/>
  <c r="BK4" i="7"/>
  <c r="BL4" i="7"/>
  <c r="BM4" i="7"/>
  <c r="BN4" i="7"/>
  <c r="BO4" i="7"/>
  <c r="BP4" i="7"/>
  <c r="BQ4" i="7"/>
  <c r="BR4" i="7"/>
  <c r="BS4" i="7"/>
  <c r="BT4" i="7"/>
  <c r="BU4" i="7"/>
  <c r="BV4" i="7"/>
  <c r="BW4" i="7"/>
  <c r="BX4" i="7"/>
  <c r="BY4" i="7"/>
  <c r="BZ4" i="7"/>
  <c r="CA4" i="7"/>
  <c r="CB4" i="7"/>
  <c r="CC4" i="7"/>
  <c r="CD4" i="7"/>
  <c r="CE4" i="7"/>
  <c r="CF4" i="7"/>
  <c r="CG4" i="7"/>
  <c r="CH4" i="7"/>
  <c r="CI4" i="7"/>
  <c r="CJ4" i="7"/>
  <c r="CK4" i="7"/>
  <c r="CL4" i="7"/>
  <c r="CM4" i="7"/>
  <c r="CN4" i="7"/>
  <c r="CO4" i="7"/>
  <c r="CP4" i="7"/>
  <c r="CQ4" i="7"/>
  <c r="CR4" i="7"/>
  <c r="CS4" i="7"/>
  <c r="CT4" i="7"/>
  <c r="CU4" i="7"/>
  <c r="CV4" i="7"/>
  <c r="CW4" i="7"/>
  <c r="CX4" i="7"/>
  <c r="CY4" i="7"/>
  <c r="CZ4" i="7"/>
  <c r="DA4" i="7"/>
  <c r="DB4" i="7"/>
  <c r="DC4" i="7"/>
  <c r="DD4" i="7"/>
  <c r="DE4" i="7"/>
  <c r="DF4" i="7"/>
  <c r="DG4" i="7"/>
  <c r="DH4" i="7"/>
  <c r="DI4" i="7"/>
  <c r="DJ4" i="7"/>
  <c r="DK4" i="7"/>
  <c r="DL4" i="7"/>
  <c r="DM4" i="7"/>
  <c r="DN4" i="7"/>
  <c r="DO4" i="7"/>
  <c r="DP4" i="7"/>
  <c r="DQ4" i="7"/>
  <c r="DR4" i="7"/>
  <c r="DS4" i="7"/>
  <c r="DT4" i="7"/>
  <c r="DU4" i="7"/>
  <c r="DV4" i="7"/>
  <c r="DW4" i="7"/>
  <c r="DX4" i="7"/>
  <c r="DY4" i="7"/>
  <c r="DZ4" i="7"/>
  <c r="EA4" i="7"/>
  <c r="EB4" i="7"/>
  <c r="EC4" i="7"/>
  <c r="ED4" i="7"/>
  <c r="EE4" i="7"/>
  <c r="EF4" i="7"/>
  <c r="EG4" i="7"/>
  <c r="EH4" i="7"/>
  <c r="EI4" i="7"/>
  <c r="EJ4" i="7"/>
  <c r="EK4" i="7"/>
  <c r="EL4" i="7"/>
  <c r="EM4" i="7"/>
  <c r="EN4" i="7"/>
  <c r="EO4" i="7"/>
  <c r="EP4" i="7"/>
  <c r="EQ4" i="7"/>
  <c r="ER4" i="7"/>
  <c r="ES4" i="7"/>
  <c r="ET4" i="7"/>
  <c r="EU4" i="7"/>
  <c r="EV4" i="7"/>
  <c r="EW4" i="7"/>
  <c r="EX4" i="7"/>
  <c r="EY4" i="7"/>
  <c r="EZ4" i="7"/>
  <c r="FA4" i="7"/>
  <c r="FB4" i="7"/>
  <c r="FC4" i="7"/>
  <c r="FD4" i="7"/>
  <c r="FE4" i="7"/>
  <c r="FF4" i="7"/>
  <c r="FG4" i="7"/>
  <c r="FH4" i="7"/>
  <c r="FI4" i="7"/>
  <c r="FJ4" i="7"/>
  <c r="FK4" i="7"/>
  <c r="FL4" i="7"/>
  <c r="FM4" i="7"/>
  <c r="FN4" i="7"/>
  <c r="FO4" i="7"/>
  <c r="FP4" i="7"/>
  <c r="FQ4" i="7"/>
  <c r="FR4" i="7"/>
  <c r="FS4" i="7"/>
  <c r="FT4" i="7"/>
  <c r="FU4" i="7"/>
  <c r="FV4" i="7"/>
  <c r="FW4" i="7"/>
  <c r="FX4" i="7"/>
  <c r="FY4" i="7"/>
  <c r="FZ4" i="7"/>
  <c r="GA4" i="7"/>
  <c r="GB4" i="7"/>
  <c r="GC4" i="7"/>
  <c r="GD4" i="7"/>
  <c r="GE4" i="7"/>
  <c r="GF4" i="7"/>
  <c r="GG4" i="7"/>
  <c r="GH4" i="7"/>
  <c r="GI4" i="7"/>
  <c r="GJ4" i="7"/>
  <c r="GK4" i="7"/>
  <c r="GL4" i="7"/>
  <c r="GM4" i="7"/>
  <c r="GN4" i="7"/>
  <c r="GO4" i="7"/>
  <c r="GP4" i="7"/>
  <c r="GQ4" i="7"/>
  <c r="GR4" i="7"/>
  <c r="GS4" i="7"/>
  <c r="GT4" i="7"/>
  <c r="GU4" i="7"/>
  <c r="GV4" i="7"/>
  <c r="GW4" i="7"/>
  <c r="GX4" i="7"/>
  <c r="GY4" i="7"/>
  <c r="GZ4" i="7"/>
  <c r="HA4" i="7"/>
  <c r="HB4" i="7"/>
  <c r="HC4" i="7"/>
  <c r="HD4" i="7"/>
  <c r="HE4" i="7"/>
  <c r="HF4" i="7"/>
  <c r="HG4" i="7"/>
  <c r="HH4" i="7"/>
  <c r="HI4" i="7"/>
  <c r="HJ4" i="7"/>
  <c r="HK4" i="7"/>
  <c r="HL4" i="7"/>
  <c r="HM4" i="7"/>
  <c r="HN4" i="7"/>
  <c r="HO4" i="7"/>
  <c r="HP4" i="7"/>
  <c r="HQ4" i="7"/>
  <c r="HR4" i="7"/>
  <c r="HS4" i="7"/>
  <c r="HT4" i="7"/>
  <c r="HU4" i="7"/>
  <c r="HV4" i="7"/>
  <c r="HW4" i="7"/>
  <c r="HX4" i="7"/>
  <c r="HY4" i="7"/>
  <c r="HZ4" i="7"/>
  <c r="IA4" i="7"/>
  <c r="IB4" i="7"/>
  <c r="IC4" i="7"/>
  <c r="ID4" i="7"/>
  <c r="IE4" i="7"/>
  <c r="IF4" i="7"/>
  <c r="IG4" i="7"/>
  <c r="IH4" i="7"/>
  <c r="II4" i="7"/>
  <c r="IJ4" i="7"/>
  <c r="IK4" i="7"/>
  <c r="IL4" i="7"/>
  <c r="IM4" i="7"/>
  <c r="IN4" i="7"/>
  <c r="IO4" i="7"/>
  <c r="IP4" i="7"/>
  <c r="IQ4" i="7"/>
  <c r="IR4" i="7"/>
  <c r="IS4" i="7"/>
  <c r="IT4" i="7"/>
  <c r="IU4" i="7"/>
  <c r="IV4" i="7"/>
  <c r="A5" i="7"/>
  <c r="B5" i="7"/>
  <c r="C5" i="7"/>
  <c r="D5" i="7"/>
  <c r="E5" i="7"/>
  <c r="F5" i="7"/>
  <c r="G5" i="7"/>
  <c r="H5" i="7"/>
  <c r="I5" i="7"/>
  <c r="J5" i="7"/>
  <c r="K5" i="7"/>
  <c r="L5" i="7"/>
  <c r="M5" i="7"/>
  <c r="N5" i="7"/>
  <c r="O5" i="7"/>
  <c r="P5" i="7"/>
  <c r="Q5" i="7"/>
  <c r="R5" i="7"/>
  <c r="S5" i="7"/>
  <c r="T5" i="7"/>
  <c r="U5" i="7"/>
  <c r="V5" i="7"/>
  <c r="W5" i="7"/>
  <c r="X5" i="7"/>
  <c r="Y5" i="7"/>
  <c r="Z5" i="7"/>
  <c r="AA5" i="7"/>
  <c r="AB5" i="7"/>
  <c r="AC5" i="7"/>
  <c r="AD5" i="7"/>
  <c r="AE5" i="7"/>
  <c r="AF5" i="7"/>
  <c r="AG5" i="7"/>
  <c r="AH5" i="7"/>
  <c r="AI5" i="7"/>
  <c r="AJ5" i="7"/>
  <c r="AK5" i="7"/>
  <c r="AL5" i="7"/>
  <c r="AM5" i="7"/>
  <c r="AN5" i="7"/>
  <c r="AO5" i="7"/>
  <c r="AP5" i="7"/>
  <c r="AQ5" i="7"/>
  <c r="AR5" i="7"/>
  <c r="AS5" i="7"/>
  <c r="AT5" i="7"/>
  <c r="AU5" i="7"/>
  <c r="AV5" i="7"/>
  <c r="AW5" i="7"/>
  <c r="AX5" i="7"/>
  <c r="AY5" i="7"/>
  <c r="AZ5" i="7"/>
  <c r="BA5" i="7"/>
  <c r="BB5" i="7"/>
  <c r="BC5" i="7"/>
  <c r="BD5" i="7"/>
  <c r="BE5" i="7"/>
  <c r="BF5" i="7"/>
  <c r="BG5" i="7"/>
  <c r="BH5" i="7"/>
  <c r="BI5" i="7"/>
  <c r="BJ5" i="7"/>
  <c r="BK5" i="7"/>
  <c r="BL5" i="7"/>
  <c r="BM5" i="7"/>
  <c r="BN5" i="7"/>
  <c r="BO5" i="7"/>
  <c r="BP5" i="7"/>
  <c r="BQ5" i="7"/>
  <c r="BR5" i="7"/>
  <c r="BS5" i="7"/>
  <c r="BT5" i="7"/>
  <c r="BU5" i="7"/>
  <c r="BV5" i="7"/>
  <c r="BW5" i="7"/>
  <c r="BX5" i="7"/>
  <c r="BY5" i="7"/>
  <c r="BZ5" i="7"/>
  <c r="CA5" i="7"/>
  <c r="CB5" i="7"/>
  <c r="CC5" i="7"/>
  <c r="CD5" i="7"/>
  <c r="CE5" i="7"/>
  <c r="CF5" i="7"/>
  <c r="CG5" i="7"/>
  <c r="CH5" i="7"/>
  <c r="CI5" i="7"/>
  <c r="CJ5" i="7"/>
  <c r="CK5" i="7"/>
  <c r="CL5" i="7"/>
  <c r="CM5" i="7"/>
  <c r="CN5" i="7"/>
  <c r="CO5" i="7"/>
  <c r="CP5" i="7"/>
  <c r="CQ5" i="7"/>
  <c r="CR5" i="7"/>
  <c r="CS5" i="7"/>
  <c r="CT5" i="7"/>
  <c r="CU5" i="7"/>
  <c r="CV5" i="7"/>
  <c r="CW5" i="7"/>
  <c r="CX5" i="7"/>
  <c r="CY5" i="7"/>
  <c r="CZ5" i="7"/>
  <c r="DA5" i="7"/>
  <c r="DB5" i="7"/>
  <c r="DC5" i="7"/>
  <c r="DD5" i="7"/>
  <c r="DE5" i="7"/>
  <c r="DF5" i="7"/>
  <c r="DG5" i="7"/>
  <c r="DH5" i="7"/>
  <c r="DI5" i="7"/>
  <c r="DJ5" i="7"/>
  <c r="DK5" i="7"/>
  <c r="DL5" i="7"/>
  <c r="DM5" i="7"/>
  <c r="DN5" i="7"/>
  <c r="DO5" i="7"/>
  <c r="DP5" i="7"/>
  <c r="DQ5" i="7"/>
  <c r="DR5" i="7"/>
  <c r="DS5" i="7"/>
  <c r="DT5" i="7"/>
  <c r="DU5" i="7"/>
  <c r="DV5" i="7"/>
  <c r="DW5" i="7"/>
  <c r="DX5" i="7"/>
  <c r="DY5" i="7"/>
  <c r="DZ5" i="7"/>
  <c r="EA5" i="7"/>
  <c r="EB5" i="7"/>
  <c r="EC5" i="7"/>
  <c r="ED5" i="7"/>
  <c r="EE5" i="7"/>
  <c r="EF5" i="7"/>
  <c r="EG5" i="7"/>
  <c r="EH5" i="7"/>
  <c r="EI5" i="7"/>
  <c r="EJ5" i="7"/>
  <c r="EK5" i="7"/>
  <c r="EL5" i="7"/>
  <c r="EM5" i="7"/>
  <c r="EN5" i="7"/>
  <c r="EO5" i="7"/>
  <c r="EP5" i="7"/>
  <c r="EQ5" i="7"/>
  <c r="ER5" i="7"/>
  <c r="ES5" i="7"/>
  <c r="ET5" i="7"/>
  <c r="EU5" i="7"/>
  <c r="EV5" i="7"/>
  <c r="EW5" i="7"/>
  <c r="EX5" i="7"/>
  <c r="EY5" i="7"/>
  <c r="EZ5" i="7"/>
  <c r="FA5" i="7"/>
  <c r="FB5" i="7"/>
  <c r="FC5" i="7"/>
  <c r="FD5" i="7"/>
  <c r="FE5" i="7"/>
  <c r="FF5" i="7"/>
  <c r="FG5" i="7"/>
  <c r="FH5" i="7"/>
  <c r="FI5" i="7"/>
  <c r="FJ5" i="7"/>
  <c r="FK5" i="7"/>
  <c r="FL5" i="7"/>
  <c r="FM5" i="7"/>
  <c r="FN5" i="7"/>
  <c r="FO5" i="7"/>
  <c r="FP5" i="7"/>
  <c r="FQ5" i="7"/>
  <c r="FR5" i="7"/>
  <c r="FS5" i="7"/>
  <c r="FT5" i="7"/>
  <c r="FU5" i="7"/>
  <c r="FV5" i="7"/>
  <c r="FW5" i="7"/>
  <c r="FX5" i="7"/>
  <c r="FY5" i="7"/>
  <c r="FZ5" i="7"/>
  <c r="GA5" i="7"/>
  <c r="GB5" i="7"/>
  <c r="GC5" i="7"/>
  <c r="GD5" i="7"/>
  <c r="GE5" i="7"/>
  <c r="GF5" i="7"/>
  <c r="GG5" i="7"/>
  <c r="GH5" i="7"/>
  <c r="GI5" i="7"/>
  <c r="GJ5" i="7"/>
  <c r="GK5" i="7"/>
  <c r="GL5" i="7"/>
  <c r="GM5" i="7"/>
  <c r="GN5" i="7"/>
  <c r="GO5" i="7"/>
  <c r="GP5" i="7"/>
  <c r="GQ5" i="7"/>
  <c r="GR5" i="7"/>
  <c r="GS5" i="7"/>
  <c r="GT5" i="7"/>
  <c r="GU5" i="7"/>
  <c r="GV5" i="7"/>
  <c r="GW5" i="7"/>
  <c r="GX5" i="7"/>
  <c r="GY5" i="7"/>
  <c r="GZ5" i="7"/>
  <c r="HA5" i="7"/>
  <c r="HB5" i="7"/>
  <c r="HC5" i="7"/>
  <c r="HD5" i="7"/>
  <c r="HE5" i="7"/>
  <c r="HF5" i="7"/>
  <c r="HG5" i="7"/>
  <c r="HH5" i="7"/>
  <c r="HI5" i="7"/>
  <c r="HJ5" i="7"/>
  <c r="HK5" i="7"/>
  <c r="HL5" i="7"/>
  <c r="HM5" i="7"/>
  <c r="HN5" i="7"/>
  <c r="HO5" i="7"/>
  <c r="HP5" i="7"/>
  <c r="HQ5" i="7"/>
  <c r="HR5" i="7"/>
  <c r="HS5" i="7"/>
  <c r="HT5" i="7"/>
  <c r="HU5" i="7"/>
  <c r="HV5" i="7"/>
  <c r="HW5" i="7"/>
  <c r="HX5" i="7"/>
  <c r="HY5" i="7"/>
  <c r="HZ5" i="7"/>
  <c r="IA5" i="7"/>
  <c r="IB5" i="7"/>
  <c r="IC5" i="7"/>
  <c r="ID5" i="7"/>
  <c r="IE5" i="7"/>
  <c r="IF5" i="7"/>
  <c r="IG5" i="7"/>
  <c r="IH5" i="7"/>
  <c r="II5" i="7"/>
  <c r="IJ5" i="7"/>
  <c r="IK5" i="7"/>
  <c r="IL5" i="7"/>
  <c r="IM5" i="7"/>
  <c r="IN5" i="7"/>
  <c r="IO5" i="7"/>
  <c r="IP5" i="7"/>
  <c r="IQ5" i="7"/>
  <c r="IR5" i="7"/>
  <c r="IS5" i="7"/>
  <c r="IT5" i="7"/>
  <c r="IU5" i="7"/>
  <c r="IV5" i="7"/>
  <c r="A6" i="7"/>
  <c r="B6" i="7"/>
  <c r="C6" i="7"/>
  <c r="D6" i="7"/>
  <c r="E6" i="7"/>
  <c r="F6" i="7"/>
  <c r="G6" i="7"/>
  <c r="H6" i="7"/>
  <c r="I6" i="7"/>
  <c r="J6" i="7"/>
  <c r="K6" i="7"/>
  <c r="L6" i="7"/>
  <c r="M6" i="7"/>
  <c r="N6" i="7"/>
  <c r="O6" i="7"/>
  <c r="P6" i="7"/>
  <c r="Q6" i="7"/>
  <c r="R6" i="7"/>
  <c r="S6" i="7"/>
  <c r="T6" i="7"/>
  <c r="U6" i="7"/>
  <c r="V6" i="7"/>
  <c r="W6" i="7"/>
  <c r="X6" i="7"/>
  <c r="Y6" i="7"/>
  <c r="Z6" i="7"/>
  <c r="AA6" i="7"/>
  <c r="AB6" i="7"/>
  <c r="AC6" i="7"/>
  <c r="AD6" i="7"/>
  <c r="AE6" i="7"/>
  <c r="AF6" i="7"/>
  <c r="AG6" i="7"/>
  <c r="AH6" i="7"/>
  <c r="AI6" i="7"/>
  <c r="AJ6" i="7"/>
  <c r="AK6" i="7"/>
  <c r="AL6" i="7"/>
  <c r="AM6" i="7"/>
  <c r="AN6" i="7"/>
  <c r="AO6" i="7"/>
  <c r="AP6" i="7"/>
  <c r="AQ6" i="7"/>
  <c r="AR6" i="7"/>
  <c r="AS6" i="7"/>
  <c r="AT6" i="7"/>
  <c r="AU6" i="7"/>
  <c r="AV6" i="7"/>
  <c r="AW6" i="7"/>
  <c r="AX6" i="7"/>
  <c r="AY6" i="7"/>
  <c r="AZ6" i="7"/>
  <c r="BA6" i="7"/>
  <c r="BB6" i="7"/>
  <c r="BC6" i="7"/>
  <c r="BD6" i="7"/>
  <c r="BE6" i="7"/>
  <c r="BF6" i="7"/>
  <c r="BG6" i="7"/>
  <c r="BH6" i="7"/>
  <c r="BI6" i="7"/>
  <c r="BJ6" i="7"/>
  <c r="BK6" i="7"/>
  <c r="BL6" i="7"/>
  <c r="BM6" i="7"/>
  <c r="BN6" i="7"/>
  <c r="BO6" i="7"/>
  <c r="BP6" i="7"/>
  <c r="BQ6" i="7"/>
  <c r="BR6" i="7"/>
  <c r="BS6" i="7"/>
  <c r="BT6" i="7"/>
  <c r="BU6" i="7"/>
  <c r="BV6" i="7"/>
  <c r="BW6" i="7"/>
  <c r="BX6" i="7"/>
  <c r="BY6" i="7"/>
  <c r="BZ6" i="7"/>
  <c r="CA6" i="7"/>
  <c r="CB6" i="7"/>
  <c r="CC6" i="7"/>
  <c r="CD6" i="7"/>
  <c r="CE6" i="7"/>
  <c r="CF6" i="7"/>
  <c r="CG6" i="7"/>
  <c r="CH6" i="7"/>
  <c r="CI6" i="7"/>
  <c r="CJ6" i="7"/>
  <c r="CK6" i="7"/>
  <c r="CL6" i="7"/>
  <c r="CM6" i="7"/>
  <c r="CN6" i="7"/>
  <c r="CO6" i="7"/>
  <c r="CP6" i="7"/>
  <c r="CQ6" i="7"/>
  <c r="CR6" i="7"/>
  <c r="CS6" i="7"/>
  <c r="CT6" i="7"/>
  <c r="CU6" i="7"/>
  <c r="CV6" i="7"/>
  <c r="CW6" i="7"/>
  <c r="CX6" i="7"/>
  <c r="CY6" i="7"/>
  <c r="CZ6" i="7"/>
  <c r="DA6" i="7"/>
  <c r="DB6" i="7"/>
  <c r="DC6" i="7"/>
  <c r="DD6" i="7"/>
  <c r="DE6" i="7"/>
  <c r="DF6" i="7"/>
  <c r="DG6" i="7"/>
  <c r="DH6" i="7"/>
  <c r="DI6" i="7"/>
  <c r="DJ6" i="7"/>
  <c r="DK6" i="7"/>
  <c r="DL6" i="7"/>
  <c r="DM6" i="7"/>
  <c r="DN6" i="7"/>
  <c r="DO6" i="7"/>
  <c r="DP6" i="7"/>
  <c r="DQ6" i="7"/>
  <c r="DR6" i="7"/>
  <c r="DS6" i="7"/>
  <c r="DT6" i="7"/>
  <c r="DU6" i="7"/>
  <c r="DV6" i="7"/>
  <c r="DW6" i="7"/>
  <c r="DX6" i="7"/>
  <c r="DY6" i="7"/>
  <c r="DZ6" i="7"/>
  <c r="EA6" i="7"/>
  <c r="EB6" i="7"/>
  <c r="EC6" i="7"/>
  <c r="ED6" i="7"/>
  <c r="EE6" i="7"/>
  <c r="EF6" i="7"/>
  <c r="EG6" i="7"/>
  <c r="EH6" i="7"/>
  <c r="EI6" i="7"/>
  <c r="EJ6" i="7"/>
  <c r="EK6" i="7"/>
  <c r="EL6" i="7"/>
  <c r="EM6" i="7"/>
  <c r="EN6" i="7"/>
  <c r="EO6" i="7"/>
  <c r="EP6" i="7"/>
  <c r="EQ6" i="7"/>
  <c r="ER6" i="7"/>
  <c r="ES6" i="7"/>
  <c r="ET6" i="7"/>
  <c r="EU6" i="7"/>
  <c r="EV6" i="7"/>
  <c r="EW6" i="7"/>
  <c r="EX6" i="7"/>
  <c r="EY6" i="7"/>
  <c r="EZ6" i="7"/>
  <c r="FA6" i="7"/>
  <c r="FB6" i="7"/>
  <c r="FC6" i="7"/>
  <c r="FD6" i="7"/>
  <c r="FE6" i="7"/>
  <c r="FF6" i="7"/>
  <c r="FG6" i="7"/>
  <c r="FH6" i="7"/>
  <c r="FI6" i="7"/>
  <c r="FJ6" i="7"/>
  <c r="FK6" i="7"/>
  <c r="FL6" i="7"/>
  <c r="FM6" i="7"/>
  <c r="FN6" i="7"/>
  <c r="FO6" i="7"/>
  <c r="FP6" i="7"/>
  <c r="FQ6" i="7"/>
  <c r="FR6" i="7"/>
  <c r="FS6" i="7"/>
  <c r="FT6" i="7"/>
  <c r="FU6" i="7"/>
  <c r="FV6" i="7"/>
  <c r="FW6" i="7"/>
  <c r="FX6" i="7"/>
  <c r="FY6" i="7"/>
  <c r="FZ6" i="7"/>
  <c r="GA6" i="7"/>
  <c r="GB6" i="7"/>
  <c r="GC6" i="7"/>
  <c r="GD6" i="7"/>
  <c r="GE6" i="7"/>
  <c r="GF6" i="7"/>
  <c r="GG6" i="7"/>
  <c r="GH6" i="7"/>
  <c r="GI6" i="7"/>
  <c r="GJ6" i="7"/>
  <c r="GK6" i="7"/>
  <c r="GL6" i="7"/>
  <c r="GM6" i="7"/>
  <c r="GN6" i="7"/>
  <c r="GO6" i="7"/>
  <c r="GP6" i="7"/>
  <c r="GQ6" i="7"/>
  <c r="GR6" i="7"/>
  <c r="GS6" i="7"/>
  <c r="GT6" i="7"/>
  <c r="GU6" i="7"/>
  <c r="GV6" i="7"/>
  <c r="GW6" i="7"/>
  <c r="GX6" i="7"/>
  <c r="GY6" i="7"/>
  <c r="GZ6" i="7"/>
  <c r="HA6" i="7"/>
  <c r="HB6" i="7"/>
  <c r="HC6" i="7"/>
  <c r="HD6" i="7"/>
  <c r="HE6" i="7"/>
  <c r="HF6" i="7"/>
  <c r="HG6" i="7"/>
  <c r="HH6" i="7"/>
  <c r="HI6" i="7"/>
  <c r="HJ6" i="7"/>
  <c r="HK6" i="7"/>
  <c r="HL6" i="7"/>
  <c r="HM6" i="7"/>
  <c r="HN6" i="7"/>
  <c r="HO6" i="7"/>
  <c r="HP6" i="7"/>
  <c r="HQ6" i="7"/>
  <c r="HR6" i="7"/>
  <c r="HS6" i="7"/>
  <c r="HT6" i="7"/>
  <c r="HU6" i="7"/>
  <c r="HV6" i="7"/>
  <c r="HW6" i="7"/>
  <c r="HX6" i="7"/>
  <c r="HY6" i="7"/>
  <c r="HZ6" i="7"/>
  <c r="IA6" i="7"/>
  <c r="IB6" i="7"/>
  <c r="IC6" i="7"/>
  <c r="ID6" i="7"/>
  <c r="IE6" i="7"/>
  <c r="IF6" i="7"/>
  <c r="IG6" i="7"/>
  <c r="IH6" i="7"/>
  <c r="II6" i="7"/>
  <c r="IJ6" i="7"/>
  <c r="IK6" i="7"/>
  <c r="IL6" i="7"/>
  <c r="IM6" i="7"/>
  <c r="IN6" i="7"/>
  <c r="IO6" i="7"/>
  <c r="IP6" i="7"/>
  <c r="IQ6" i="7"/>
  <c r="IR6" i="7"/>
  <c r="IS6" i="7"/>
  <c r="IT6" i="7"/>
  <c r="IU6" i="7"/>
  <c r="IV6" i="7"/>
  <c r="A7" i="7"/>
  <c r="B7" i="7"/>
  <c r="C7" i="7"/>
  <c r="D7" i="7"/>
  <c r="E7" i="7"/>
  <c r="F7" i="7"/>
  <c r="G7" i="7"/>
  <c r="H7" i="7"/>
  <c r="I7" i="7"/>
  <c r="J7" i="7"/>
  <c r="K7" i="7"/>
  <c r="L7" i="7"/>
  <c r="M7" i="7"/>
  <c r="N7" i="7"/>
  <c r="O7" i="7"/>
  <c r="P7" i="7"/>
  <c r="Q7" i="7"/>
  <c r="R7" i="7"/>
  <c r="S7" i="7"/>
  <c r="T7" i="7"/>
  <c r="U7" i="7"/>
  <c r="V7" i="7"/>
  <c r="W7" i="7"/>
  <c r="X7" i="7"/>
  <c r="Y7" i="7"/>
  <c r="Z7" i="7"/>
  <c r="AA7" i="7"/>
  <c r="AB7" i="7"/>
  <c r="AC7" i="7"/>
  <c r="AD7" i="7"/>
  <c r="AE7" i="7"/>
  <c r="AF7" i="7"/>
  <c r="AG7" i="7"/>
  <c r="AH7" i="7"/>
  <c r="AI7" i="7"/>
  <c r="AJ7" i="7"/>
  <c r="AK7" i="7"/>
  <c r="AL7" i="7"/>
  <c r="AM7" i="7"/>
  <c r="AN7" i="7"/>
  <c r="AO7" i="7"/>
  <c r="AP7" i="7"/>
  <c r="AQ7" i="7"/>
  <c r="AR7" i="7"/>
  <c r="AS7" i="7"/>
  <c r="AT7" i="7"/>
  <c r="AU7" i="7"/>
  <c r="AV7" i="7"/>
  <c r="AW7" i="7"/>
  <c r="AX7" i="7"/>
  <c r="AY7" i="7"/>
  <c r="AZ7" i="7"/>
  <c r="BA7" i="7"/>
  <c r="BB7" i="7"/>
  <c r="BC7" i="7"/>
  <c r="BD7" i="7"/>
  <c r="BE7" i="7"/>
  <c r="BF7" i="7"/>
  <c r="BG7" i="7"/>
  <c r="BH7" i="7"/>
  <c r="BI7" i="7"/>
  <c r="BJ7" i="7"/>
  <c r="BK7" i="7"/>
  <c r="BL7" i="7"/>
  <c r="BM7" i="7"/>
  <c r="BN7" i="7"/>
  <c r="BO7" i="7"/>
  <c r="BP7" i="7"/>
  <c r="BQ7" i="7"/>
  <c r="BR7" i="7"/>
  <c r="BS7" i="7"/>
  <c r="BT7" i="7"/>
  <c r="BU7" i="7"/>
  <c r="BV7" i="7"/>
  <c r="BW7" i="7"/>
  <c r="BX7" i="7"/>
  <c r="BY7" i="7"/>
  <c r="BZ7" i="7"/>
  <c r="CA7" i="7"/>
  <c r="CB7" i="7"/>
  <c r="CC7" i="7"/>
  <c r="CD7" i="7"/>
  <c r="CE7" i="7"/>
  <c r="CF7" i="7"/>
  <c r="CG7" i="7"/>
  <c r="CH7" i="7"/>
  <c r="CI7" i="7"/>
  <c r="CJ7" i="7"/>
  <c r="CK7" i="7"/>
  <c r="CL7" i="7"/>
  <c r="CM7" i="7"/>
  <c r="CN7" i="7"/>
  <c r="CO7" i="7"/>
  <c r="CP7" i="7"/>
  <c r="CQ7" i="7"/>
  <c r="CR7" i="7"/>
  <c r="CS7" i="7"/>
  <c r="CT7" i="7"/>
  <c r="CU7" i="7"/>
  <c r="CV7" i="7"/>
  <c r="CW7" i="7"/>
  <c r="CX7" i="7"/>
  <c r="CY7" i="7"/>
  <c r="CZ7" i="7"/>
  <c r="DA7" i="7"/>
  <c r="DB7" i="7"/>
  <c r="DC7" i="7"/>
  <c r="DD7" i="7"/>
  <c r="DE7" i="7"/>
  <c r="DF7" i="7"/>
  <c r="DG7" i="7"/>
  <c r="DH7" i="7"/>
  <c r="DI7" i="7"/>
  <c r="DJ7" i="7"/>
  <c r="DK7" i="7"/>
  <c r="DL7" i="7"/>
  <c r="DM7" i="7"/>
  <c r="DN7" i="7"/>
  <c r="DO7" i="7"/>
  <c r="DP7" i="7"/>
  <c r="DQ7" i="7"/>
  <c r="DR7" i="7"/>
  <c r="DS7" i="7"/>
  <c r="DT7" i="7"/>
  <c r="DU7" i="7"/>
  <c r="DV7" i="7"/>
  <c r="DW7" i="7"/>
  <c r="DX7" i="7"/>
  <c r="DY7" i="7"/>
  <c r="DZ7" i="7"/>
  <c r="EA7" i="7"/>
  <c r="EB7" i="7"/>
  <c r="EC7" i="7"/>
  <c r="ED7" i="7"/>
  <c r="EE7" i="7"/>
  <c r="EF7" i="7"/>
  <c r="EG7" i="7"/>
  <c r="EH7" i="7"/>
  <c r="EI7" i="7"/>
  <c r="EJ7" i="7"/>
  <c r="EK7" i="7"/>
  <c r="EL7" i="7"/>
  <c r="EM7" i="7"/>
  <c r="EN7" i="7"/>
  <c r="EO7" i="7"/>
  <c r="EP7" i="7"/>
  <c r="EQ7" i="7"/>
  <c r="ER7" i="7"/>
  <c r="ES7" i="7"/>
  <c r="ET7" i="7"/>
  <c r="EU7" i="7"/>
  <c r="EV7" i="7"/>
  <c r="EW7" i="7"/>
  <c r="EX7" i="7"/>
  <c r="EY7" i="7"/>
  <c r="EZ7" i="7"/>
  <c r="FA7" i="7"/>
  <c r="FB7" i="7"/>
  <c r="FC7" i="7"/>
  <c r="FD7" i="7"/>
  <c r="FE7" i="7"/>
  <c r="FF7" i="7"/>
  <c r="FG7" i="7"/>
  <c r="FH7" i="7"/>
  <c r="FI7" i="7"/>
  <c r="FJ7" i="7"/>
  <c r="FK7" i="7"/>
  <c r="FL7" i="7"/>
  <c r="FM7" i="7"/>
  <c r="FN7" i="7"/>
  <c r="FO7" i="7"/>
  <c r="FP7" i="7"/>
  <c r="FQ7" i="7"/>
  <c r="FR7" i="7"/>
  <c r="FS7" i="7"/>
  <c r="FT7" i="7"/>
  <c r="FU7" i="7"/>
  <c r="FV7" i="7"/>
  <c r="FW7" i="7"/>
  <c r="FX7" i="7"/>
  <c r="FY7" i="7"/>
  <c r="FZ7" i="7"/>
  <c r="GA7" i="7"/>
  <c r="GB7" i="7"/>
  <c r="GC7" i="7"/>
  <c r="GD7" i="7"/>
  <c r="GE7" i="7"/>
  <c r="GF7" i="7"/>
  <c r="GG7" i="7"/>
  <c r="GH7" i="7"/>
  <c r="GI7" i="7"/>
  <c r="GJ7" i="7"/>
  <c r="GK7" i="7"/>
  <c r="GL7" i="7"/>
  <c r="GM7" i="7"/>
  <c r="GN7" i="7"/>
  <c r="GO7" i="7"/>
  <c r="GP7" i="7"/>
  <c r="GQ7" i="7"/>
  <c r="GR7" i="7"/>
  <c r="GS7" i="7"/>
  <c r="GT7" i="7"/>
  <c r="GU7" i="7"/>
  <c r="GV7" i="7"/>
  <c r="GW7" i="7"/>
  <c r="GX7" i="7"/>
  <c r="GY7" i="7"/>
  <c r="GZ7" i="7"/>
  <c r="HA7" i="7"/>
  <c r="HB7" i="7"/>
  <c r="HC7" i="7"/>
  <c r="HD7" i="7"/>
  <c r="HE7" i="7"/>
  <c r="HF7" i="7"/>
  <c r="HG7" i="7"/>
  <c r="HH7" i="7"/>
  <c r="HI7" i="7"/>
  <c r="HJ7" i="7"/>
  <c r="HK7" i="7"/>
  <c r="HL7" i="7"/>
  <c r="HM7" i="7"/>
  <c r="HN7" i="7"/>
  <c r="HO7" i="7"/>
  <c r="HP7" i="7"/>
  <c r="HQ7" i="7"/>
  <c r="HR7" i="7"/>
  <c r="HS7" i="7"/>
  <c r="HT7" i="7"/>
  <c r="HU7" i="7"/>
  <c r="HV7" i="7"/>
  <c r="HW7" i="7"/>
  <c r="HX7" i="7"/>
  <c r="HY7" i="7"/>
  <c r="HZ7" i="7"/>
  <c r="IA7" i="7"/>
  <c r="IB7" i="7"/>
  <c r="IC7" i="7"/>
  <c r="ID7" i="7"/>
  <c r="IE7" i="7"/>
  <c r="IF7" i="7"/>
  <c r="IG7" i="7"/>
  <c r="IH7" i="7"/>
  <c r="II7" i="7"/>
  <c r="IJ7" i="7"/>
  <c r="IK7" i="7"/>
  <c r="IL7" i="7"/>
  <c r="IM7" i="7"/>
  <c r="IN7" i="7"/>
  <c r="IO7" i="7"/>
  <c r="IP7" i="7"/>
  <c r="IQ7" i="7"/>
  <c r="IR7" i="7"/>
  <c r="IS7" i="7"/>
  <c r="IT7" i="7"/>
  <c r="IU7" i="7"/>
  <c r="IV7" i="7"/>
  <c r="A8" i="7"/>
  <c r="B8" i="7"/>
  <c r="C8" i="7"/>
  <c r="D8" i="7"/>
  <c r="E8" i="7"/>
  <c r="F8" i="7"/>
  <c r="G8" i="7"/>
  <c r="H8" i="7"/>
  <c r="I8" i="7"/>
  <c r="J8" i="7"/>
  <c r="K8" i="7"/>
  <c r="L8" i="7"/>
  <c r="M8" i="7"/>
  <c r="N8" i="7"/>
  <c r="O8" i="7"/>
  <c r="P8" i="7"/>
  <c r="Q8" i="7"/>
  <c r="R8" i="7"/>
  <c r="S8" i="7"/>
  <c r="T8" i="7"/>
  <c r="U8" i="7"/>
  <c r="V8" i="7"/>
  <c r="W8" i="7"/>
  <c r="X8" i="7"/>
  <c r="Y8" i="7"/>
  <c r="Z8" i="7"/>
  <c r="AA8" i="7"/>
  <c r="AB8" i="7"/>
  <c r="AC8" i="7"/>
  <c r="AD8" i="7"/>
  <c r="AE8" i="7"/>
  <c r="AF8" i="7"/>
  <c r="AG8" i="7"/>
  <c r="AH8" i="7"/>
  <c r="AI8" i="7"/>
  <c r="AJ8" i="7"/>
  <c r="AK8" i="7"/>
  <c r="AL8" i="7"/>
  <c r="AM8" i="7"/>
  <c r="AN8" i="7"/>
  <c r="AO8" i="7"/>
  <c r="AP8" i="7"/>
  <c r="AQ8" i="7"/>
  <c r="AR8" i="7"/>
  <c r="AS8" i="7"/>
  <c r="AT8" i="7"/>
  <c r="AU8" i="7"/>
  <c r="AV8" i="7"/>
  <c r="AW8" i="7"/>
  <c r="AX8" i="7"/>
  <c r="AY8" i="7"/>
  <c r="AZ8" i="7"/>
  <c r="BA8" i="7"/>
  <c r="BB8" i="7"/>
  <c r="BC8" i="7"/>
  <c r="BD8" i="7"/>
  <c r="BE8" i="7"/>
  <c r="BF8" i="7"/>
  <c r="BG8" i="7"/>
  <c r="BH8" i="7"/>
  <c r="BI8" i="7"/>
  <c r="BJ8" i="7"/>
  <c r="BK8" i="7"/>
  <c r="BL8" i="7"/>
  <c r="BM8" i="7"/>
  <c r="BN8" i="7"/>
  <c r="BO8" i="7"/>
  <c r="BP8" i="7"/>
  <c r="BQ8" i="7"/>
  <c r="BR8" i="7"/>
  <c r="BS8" i="7"/>
  <c r="BT8" i="7"/>
  <c r="BU8" i="7"/>
  <c r="BV8" i="7"/>
  <c r="BW8" i="7"/>
  <c r="BX8" i="7"/>
  <c r="BY8" i="7"/>
  <c r="BZ8" i="7"/>
  <c r="CA8" i="7"/>
  <c r="CB8" i="7"/>
  <c r="CC8" i="7"/>
  <c r="CD8" i="7"/>
  <c r="CE8" i="7"/>
  <c r="CF8" i="7"/>
  <c r="CG8" i="7"/>
  <c r="CH8" i="7"/>
  <c r="CI8" i="7"/>
  <c r="CJ8" i="7"/>
  <c r="CK8" i="7"/>
  <c r="CL8" i="7"/>
  <c r="CM8" i="7"/>
  <c r="CN8" i="7"/>
  <c r="CO8" i="7"/>
  <c r="CP8" i="7"/>
  <c r="CQ8" i="7"/>
  <c r="CR8" i="7"/>
  <c r="CS8" i="7"/>
  <c r="CT8" i="7"/>
  <c r="CU8" i="7"/>
  <c r="CV8" i="7"/>
  <c r="CW8" i="7"/>
  <c r="CX8" i="7"/>
  <c r="CY8" i="7"/>
  <c r="CZ8" i="7"/>
  <c r="DA8" i="7"/>
  <c r="DB8" i="7"/>
  <c r="DC8" i="7"/>
  <c r="DD8" i="7"/>
  <c r="DE8" i="7"/>
  <c r="DF8" i="7"/>
  <c r="DG8" i="7"/>
  <c r="DH8" i="7"/>
  <c r="DI8" i="7"/>
  <c r="DJ8" i="7"/>
  <c r="DK8" i="7"/>
  <c r="DL8" i="7"/>
  <c r="DM8" i="7"/>
  <c r="DN8" i="7"/>
  <c r="DO8" i="7"/>
  <c r="DP8" i="7"/>
  <c r="DQ8" i="7"/>
  <c r="DR8" i="7"/>
  <c r="DS8" i="7"/>
  <c r="DT8" i="7"/>
  <c r="DU8" i="7"/>
  <c r="DV8" i="7"/>
  <c r="DW8" i="7"/>
  <c r="DX8" i="7"/>
  <c r="DY8" i="7"/>
  <c r="DZ8" i="7"/>
  <c r="EA8" i="7"/>
  <c r="EB8" i="7"/>
  <c r="EC8" i="7"/>
  <c r="ED8" i="7"/>
  <c r="EE8" i="7"/>
  <c r="EF8" i="7"/>
  <c r="EG8" i="7"/>
  <c r="EH8" i="7"/>
  <c r="EI8" i="7"/>
  <c r="EJ8" i="7"/>
  <c r="EK8" i="7"/>
  <c r="EL8" i="7"/>
  <c r="EM8" i="7"/>
  <c r="EN8" i="7"/>
  <c r="EO8" i="7"/>
  <c r="EP8" i="7"/>
  <c r="EQ8" i="7"/>
  <c r="ER8" i="7"/>
  <c r="ES8" i="7"/>
  <c r="ET8" i="7"/>
  <c r="EU8" i="7"/>
  <c r="EV8" i="7"/>
  <c r="EW8" i="7"/>
  <c r="EX8" i="7"/>
  <c r="EY8" i="7"/>
  <c r="EZ8" i="7"/>
  <c r="FA8" i="7"/>
  <c r="FB8" i="7"/>
  <c r="FC8" i="7"/>
  <c r="FD8" i="7"/>
  <c r="FE8" i="7"/>
  <c r="FF8" i="7"/>
  <c r="FG8" i="7"/>
  <c r="FH8" i="7"/>
  <c r="FI8" i="7"/>
  <c r="FJ8" i="7"/>
  <c r="FK8" i="7"/>
  <c r="FL8" i="7"/>
  <c r="FM8" i="7"/>
  <c r="FN8" i="7"/>
  <c r="FO8" i="7"/>
  <c r="FP8" i="7"/>
  <c r="FQ8" i="7"/>
  <c r="FR8" i="7"/>
  <c r="FS8" i="7"/>
  <c r="FT8" i="7"/>
  <c r="FU8" i="7"/>
  <c r="FV8" i="7"/>
  <c r="FW8" i="7"/>
  <c r="FX8" i="7"/>
  <c r="FY8" i="7"/>
  <c r="FZ8" i="7"/>
  <c r="GA8" i="7"/>
  <c r="GB8" i="7"/>
  <c r="GC8" i="7"/>
  <c r="GD8" i="7"/>
  <c r="GE8" i="7"/>
  <c r="GF8" i="7"/>
  <c r="GG8" i="7"/>
  <c r="GH8" i="7"/>
  <c r="GI8" i="7"/>
  <c r="GJ8" i="7"/>
  <c r="GK8" i="7"/>
  <c r="GL8" i="7"/>
  <c r="GM8" i="7"/>
  <c r="GN8" i="7"/>
  <c r="GO8" i="7"/>
  <c r="GP8" i="7"/>
  <c r="GQ8" i="7"/>
  <c r="GR8" i="7"/>
  <c r="GS8" i="7"/>
  <c r="GT8" i="7"/>
  <c r="GU8" i="7"/>
  <c r="GV8" i="7"/>
  <c r="GW8" i="7"/>
  <c r="GX8" i="7"/>
  <c r="GY8" i="7"/>
  <c r="GZ8" i="7"/>
  <c r="HA8" i="7"/>
  <c r="HB8" i="7"/>
  <c r="HC8" i="7"/>
  <c r="HD8" i="7"/>
  <c r="HE8" i="7"/>
  <c r="HF8" i="7"/>
  <c r="HG8" i="7"/>
  <c r="HH8" i="7"/>
  <c r="HI8" i="7"/>
  <c r="HJ8" i="7"/>
  <c r="HK8" i="7"/>
  <c r="HL8" i="7"/>
  <c r="HM8" i="7"/>
  <c r="HN8" i="7"/>
  <c r="HO8" i="7"/>
  <c r="HP8" i="7"/>
  <c r="HQ8" i="7"/>
  <c r="HR8" i="7"/>
  <c r="HS8" i="7"/>
  <c r="HT8" i="7"/>
  <c r="HU8" i="7"/>
  <c r="HV8" i="7"/>
  <c r="HW8" i="7"/>
  <c r="HX8" i="7"/>
  <c r="HY8" i="7"/>
  <c r="HZ8" i="7"/>
  <c r="IA8" i="7"/>
  <c r="IB8" i="7"/>
  <c r="IC8" i="7"/>
  <c r="ID8" i="7"/>
  <c r="IE8" i="7"/>
  <c r="IF8" i="7"/>
  <c r="IG8" i="7"/>
  <c r="IH8" i="7"/>
  <c r="II8" i="7"/>
  <c r="IJ8" i="7"/>
  <c r="IK8" i="7"/>
  <c r="IL8" i="7"/>
  <c r="IM8" i="7"/>
  <c r="IN8" i="7"/>
  <c r="IO8" i="7"/>
  <c r="IP8" i="7"/>
  <c r="IQ8" i="7"/>
  <c r="IR8" i="7"/>
  <c r="IS8" i="7"/>
  <c r="IT8" i="7"/>
  <c r="IU8" i="7"/>
  <c r="IV8" i="7"/>
  <c r="A9" i="7"/>
  <c r="B9" i="7"/>
  <c r="C9" i="7"/>
  <c r="D9" i="7"/>
  <c r="E9" i="7"/>
  <c r="F9" i="7"/>
  <c r="G9" i="7"/>
  <c r="H9" i="7"/>
  <c r="I9" i="7"/>
  <c r="J9" i="7"/>
  <c r="K9" i="7"/>
  <c r="L9" i="7"/>
  <c r="M9" i="7"/>
  <c r="N9" i="7"/>
  <c r="O9" i="7"/>
  <c r="P9" i="7"/>
  <c r="Q9" i="7"/>
  <c r="R9" i="7"/>
  <c r="S9" i="7"/>
  <c r="T9" i="7"/>
  <c r="U9" i="7"/>
  <c r="V9" i="7"/>
  <c r="W9" i="7"/>
  <c r="X9" i="7"/>
  <c r="Y9" i="7"/>
  <c r="Z9" i="7"/>
  <c r="AA9" i="7"/>
  <c r="AB9" i="7"/>
  <c r="AC9" i="7"/>
  <c r="AD9" i="7"/>
  <c r="AE9" i="7"/>
  <c r="AF9" i="7"/>
  <c r="AG9" i="7"/>
  <c r="AH9" i="7"/>
  <c r="AI9" i="7"/>
  <c r="AJ9" i="7"/>
  <c r="AK9" i="7"/>
  <c r="AL9" i="7"/>
  <c r="AM9" i="7"/>
  <c r="AN9" i="7"/>
  <c r="AO9" i="7"/>
  <c r="AP9" i="7"/>
  <c r="AQ9" i="7"/>
  <c r="AR9" i="7"/>
  <c r="AS9" i="7"/>
  <c r="AT9" i="7"/>
  <c r="AU9" i="7"/>
  <c r="AV9" i="7"/>
  <c r="AW9" i="7"/>
  <c r="AX9" i="7"/>
  <c r="AY9" i="7"/>
  <c r="AZ9" i="7"/>
  <c r="BA9" i="7"/>
  <c r="BB9" i="7"/>
  <c r="BC9" i="7"/>
  <c r="BD9" i="7"/>
  <c r="BE9" i="7"/>
  <c r="BF9" i="7"/>
  <c r="BG9" i="7"/>
  <c r="BH9" i="7"/>
  <c r="BI9" i="7"/>
  <c r="BJ9" i="7"/>
  <c r="BK9" i="7"/>
  <c r="BL9" i="7"/>
  <c r="BM9" i="7"/>
  <c r="BN9" i="7"/>
  <c r="BO9" i="7"/>
  <c r="BP9" i="7"/>
  <c r="BQ9" i="7"/>
  <c r="BR9" i="7"/>
  <c r="BS9" i="7"/>
  <c r="BT9" i="7"/>
  <c r="BU9" i="7"/>
  <c r="BV9" i="7"/>
  <c r="BW9" i="7"/>
  <c r="BX9" i="7"/>
  <c r="BY9" i="7"/>
  <c r="BZ9" i="7"/>
  <c r="CA9" i="7"/>
  <c r="CB9" i="7"/>
  <c r="CC9" i="7"/>
  <c r="CD9" i="7"/>
  <c r="CE9" i="7"/>
  <c r="CF9" i="7"/>
  <c r="CG9" i="7"/>
  <c r="CH9" i="7"/>
  <c r="CI9" i="7"/>
  <c r="CJ9" i="7"/>
  <c r="CK9" i="7"/>
  <c r="CL9" i="7"/>
  <c r="CM9" i="7"/>
  <c r="CN9" i="7"/>
  <c r="CO9" i="7"/>
  <c r="CP9" i="7"/>
  <c r="CQ9" i="7"/>
  <c r="CR9" i="7"/>
  <c r="CS9" i="7"/>
  <c r="CT9" i="7"/>
  <c r="CU9" i="7"/>
  <c r="CV9" i="7"/>
  <c r="CW9" i="7"/>
  <c r="CX9" i="7"/>
  <c r="CY9" i="7"/>
  <c r="CZ9" i="7"/>
  <c r="DA9" i="7"/>
  <c r="DB9" i="7"/>
  <c r="DC9" i="7"/>
  <c r="DD9" i="7"/>
  <c r="DE9" i="7"/>
  <c r="DF9" i="7"/>
  <c r="DG9" i="7"/>
  <c r="DH9" i="7"/>
  <c r="DI9" i="7"/>
  <c r="DJ9" i="7"/>
  <c r="DK9" i="7"/>
  <c r="DL9" i="7"/>
  <c r="DM9" i="7"/>
  <c r="DN9" i="7"/>
  <c r="DO9" i="7"/>
  <c r="DP9" i="7"/>
  <c r="DQ9" i="7"/>
  <c r="DR9" i="7"/>
  <c r="DS9" i="7"/>
  <c r="DT9" i="7"/>
  <c r="DU9" i="7"/>
  <c r="DV9" i="7"/>
  <c r="DW9" i="7"/>
  <c r="DX9" i="7"/>
  <c r="DY9" i="7"/>
  <c r="DZ9" i="7"/>
  <c r="EA9" i="7"/>
  <c r="EB9" i="7"/>
  <c r="EC9" i="7"/>
  <c r="ED9" i="7"/>
  <c r="EE9" i="7"/>
  <c r="EF9" i="7"/>
  <c r="EG9" i="7"/>
  <c r="EH9" i="7"/>
  <c r="EI9" i="7"/>
  <c r="EJ9" i="7"/>
  <c r="EK9" i="7"/>
  <c r="EL9" i="7"/>
  <c r="EM9" i="7"/>
  <c r="EN9" i="7"/>
  <c r="EO9" i="7"/>
  <c r="EP9" i="7"/>
  <c r="EQ9" i="7"/>
  <c r="ER9" i="7"/>
  <c r="ES9" i="7"/>
  <c r="ET9" i="7"/>
  <c r="EU9" i="7"/>
  <c r="EV9" i="7"/>
  <c r="EW9" i="7"/>
  <c r="EX9" i="7"/>
  <c r="EY9" i="7"/>
  <c r="EZ9" i="7"/>
  <c r="FA9" i="7"/>
  <c r="FB9" i="7"/>
  <c r="FC9" i="7"/>
  <c r="FD9" i="7"/>
  <c r="FE9" i="7"/>
  <c r="FF9" i="7"/>
  <c r="FG9" i="7"/>
  <c r="FH9" i="7"/>
  <c r="FI9" i="7"/>
  <c r="FJ9" i="7"/>
  <c r="FK9" i="7"/>
  <c r="FL9" i="7"/>
  <c r="FM9" i="7"/>
  <c r="FN9" i="7"/>
  <c r="FO9" i="7"/>
  <c r="FP9" i="7"/>
  <c r="FQ9" i="7"/>
  <c r="FR9" i="7"/>
  <c r="FS9" i="7"/>
  <c r="FT9" i="7"/>
  <c r="FU9" i="7"/>
  <c r="FV9" i="7"/>
  <c r="FW9" i="7"/>
  <c r="FX9" i="7"/>
  <c r="FY9" i="7"/>
  <c r="FZ9" i="7"/>
  <c r="GA9" i="7"/>
  <c r="GB9" i="7"/>
  <c r="GC9" i="7"/>
  <c r="GD9" i="7"/>
  <c r="GE9" i="7"/>
  <c r="GF9" i="7"/>
  <c r="GG9" i="7"/>
  <c r="GH9" i="7"/>
  <c r="GI9" i="7"/>
  <c r="GJ9" i="7"/>
  <c r="GK9" i="7"/>
  <c r="GL9" i="7"/>
  <c r="GM9" i="7"/>
  <c r="GN9" i="7"/>
  <c r="GO9" i="7"/>
  <c r="GP9" i="7"/>
  <c r="GQ9" i="7"/>
  <c r="GR9" i="7"/>
  <c r="GS9" i="7"/>
  <c r="GT9" i="7"/>
  <c r="GU9" i="7"/>
  <c r="GV9" i="7"/>
  <c r="GW9" i="7"/>
  <c r="GX9" i="7"/>
  <c r="GY9" i="7"/>
  <c r="GZ9" i="7"/>
  <c r="HA9" i="7"/>
  <c r="HB9" i="7"/>
  <c r="HC9" i="7"/>
  <c r="HD9" i="7"/>
  <c r="HE9" i="7"/>
  <c r="HF9" i="7"/>
  <c r="HG9" i="7"/>
  <c r="HH9" i="7"/>
  <c r="HI9" i="7"/>
  <c r="HJ9" i="7"/>
  <c r="HK9" i="7"/>
  <c r="HL9" i="7"/>
  <c r="HM9" i="7"/>
  <c r="HN9" i="7"/>
  <c r="HO9" i="7"/>
  <c r="HP9" i="7"/>
  <c r="HQ9" i="7"/>
  <c r="HR9" i="7"/>
  <c r="HS9" i="7"/>
  <c r="HT9" i="7"/>
  <c r="HU9" i="7"/>
  <c r="HV9" i="7"/>
  <c r="HW9" i="7"/>
  <c r="HX9" i="7"/>
  <c r="HY9" i="7"/>
  <c r="HZ9" i="7"/>
  <c r="IA9" i="7"/>
  <c r="IB9" i="7"/>
  <c r="IC9" i="7"/>
  <c r="ID9" i="7"/>
  <c r="IE9" i="7"/>
  <c r="IF9" i="7"/>
  <c r="IG9" i="7"/>
  <c r="IH9" i="7"/>
  <c r="II9" i="7"/>
  <c r="IJ9" i="7"/>
  <c r="IK9" i="7"/>
  <c r="IL9" i="7"/>
  <c r="IM9" i="7"/>
  <c r="IN9" i="7"/>
  <c r="IO9" i="7"/>
  <c r="IP9" i="7"/>
  <c r="IQ9" i="7"/>
  <c r="IR9" i="7"/>
  <c r="IS9" i="7"/>
  <c r="IT9" i="7"/>
  <c r="IU9" i="7"/>
  <c r="IV9" i="7"/>
  <c r="A10" i="7"/>
  <c r="B10" i="7"/>
  <c r="C10" i="7"/>
  <c r="D10" i="7"/>
  <c r="E10" i="7"/>
  <c r="F10" i="7"/>
  <c r="G10" i="7"/>
  <c r="H10" i="7"/>
  <c r="I10" i="7"/>
  <c r="J10" i="7"/>
  <c r="K10" i="7"/>
  <c r="L10" i="7"/>
  <c r="M10" i="7"/>
  <c r="N10" i="7"/>
  <c r="O10" i="7"/>
  <c r="P10" i="7"/>
  <c r="Q10" i="7"/>
  <c r="R10" i="7"/>
  <c r="S10" i="7"/>
  <c r="T10" i="7"/>
  <c r="U10" i="7"/>
  <c r="V10" i="7"/>
  <c r="W10" i="7"/>
  <c r="X10" i="7"/>
  <c r="Y10" i="7"/>
  <c r="Z10" i="7"/>
  <c r="AA10" i="7"/>
  <c r="AB10" i="7"/>
  <c r="AC10" i="7"/>
  <c r="AD10" i="7"/>
  <c r="AE10" i="7"/>
  <c r="AF10" i="7"/>
  <c r="AG10" i="7"/>
  <c r="AH10" i="7"/>
  <c r="AI10" i="7"/>
  <c r="AJ10" i="7"/>
  <c r="AK10" i="7"/>
  <c r="AL10" i="7"/>
  <c r="AM10" i="7"/>
  <c r="AN10" i="7"/>
  <c r="AO10" i="7"/>
  <c r="AP10" i="7"/>
  <c r="AQ10" i="7"/>
  <c r="AR10" i="7"/>
  <c r="AS10" i="7"/>
  <c r="AT10" i="7"/>
  <c r="AU10" i="7"/>
  <c r="AV10" i="7"/>
  <c r="AW10" i="7"/>
  <c r="AX10" i="7"/>
  <c r="AY10" i="7"/>
  <c r="AZ10" i="7"/>
  <c r="BA10" i="7"/>
  <c r="BB10" i="7"/>
  <c r="BC10" i="7"/>
  <c r="BD10" i="7"/>
  <c r="BE10" i="7"/>
  <c r="BF10" i="7"/>
  <c r="BG10" i="7"/>
  <c r="BH10" i="7"/>
  <c r="BI10" i="7"/>
  <c r="BJ10" i="7"/>
  <c r="BK10" i="7"/>
  <c r="BL10" i="7"/>
  <c r="BM10" i="7"/>
  <c r="BN10" i="7"/>
  <c r="BO10" i="7"/>
  <c r="BP10" i="7"/>
  <c r="BQ10" i="7"/>
  <c r="BR10" i="7"/>
  <c r="BS10" i="7"/>
  <c r="BT10" i="7"/>
  <c r="BU10" i="7"/>
  <c r="BV10" i="7"/>
  <c r="BW10" i="7"/>
  <c r="BX10" i="7"/>
  <c r="BY10" i="7"/>
  <c r="BZ10" i="7"/>
  <c r="CA10" i="7"/>
  <c r="CB10" i="7"/>
  <c r="CC10" i="7"/>
  <c r="CD10" i="7"/>
  <c r="CE10" i="7"/>
  <c r="CF10" i="7"/>
  <c r="CG10" i="7"/>
  <c r="CH10" i="7"/>
  <c r="CI10" i="7"/>
  <c r="CJ10" i="7"/>
  <c r="CK10" i="7"/>
  <c r="CL10" i="7"/>
  <c r="CM10" i="7"/>
  <c r="CN10" i="7"/>
  <c r="CO10" i="7"/>
  <c r="CP10" i="7"/>
  <c r="CQ10" i="7"/>
  <c r="CR10" i="7"/>
  <c r="CS10" i="7"/>
  <c r="CT10" i="7"/>
  <c r="CU10" i="7"/>
  <c r="CV10" i="7"/>
  <c r="CW10" i="7"/>
  <c r="CX10" i="7"/>
  <c r="CY10" i="7"/>
  <c r="CZ10" i="7"/>
  <c r="DA10" i="7"/>
  <c r="DB10" i="7"/>
  <c r="DC10" i="7"/>
  <c r="DD10" i="7"/>
  <c r="DE10" i="7"/>
  <c r="DF10" i="7"/>
  <c r="DG10" i="7"/>
  <c r="DH10" i="7"/>
  <c r="DI10" i="7"/>
  <c r="DJ10" i="7"/>
  <c r="DK10" i="7"/>
  <c r="DL10" i="7"/>
  <c r="DM10" i="7"/>
  <c r="DN10" i="7"/>
  <c r="DO10" i="7"/>
  <c r="DP10" i="7"/>
  <c r="DQ10" i="7"/>
  <c r="DR10" i="7"/>
  <c r="DS10" i="7"/>
  <c r="DT10" i="7"/>
  <c r="DU10" i="7"/>
  <c r="DV10" i="7"/>
  <c r="DW10" i="7"/>
  <c r="DX10" i="7"/>
  <c r="DY10" i="7"/>
  <c r="DZ10" i="7"/>
  <c r="EA10" i="7"/>
  <c r="EB10" i="7"/>
  <c r="EC10" i="7"/>
  <c r="ED10" i="7"/>
  <c r="EE10" i="7"/>
  <c r="EF10" i="7"/>
  <c r="EG10" i="7"/>
  <c r="EH10" i="7"/>
  <c r="EI10" i="7"/>
  <c r="EJ10" i="7"/>
  <c r="EK10" i="7"/>
  <c r="EL10" i="7"/>
  <c r="EM10" i="7"/>
  <c r="EN10" i="7"/>
  <c r="EO10" i="7"/>
  <c r="EP10" i="7"/>
  <c r="EQ10" i="7"/>
  <c r="ER10" i="7"/>
  <c r="ES10" i="7"/>
  <c r="ET10" i="7"/>
  <c r="EU10" i="7"/>
  <c r="EV10" i="7"/>
  <c r="EW10" i="7"/>
  <c r="EX10" i="7"/>
  <c r="EY10" i="7"/>
  <c r="EZ10" i="7"/>
  <c r="FA10" i="7"/>
  <c r="FB10" i="7"/>
  <c r="FC10" i="7"/>
  <c r="FD10" i="7"/>
  <c r="FE10" i="7"/>
  <c r="FF10" i="7"/>
  <c r="FG10" i="7"/>
  <c r="FH10" i="7"/>
  <c r="FI10" i="7"/>
  <c r="FJ10" i="7"/>
  <c r="FK10" i="7"/>
  <c r="FL10" i="7"/>
  <c r="FM10" i="7"/>
  <c r="FN10" i="7"/>
  <c r="FO10" i="7"/>
  <c r="FP10" i="7"/>
  <c r="FQ10" i="7"/>
  <c r="FR10" i="7"/>
  <c r="FS10" i="7"/>
  <c r="FT10" i="7"/>
  <c r="FU10" i="7"/>
  <c r="FV10" i="7"/>
  <c r="FW10" i="7"/>
  <c r="FX10" i="7"/>
  <c r="FY10" i="7"/>
  <c r="FZ10" i="7"/>
  <c r="GA10" i="7"/>
  <c r="GB10" i="7"/>
  <c r="GC10" i="7"/>
  <c r="GD10" i="7"/>
  <c r="GE10" i="7"/>
  <c r="GF10" i="7"/>
  <c r="GG10" i="7"/>
  <c r="GH10" i="7"/>
  <c r="GI10" i="7"/>
  <c r="GJ10" i="7"/>
  <c r="GK10" i="7"/>
  <c r="GL10" i="7"/>
  <c r="GM10" i="7"/>
  <c r="GN10" i="7"/>
  <c r="GO10" i="7"/>
  <c r="GP10" i="7"/>
  <c r="GQ10" i="7"/>
  <c r="GR10" i="7"/>
  <c r="GS10" i="7"/>
  <c r="GT10" i="7"/>
  <c r="GU10" i="7"/>
  <c r="GV10" i="7"/>
  <c r="GW10" i="7"/>
  <c r="GX10" i="7"/>
  <c r="GY10" i="7"/>
  <c r="GZ10" i="7"/>
  <c r="HA10" i="7"/>
  <c r="HB10" i="7"/>
  <c r="HC10" i="7"/>
  <c r="HD10" i="7"/>
  <c r="HE10" i="7"/>
  <c r="HF10" i="7"/>
  <c r="HG10" i="7"/>
  <c r="HH10" i="7"/>
  <c r="HI10" i="7"/>
  <c r="HJ10" i="7"/>
  <c r="HK10" i="7"/>
  <c r="HL10" i="7"/>
  <c r="HM10" i="7"/>
  <c r="HN10" i="7"/>
  <c r="HO10" i="7"/>
  <c r="HP10" i="7"/>
  <c r="HQ10" i="7"/>
  <c r="HR10" i="7"/>
  <c r="HS10" i="7"/>
  <c r="HT10" i="7"/>
  <c r="HU10" i="7"/>
  <c r="HV10" i="7"/>
  <c r="HW10" i="7"/>
  <c r="HX10" i="7"/>
  <c r="HY10" i="7"/>
  <c r="HZ10" i="7"/>
  <c r="IA10" i="7"/>
  <c r="IB10" i="7"/>
  <c r="IC10" i="7"/>
  <c r="ID10" i="7"/>
  <c r="IE10" i="7"/>
  <c r="IF10" i="7"/>
  <c r="IG10" i="7"/>
  <c r="IH10" i="7"/>
  <c r="II10" i="7"/>
  <c r="IJ10" i="7"/>
  <c r="IK10" i="7"/>
  <c r="IL10" i="7"/>
  <c r="IM10" i="7"/>
  <c r="IN10" i="7"/>
  <c r="IO10" i="7"/>
  <c r="IP10" i="7"/>
  <c r="IQ10" i="7"/>
  <c r="IR10" i="7"/>
  <c r="IS10" i="7"/>
  <c r="IT10" i="7"/>
  <c r="IU10" i="7"/>
  <c r="IV10" i="7"/>
  <c r="A11" i="7"/>
  <c r="B11" i="7"/>
  <c r="C11" i="7"/>
  <c r="D11" i="7"/>
  <c r="E11" i="7"/>
  <c r="F11" i="7"/>
  <c r="G11" i="7"/>
  <c r="H11" i="7"/>
  <c r="I11" i="7"/>
  <c r="J11" i="7"/>
  <c r="K11" i="7"/>
  <c r="L11" i="7"/>
  <c r="M11" i="7"/>
  <c r="N11" i="7"/>
  <c r="O11" i="7"/>
  <c r="P11" i="7"/>
  <c r="Q11" i="7"/>
  <c r="R11" i="7"/>
  <c r="S11" i="7"/>
  <c r="T11" i="7"/>
  <c r="U11" i="7"/>
  <c r="V11" i="7"/>
  <c r="W11" i="7"/>
  <c r="X11" i="7"/>
  <c r="Y11" i="7"/>
  <c r="Z11" i="7"/>
  <c r="AA11" i="7"/>
  <c r="AB11" i="7"/>
  <c r="AC11" i="7"/>
  <c r="AD11" i="7"/>
  <c r="AE11" i="7"/>
  <c r="AF11" i="7"/>
  <c r="AG11" i="7"/>
  <c r="AH11" i="7"/>
  <c r="AI11" i="7"/>
  <c r="AJ11" i="7"/>
  <c r="AK11" i="7"/>
  <c r="AL11" i="7"/>
  <c r="AM11" i="7"/>
  <c r="AN11" i="7"/>
  <c r="AO11" i="7"/>
  <c r="AP11" i="7"/>
  <c r="AQ11" i="7"/>
  <c r="AR11"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BT11" i="7"/>
  <c r="BU11" i="7"/>
  <c r="BV11" i="7"/>
  <c r="BW11" i="7"/>
  <c r="BX11" i="7"/>
  <c r="BY11" i="7"/>
  <c r="BZ11" i="7"/>
  <c r="CA11" i="7"/>
  <c r="CB11" i="7"/>
  <c r="CC11" i="7"/>
  <c r="CD11" i="7"/>
  <c r="CE11" i="7"/>
  <c r="CF11" i="7"/>
  <c r="CG11" i="7"/>
  <c r="CH11" i="7"/>
  <c r="CI11" i="7"/>
  <c r="CJ11" i="7"/>
  <c r="CK11" i="7"/>
  <c r="CL11" i="7"/>
  <c r="CM11" i="7"/>
  <c r="CN11" i="7"/>
  <c r="CO11" i="7"/>
  <c r="CP11" i="7"/>
  <c r="CQ11" i="7"/>
  <c r="CR11" i="7"/>
  <c r="CS11" i="7"/>
  <c r="CT11" i="7"/>
  <c r="CU11" i="7"/>
  <c r="CV11" i="7"/>
  <c r="CW11" i="7"/>
  <c r="CX11" i="7"/>
  <c r="CY11" i="7"/>
  <c r="CZ11" i="7"/>
  <c r="DA11" i="7"/>
  <c r="DB11" i="7"/>
  <c r="DC11" i="7"/>
  <c r="DD11" i="7"/>
  <c r="DE11" i="7"/>
  <c r="DF11" i="7"/>
  <c r="DG11" i="7"/>
  <c r="DH11" i="7"/>
  <c r="DI11" i="7"/>
  <c r="DJ11" i="7"/>
  <c r="DK11" i="7"/>
  <c r="DL11" i="7"/>
  <c r="DM11" i="7"/>
  <c r="DN11" i="7"/>
  <c r="DO11" i="7"/>
  <c r="DP11" i="7"/>
  <c r="DQ11" i="7"/>
  <c r="DR11" i="7"/>
  <c r="DS11" i="7"/>
  <c r="DT11" i="7"/>
  <c r="DU11" i="7"/>
  <c r="DV11" i="7"/>
  <c r="DW11" i="7"/>
  <c r="DX11" i="7"/>
  <c r="DY11" i="7"/>
  <c r="DZ11" i="7"/>
  <c r="EA11" i="7"/>
  <c r="EB11" i="7"/>
  <c r="EC11" i="7"/>
  <c r="ED11" i="7"/>
  <c r="EE11" i="7"/>
  <c r="EF11" i="7"/>
  <c r="EG11" i="7"/>
  <c r="EH11" i="7"/>
  <c r="EI11" i="7"/>
  <c r="EJ11" i="7"/>
  <c r="EK11" i="7"/>
  <c r="EL11" i="7"/>
  <c r="EM11" i="7"/>
  <c r="EN11" i="7"/>
  <c r="EO11" i="7"/>
  <c r="EP11" i="7"/>
  <c r="EQ11" i="7"/>
  <c r="ER11" i="7"/>
  <c r="ES11" i="7"/>
  <c r="ET11" i="7"/>
  <c r="EU11" i="7"/>
  <c r="EV11" i="7"/>
  <c r="EW11" i="7"/>
  <c r="EX11" i="7"/>
  <c r="EY11" i="7"/>
  <c r="EZ11" i="7"/>
  <c r="FA11" i="7"/>
  <c r="FB11" i="7"/>
  <c r="FC11" i="7"/>
  <c r="FD11" i="7"/>
  <c r="FE11" i="7"/>
  <c r="FF11" i="7"/>
  <c r="FG11" i="7"/>
  <c r="FH11" i="7"/>
  <c r="FI11" i="7"/>
  <c r="FJ11" i="7"/>
  <c r="FK11" i="7"/>
  <c r="FL11" i="7"/>
  <c r="FM11" i="7"/>
  <c r="FN11" i="7"/>
  <c r="FO11" i="7"/>
  <c r="FP11" i="7"/>
  <c r="FQ11" i="7"/>
  <c r="FR11" i="7"/>
  <c r="FS11" i="7"/>
  <c r="FT11" i="7"/>
  <c r="FU11" i="7"/>
  <c r="FV11" i="7"/>
  <c r="FW11" i="7"/>
  <c r="FX11" i="7"/>
  <c r="FY11" i="7"/>
  <c r="FZ11" i="7"/>
  <c r="GA11" i="7"/>
  <c r="GB11" i="7"/>
  <c r="GC11" i="7"/>
  <c r="GD11" i="7"/>
  <c r="GE11" i="7"/>
  <c r="GF11" i="7"/>
  <c r="GG11" i="7"/>
  <c r="GH11" i="7"/>
  <c r="GI11" i="7"/>
  <c r="GJ11" i="7"/>
  <c r="GK11" i="7"/>
  <c r="GL11" i="7"/>
  <c r="GM11" i="7"/>
  <c r="GN11" i="7"/>
  <c r="GO11" i="7"/>
  <c r="GP11" i="7"/>
  <c r="GQ11" i="7"/>
  <c r="GR11" i="7"/>
  <c r="GS11" i="7"/>
  <c r="GT11" i="7"/>
  <c r="GU11" i="7"/>
  <c r="GV11" i="7"/>
  <c r="GW11" i="7"/>
  <c r="GX11" i="7"/>
  <c r="GY11" i="7"/>
  <c r="GZ11" i="7"/>
  <c r="HA11" i="7"/>
  <c r="HB11" i="7"/>
  <c r="HC11" i="7"/>
  <c r="HD11" i="7"/>
  <c r="HE11" i="7"/>
  <c r="HF11" i="7"/>
  <c r="HG11" i="7"/>
  <c r="HH11" i="7"/>
  <c r="HI11" i="7"/>
  <c r="HJ11" i="7"/>
  <c r="HK11" i="7"/>
  <c r="HL11" i="7"/>
  <c r="HM11" i="7"/>
  <c r="HN11" i="7"/>
  <c r="HO11" i="7"/>
  <c r="HP11" i="7"/>
  <c r="HQ11" i="7"/>
  <c r="HR11" i="7"/>
  <c r="HS11" i="7"/>
  <c r="HT11" i="7"/>
  <c r="HU11" i="7"/>
  <c r="HV11" i="7"/>
  <c r="HW11" i="7"/>
  <c r="HX11" i="7"/>
  <c r="HY11" i="7"/>
  <c r="HZ11" i="7"/>
  <c r="IA11" i="7"/>
  <c r="IB11" i="7"/>
  <c r="IC11" i="7"/>
  <c r="ID11" i="7"/>
  <c r="IE11" i="7"/>
  <c r="IF11" i="7"/>
  <c r="IG11" i="7"/>
  <c r="IH11" i="7"/>
  <c r="II11" i="7"/>
  <c r="IJ11" i="7"/>
  <c r="IK11" i="7"/>
  <c r="IL11" i="7"/>
  <c r="IM11" i="7"/>
  <c r="IN11" i="7"/>
  <c r="IO11" i="7"/>
  <c r="IP11" i="7"/>
  <c r="IQ11" i="7"/>
  <c r="IR11" i="7"/>
  <c r="IS11" i="7"/>
  <c r="IT11" i="7"/>
  <c r="IU11" i="7"/>
  <c r="IV11" i="7"/>
  <c r="A12" i="7"/>
  <c r="B12" i="7"/>
  <c r="C12" i="7"/>
  <c r="D12" i="7"/>
  <c r="E12" i="7"/>
  <c r="F12" i="7"/>
  <c r="G12" i="7"/>
  <c r="H12" i="7"/>
  <c r="I12" i="7"/>
  <c r="J12" i="7"/>
  <c r="K12" i="7"/>
  <c r="L12" i="7"/>
  <c r="M12" i="7"/>
  <c r="N12" i="7"/>
  <c r="O12" i="7"/>
  <c r="P12" i="7"/>
  <c r="Q12" i="7"/>
  <c r="R12" i="7"/>
  <c r="S12" i="7"/>
  <c r="T12" i="7"/>
  <c r="U12" i="7"/>
  <c r="V12" i="7"/>
  <c r="W12" i="7"/>
  <c r="X12" i="7"/>
  <c r="Y12" i="7"/>
  <c r="Z12" i="7"/>
  <c r="AA12" i="7"/>
  <c r="AB12" i="7"/>
  <c r="AC12" i="7"/>
  <c r="AD12" i="7"/>
  <c r="AE12" i="7"/>
  <c r="AF12" i="7"/>
  <c r="AG12" i="7"/>
  <c r="AH12" i="7"/>
  <c r="AI12" i="7"/>
  <c r="AJ12" i="7"/>
  <c r="AK12" i="7"/>
  <c r="AL12" i="7"/>
  <c r="AM12" i="7"/>
  <c r="AN12" i="7"/>
  <c r="AO12" i="7"/>
  <c r="AP12" i="7"/>
  <c r="AQ12" i="7"/>
  <c r="AR12" i="7"/>
  <c r="AS12" i="7"/>
  <c r="AT12" i="7"/>
  <c r="AU12" i="7"/>
  <c r="AV12" i="7"/>
  <c r="AW12" i="7"/>
  <c r="AX12" i="7"/>
  <c r="AY12" i="7"/>
  <c r="AZ12" i="7"/>
  <c r="BA12" i="7"/>
  <c r="BB12" i="7"/>
  <c r="BC12" i="7"/>
  <c r="BD12" i="7"/>
  <c r="BE12" i="7"/>
  <c r="BF12" i="7"/>
  <c r="BG12" i="7"/>
  <c r="BH12" i="7"/>
  <c r="BI12" i="7"/>
  <c r="BJ12" i="7"/>
  <c r="BK12" i="7"/>
  <c r="BL12" i="7"/>
  <c r="BM12" i="7"/>
  <c r="BN12" i="7"/>
  <c r="BO12" i="7"/>
  <c r="BP12" i="7"/>
  <c r="BQ12" i="7"/>
  <c r="BR12" i="7"/>
  <c r="BS12" i="7"/>
  <c r="BT12" i="7"/>
  <c r="BU12" i="7"/>
  <c r="BV12" i="7"/>
  <c r="BW12" i="7"/>
  <c r="BX12" i="7"/>
  <c r="BY12" i="7"/>
  <c r="BZ12" i="7"/>
  <c r="CA12" i="7"/>
  <c r="CB12" i="7"/>
  <c r="CC12" i="7"/>
  <c r="CD12" i="7"/>
  <c r="CE12" i="7"/>
  <c r="CF12" i="7"/>
  <c r="CG12" i="7"/>
  <c r="CH12" i="7"/>
  <c r="CI12" i="7"/>
  <c r="CJ12" i="7"/>
  <c r="CK12" i="7"/>
  <c r="CL12" i="7"/>
  <c r="CM12" i="7"/>
  <c r="CN12" i="7"/>
  <c r="CO12" i="7"/>
  <c r="CP12" i="7"/>
  <c r="CQ12" i="7"/>
  <c r="CR12" i="7"/>
  <c r="CS12" i="7"/>
  <c r="CT12" i="7"/>
  <c r="CU12" i="7"/>
  <c r="CV12" i="7"/>
  <c r="CW12" i="7"/>
  <c r="CX12" i="7"/>
  <c r="CY12" i="7"/>
  <c r="CZ12" i="7"/>
  <c r="DA12" i="7"/>
  <c r="DB12" i="7"/>
  <c r="DC12" i="7"/>
  <c r="DD12" i="7"/>
  <c r="DE12" i="7"/>
  <c r="DF12" i="7"/>
  <c r="DG12" i="7"/>
  <c r="DH12" i="7"/>
  <c r="DI12" i="7"/>
  <c r="DJ12" i="7"/>
  <c r="DK12" i="7"/>
  <c r="DL12" i="7"/>
  <c r="DM12" i="7"/>
  <c r="DN12" i="7"/>
  <c r="DO12" i="7"/>
  <c r="DP12" i="7"/>
  <c r="DQ12" i="7"/>
  <c r="DR12" i="7"/>
  <c r="DS12" i="7"/>
  <c r="DT12" i="7"/>
  <c r="DU12" i="7"/>
  <c r="DV12" i="7"/>
  <c r="DW12" i="7"/>
  <c r="DX12" i="7"/>
  <c r="DY12" i="7"/>
  <c r="DZ12" i="7"/>
  <c r="EA12" i="7"/>
  <c r="EB12" i="7"/>
  <c r="EC12" i="7"/>
  <c r="ED12" i="7"/>
  <c r="EE12" i="7"/>
  <c r="EF12" i="7"/>
  <c r="EG12" i="7"/>
  <c r="EH12" i="7"/>
  <c r="EI12" i="7"/>
  <c r="EJ12" i="7"/>
  <c r="EK12" i="7"/>
  <c r="EL12" i="7"/>
  <c r="EM12" i="7"/>
  <c r="EN12" i="7"/>
  <c r="EO12" i="7"/>
  <c r="EP12" i="7"/>
  <c r="EQ12" i="7"/>
  <c r="ER12" i="7"/>
  <c r="ES12" i="7"/>
  <c r="ET12" i="7"/>
  <c r="EU12" i="7"/>
  <c r="EV12" i="7"/>
  <c r="EW12" i="7"/>
  <c r="EX12" i="7"/>
  <c r="EY12" i="7"/>
  <c r="EZ12" i="7"/>
  <c r="FA12" i="7"/>
  <c r="FB12" i="7"/>
  <c r="FC12" i="7"/>
  <c r="FD12" i="7"/>
  <c r="FE12" i="7"/>
  <c r="FF12" i="7"/>
  <c r="FG12" i="7"/>
  <c r="FH12" i="7"/>
  <c r="FI12" i="7"/>
  <c r="FJ12" i="7"/>
  <c r="FK12" i="7"/>
  <c r="FL12" i="7"/>
  <c r="FM12" i="7"/>
  <c r="FN12" i="7"/>
  <c r="FO12" i="7"/>
  <c r="FP12" i="7"/>
  <c r="FQ12" i="7"/>
  <c r="FR12" i="7"/>
  <c r="FS12" i="7"/>
  <c r="FT12" i="7"/>
  <c r="FU12" i="7"/>
  <c r="FV12" i="7"/>
  <c r="FW12" i="7"/>
  <c r="FX12" i="7"/>
  <c r="FY12" i="7"/>
  <c r="FZ12" i="7"/>
  <c r="GA12" i="7"/>
  <c r="GB12" i="7"/>
  <c r="GC12" i="7"/>
  <c r="GD12" i="7"/>
  <c r="GE12" i="7"/>
  <c r="GF12" i="7"/>
  <c r="GG12" i="7"/>
  <c r="GH12" i="7"/>
  <c r="GI12" i="7"/>
  <c r="GJ12" i="7"/>
  <c r="GK12" i="7"/>
  <c r="GL12" i="7"/>
  <c r="GM12" i="7"/>
  <c r="GN12" i="7"/>
  <c r="GO12" i="7"/>
  <c r="GP12" i="7"/>
  <c r="GQ12" i="7"/>
  <c r="GR12" i="7"/>
  <c r="GS12" i="7"/>
  <c r="GT12" i="7"/>
  <c r="GU12" i="7"/>
  <c r="GV12" i="7"/>
  <c r="GW12" i="7"/>
  <c r="GX12" i="7"/>
  <c r="GY12" i="7"/>
  <c r="GZ12" i="7"/>
  <c r="HA12" i="7"/>
  <c r="HB12" i="7"/>
  <c r="HC12" i="7"/>
  <c r="HD12" i="7"/>
  <c r="HE12" i="7"/>
  <c r="HF12" i="7"/>
  <c r="HG12" i="7"/>
  <c r="HH12" i="7"/>
  <c r="HI12" i="7"/>
  <c r="HJ12" i="7"/>
  <c r="HK12" i="7"/>
  <c r="HL12" i="7"/>
  <c r="HM12" i="7"/>
  <c r="HN12" i="7"/>
  <c r="HO12" i="7"/>
  <c r="HP12" i="7"/>
  <c r="HQ12" i="7"/>
  <c r="HR12" i="7"/>
  <c r="HS12" i="7"/>
  <c r="HT12" i="7"/>
  <c r="HU12" i="7"/>
  <c r="HV12" i="7"/>
  <c r="HW12" i="7"/>
  <c r="HX12" i="7"/>
  <c r="HY12" i="7"/>
  <c r="HZ12" i="7"/>
  <c r="IA12" i="7"/>
  <c r="IB12" i="7"/>
  <c r="IC12" i="7"/>
  <c r="ID12" i="7"/>
  <c r="IE12" i="7"/>
  <c r="IF12" i="7"/>
  <c r="IG12" i="7"/>
  <c r="IH12" i="7"/>
  <c r="II12" i="7"/>
  <c r="IJ12" i="7"/>
  <c r="IK12" i="7"/>
  <c r="IL12" i="7"/>
  <c r="IM12" i="7"/>
  <c r="IN12" i="7"/>
  <c r="IO12" i="7"/>
  <c r="IP12" i="7"/>
  <c r="IQ12" i="7"/>
  <c r="IR12" i="7"/>
  <c r="IS12" i="7"/>
  <c r="IT12" i="7"/>
  <c r="IU12" i="7"/>
  <c r="IV12" i="7"/>
  <c r="A13" i="7"/>
  <c r="B13" i="7"/>
  <c r="C13" i="7"/>
  <c r="D13" i="7"/>
  <c r="E13" i="7"/>
  <c r="F13" i="7"/>
  <c r="G13" i="7"/>
  <c r="H13" i="7"/>
  <c r="I13" i="7"/>
  <c r="J13" i="7"/>
  <c r="K13" i="7"/>
  <c r="L13" i="7"/>
  <c r="M13" i="7"/>
  <c r="N13" i="7"/>
  <c r="O13" i="7"/>
  <c r="P13" i="7"/>
  <c r="Q13" i="7"/>
  <c r="R13" i="7"/>
  <c r="S13" i="7"/>
  <c r="T13" i="7"/>
  <c r="U13" i="7"/>
  <c r="V13" i="7"/>
  <c r="W13" i="7"/>
  <c r="X13" i="7"/>
  <c r="Y13" i="7"/>
  <c r="Z13" i="7"/>
  <c r="AA13" i="7"/>
  <c r="AB13" i="7"/>
  <c r="AC13" i="7"/>
  <c r="AD13" i="7"/>
  <c r="AE13" i="7"/>
  <c r="AF13" i="7"/>
  <c r="AG13" i="7"/>
  <c r="AH13" i="7"/>
  <c r="AI13" i="7"/>
  <c r="AJ13" i="7"/>
  <c r="AK13" i="7"/>
  <c r="AL13" i="7"/>
  <c r="AM13" i="7"/>
  <c r="AN13" i="7"/>
  <c r="AO13" i="7"/>
  <c r="AP13" i="7"/>
  <c r="AQ13" i="7"/>
  <c r="AR13" i="7"/>
  <c r="AS13" i="7"/>
  <c r="AT13" i="7"/>
  <c r="AU13" i="7"/>
  <c r="AV13" i="7"/>
  <c r="AW13" i="7"/>
  <c r="AX13" i="7"/>
  <c r="AY13" i="7"/>
  <c r="AZ13" i="7"/>
  <c r="BA13" i="7"/>
  <c r="BB13" i="7"/>
  <c r="BC13" i="7"/>
  <c r="BD13" i="7"/>
  <c r="BE13" i="7"/>
  <c r="BF13" i="7"/>
  <c r="BG13" i="7"/>
  <c r="BH13" i="7"/>
  <c r="BI13" i="7"/>
  <c r="BJ13" i="7"/>
  <c r="BK13" i="7"/>
  <c r="BL13" i="7"/>
  <c r="BM13" i="7"/>
  <c r="BN13" i="7"/>
  <c r="BO13" i="7"/>
  <c r="BP13" i="7"/>
  <c r="BQ13" i="7"/>
  <c r="BR13" i="7"/>
  <c r="BS13" i="7"/>
  <c r="BT13" i="7"/>
  <c r="BU13" i="7"/>
  <c r="BV13" i="7"/>
  <c r="BW13" i="7"/>
  <c r="BX13" i="7"/>
  <c r="BY13" i="7"/>
  <c r="BZ13" i="7"/>
  <c r="CA13" i="7"/>
  <c r="CB13" i="7"/>
  <c r="CC13" i="7"/>
  <c r="CD13" i="7"/>
  <c r="CE13" i="7"/>
  <c r="CF13" i="7"/>
  <c r="CG13" i="7"/>
  <c r="CH13" i="7"/>
  <c r="CI13" i="7"/>
  <c r="CJ13" i="7"/>
  <c r="CK13" i="7"/>
  <c r="CL13" i="7"/>
  <c r="CM13" i="7"/>
  <c r="CN13" i="7"/>
  <c r="CO13" i="7"/>
  <c r="CP13" i="7"/>
  <c r="CQ13" i="7"/>
  <c r="CR13" i="7"/>
  <c r="CS13" i="7"/>
  <c r="CT13" i="7"/>
  <c r="CU13" i="7"/>
  <c r="CV13" i="7"/>
  <c r="CW13" i="7"/>
  <c r="CX13" i="7"/>
  <c r="CY13" i="7"/>
  <c r="CZ13" i="7"/>
  <c r="DA13" i="7"/>
  <c r="DB13" i="7"/>
  <c r="DC13" i="7"/>
  <c r="DD13" i="7"/>
  <c r="DE13" i="7"/>
  <c r="DF13" i="7"/>
  <c r="DG13" i="7"/>
  <c r="DH13" i="7"/>
  <c r="DI13" i="7"/>
  <c r="DJ13" i="7"/>
  <c r="DK13" i="7"/>
  <c r="DL13" i="7"/>
  <c r="DM13" i="7"/>
  <c r="DN13" i="7"/>
  <c r="DO13" i="7"/>
  <c r="DP13" i="7"/>
  <c r="DQ13" i="7"/>
  <c r="DR13" i="7"/>
  <c r="DS13" i="7"/>
  <c r="DT13" i="7"/>
  <c r="DU13" i="7"/>
  <c r="DV13" i="7"/>
  <c r="DW13" i="7"/>
  <c r="DX13" i="7"/>
  <c r="DY13" i="7"/>
  <c r="DZ13" i="7"/>
  <c r="EA13" i="7"/>
  <c r="EB13" i="7"/>
  <c r="EC13" i="7"/>
  <c r="ED13" i="7"/>
  <c r="EE13" i="7"/>
  <c r="EF13" i="7"/>
  <c r="EG13" i="7"/>
  <c r="EH13" i="7"/>
  <c r="EI13" i="7"/>
  <c r="EJ13" i="7"/>
  <c r="EK13" i="7"/>
  <c r="EL13" i="7"/>
  <c r="EM13" i="7"/>
  <c r="EN13" i="7"/>
  <c r="EO13" i="7"/>
  <c r="EP13" i="7"/>
  <c r="EQ13" i="7"/>
  <c r="ER13" i="7"/>
  <c r="ES13" i="7"/>
  <c r="ET13" i="7"/>
  <c r="EU13" i="7"/>
  <c r="EV13" i="7"/>
  <c r="EW13" i="7"/>
  <c r="EX13" i="7"/>
  <c r="EY13" i="7"/>
  <c r="EZ13" i="7"/>
  <c r="FA13" i="7"/>
  <c r="FB13" i="7"/>
  <c r="FC13" i="7"/>
  <c r="FD13" i="7"/>
  <c r="FE13" i="7"/>
  <c r="FF13" i="7"/>
  <c r="FG13" i="7"/>
  <c r="FH13" i="7"/>
  <c r="FI13" i="7"/>
  <c r="FJ13" i="7"/>
  <c r="FK13" i="7"/>
  <c r="FL13" i="7"/>
  <c r="FM13" i="7"/>
  <c r="FN13" i="7"/>
  <c r="FO13" i="7"/>
  <c r="FP13" i="7"/>
  <c r="FQ13" i="7"/>
  <c r="FR13" i="7"/>
  <c r="FS13" i="7"/>
  <c r="FT13" i="7"/>
  <c r="FU13" i="7"/>
  <c r="FV13" i="7"/>
  <c r="FW13" i="7"/>
  <c r="FX13" i="7"/>
  <c r="FY13" i="7"/>
  <c r="FZ13" i="7"/>
  <c r="GA13" i="7"/>
  <c r="GB13" i="7"/>
  <c r="GC13" i="7"/>
  <c r="GD13" i="7"/>
  <c r="GE13" i="7"/>
  <c r="GF13" i="7"/>
  <c r="GG13" i="7"/>
  <c r="GH13" i="7"/>
  <c r="GI13" i="7"/>
  <c r="GJ13" i="7"/>
  <c r="GK13" i="7"/>
  <c r="GL13" i="7"/>
  <c r="GM13" i="7"/>
  <c r="GN13" i="7"/>
  <c r="GO13" i="7"/>
  <c r="GP13" i="7"/>
  <c r="GQ13" i="7"/>
  <c r="GR13" i="7"/>
  <c r="GS13" i="7"/>
  <c r="GT13" i="7"/>
  <c r="GU13" i="7"/>
  <c r="GV13" i="7"/>
  <c r="GW13" i="7"/>
  <c r="GX13" i="7"/>
  <c r="GY13" i="7"/>
  <c r="GZ13" i="7"/>
  <c r="HA13" i="7"/>
  <c r="HB13" i="7"/>
  <c r="HC13" i="7"/>
  <c r="HD13" i="7"/>
  <c r="HE13" i="7"/>
  <c r="HF13" i="7"/>
  <c r="HG13" i="7"/>
  <c r="HH13" i="7"/>
  <c r="HI13" i="7"/>
  <c r="HJ13" i="7"/>
  <c r="HK13" i="7"/>
  <c r="HL13" i="7"/>
  <c r="HM13" i="7"/>
  <c r="HN13" i="7"/>
  <c r="HO13" i="7"/>
  <c r="HP13" i="7"/>
  <c r="HQ13" i="7"/>
  <c r="HR13" i="7"/>
  <c r="HS13" i="7"/>
  <c r="HT13" i="7"/>
  <c r="HU13" i="7"/>
  <c r="HV13" i="7"/>
  <c r="HW13" i="7"/>
  <c r="HX13" i="7"/>
  <c r="HY13" i="7"/>
  <c r="HZ13" i="7"/>
  <c r="IA13" i="7"/>
  <c r="IB13" i="7"/>
  <c r="IC13" i="7"/>
  <c r="ID13" i="7"/>
  <c r="IE13" i="7"/>
  <c r="IF13" i="7"/>
  <c r="IG13" i="7"/>
  <c r="IH13" i="7"/>
  <c r="II13" i="7"/>
  <c r="IJ13" i="7"/>
  <c r="IK13" i="7"/>
  <c r="IL13" i="7"/>
  <c r="IM13" i="7"/>
  <c r="IN13" i="7"/>
  <c r="IO13" i="7"/>
  <c r="IP13" i="7"/>
  <c r="IQ13" i="7"/>
  <c r="IR13" i="7"/>
  <c r="IS13" i="7"/>
  <c r="IT13" i="7"/>
  <c r="IU13" i="7"/>
  <c r="IV13" i="7"/>
  <c r="A14" i="7"/>
  <c r="B14" i="7"/>
  <c r="C14" i="7"/>
  <c r="D14" i="7"/>
  <c r="E14" i="7"/>
  <c r="F14" i="7"/>
  <c r="G14" i="7"/>
  <c r="H14" i="7"/>
  <c r="I14" i="7"/>
  <c r="J14" i="7"/>
  <c r="K14" i="7"/>
  <c r="L14" i="7"/>
  <c r="M14" i="7"/>
  <c r="N14" i="7"/>
  <c r="O14" i="7"/>
  <c r="P14" i="7"/>
  <c r="Q14" i="7"/>
  <c r="R14" i="7"/>
  <c r="S14" i="7"/>
  <c r="T14" i="7"/>
  <c r="U14" i="7"/>
  <c r="V14" i="7"/>
  <c r="W14" i="7"/>
  <c r="X14" i="7"/>
  <c r="Y14" i="7"/>
  <c r="Z14" i="7"/>
  <c r="AA14" i="7"/>
  <c r="AB14" i="7"/>
  <c r="AC14" i="7"/>
  <c r="AD14" i="7"/>
  <c r="AE14" i="7"/>
  <c r="AF14" i="7"/>
  <c r="AG14" i="7"/>
  <c r="AH14" i="7"/>
  <c r="AI14" i="7"/>
  <c r="AJ14" i="7"/>
  <c r="AK14" i="7"/>
  <c r="AL14" i="7"/>
  <c r="AM14" i="7"/>
  <c r="AN14" i="7"/>
  <c r="AO14" i="7"/>
  <c r="AP14" i="7"/>
  <c r="AQ14" i="7"/>
  <c r="AR14" i="7"/>
  <c r="AS14" i="7"/>
  <c r="AT14" i="7"/>
  <c r="AU14" i="7"/>
  <c r="AV14" i="7"/>
  <c r="AW14" i="7"/>
  <c r="AX14" i="7"/>
  <c r="AY14" i="7"/>
  <c r="AZ14" i="7"/>
  <c r="BA14" i="7"/>
  <c r="BB14" i="7"/>
  <c r="BC14" i="7"/>
  <c r="BD14" i="7"/>
  <c r="BE14" i="7"/>
  <c r="BF14" i="7"/>
  <c r="BG14" i="7"/>
  <c r="BH14" i="7"/>
  <c r="BI14" i="7"/>
  <c r="BJ14" i="7"/>
  <c r="BK14" i="7"/>
  <c r="BL14" i="7"/>
  <c r="BM14" i="7"/>
  <c r="BN14" i="7"/>
  <c r="BO14" i="7"/>
  <c r="BP14" i="7"/>
  <c r="BQ14" i="7"/>
  <c r="BR14" i="7"/>
  <c r="BS14" i="7"/>
  <c r="BT14" i="7"/>
  <c r="BU14" i="7"/>
  <c r="BV14" i="7"/>
  <c r="BW14" i="7"/>
  <c r="BX14" i="7"/>
  <c r="BY14" i="7"/>
  <c r="BZ14" i="7"/>
  <c r="CA14" i="7"/>
  <c r="CB14" i="7"/>
  <c r="CC14" i="7"/>
  <c r="CD14" i="7"/>
  <c r="CE14" i="7"/>
  <c r="CF14" i="7"/>
  <c r="CG14" i="7"/>
  <c r="CH14" i="7"/>
  <c r="CI14" i="7"/>
  <c r="CJ14" i="7"/>
  <c r="CK14" i="7"/>
  <c r="CL14" i="7"/>
  <c r="CM14" i="7"/>
  <c r="CN14" i="7"/>
  <c r="CO14" i="7"/>
  <c r="CP14" i="7"/>
  <c r="CQ14" i="7"/>
  <c r="CR14" i="7"/>
  <c r="CS14" i="7"/>
  <c r="CT14" i="7"/>
  <c r="CU14" i="7"/>
  <c r="CV14" i="7"/>
  <c r="CW14" i="7"/>
  <c r="CX14" i="7"/>
  <c r="CY14" i="7"/>
  <c r="CZ14" i="7"/>
  <c r="DA14" i="7"/>
  <c r="DB14" i="7"/>
  <c r="DC14" i="7"/>
  <c r="DD14" i="7"/>
  <c r="DE14" i="7"/>
  <c r="DF14" i="7"/>
  <c r="DG14" i="7"/>
  <c r="DH14" i="7"/>
  <c r="DI14" i="7"/>
  <c r="DJ14" i="7"/>
  <c r="DK14" i="7"/>
  <c r="DL14" i="7"/>
  <c r="DM14" i="7"/>
  <c r="DN14" i="7"/>
  <c r="DO14" i="7"/>
  <c r="DP14" i="7"/>
  <c r="DQ14" i="7"/>
  <c r="DR14" i="7"/>
  <c r="DS14" i="7"/>
  <c r="DT14" i="7"/>
  <c r="DU14" i="7"/>
  <c r="DV14" i="7"/>
  <c r="DW14" i="7"/>
  <c r="DX14" i="7"/>
  <c r="DY14" i="7"/>
  <c r="DZ14" i="7"/>
  <c r="EA14" i="7"/>
  <c r="EB14" i="7"/>
  <c r="EC14" i="7"/>
  <c r="ED14" i="7"/>
  <c r="EE14" i="7"/>
  <c r="EF14" i="7"/>
  <c r="EG14" i="7"/>
  <c r="EH14" i="7"/>
  <c r="EI14" i="7"/>
  <c r="EJ14" i="7"/>
  <c r="EK14" i="7"/>
  <c r="EL14" i="7"/>
  <c r="EM14" i="7"/>
  <c r="EN14" i="7"/>
  <c r="EO14" i="7"/>
  <c r="EP14" i="7"/>
  <c r="EQ14" i="7"/>
  <c r="ER14" i="7"/>
  <c r="ES14" i="7"/>
  <c r="ET14" i="7"/>
  <c r="EU14" i="7"/>
  <c r="EV14" i="7"/>
  <c r="EW14" i="7"/>
  <c r="EX14" i="7"/>
  <c r="EY14" i="7"/>
  <c r="EZ14" i="7"/>
  <c r="FA14" i="7"/>
  <c r="FB14" i="7"/>
  <c r="FC14" i="7"/>
  <c r="FD14" i="7"/>
  <c r="FE14" i="7"/>
  <c r="FF14" i="7"/>
  <c r="FG14" i="7"/>
  <c r="FH14" i="7"/>
  <c r="FI14" i="7"/>
  <c r="FJ14" i="7"/>
  <c r="FK14" i="7"/>
  <c r="FL14" i="7"/>
  <c r="FM14" i="7"/>
  <c r="FN14" i="7"/>
  <c r="FO14" i="7"/>
  <c r="FP14" i="7"/>
  <c r="FQ14" i="7"/>
  <c r="FR14" i="7"/>
  <c r="FS14" i="7"/>
  <c r="FT14" i="7"/>
  <c r="FU14" i="7"/>
  <c r="FV14" i="7"/>
  <c r="FW14" i="7"/>
  <c r="FX14" i="7"/>
  <c r="FY14" i="7"/>
  <c r="FZ14" i="7"/>
  <c r="GA14" i="7"/>
  <c r="GB14" i="7"/>
  <c r="GC14" i="7"/>
  <c r="GD14" i="7"/>
  <c r="GE14" i="7"/>
  <c r="GF14" i="7"/>
  <c r="GG14" i="7"/>
  <c r="GH14" i="7"/>
  <c r="GI14" i="7"/>
  <c r="GJ14" i="7"/>
  <c r="GK14" i="7"/>
  <c r="GL14" i="7"/>
  <c r="GM14" i="7"/>
  <c r="GN14" i="7"/>
  <c r="GO14" i="7"/>
  <c r="GP14" i="7"/>
  <c r="GQ14" i="7"/>
  <c r="GR14" i="7"/>
  <c r="GS14" i="7"/>
  <c r="GT14" i="7"/>
  <c r="GU14" i="7"/>
  <c r="GV14" i="7"/>
  <c r="GW14" i="7"/>
  <c r="GX14" i="7"/>
  <c r="GY14" i="7"/>
  <c r="GZ14" i="7"/>
  <c r="HA14" i="7"/>
  <c r="HB14" i="7"/>
  <c r="HC14" i="7"/>
  <c r="HD14" i="7"/>
  <c r="HE14" i="7"/>
  <c r="HF14" i="7"/>
  <c r="HG14" i="7"/>
  <c r="HH14" i="7"/>
  <c r="HI14" i="7"/>
  <c r="HJ14" i="7"/>
  <c r="HK14" i="7"/>
  <c r="HL14" i="7"/>
  <c r="HM14" i="7"/>
  <c r="HN14" i="7"/>
  <c r="HO14" i="7"/>
  <c r="HP14" i="7"/>
  <c r="HQ14" i="7"/>
  <c r="HR14" i="7"/>
  <c r="HS14" i="7"/>
  <c r="HT14" i="7"/>
  <c r="HU14" i="7"/>
  <c r="HV14" i="7"/>
  <c r="HW14" i="7"/>
  <c r="HX14" i="7"/>
  <c r="HY14" i="7"/>
  <c r="HZ14" i="7"/>
  <c r="IA14" i="7"/>
  <c r="IB14" i="7"/>
  <c r="IC14" i="7"/>
  <c r="ID14" i="7"/>
  <c r="IE14" i="7"/>
  <c r="IF14" i="7"/>
  <c r="IG14" i="7"/>
  <c r="IH14" i="7"/>
  <c r="II14" i="7"/>
  <c r="IJ14" i="7"/>
  <c r="IK14" i="7"/>
  <c r="IL14" i="7"/>
  <c r="IM14" i="7"/>
  <c r="IN14" i="7"/>
  <c r="IO14" i="7"/>
  <c r="IP14" i="7"/>
  <c r="IQ14" i="7"/>
  <c r="IR14" i="7"/>
  <c r="IS14" i="7"/>
  <c r="IT14" i="7"/>
  <c r="IU14" i="7"/>
  <c r="IV14" i="7"/>
  <c r="A15" i="7"/>
  <c r="B15" i="7"/>
  <c r="C15" i="7"/>
  <c r="D15" i="7"/>
  <c r="E15" i="7"/>
  <c r="F15" i="7"/>
  <c r="G15" i="7"/>
  <c r="H15" i="7"/>
  <c r="I15" i="7"/>
  <c r="J15" i="7"/>
  <c r="K15" i="7"/>
  <c r="L15" i="7"/>
  <c r="M15" i="7"/>
  <c r="N15" i="7"/>
  <c r="O15" i="7"/>
  <c r="P15" i="7"/>
  <c r="Q15" i="7"/>
  <c r="R15" i="7"/>
  <c r="S15" i="7"/>
  <c r="T15" i="7"/>
  <c r="U15" i="7"/>
  <c r="V15" i="7"/>
  <c r="W15" i="7"/>
  <c r="X15" i="7"/>
  <c r="Y15" i="7"/>
  <c r="Z15" i="7"/>
  <c r="AA15" i="7"/>
  <c r="AB15" i="7"/>
  <c r="AC15" i="7"/>
  <c r="AD15" i="7"/>
  <c r="AE15" i="7"/>
  <c r="AF15" i="7"/>
  <c r="AG15" i="7"/>
  <c r="AH15" i="7"/>
  <c r="AI15" i="7"/>
  <c r="AJ15" i="7"/>
  <c r="AK15" i="7"/>
  <c r="AL15" i="7"/>
  <c r="AM15" i="7"/>
  <c r="AN15" i="7"/>
  <c r="AO15" i="7"/>
  <c r="AP15" i="7"/>
  <c r="AQ15" i="7"/>
  <c r="AR15" i="7"/>
  <c r="AS15" i="7"/>
  <c r="AT15" i="7"/>
  <c r="AU15" i="7"/>
  <c r="AV15" i="7"/>
  <c r="AW15" i="7"/>
  <c r="AX15" i="7"/>
  <c r="AY15" i="7"/>
  <c r="AZ15" i="7"/>
  <c r="BA15" i="7"/>
  <c r="BB15" i="7"/>
  <c r="BC15" i="7"/>
  <c r="BD15" i="7"/>
  <c r="BE15" i="7"/>
  <c r="BF15" i="7"/>
  <c r="BG15" i="7"/>
  <c r="BH15" i="7"/>
  <c r="BI15" i="7"/>
  <c r="BJ15" i="7"/>
  <c r="BK15" i="7"/>
  <c r="BL15" i="7"/>
  <c r="BM15" i="7"/>
  <c r="BN15" i="7"/>
  <c r="BO15" i="7"/>
  <c r="BP15" i="7"/>
  <c r="BQ15" i="7"/>
  <c r="BR15" i="7"/>
  <c r="BS15" i="7"/>
  <c r="BT15" i="7"/>
  <c r="BU15" i="7"/>
  <c r="BV15" i="7"/>
  <c r="BW15" i="7"/>
  <c r="BX15" i="7"/>
  <c r="BY15" i="7"/>
  <c r="BZ15" i="7"/>
  <c r="CA15" i="7"/>
  <c r="CB15" i="7"/>
  <c r="CC15" i="7"/>
  <c r="CD15" i="7"/>
  <c r="CE15" i="7"/>
  <c r="CF15" i="7"/>
  <c r="CG15" i="7"/>
  <c r="CH15" i="7"/>
  <c r="CI15" i="7"/>
  <c r="CJ15" i="7"/>
  <c r="CK15" i="7"/>
  <c r="CL15" i="7"/>
  <c r="CM15" i="7"/>
  <c r="CN15" i="7"/>
  <c r="CO15" i="7"/>
  <c r="CP15" i="7"/>
  <c r="CQ15" i="7"/>
  <c r="CR15" i="7"/>
  <c r="CS15" i="7"/>
  <c r="CT15" i="7"/>
  <c r="CU15" i="7"/>
  <c r="CV15" i="7"/>
  <c r="CW15" i="7"/>
  <c r="CX15" i="7"/>
  <c r="CY15" i="7"/>
  <c r="CZ15" i="7"/>
  <c r="DA15" i="7"/>
  <c r="DB15" i="7"/>
  <c r="DC15" i="7"/>
  <c r="DD15" i="7"/>
  <c r="DE15" i="7"/>
  <c r="DF15" i="7"/>
  <c r="DG15" i="7"/>
  <c r="DH15" i="7"/>
  <c r="DI15" i="7"/>
  <c r="DJ15" i="7"/>
  <c r="DK15" i="7"/>
  <c r="DL15" i="7"/>
  <c r="DM15" i="7"/>
  <c r="DN15" i="7"/>
  <c r="DO15" i="7"/>
  <c r="DP15" i="7"/>
  <c r="DQ15" i="7"/>
  <c r="DR15" i="7"/>
  <c r="DS15" i="7"/>
  <c r="DT15" i="7"/>
  <c r="DU15" i="7"/>
  <c r="DV15" i="7"/>
  <c r="DW15" i="7"/>
  <c r="DX15" i="7"/>
  <c r="DY15" i="7"/>
  <c r="DZ15" i="7"/>
  <c r="EA15" i="7"/>
  <c r="EB15" i="7"/>
  <c r="EC15" i="7"/>
  <c r="ED15" i="7"/>
  <c r="EE15" i="7"/>
  <c r="EF15" i="7"/>
  <c r="EG15" i="7"/>
  <c r="EH15" i="7"/>
  <c r="EI15" i="7"/>
  <c r="EJ15" i="7"/>
  <c r="EK15" i="7"/>
  <c r="EL15" i="7"/>
  <c r="EM15" i="7"/>
  <c r="EN15" i="7"/>
  <c r="EO15" i="7"/>
  <c r="EP15" i="7"/>
  <c r="EQ15" i="7"/>
  <c r="ER15" i="7"/>
  <c r="ES15" i="7"/>
  <c r="ET15" i="7"/>
  <c r="EU15" i="7"/>
  <c r="EV15" i="7"/>
  <c r="EW15" i="7"/>
  <c r="EX15" i="7"/>
  <c r="EY15" i="7"/>
  <c r="EZ15" i="7"/>
  <c r="FA15" i="7"/>
  <c r="FB15" i="7"/>
  <c r="FC15" i="7"/>
  <c r="FD15" i="7"/>
  <c r="FE15" i="7"/>
  <c r="FF15" i="7"/>
  <c r="FG15" i="7"/>
  <c r="FH15" i="7"/>
  <c r="FI15" i="7"/>
  <c r="FJ15" i="7"/>
  <c r="FK15" i="7"/>
  <c r="FL15" i="7"/>
  <c r="FM15" i="7"/>
  <c r="FN15" i="7"/>
  <c r="FO15" i="7"/>
  <c r="FP15" i="7"/>
  <c r="FQ15" i="7"/>
  <c r="FR15" i="7"/>
  <c r="FS15" i="7"/>
  <c r="FT15" i="7"/>
  <c r="FU15" i="7"/>
  <c r="FV15" i="7"/>
  <c r="FW15" i="7"/>
  <c r="FX15" i="7"/>
  <c r="FY15" i="7"/>
  <c r="FZ15" i="7"/>
  <c r="GA15" i="7"/>
  <c r="GB15" i="7"/>
  <c r="GC15" i="7"/>
  <c r="GD15" i="7"/>
  <c r="GE15" i="7"/>
  <c r="GF15" i="7"/>
  <c r="GG15" i="7"/>
  <c r="GH15" i="7"/>
  <c r="GI15" i="7"/>
  <c r="GJ15" i="7"/>
  <c r="GK15" i="7"/>
  <c r="GL15" i="7"/>
  <c r="GM15" i="7"/>
  <c r="GN15" i="7"/>
  <c r="GO15" i="7"/>
  <c r="GP15" i="7"/>
  <c r="GQ15" i="7"/>
  <c r="GR15" i="7"/>
  <c r="GS15" i="7"/>
  <c r="GT15" i="7"/>
  <c r="GU15" i="7"/>
  <c r="GV15" i="7"/>
  <c r="GW15" i="7"/>
  <c r="GX15" i="7"/>
  <c r="GY15" i="7"/>
  <c r="GZ15" i="7"/>
  <c r="HA15" i="7"/>
  <c r="HB15" i="7"/>
  <c r="HC15" i="7"/>
  <c r="HD15" i="7"/>
  <c r="HE15" i="7"/>
  <c r="HF15" i="7"/>
  <c r="HG15" i="7"/>
  <c r="HH15" i="7"/>
  <c r="HI15" i="7"/>
  <c r="HJ15" i="7"/>
  <c r="HK15" i="7"/>
  <c r="HL15" i="7"/>
  <c r="HM15" i="7"/>
  <c r="HN15" i="7"/>
  <c r="HO15" i="7"/>
  <c r="HP15" i="7"/>
  <c r="HQ15" i="7"/>
  <c r="HR15" i="7"/>
  <c r="HS15" i="7"/>
  <c r="HT15" i="7"/>
  <c r="HU15" i="7"/>
  <c r="HV15" i="7"/>
  <c r="HW15" i="7"/>
  <c r="HX15" i="7"/>
  <c r="HY15" i="7"/>
  <c r="HZ15" i="7"/>
  <c r="IA15" i="7"/>
  <c r="IB15" i="7"/>
  <c r="IC15" i="7"/>
  <c r="ID15" i="7"/>
  <c r="IE15" i="7"/>
  <c r="IF15" i="7"/>
  <c r="IG15" i="7"/>
  <c r="IH15" i="7"/>
  <c r="II15" i="7"/>
  <c r="IJ15" i="7"/>
  <c r="IK15" i="7"/>
  <c r="IL15" i="7"/>
  <c r="IM15" i="7"/>
  <c r="IN15" i="7"/>
  <c r="IO15" i="7"/>
  <c r="IP15" i="7"/>
  <c r="IQ15" i="7"/>
  <c r="IR15" i="7"/>
  <c r="IS15" i="7"/>
  <c r="IT15" i="7"/>
  <c r="IU15" i="7"/>
  <c r="IV15" i="7"/>
  <c r="A16" i="7"/>
  <c r="C16" i="7"/>
  <c r="D16" i="7"/>
  <c r="E16" i="7"/>
  <c r="F16" i="7"/>
  <c r="G16" i="7"/>
  <c r="H16" i="7"/>
  <c r="I16" i="7"/>
  <c r="J16" i="7"/>
  <c r="K16" i="7"/>
  <c r="L16" i="7"/>
  <c r="M16" i="7"/>
  <c r="N16" i="7"/>
  <c r="O16" i="7"/>
  <c r="P16" i="7"/>
  <c r="Q16" i="7"/>
  <c r="R16" i="7"/>
  <c r="S16" i="7"/>
  <c r="T16" i="7"/>
  <c r="U16" i="7"/>
  <c r="V16" i="7"/>
  <c r="W16" i="7"/>
  <c r="X16" i="7"/>
  <c r="Y16" i="7"/>
  <c r="Z16" i="7"/>
  <c r="AA16" i="7"/>
  <c r="AB16" i="7"/>
  <c r="AC16" i="7"/>
  <c r="AD16" i="7"/>
  <c r="AE16" i="7"/>
  <c r="AF16" i="7"/>
  <c r="AG16" i="7"/>
  <c r="AH16" i="7"/>
  <c r="AI16" i="7"/>
  <c r="AJ16" i="7"/>
  <c r="AK16" i="7"/>
  <c r="AL16" i="7"/>
  <c r="AM16" i="7"/>
  <c r="AN16" i="7"/>
  <c r="AO16" i="7"/>
  <c r="AP16" i="7"/>
  <c r="AQ16" i="7"/>
  <c r="AR16" i="7"/>
  <c r="AS16" i="7"/>
  <c r="AT16" i="7"/>
  <c r="AU16" i="7"/>
  <c r="AV16" i="7"/>
  <c r="AW16" i="7"/>
  <c r="AX16" i="7"/>
  <c r="AY16" i="7"/>
  <c r="AZ16" i="7"/>
  <c r="BA16" i="7"/>
  <c r="BB16" i="7"/>
  <c r="BC16" i="7"/>
  <c r="BD16" i="7"/>
  <c r="BE16" i="7"/>
  <c r="BF16" i="7"/>
  <c r="BG16" i="7"/>
  <c r="BH16" i="7"/>
  <c r="BI16" i="7"/>
  <c r="BJ16" i="7"/>
  <c r="BK16" i="7"/>
  <c r="BL16" i="7"/>
  <c r="BM16" i="7"/>
  <c r="BN16" i="7"/>
  <c r="BO16" i="7"/>
  <c r="BP16" i="7"/>
  <c r="BQ16" i="7"/>
  <c r="BR16" i="7"/>
  <c r="BS16" i="7"/>
  <c r="BT16" i="7"/>
  <c r="BU16" i="7"/>
  <c r="BV16" i="7"/>
  <c r="BW16" i="7"/>
  <c r="BX16" i="7"/>
  <c r="BY16" i="7"/>
  <c r="BZ16" i="7"/>
  <c r="CA16" i="7"/>
  <c r="CB16" i="7"/>
  <c r="CC16" i="7"/>
  <c r="CD16" i="7"/>
  <c r="CE16" i="7"/>
  <c r="CF16" i="7"/>
  <c r="CG16" i="7"/>
  <c r="CH16" i="7"/>
  <c r="CI16" i="7"/>
  <c r="CJ16" i="7"/>
  <c r="CK16" i="7"/>
  <c r="CL16" i="7"/>
  <c r="CM16" i="7"/>
  <c r="CN16" i="7"/>
  <c r="CO16" i="7"/>
  <c r="CP16" i="7"/>
  <c r="CQ16" i="7"/>
  <c r="CR16" i="7"/>
  <c r="CS16" i="7"/>
  <c r="CT16" i="7"/>
  <c r="CU16" i="7"/>
  <c r="CV16" i="7"/>
  <c r="CW16" i="7"/>
  <c r="CX16" i="7"/>
  <c r="CY16" i="7"/>
  <c r="CZ16" i="7"/>
  <c r="DA16" i="7"/>
  <c r="DB16" i="7"/>
  <c r="DC16" i="7"/>
  <c r="DD16" i="7"/>
  <c r="DE16" i="7"/>
  <c r="DF16" i="7"/>
  <c r="DG16" i="7"/>
  <c r="DH16" i="7"/>
  <c r="DI16" i="7"/>
  <c r="DJ16" i="7"/>
  <c r="DK16" i="7"/>
  <c r="DL16" i="7"/>
  <c r="DM16" i="7"/>
  <c r="DN16" i="7"/>
  <c r="DO16" i="7"/>
  <c r="DP16" i="7"/>
  <c r="DQ16" i="7"/>
  <c r="DR16" i="7"/>
  <c r="DS16" i="7"/>
  <c r="DT16" i="7"/>
  <c r="DU16" i="7"/>
  <c r="DV16" i="7"/>
  <c r="DW16" i="7"/>
  <c r="DX16" i="7"/>
  <c r="DY16" i="7"/>
  <c r="DZ16" i="7"/>
  <c r="EA16" i="7"/>
  <c r="EB16" i="7"/>
  <c r="EC16" i="7"/>
  <c r="ED16" i="7"/>
  <c r="EE16" i="7"/>
  <c r="EF16" i="7"/>
  <c r="EG16" i="7"/>
  <c r="EH16" i="7"/>
  <c r="EI16" i="7"/>
  <c r="EJ16" i="7"/>
  <c r="EK16" i="7"/>
  <c r="EL16" i="7"/>
  <c r="EM16" i="7"/>
  <c r="EN16" i="7"/>
  <c r="EO16" i="7"/>
  <c r="EP16" i="7"/>
  <c r="EQ16" i="7"/>
  <c r="ER16" i="7"/>
  <c r="ES16" i="7"/>
  <c r="ET16" i="7"/>
  <c r="EU16" i="7"/>
  <c r="EV16" i="7"/>
  <c r="EW16" i="7"/>
  <c r="EX16" i="7"/>
  <c r="EY16" i="7"/>
  <c r="EZ16" i="7"/>
  <c r="FA16" i="7"/>
  <c r="FB16" i="7"/>
  <c r="FC16" i="7"/>
  <c r="FD16" i="7"/>
  <c r="FE16" i="7"/>
  <c r="FF16" i="7"/>
  <c r="FG16" i="7"/>
  <c r="FH16" i="7"/>
  <c r="FI16" i="7"/>
  <c r="FJ16" i="7"/>
  <c r="FK16" i="7"/>
  <c r="FL16" i="7"/>
  <c r="FM16" i="7"/>
  <c r="FN16" i="7"/>
  <c r="FO16" i="7"/>
  <c r="FP16" i="7"/>
  <c r="FQ16" i="7"/>
  <c r="FR16" i="7"/>
  <c r="FS16" i="7"/>
  <c r="FT16" i="7"/>
  <c r="FU16" i="7"/>
  <c r="FV16" i="7"/>
  <c r="FW16" i="7"/>
  <c r="FX16" i="7"/>
  <c r="FY16" i="7"/>
  <c r="FZ16" i="7"/>
  <c r="GA16" i="7"/>
  <c r="GB16" i="7"/>
  <c r="GC16" i="7"/>
  <c r="GD16" i="7"/>
  <c r="GE16" i="7"/>
  <c r="GF16" i="7"/>
  <c r="GG16" i="7"/>
  <c r="GH16" i="7"/>
  <c r="GI16" i="7"/>
  <c r="GJ16" i="7"/>
  <c r="GK16" i="7"/>
  <c r="GL16" i="7"/>
  <c r="GM16" i="7"/>
  <c r="GN16" i="7"/>
  <c r="GO16" i="7"/>
  <c r="GP16" i="7"/>
  <c r="GQ16" i="7"/>
  <c r="GR16" i="7"/>
  <c r="GS16" i="7"/>
  <c r="GT16" i="7"/>
  <c r="GU16" i="7"/>
  <c r="GV16" i="7"/>
  <c r="GW16" i="7"/>
  <c r="GX16" i="7"/>
  <c r="GY16" i="7"/>
  <c r="GZ16" i="7"/>
  <c r="HA16" i="7"/>
  <c r="HB16" i="7"/>
  <c r="HC16" i="7"/>
  <c r="HD16" i="7"/>
  <c r="HE16" i="7"/>
  <c r="HF16" i="7"/>
  <c r="HG16" i="7"/>
  <c r="HH16" i="7"/>
  <c r="HI16" i="7"/>
  <c r="HJ16" i="7"/>
  <c r="HK16" i="7"/>
  <c r="HL16" i="7"/>
  <c r="HM16" i="7"/>
  <c r="HN16" i="7"/>
  <c r="HO16" i="7"/>
  <c r="HP16" i="7"/>
  <c r="HQ16" i="7"/>
  <c r="HR16" i="7"/>
  <c r="HS16" i="7"/>
  <c r="HT16" i="7"/>
  <c r="HU16" i="7"/>
  <c r="HV16" i="7"/>
  <c r="HW16" i="7"/>
  <c r="HX16" i="7"/>
  <c r="HY16" i="7"/>
  <c r="HZ16" i="7"/>
  <c r="IA16" i="7"/>
  <c r="IB16" i="7"/>
  <c r="IC16" i="7"/>
  <c r="ID16" i="7"/>
  <c r="IE16" i="7"/>
  <c r="IF16" i="7"/>
  <c r="IG16" i="7"/>
  <c r="IH16" i="7"/>
  <c r="II16" i="7"/>
  <c r="IJ16" i="7"/>
  <c r="IK16" i="7"/>
  <c r="IL16" i="7"/>
  <c r="IM16" i="7"/>
  <c r="IN16" i="7"/>
  <c r="IO16" i="7"/>
  <c r="IP16" i="7"/>
  <c r="IQ16" i="7"/>
  <c r="IR16" i="7"/>
  <c r="IS16" i="7"/>
  <c r="IT16" i="7"/>
  <c r="IU16" i="7"/>
  <c r="IV16" i="7"/>
  <c r="A17" i="7"/>
  <c r="B17" i="7"/>
  <c r="C17" i="7"/>
  <c r="D17" i="7"/>
  <c r="E17" i="7"/>
  <c r="F17" i="7"/>
  <c r="G17" i="7"/>
  <c r="H17" i="7"/>
  <c r="I17" i="7"/>
  <c r="J17" i="7"/>
  <c r="K17" i="7"/>
  <c r="L17" i="7"/>
  <c r="M17" i="7"/>
  <c r="N17" i="7"/>
  <c r="O17" i="7"/>
  <c r="P17" i="7"/>
  <c r="Q17" i="7"/>
  <c r="R17" i="7"/>
  <c r="S17" i="7"/>
  <c r="T17" i="7"/>
  <c r="U17" i="7"/>
  <c r="V17" i="7"/>
  <c r="W17" i="7"/>
  <c r="X17" i="7"/>
  <c r="Y17" i="7"/>
  <c r="Z17" i="7"/>
  <c r="AA17" i="7"/>
  <c r="AB17" i="7"/>
  <c r="AC17" i="7"/>
  <c r="AD17" i="7"/>
  <c r="AE17" i="7"/>
  <c r="AF17" i="7"/>
  <c r="AG17" i="7"/>
  <c r="AH17" i="7"/>
  <c r="AI17" i="7"/>
  <c r="AJ17" i="7"/>
  <c r="AK17" i="7"/>
  <c r="AL17" i="7"/>
  <c r="AM17" i="7"/>
  <c r="AN17" i="7"/>
  <c r="AO17" i="7"/>
  <c r="AP17" i="7"/>
  <c r="AQ17" i="7"/>
  <c r="AR17" i="7"/>
  <c r="AS17" i="7"/>
  <c r="AT17" i="7"/>
  <c r="AU17" i="7"/>
  <c r="AV17" i="7"/>
  <c r="AW17" i="7"/>
  <c r="AX17" i="7"/>
  <c r="AY17" i="7"/>
  <c r="AZ17" i="7"/>
  <c r="BA17" i="7"/>
  <c r="BB17" i="7"/>
  <c r="BC17" i="7"/>
  <c r="BD17" i="7"/>
  <c r="BE17" i="7"/>
  <c r="BF17" i="7"/>
  <c r="BG17" i="7"/>
  <c r="BH17" i="7"/>
  <c r="BI17" i="7"/>
  <c r="BJ17" i="7"/>
  <c r="BK17" i="7"/>
  <c r="BL17" i="7"/>
  <c r="BM17" i="7"/>
  <c r="BN17" i="7"/>
  <c r="BO17" i="7"/>
  <c r="BP17" i="7"/>
  <c r="BQ17" i="7"/>
  <c r="BR17" i="7"/>
  <c r="BS17" i="7"/>
  <c r="BT17" i="7"/>
  <c r="BU17" i="7"/>
  <c r="BV17" i="7"/>
  <c r="BW17" i="7"/>
  <c r="BX17" i="7"/>
  <c r="BY17" i="7"/>
  <c r="BZ17" i="7"/>
  <c r="CA17" i="7"/>
  <c r="CB17" i="7"/>
  <c r="CC17" i="7"/>
  <c r="CD17" i="7"/>
  <c r="CE17" i="7"/>
  <c r="CF17" i="7"/>
  <c r="CG17" i="7"/>
  <c r="CH17" i="7"/>
  <c r="CI17" i="7"/>
  <c r="CJ17" i="7"/>
  <c r="CK17" i="7"/>
  <c r="CL17" i="7"/>
  <c r="CM17" i="7"/>
  <c r="CN17" i="7"/>
  <c r="CO17" i="7"/>
  <c r="CP17" i="7"/>
  <c r="CQ17" i="7"/>
  <c r="CR17" i="7"/>
  <c r="CS17" i="7"/>
  <c r="CT17" i="7"/>
  <c r="CU17" i="7"/>
  <c r="CV17" i="7"/>
  <c r="CW17" i="7"/>
  <c r="CX17" i="7"/>
  <c r="CY17" i="7"/>
  <c r="CZ17" i="7"/>
  <c r="DA17" i="7"/>
  <c r="DB17" i="7"/>
  <c r="DC17" i="7"/>
  <c r="DD17" i="7"/>
  <c r="DE17" i="7"/>
  <c r="DF17" i="7"/>
  <c r="DG17" i="7"/>
  <c r="DH17" i="7"/>
  <c r="DI17" i="7"/>
  <c r="DJ17" i="7"/>
  <c r="DK17" i="7"/>
  <c r="DL17" i="7"/>
  <c r="DM17" i="7"/>
  <c r="DN17" i="7"/>
  <c r="DO17" i="7"/>
  <c r="DP17" i="7"/>
  <c r="DQ17" i="7"/>
  <c r="DR17" i="7"/>
  <c r="DS17" i="7"/>
  <c r="DT17" i="7"/>
  <c r="DU17" i="7"/>
  <c r="DV17" i="7"/>
  <c r="DW17" i="7"/>
  <c r="DX17" i="7"/>
  <c r="DY17" i="7"/>
  <c r="DZ17" i="7"/>
  <c r="EA17" i="7"/>
  <c r="EB17" i="7"/>
  <c r="EC17" i="7"/>
  <c r="ED17" i="7"/>
  <c r="EE17" i="7"/>
  <c r="EF17" i="7"/>
  <c r="EG17" i="7"/>
  <c r="EH17" i="7"/>
  <c r="EI17" i="7"/>
  <c r="EJ17" i="7"/>
  <c r="EK17" i="7"/>
  <c r="EL17" i="7"/>
  <c r="EM17" i="7"/>
  <c r="EN17" i="7"/>
  <c r="EO17" i="7"/>
  <c r="EP17" i="7"/>
  <c r="EQ17" i="7"/>
  <c r="ER17" i="7"/>
  <c r="ES17" i="7"/>
  <c r="ET17" i="7"/>
  <c r="EU17" i="7"/>
  <c r="EV17" i="7"/>
  <c r="EW17" i="7"/>
  <c r="EX17" i="7"/>
  <c r="EY17" i="7"/>
  <c r="EZ17" i="7"/>
  <c r="FA17" i="7"/>
  <c r="FB17" i="7"/>
  <c r="FC17" i="7"/>
  <c r="FD17" i="7"/>
  <c r="FE17" i="7"/>
  <c r="FF17" i="7"/>
  <c r="FG17" i="7"/>
  <c r="FH17" i="7"/>
  <c r="FI17" i="7"/>
  <c r="FJ17" i="7"/>
  <c r="FK17" i="7"/>
  <c r="FL17" i="7"/>
  <c r="FM17" i="7"/>
  <c r="FN17" i="7"/>
  <c r="FO17" i="7"/>
  <c r="FP17" i="7"/>
  <c r="FQ17" i="7"/>
  <c r="FR17" i="7"/>
  <c r="FS17" i="7"/>
  <c r="FT17" i="7"/>
  <c r="FU17" i="7"/>
  <c r="FV17" i="7"/>
  <c r="FW17" i="7"/>
  <c r="FX17" i="7"/>
  <c r="FY17" i="7"/>
  <c r="FZ17" i="7"/>
  <c r="GA17" i="7"/>
  <c r="GB17" i="7"/>
  <c r="GC17" i="7"/>
  <c r="GD17" i="7"/>
  <c r="GE17" i="7"/>
  <c r="GF17" i="7"/>
  <c r="GG17" i="7"/>
  <c r="GH17" i="7"/>
  <c r="GI17" i="7"/>
  <c r="GJ17" i="7"/>
  <c r="GK17" i="7"/>
  <c r="GL17" i="7"/>
  <c r="GM17" i="7"/>
  <c r="GN17" i="7"/>
  <c r="GO17" i="7"/>
  <c r="GP17" i="7"/>
  <c r="GQ17" i="7"/>
  <c r="GR17" i="7"/>
  <c r="GS17" i="7"/>
  <c r="GT17" i="7"/>
  <c r="GU17" i="7"/>
  <c r="GV17" i="7"/>
  <c r="GW17" i="7"/>
  <c r="GX17" i="7"/>
  <c r="GY17" i="7"/>
  <c r="GZ17" i="7"/>
  <c r="HA17" i="7"/>
  <c r="HB17" i="7"/>
  <c r="HC17" i="7"/>
  <c r="HD17" i="7"/>
  <c r="HE17" i="7"/>
  <c r="HF17" i="7"/>
  <c r="HG17" i="7"/>
  <c r="HH17" i="7"/>
  <c r="HI17" i="7"/>
  <c r="HJ17" i="7"/>
  <c r="HK17" i="7"/>
  <c r="HL17" i="7"/>
  <c r="HM17" i="7"/>
  <c r="HN17" i="7"/>
  <c r="HO17" i="7"/>
  <c r="HP17" i="7"/>
  <c r="HQ17" i="7"/>
  <c r="HR17" i="7"/>
  <c r="HS17" i="7"/>
  <c r="HT17" i="7"/>
  <c r="HU17" i="7"/>
  <c r="HV17" i="7"/>
  <c r="HW17" i="7"/>
  <c r="HX17" i="7"/>
  <c r="HY17" i="7"/>
  <c r="HZ17" i="7"/>
  <c r="IA17" i="7"/>
  <c r="IB17" i="7"/>
  <c r="IC17" i="7"/>
  <c r="ID17" i="7"/>
  <c r="IE17" i="7"/>
  <c r="IF17" i="7"/>
  <c r="IG17" i="7"/>
  <c r="IH17" i="7"/>
  <c r="II17" i="7"/>
  <c r="IJ17" i="7"/>
  <c r="IK17" i="7"/>
  <c r="IL17" i="7"/>
  <c r="IM17" i="7"/>
  <c r="IN17" i="7"/>
  <c r="IO17" i="7"/>
  <c r="IP17" i="7"/>
  <c r="IQ17" i="7"/>
  <c r="IR17" i="7"/>
  <c r="IS17" i="7"/>
  <c r="IT17" i="7"/>
  <c r="IU17" i="7"/>
  <c r="IV17" i="7"/>
  <c r="A18" i="7"/>
  <c r="B18" i="7"/>
  <c r="C18" i="7"/>
  <c r="D18" i="7"/>
  <c r="E18" i="7"/>
  <c r="F18" i="7"/>
  <c r="G18" i="7"/>
  <c r="H18" i="7"/>
  <c r="I18" i="7"/>
  <c r="J18" i="7"/>
  <c r="K18" i="7"/>
  <c r="L18" i="7"/>
  <c r="M18" i="7"/>
  <c r="N18" i="7"/>
  <c r="O18" i="7"/>
  <c r="P18" i="7"/>
  <c r="Q18" i="7"/>
  <c r="R18" i="7"/>
  <c r="S18" i="7"/>
  <c r="T18" i="7"/>
  <c r="U18" i="7"/>
  <c r="V18" i="7"/>
  <c r="W18" i="7"/>
  <c r="X18" i="7"/>
  <c r="Y18" i="7"/>
  <c r="Z18" i="7"/>
  <c r="AA18" i="7"/>
  <c r="AB18" i="7"/>
  <c r="AC18" i="7"/>
  <c r="AD18" i="7"/>
  <c r="AE18" i="7"/>
  <c r="AF18" i="7"/>
  <c r="AG18" i="7"/>
  <c r="AH18" i="7"/>
  <c r="AI18" i="7"/>
  <c r="AJ18" i="7"/>
  <c r="AK18" i="7"/>
  <c r="AL18" i="7"/>
  <c r="AM18" i="7"/>
  <c r="AN18" i="7"/>
  <c r="AO18" i="7"/>
  <c r="AP18" i="7"/>
  <c r="AQ18" i="7"/>
  <c r="AR18" i="7"/>
  <c r="AS18" i="7"/>
  <c r="AT18" i="7"/>
  <c r="AU18" i="7"/>
  <c r="AV18" i="7"/>
  <c r="AW18" i="7"/>
  <c r="AX18" i="7"/>
  <c r="AY18" i="7"/>
  <c r="AZ18" i="7"/>
  <c r="BA18" i="7"/>
  <c r="BB18" i="7"/>
  <c r="BC18" i="7"/>
  <c r="BD18" i="7"/>
  <c r="BE18" i="7"/>
  <c r="BF18" i="7"/>
  <c r="BG18" i="7"/>
  <c r="BH18" i="7"/>
  <c r="BI18" i="7"/>
  <c r="BJ18" i="7"/>
  <c r="BK18" i="7"/>
  <c r="BL18" i="7"/>
  <c r="BM18" i="7"/>
  <c r="BN18" i="7"/>
  <c r="BO18" i="7"/>
  <c r="BP18" i="7"/>
  <c r="BQ18" i="7"/>
  <c r="BR18" i="7"/>
  <c r="BS18" i="7"/>
  <c r="BT18" i="7"/>
  <c r="BU18" i="7"/>
  <c r="BV18" i="7"/>
  <c r="BW18" i="7"/>
  <c r="BX18" i="7"/>
  <c r="BY18" i="7"/>
  <c r="BZ18" i="7"/>
  <c r="CA18" i="7"/>
  <c r="CB18" i="7"/>
  <c r="CC18" i="7"/>
  <c r="CD18" i="7"/>
  <c r="CE18" i="7"/>
  <c r="CF18" i="7"/>
  <c r="CG18" i="7"/>
  <c r="CH18" i="7"/>
  <c r="CI18" i="7"/>
  <c r="CJ18" i="7"/>
  <c r="CK18" i="7"/>
  <c r="CL18" i="7"/>
  <c r="CM18" i="7"/>
  <c r="CN18" i="7"/>
  <c r="CO18" i="7"/>
  <c r="CP18" i="7"/>
  <c r="CQ18" i="7"/>
  <c r="CR18" i="7"/>
  <c r="CS18" i="7"/>
  <c r="CT18" i="7"/>
  <c r="CU18" i="7"/>
  <c r="CV18" i="7"/>
  <c r="CW18" i="7"/>
  <c r="CX18" i="7"/>
  <c r="CY18" i="7"/>
  <c r="CZ18" i="7"/>
  <c r="DA18" i="7"/>
  <c r="DB18" i="7"/>
  <c r="DC18" i="7"/>
  <c r="DD18" i="7"/>
  <c r="DE18" i="7"/>
  <c r="DF18" i="7"/>
  <c r="DG18" i="7"/>
  <c r="DH18" i="7"/>
  <c r="DI18" i="7"/>
  <c r="DJ18" i="7"/>
  <c r="DK18" i="7"/>
  <c r="DL18" i="7"/>
  <c r="DM18" i="7"/>
  <c r="DN18" i="7"/>
  <c r="DO18" i="7"/>
  <c r="DP18" i="7"/>
  <c r="DQ18" i="7"/>
  <c r="DR18" i="7"/>
  <c r="DS18" i="7"/>
  <c r="DT18" i="7"/>
  <c r="DU18" i="7"/>
  <c r="DV18" i="7"/>
  <c r="DW18" i="7"/>
  <c r="DX18" i="7"/>
  <c r="DY18" i="7"/>
  <c r="DZ18" i="7"/>
  <c r="EA18" i="7"/>
  <c r="EB18" i="7"/>
  <c r="EC18" i="7"/>
  <c r="ED18" i="7"/>
  <c r="EE18" i="7"/>
  <c r="EF18" i="7"/>
  <c r="EG18" i="7"/>
  <c r="EH18" i="7"/>
  <c r="EI18" i="7"/>
  <c r="EJ18" i="7"/>
  <c r="EK18" i="7"/>
  <c r="EL18" i="7"/>
  <c r="EM18" i="7"/>
  <c r="EN18" i="7"/>
  <c r="EO18" i="7"/>
  <c r="EP18" i="7"/>
  <c r="EQ18" i="7"/>
  <c r="ER18" i="7"/>
  <c r="ES18" i="7"/>
  <c r="ET18" i="7"/>
  <c r="EU18" i="7"/>
  <c r="EV18" i="7"/>
  <c r="EW18" i="7"/>
  <c r="EX18" i="7"/>
  <c r="EY18" i="7"/>
  <c r="EZ18" i="7"/>
  <c r="FA18" i="7"/>
  <c r="FB18" i="7"/>
  <c r="FC18" i="7"/>
  <c r="FD18" i="7"/>
  <c r="FE18" i="7"/>
  <c r="FF18" i="7"/>
  <c r="FG18" i="7"/>
  <c r="FH18" i="7"/>
  <c r="FI18" i="7"/>
  <c r="FJ18" i="7"/>
  <c r="FK18" i="7"/>
  <c r="FL18" i="7"/>
  <c r="FM18" i="7"/>
  <c r="FN18" i="7"/>
  <c r="FO18" i="7"/>
  <c r="FP18" i="7"/>
  <c r="FQ18" i="7"/>
  <c r="FR18" i="7"/>
  <c r="FS18" i="7"/>
  <c r="FT18" i="7"/>
  <c r="FU18" i="7"/>
  <c r="FV18" i="7"/>
  <c r="FW18" i="7"/>
  <c r="FX18" i="7"/>
  <c r="FY18" i="7"/>
  <c r="FZ18" i="7"/>
  <c r="GA18" i="7"/>
  <c r="GB18" i="7"/>
  <c r="GC18" i="7"/>
  <c r="GD18" i="7"/>
  <c r="GE18" i="7"/>
  <c r="GF18" i="7"/>
  <c r="GG18" i="7"/>
  <c r="GH18" i="7"/>
  <c r="GI18" i="7"/>
  <c r="GJ18" i="7"/>
  <c r="GK18" i="7"/>
  <c r="GL18" i="7"/>
  <c r="GM18" i="7"/>
  <c r="GN18" i="7"/>
  <c r="GO18" i="7"/>
  <c r="GP18" i="7"/>
  <c r="GQ18" i="7"/>
  <c r="GR18" i="7"/>
  <c r="GS18" i="7"/>
  <c r="GT18" i="7"/>
  <c r="GU18" i="7"/>
  <c r="GV18" i="7"/>
  <c r="GW18" i="7"/>
  <c r="GX18" i="7"/>
  <c r="GY18" i="7"/>
  <c r="GZ18" i="7"/>
  <c r="HA18" i="7"/>
  <c r="HB18" i="7"/>
  <c r="HC18" i="7"/>
  <c r="HD18" i="7"/>
  <c r="HE18" i="7"/>
  <c r="HF18" i="7"/>
  <c r="HG18" i="7"/>
  <c r="HH18" i="7"/>
  <c r="HI18" i="7"/>
  <c r="HJ18" i="7"/>
  <c r="HK18" i="7"/>
  <c r="HL18" i="7"/>
  <c r="HM18" i="7"/>
  <c r="HN18" i="7"/>
  <c r="HO18" i="7"/>
  <c r="HP18" i="7"/>
  <c r="HQ18" i="7"/>
  <c r="HR18" i="7"/>
  <c r="HS18" i="7"/>
  <c r="HT18" i="7"/>
  <c r="HU18" i="7"/>
  <c r="HV18" i="7"/>
  <c r="HW18" i="7"/>
  <c r="HX18" i="7"/>
  <c r="HY18" i="7"/>
  <c r="HZ18" i="7"/>
  <c r="IA18" i="7"/>
  <c r="IB18" i="7"/>
  <c r="IC18" i="7"/>
  <c r="ID18" i="7"/>
  <c r="IE18" i="7"/>
  <c r="IF18" i="7"/>
  <c r="IG18" i="7"/>
  <c r="IH18" i="7"/>
  <c r="II18" i="7"/>
  <c r="IJ18" i="7"/>
  <c r="IK18" i="7"/>
  <c r="IL18" i="7"/>
  <c r="IM18" i="7"/>
  <c r="IN18" i="7"/>
  <c r="IO18" i="7"/>
  <c r="IP18" i="7"/>
  <c r="IQ18" i="7"/>
  <c r="IR18" i="7"/>
  <c r="IS18" i="7"/>
  <c r="IT18" i="7"/>
  <c r="IU18" i="7"/>
  <c r="IV18" i="7"/>
  <c r="A19" i="7"/>
  <c r="B19" i="7"/>
  <c r="C19" i="7"/>
  <c r="D19" i="7"/>
  <c r="E19" i="7"/>
  <c r="F19" i="7"/>
  <c r="G19" i="7"/>
  <c r="H19" i="7"/>
  <c r="I19" i="7"/>
  <c r="J19" i="7"/>
  <c r="K19" i="7"/>
  <c r="L19" i="7"/>
  <c r="M19" i="7"/>
  <c r="N19" i="7"/>
  <c r="O19" i="7"/>
  <c r="P19" i="7"/>
  <c r="Q19" i="7"/>
  <c r="R19" i="7"/>
  <c r="S19" i="7"/>
  <c r="T19" i="7"/>
  <c r="U19" i="7"/>
  <c r="V19" i="7"/>
  <c r="W19" i="7"/>
  <c r="X19" i="7"/>
  <c r="Y19" i="7"/>
  <c r="Z19" i="7"/>
  <c r="AA19" i="7"/>
  <c r="AB19" i="7"/>
  <c r="AC19" i="7"/>
  <c r="AD19" i="7"/>
  <c r="AE19" i="7"/>
  <c r="AF19" i="7"/>
  <c r="AG19" i="7"/>
  <c r="AH19" i="7"/>
  <c r="AI19" i="7"/>
  <c r="AJ19" i="7"/>
  <c r="AK19" i="7"/>
  <c r="AL19" i="7"/>
  <c r="AM19" i="7"/>
  <c r="AN19" i="7"/>
  <c r="AO19" i="7"/>
  <c r="AP19" i="7"/>
  <c r="AQ19" i="7"/>
  <c r="AR19" i="7"/>
  <c r="AS19" i="7"/>
  <c r="AT19" i="7"/>
  <c r="AU19" i="7"/>
  <c r="AV19" i="7"/>
  <c r="AW19" i="7"/>
  <c r="AX19" i="7"/>
  <c r="AY19" i="7"/>
  <c r="AZ19" i="7"/>
  <c r="BA19" i="7"/>
  <c r="BB19" i="7"/>
  <c r="BC19" i="7"/>
  <c r="BD19" i="7"/>
  <c r="BE19" i="7"/>
  <c r="BF19" i="7"/>
  <c r="BG19" i="7"/>
  <c r="BH19" i="7"/>
  <c r="BI19" i="7"/>
  <c r="BJ19" i="7"/>
  <c r="BK19" i="7"/>
  <c r="BL19" i="7"/>
  <c r="BM19" i="7"/>
  <c r="BN19" i="7"/>
  <c r="BO19" i="7"/>
  <c r="BP19" i="7"/>
  <c r="BQ19" i="7"/>
  <c r="BR19" i="7"/>
  <c r="BS19" i="7"/>
  <c r="BT19" i="7"/>
  <c r="BU19" i="7"/>
  <c r="BV19" i="7"/>
  <c r="BW19" i="7"/>
  <c r="BX19" i="7"/>
  <c r="BY19" i="7"/>
  <c r="BZ19" i="7"/>
  <c r="CA19" i="7"/>
  <c r="CB19" i="7"/>
  <c r="CC19" i="7"/>
  <c r="CD19" i="7"/>
  <c r="CE19" i="7"/>
  <c r="CF19" i="7"/>
  <c r="CG19" i="7"/>
  <c r="CH19" i="7"/>
  <c r="CI19" i="7"/>
  <c r="CJ19" i="7"/>
  <c r="CK19" i="7"/>
  <c r="CL19" i="7"/>
  <c r="CM19" i="7"/>
  <c r="CN19" i="7"/>
  <c r="CO19" i="7"/>
  <c r="CP19" i="7"/>
  <c r="CQ19" i="7"/>
  <c r="CR19" i="7"/>
  <c r="CS19" i="7"/>
  <c r="CT19" i="7"/>
  <c r="CU19" i="7"/>
  <c r="CV19" i="7"/>
  <c r="CW19" i="7"/>
  <c r="CX19" i="7"/>
  <c r="CY19" i="7"/>
  <c r="CZ19" i="7"/>
  <c r="DA19" i="7"/>
  <c r="DB19" i="7"/>
  <c r="DC19" i="7"/>
  <c r="DD19" i="7"/>
  <c r="DE19" i="7"/>
  <c r="DF19" i="7"/>
  <c r="DG19" i="7"/>
  <c r="DH19" i="7"/>
  <c r="DI19" i="7"/>
  <c r="DJ19" i="7"/>
  <c r="DK19" i="7"/>
  <c r="DL19" i="7"/>
  <c r="DM19" i="7"/>
  <c r="DN19" i="7"/>
  <c r="DO19" i="7"/>
  <c r="DP19" i="7"/>
  <c r="DQ19" i="7"/>
  <c r="DR19" i="7"/>
  <c r="DS19" i="7"/>
  <c r="DT19" i="7"/>
  <c r="DU19" i="7"/>
  <c r="DV19" i="7"/>
  <c r="DW19" i="7"/>
  <c r="DX19" i="7"/>
  <c r="DY19" i="7"/>
  <c r="DZ19" i="7"/>
  <c r="EA19" i="7"/>
  <c r="EB19" i="7"/>
  <c r="EC19" i="7"/>
  <c r="ED19" i="7"/>
  <c r="EE19" i="7"/>
  <c r="EF19" i="7"/>
  <c r="EG19" i="7"/>
  <c r="EH19" i="7"/>
  <c r="EI19" i="7"/>
  <c r="EJ19" i="7"/>
  <c r="EK19" i="7"/>
  <c r="EL19" i="7"/>
  <c r="EM19" i="7"/>
  <c r="EN19" i="7"/>
  <c r="EO19" i="7"/>
  <c r="EP19" i="7"/>
  <c r="EQ19" i="7"/>
  <c r="ER19" i="7"/>
  <c r="ES19" i="7"/>
  <c r="ET19" i="7"/>
  <c r="EU19" i="7"/>
  <c r="EV19" i="7"/>
  <c r="EW19" i="7"/>
  <c r="EX19" i="7"/>
  <c r="EY19" i="7"/>
  <c r="EZ19" i="7"/>
  <c r="FA19" i="7"/>
  <c r="FB19" i="7"/>
  <c r="FC19" i="7"/>
  <c r="FD19" i="7"/>
  <c r="FE19" i="7"/>
  <c r="FF19" i="7"/>
  <c r="FG19" i="7"/>
  <c r="FH19" i="7"/>
  <c r="FI19" i="7"/>
  <c r="FJ19" i="7"/>
  <c r="FK19" i="7"/>
  <c r="FL19" i="7"/>
  <c r="FM19" i="7"/>
  <c r="FN19" i="7"/>
  <c r="FO19" i="7"/>
  <c r="FP19" i="7"/>
  <c r="FQ19" i="7"/>
  <c r="FR19" i="7"/>
  <c r="FS19" i="7"/>
  <c r="FT19" i="7"/>
  <c r="FU19" i="7"/>
  <c r="FV19" i="7"/>
  <c r="FW19" i="7"/>
  <c r="FX19" i="7"/>
  <c r="FY19" i="7"/>
  <c r="FZ19" i="7"/>
  <c r="GA19" i="7"/>
  <c r="GB19" i="7"/>
  <c r="GC19" i="7"/>
  <c r="GD19" i="7"/>
  <c r="GE19" i="7"/>
  <c r="GF19" i="7"/>
  <c r="GG19" i="7"/>
  <c r="GH19" i="7"/>
  <c r="GI19" i="7"/>
  <c r="GJ19" i="7"/>
  <c r="GK19" i="7"/>
  <c r="GL19" i="7"/>
  <c r="GM19" i="7"/>
  <c r="GN19" i="7"/>
  <c r="GO19" i="7"/>
  <c r="GP19" i="7"/>
  <c r="GQ19" i="7"/>
  <c r="GR19" i="7"/>
  <c r="GS19" i="7"/>
  <c r="GT19" i="7"/>
  <c r="GU19" i="7"/>
  <c r="GV19" i="7"/>
  <c r="GW19" i="7"/>
  <c r="GX19" i="7"/>
  <c r="GY19" i="7"/>
  <c r="GZ19" i="7"/>
  <c r="HA19" i="7"/>
  <c r="HB19" i="7"/>
  <c r="HC19" i="7"/>
  <c r="HD19" i="7"/>
  <c r="HE19" i="7"/>
  <c r="HF19" i="7"/>
  <c r="HG19" i="7"/>
  <c r="HH19" i="7"/>
  <c r="HI19" i="7"/>
  <c r="HJ19" i="7"/>
  <c r="HK19" i="7"/>
  <c r="HL19" i="7"/>
  <c r="HM19" i="7"/>
  <c r="HN19" i="7"/>
  <c r="HO19" i="7"/>
  <c r="HP19" i="7"/>
  <c r="HQ19" i="7"/>
  <c r="HR19" i="7"/>
  <c r="HS19" i="7"/>
  <c r="HT19" i="7"/>
  <c r="HU19" i="7"/>
  <c r="HV19" i="7"/>
  <c r="HW19" i="7"/>
  <c r="HX19" i="7"/>
  <c r="HY19" i="7"/>
  <c r="HZ19" i="7"/>
  <c r="IA19" i="7"/>
  <c r="IB19" i="7"/>
  <c r="IC19" i="7"/>
  <c r="ID19" i="7"/>
  <c r="IE19" i="7"/>
  <c r="IF19" i="7"/>
  <c r="IG19" i="7"/>
  <c r="IH19" i="7"/>
  <c r="II19" i="7"/>
  <c r="IJ19" i="7"/>
  <c r="IK19" i="7"/>
  <c r="IL19" i="7"/>
  <c r="IM19" i="7"/>
  <c r="IN19" i="7"/>
  <c r="IO19" i="7"/>
  <c r="IP19" i="7"/>
  <c r="IQ19" i="7"/>
  <c r="IR19" i="7"/>
  <c r="IS19" i="7"/>
  <c r="IT19" i="7"/>
  <c r="IU19" i="7"/>
  <c r="IV19" i="7"/>
  <c r="A20" i="7"/>
  <c r="B20" i="7"/>
  <c r="C20" i="7"/>
  <c r="D20" i="7"/>
  <c r="E20" i="7"/>
  <c r="F20" i="7"/>
  <c r="G20" i="7"/>
  <c r="H20" i="7"/>
  <c r="I20" i="7"/>
  <c r="J20" i="7"/>
  <c r="K20" i="7"/>
  <c r="L20" i="7"/>
  <c r="M20" i="7"/>
  <c r="N20" i="7"/>
  <c r="O20" i="7"/>
  <c r="P20" i="7"/>
  <c r="Q20" i="7"/>
  <c r="R20" i="7"/>
  <c r="S20" i="7"/>
  <c r="T20" i="7"/>
  <c r="U20" i="7"/>
  <c r="V20" i="7"/>
  <c r="W20" i="7"/>
  <c r="X20" i="7"/>
  <c r="Y20" i="7"/>
  <c r="Z20" i="7"/>
  <c r="AA20" i="7"/>
  <c r="AB20" i="7"/>
  <c r="AC20" i="7"/>
  <c r="AD20" i="7"/>
  <c r="AE20" i="7"/>
  <c r="AF20" i="7"/>
  <c r="AG20" i="7"/>
  <c r="AH20" i="7"/>
  <c r="AI20" i="7"/>
  <c r="AJ20" i="7"/>
  <c r="AK20" i="7"/>
  <c r="AL20" i="7"/>
  <c r="AM20" i="7"/>
  <c r="AN20" i="7"/>
  <c r="AO20" i="7"/>
  <c r="AP20" i="7"/>
  <c r="AQ20" i="7"/>
  <c r="AR20" i="7"/>
  <c r="AS20" i="7"/>
  <c r="AT20" i="7"/>
  <c r="AU20" i="7"/>
  <c r="AV20" i="7"/>
  <c r="AW20" i="7"/>
  <c r="AX20" i="7"/>
  <c r="AY20" i="7"/>
  <c r="AZ20" i="7"/>
  <c r="BA20" i="7"/>
  <c r="BB20" i="7"/>
  <c r="BC20" i="7"/>
  <c r="BD20" i="7"/>
  <c r="BE20" i="7"/>
  <c r="BF20" i="7"/>
  <c r="BG20" i="7"/>
  <c r="BH20" i="7"/>
  <c r="BI20" i="7"/>
  <c r="BJ20" i="7"/>
  <c r="BK20" i="7"/>
  <c r="BL20" i="7"/>
  <c r="BM20" i="7"/>
  <c r="BN20" i="7"/>
  <c r="BO20" i="7"/>
  <c r="BP20" i="7"/>
  <c r="BQ20" i="7"/>
  <c r="BR20" i="7"/>
  <c r="BS20" i="7"/>
  <c r="BT20" i="7"/>
  <c r="BU20" i="7"/>
  <c r="BV20" i="7"/>
  <c r="BW20" i="7"/>
  <c r="BX20" i="7"/>
  <c r="BY20" i="7"/>
  <c r="BZ20" i="7"/>
  <c r="CA20" i="7"/>
  <c r="CB20" i="7"/>
  <c r="CC20" i="7"/>
  <c r="CD20" i="7"/>
  <c r="CE20" i="7"/>
  <c r="CF20" i="7"/>
  <c r="CG20" i="7"/>
  <c r="CH20" i="7"/>
  <c r="CI20" i="7"/>
  <c r="CJ20" i="7"/>
  <c r="CK20" i="7"/>
  <c r="CL20" i="7"/>
  <c r="CM20" i="7"/>
  <c r="CN20" i="7"/>
  <c r="CO20" i="7"/>
  <c r="CP20" i="7"/>
  <c r="CQ20" i="7"/>
  <c r="CR20" i="7"/>
  <c r="CS20" i="7"/>
  <c r="CT20" i="7"/>
  <c r="CU20" i="7"/>
  <c r="CV20" i="7"/>
  <c r="CW20" i="7"/>
  <c r="CX20" i="7"/>
  <c r="CY20" i="7"/>
  <c r="CZ20" i="7"/>
  <c r="DA20" i="7"/>
  <c r="DB20" i="7"/>
  <c r="DC20" i="7"/>
  <c r="DD20" i="7"/>
  <c r="DE20" i="7"/>
  <c r="DF20" i="7"/>
  <c r="DG20" i="7"/>
  <c r="DH20" i="7"/>
  <c r="DI20" i="7"/>
  <c r="DJ20" i="7"/>
  <c r="DK20" i="7"/>
  <c r="DL20" i="7"/>
  <c r="DM20" i="7"/>
  <c r="DN20" i="7"/>
  <c r="DO20" i="7"/>
  <c r="DP20" i="7"/>
  <c r="DQ20" i="7"/>
  <c r="DR20" i="7"/>
  <c r="DS20" i="7"/>
  <c r="DT20" i="7"/>
  <c r="DU20" i="7"/>
  <c r="DV20" i="7"/>
  <c r="DW20" i="7"/>
  <c r="DX20" i="7"/>
  <c r="DY20" i="7"/>
  <c r="DZ20" i="7"/>
  <c r="EA20" i="7"/>
  <c r="EB20" i="7"/>
  <c r="EC20" i="7"/>
  <c r="ED20" i="7"/>
  <c r="EE20" i="7"/>
  <c r="EF20" i="7"/>
  <c r="EG20" i="7"/>
  <c r="EH20" i="7"/>
  <c r="EI20" i="7"/>
  <c r="EJ20" i="7"/>
  <c r="EK20" i="7"/>
  <c r="EL20" i="7"/>
  <c r="EM20" i="7"/>
  <c r="EN20" i="7"/>
  <c r="EO20" i="7"/>
  <c r="EP20" i="7"/>
  <c r="EQ20" i="7"/>
  <c r="ER20" i="7"/>
  <c r="ES20" i="7"/>
  <c r="ET20" i="7"/>
  <c r="EU20" i="7"/>
  <c r="EV20" i="7"/>
  <c r="EW20" i="7"/>
  <c r="EX20" i="7"/>
  <c r="EY20" i="7"/>
  <c r="EZ20" i="7"/>
  <c r="FA20" i="7"/>
  <c r="FB20" i="7"/>
  <c r="FC20" i="7"/>
  <c r="FD20" i="7"/>
  <c r="FE20" i="7"/>
  <c r="FF20" i="7"/>
  <c r="FG20" i="7"/>
  <c r="FH20" i="7"/>
  <c r="FI20" i="7"/>
  <c r="FJ20" i="7"/>
  <c r="FK20" i="7"/>
  <c r="FL20" i="7"/>
  <c r="FM20" i="7"/>
  <c r="FN20" i="7"/>
  <c r="FO20" i="7"/>
  <c r="FP20" i="7"/>
  <c r="FQ20" i="7"/>
  <c r="FR20" i="7"/>
  <c r="FS20" i="7"/>
  <c r="FT20" i="7"/>
  <c r="FU20" i="7"/>
  <c r="FV20" i="7"/>
  <c r="FW20" i="7"/>
  <c r="FX20" i="7"/>
  <c r="FY20" i="7"/>
  <c r="FZ20" i="7"/>
  <c r="GA20" i="7"/>
  <c r="GB20" i="7"/>
  <c r="GC20" i="7"/>
  <c r="GD20" i="7"/>
  <c r="GE20" i="7"/>
  <c r="GF20" i="7"/>
  <c r="GG20" i="7"/>
  <c r="GH20" i="7"/>
  <c r="GI20" i="7"/>
  <c r="GJ20" i="7"/>
  <c r="GK20" i="7"/>
  <c r="GL20" i="7"/>
  <c r="GM20" i="7"/>
  <c r="GN20" i="7"/>
  <c r="GO20" i="7"/>
  <c r="GP20" i="7"/>
  <c r="GQ20" i="7"/>
  <c r="GR20" i="7"/>
  <c r="GS20" i="7"/>
  <c r="GT20" i="7"/>
  <c r="GU20" i="7"/>
  <c r="GV20" i="7"/>
  <c r="GW20" i="7"/>
  <c r="GX20" i="7"/>
  <c r="GY20" i="7"/>
  <c r="GZ20" i="7"/>
  <c r="HA20" i="7"/>
  <c r="HB20" i="7"/>
  <c r="HC20" i="7"/>
  <c r="HD20" i="7"/>
  <c r="HE20" i="7"/>
  <c r="HF20" i="7"/>
  <c r="HG20" i="7"/>
  <c r="HH20" i="7"/>
  <c r="HI20" i="7"/>
  <c r="HJ20" i="7"/>
  <c r="HK20" i="7"/>
  <c r="HL20" i="7"/>
  <c r="HM20" i="7"/>
  <c r="HN20" i="7"/>
  <c r="HO20" i="7"/>
  <c r="HP20" i="7"/>
  <c r="HQ20" i="7"/>
  <c r="HR20" i="7"/>
  <c r="HS20" i="7"/>
  <c r="HT20" i="7"/>
  <c r="HU20" i="7"/>
  <c r="HV20" i="7"/>
  <c r="HW20" i="7"/>
  <c r="HX20" i="7"/>
  <c r="HY20" i="7"/>
  <c r="HZ20" i="7"/>
  <c r="IA20" i="7"/>
  <c r="IB20" i="7"/>
  <c r="IC20" i="7"/>
  <c r="ID20" i="7"/>
  <c r="IE20" i="7"/>
  <c r="IF20" i="7"/>
  <c r="IG20" i="7"/>
  <c r="IH20" i="7"/>
  <c r="II20" i="7"/>
  <c r="IJ20" i="7"/>
  <c r="IK20" i="7"/>
  <c r="IL20" i="7"/>
  <c r="IM20" i="7"/>
  <c r="IN20" i="7"/>
  <c r="IO20" i="7"/>
  <c r="IP20" i="7"/>
  <c r="IQ20" i="7"/>
  <c r="IR20" i="7"/>
  <c r="IS20" i="7"/>
  <c r="IT20" i="7"/>
  <c r="IU20" i="7"/>
  <c r="IV20" i="7"/>
  <c r="A21" i="7"/>
  <c r="B21" i="7"/>
  <c r="C21" i="7"/>
  <c r="D21" i="7"/>
  <c r="E21" i="7"/>
  <c r="F21" i="7"/>
  <c r="G21" i="7"/>
  <c r="H21" i="7"/>
  <c r="I21" i="7"/>
  <c r="J21" i="7"/>
  <c r="K21" i="7"/>
  <c r="L21" i="7"/>
  <c r="M21" i="7"/>
  <c r="N21" i="7"/>
  <c r="O21" i="7"/>
  <c r="P21" i="7"/>
  <c r="Q21" i="7"/>
  <c r="R21" i="7"/>
  <c r="S21" i="7"/>
  <c r="T21" i="7"/>
  <c r="U21" i="7"/>
  <c r="V21" i="7"/>
  <c r="W21" i="7"/>
  <c r="X21" i="7"/>
  <c r="Y21" i="7"/>
  <c r="Z21" i="7"/>
  <c r="AA21" i="7"/>
  <c r="AB21" i="7"/>
  <c r="AC21" i="7"/>
  <c r="AD21" i="7"/>
  <c r="AE21" i="7"/>
  <c r="AF21" i="7"/>
  <c r="AG21" i="7"/>
  <c r="AH21" i="7"/>
  <c r="AI21" i="7"/>
  <c r="AJ21" i="7"/>
  <c r="AK21" i="7"/>
  <c r="AL21" i="7"/>
  <c r="AM21" i="7"/>
  <c r="AN21" i="7"/>
  <c r="AO21" i="7"/>
  <c r="AP21" i="7"/>
  <c r="AQ21" i="7"/>
  <c r="AR21" i="7"/>
  <c r="AS21" i="7"/>
  <c r="AT21" i="7"/>
  <c r="AU21" i="7"/>
  <c r="AV21" i="7"/>
  <c r="AW21" i="7"/>
  <c r="AX21" i="7"/>
  <c r="AY21" i="7"/>
  <c r="AZ21" i="7"/>
  <c r="BA21" i="7"/>
  <c r="BB21" i="7"/>
  <c r="BC21" i="7"/>
  <c r="BD21" i="7"/>
  <c r="BE21" i="7"/>
  <c r="BF21" i="7"/>
  <c r="BG21" i="7"/>
  <c r="BH21" i="7"/>
  <c r="BI21" i="7"/>
  <c r="BJ21" i="7"/>
  <c r="BK21" i="7"/>
  <c r="BL21" i="7"/>
  <c r="BM21" i="7"/>
  <c r="BN21" i="7"/>
  <c r="BO21" i="7"/>
  <c r="BP21" i="7"/>
  <c r="BQ21" i="7"/>
  <c r="BR21" i="7"/>
  <c r="BS21" i="7"/>
  <c r="BT21" i="7"/>
  <c r="BU21" i="7"/>
  <c r="BV21" i="7"/>
  <c r="BW21" i="7"/>
  <c r="BX21" i="7"/>
  <c r="BY21" i="7"/>
  <c r="BZ21" i="7"/>
  <c r="CA21" i="7"/>
  <c r="CB21" i="7"/>
  <c r="CC21" i="7"/>
  <c r="CD21" i="7"/>
  <c r="CE21" i="7"/>
  <c r="CF21" i="7"/>
  <c r="CG21" i="7"/>
  <c r="CH21" i="7"/>
  <c r="CI21" i="7"/>
  <c r="CJ21" i="7"/>
  <c r="CK21" i="7"/>
  <c r="CL21" i="7"/>
  <c r="CM21" i="7"/>
  <c r="CN21" i="7"/>
  <c r="CO21" i="7"/>
  <c r="CP21" i="7"/>
  <c r="CQ21" i="7"/>
  <c r="CR21" i="7"/>
  <c r="CS21" i="7"/>
  <c r="CT21" i="7"/>
  <c r="CU21" i="7"/>
  <c r="CV21" i="7"/>
  <c r="CW21" i="7"/>
  <c r="CX21" i="7"/>
  <c r="CY21" i="7"/>
  <c r="CZ21" i="7"/>
  <c r="DA21" i="7"/>
  <c r="DB21" i="7"/>
  <c r="DC21" i="7"/>
  <c r="DD21" i="7"/>
  <c r="DE21" i="7"/>
  <c r="DF21" i="7"/>
  <c r="DG21" i="7"/>
  <c r="DH21" i="7"/>
  <c r="DI21" i="7"/>
  <c r="DJ21" i="7"/>
  <c r="DK21" i="7"/>
  <c r="DL21" i="7"/>
  <c r="DM21" i="7"/>
  <c r="DN21" i="7"/>
  <c r="DO21" i="7"/>
  <c r="DP21" i="7"/>
  <c r="DQ21" i="7"/>
  <c r="DR21" i="7"/>
  <c r="DS21" i="7"/>
  <c r="DT21" i="7"/>
  <c r="DU21" i="7"/>
  <c r="DV21" i="7"/>
  <c r="DW21" i="7"/>
  <c r="DX21" i="7"/>
  <c r="DY21" i="7"/>
  <c r="DZ21" i="7"/>
  <c r="EA21" i="7"/>
  <c r="EB21" i="7"/>
  <c r="EC21" i="7"/>
  <c r="ED21" i="7"/>
  <c r="EE21" i="7"/>
  <c r="EF21" i="7"/>
  <c r="EG21" i="7"/>
  <c r="EH21" i="7"/>
  <c r="EI21" i="7"/>
  <c r="EJ21" i="7"/>
  <c r="EK21" i="7"/>
  <c r="EL21" i="7"/>
  <c r="EM21" i="7"/>
  <c r="EN21" i="7"/>
  <c r="EO21" i="7"/>
  <c r="EP21" i="7"/>
  <c r="EQ21" i="7"/>
  <c r="ER21" i="7"/>
  <c r="ES21" i="7"/>
  <c r="ET21" i="7"/>
  <c r="EU21" i="7"/>
  <c r="EV21" i="7"/>
  <c r="EW21" i="7"/>
  <c r="EX21" i="7"/>
  <c r="EY21" i="7"/>
  <c r="EZ21" i="7"/>
  <c r="FA21" i="7"/>
  <c r="FB21" i="7"/>
  <c r="FC21" i="7"/>
  <c r="FD21" i="7"/>
  <c r="FE21" i="7"/>
  <c r="FF21" i="7"/>
  <c r="FG21" i="7"/>
  <c r="FH21" i="7"/>
  <c r="FI21" i="7"/>
  <c r="FJ21" i="7"/>
  <c r="FK21" i="7"/>
  <c r="FL21" i="7"/>
  <c r="FM21" i="7"/>
  <c r="FN21" i="7"/>
  <c r="FO21" i="7"/>
  <c r="FP21" i="7"/>
  <c r="FQ21" i="7"/>
  <c r="FR21" i="7"/>
  <c r="FS21" i="7"/>
  <c r="FT21" i="7"/>
  <c r="FU21" i="7"/>
  <c r="FV21" i="7"/>
  <c r="FW21" i="7"/>
  <c r="FX21" i="7"/>
  <c r="FY21" i="7"/>
  <c r="FZ21" i="7"/>
  <c r="GA21" i="7"/>
  <c r="GB21" i="7"/>
  <c r="GC21" i="7"/>
  <c r="GD21" i="7"/>
  <c r="GE21" i="7"/>
  <c r="GF21" i="7"/>
  <c r="GG21" i="7"/>
  <c r="GH21" i="7"/>
  <c r="GI21" i="7"/>
  <c r="GJ21" i="7"/>
  <c r="GK21" i="7"/>
  <c r="GL21" i="7"/>
  <c r="GM21" i="7"/>
  <c r="GN21" i="7"/>
  <c r="GO21" i="7"/>
  <c r="GP21" i="7"/>
  <c r="GQ21" i="7"/>
  <c r="GR21" i="7"/>
  <c r="GS21" i="7"/>
  <c r="GT21" i="7"/>
  <c r="GU21" i="7"/>
  <c r="GV21" i="7"/>
  <c r="GW21" i="7"/>
  <c r="GX21" i="7"/>
  <c r="GY21" i="7"/>
  <c r="GZ21" i="7"/>
  <c r="HA21" i="7"/>
  <c r="HB21" i="7"/>
  <c r="HC21" i="7"/>
  <c r="HD21" i="7"/>
  <c r="HE21" i="7"/>
  <c r="HF21" i="7"/>
  <c r="HG21" i="7"/>
  <c r="HH21" i="7"/>
  <c r="HI21" i="7"/>
  <c r="HJ21" i="7"/>
  <c r="HK21" i="7"/>
  <c r="HL21" i="7"/>
  <c r="HM21" i="7"/>
  <c r="HN21" i="7"/>
  <c r="HO21" i="7"/>
  <c r="HP21" i="7"/>
  <c r="HQ21" i="7"/>
  <c r="HR21" i="7"/>
  <c r="HS21" i="7"/>
  <c r="HT21" i="7"/>
  <c r="HU21" i="7"/>
  <c r="HV21" i="7"/>
  <c r="HW21" i="7"/>
  <c r="HX21" i="7"/>
  <c r="HY21" i="7"/>
  <c r="HZ21" i="7"/>
  <c r="IA21" i="7"/>
  <c r="IB21" i="7"/>
  <c r="IC21" i="7"/>
  <c r="ID21" i="7"/>
  <c r="IE21" i="7"/>
  <c r="IF21" i="7"/>
  <c r="IG21" i="7"/>
  <c r="IH21" i="7"/>
  <c r="II21" i="7"/>
  <c r="IJ21" i="7"/>
  <c r="IK21" i="7"/>
  <c r="IL21" i="7"/>
  <c r="IM21" i="7"/>
  <c r="IN21" i="7"/>
  <c r="IO21" i="7"/>
  <c r="IP21" i="7"/>
  <c r="IQ21" i="7"/>
  <c r="IR21" i="7"/>
  <c r="IS21" i="7"/>
  <c r="IT21" i="7"/>
  <c r="IU21" i="7"/>
  <c r="IV21" i="7"/>
  <c r="A22" i="7"/>
  <c r="B22" i="7"/>
  <c r="C22" i="7"/>
  <c r="D22" i="7"/>
  <c r="E22" i="7"/>
  <c r="F22" i="7"/>
  <c r="G22" i="7"/>
  <c r="H22" i="7"/>
  <c r="I22" i="7"/>
  <c r="J22" i="7"/>
  <c r="K22" i="7"/>
  <c r="L22" i="7"/>
  <c r="M22" i="7"/>
  <c r="N22" i="7"/>
  <c r="O22" i="7"/>
  <c r="P22" i="7"/>
  <c r="Q22" i="7"/>
  <c r="R22" i="7"/>
  <c r="S22" i="7"/>
  <c r="T22" i="7"/>
  <c r="U22" i="7"/>
  <c r="V22" i="7"/>
  <c r="W22" i="7"/>
  <c r="X22" i="7"/>
  <c r="Y22" i="7"/>
  <c r="Z22" i="7"/>
  <c r="AA22" i="7"/>
  <c r="AB22" i="7"/>
  <c r="AC22" i="7"/>
  <c r="AD22" i="7"/>
  <c r="AE22" i="7"/>
  <c r="AF22" i="7"/>
  <c r="AG22" i="7"/>
  <c r="AH22" i="7"/>
  <c r="AI22" i="7"/>
  <c r="AJ22" i="7"/>
  <c r="AK22" i="7"/>
  <c r="AL22" i="7"/>
  <c r="AM22" i="7"/>
  <c r="AN22" i="7"/>
  <c r="AO22" i="7"/>
  <c r="AP22" i="7"/>
  <c r="AQ22" i="7"/>
  <c r="AR22" i="7"/>
  <c r="AS22" i="7"/>
  <c r="AT22" i="7"/>
  <c r="AU22" i="7"/>
  <c r="AV22" i="7"/>
  <c r="AW22" i="7"/>
  <c r="AX22" i="7"/>
  <c r="AY22" i="7"/>
  <c r="AZ22" i="7"/>
  <c r="BA22" i="7"/>
  <c r="BB22" i="7"/>
  <c r="BC22" i="7"/>
  <c r="BD22" i="7"/>
  <c r="BE22" i="7"/>
  <c r="BF22" i="7"/>
  <c r="BG22" i="7"/>
  <c r="BH22" i="7"/>
  <c r="BI22" i="7"/>
  <c r="BJ22" i="7"/>
  <c r="BK22" i="7"/>
  <c r="BL22" i="7"/>
  <c r="BM22" i="7"/>
  <c r="BN22" i="7"/>
  <c r="BO22" i="7"/>
  <c r="BP22" i="7"/>
  <c r="BQ22" i="7"/>
  <c r="BR22" i="7"/>
  <c r="BS22" i="7"/>
  <c r="BT22" i="7"/>
  <c r="BU22" i="7"/>
  <c r="BV22" i="7"/>
  <c r="BW22" i="7"/>
  <c r="BX22" i="7"/>
  <c r="BY22" i="7"/>
  <c r="BZ22" i="7"/>
  <c r="CA22" i="7"/>
  <c r="CB22" i="7"/>
  <c r="CC22" i="7"/>
  <c r="CD22" i="7"/>
  <c r="CE22" i="7"/>
  <c r="CF22" i="7"/>
  <c r="CG22" i="7"/>
  <c r="CH22" i="7"/>
  <c r="CI22" i="7"/>
  <c r="CJ22" i="7"/>
  <c r="CK22" i="7"/>
  <c r="CL22" i="7"/>
  <c r="CM22" i="7"/>
  <c r="CN22" i="7"/>
  <c r="CO22" i="7"/>
  <c r="CP22" i="7"/>
  <c r="CQ22" i="7"/>
  <c r="CR22" i="7"/>
  <c r="CS22" i="7"/>
  <c r="CT22" i="7"/>
  <c r="CU22" i="7"/>
  <c r="CV22" i="7"/>
  <c r="CW22" i="7"/>
  <c r="CX22" i="7"/>
  <c r="CY22" i="7"/>
  <c r="CZ22" i="7"/>
  <c r="DA22" i="7"/>
  <c r="DB22" i="7"/>
  <c r="DC22" i="7"/>
  <c r="DD22" i="7"/>
  <c r="DE22" i="7"/>
  <c r="DF22" i="7"/>
  <c r="DG22" i="7"/>
  <c r="DH22" i="7"/>
  <c r="DI22" i="7"/>
  <c r="DJ22" i="7"/>
  <c r="DK22" i="7"/>
  <c r="DL22" i="7"/>
  <c r="DM22" i="7"/>
  <c r="DN22" i="7"/>
  <c r="DO22" i="7"/>
  <c r="DP22" i="7"/>
  <c r="DQ22" i="7"/>
  <c r="DR22" i="7"/>
  <c r="DS22" i="7"/>
  <c r="DT22" i="7"/>
  <c r="DU22" i="7"/>
  <c r="DV22" i="7"/>
  <c r="DW22" i="7"/>
  <c r="DX22" i="7"/>
  <c r="DY22" i="7"/>
  <c r="DZ22" i="7"/>
  <c r="EA22" i="7"/>
  <c r="EB22" i="7"/>
  <c r="EC22" i="7"/>
  <c r="ED22" i="7"/>
  <c r="EE22" i="7"/>
  <c r="EF22" i="7"/>
  <c r="EG22" i="7"/>
  <c r="EH22" i="7"/>
  <c r="EI22" i="7"/>
  <c r="EJ22" i="7"/>
  <c r="EK22" i="7"/>
  <c r="EL22" i="7"/>
  <c r="EM22" i="7"/>
  <c r="EN22" i="7"/>
  <c r="EO22" i="7"/>
  <c r="EP22" i="7"/>
  <c r="EQ22" i="7"/>
  <c r="ER22" i="7"/>
  <c r="ES22" i="7"/>
  <c r="ET22" i="7"/>
  <c r="EU22" i="7"/>
  <c r="EV22" i="7"/>
  <c r="EW22" i="7"/>
  <c r="EX22" i="7"/>
  <c r="EY22" i="7"/>
  <c r="EZ22" i="7"/>
  <c r="FA22" i="7"/>
  <c r="FB22" i="7"/>
  <c r="FC22" i="7"/>
  <c r="FD22" i="7"/>
  <c r="FE22" i="7"/>
  <c r="FF22" i="7"/>
  <c r="FG22" i="7"/>
  <c r="FH22" i="7"/>
  <c r="FI22" i="7"/>
  <c r="FJ22" i="7"/>
  <c r="FK22" i="7"/>
  <c r="FL22" i="7"/>
  <c r="FM22" i="7"/>
  <c r="FN22" i="7"/>
  <c r="FO22" i="7"/>
  <c r="FP22" i="7"/>
  <c r="FQ22" i="7"/>
  <c r="FR22" i="7"/>
  <c r="FS22" i="7"/>
  <c r="FT22" i="7"/>
  <c r="FU22" i="7"/>
  <c r="FV22" i="7"/>
  <c r="FW22" i="7"/>
  <c r="FX22" i="7"/>
  <c r="FY22" i="7"/>
  <c r="FZ22" i="7"/>
  <c r="GA22" i="7"/>
  <c r="GB22" i="7"/>
  <c r="GC22" i="7"/>
  <c r="GD22" i="7"/>
  <c r="GE22" i="7"/>
  <c r="GF22" i="7"/>
  <c r="GG22" i="7"/>
  <c r="GH22" i="7"/>
  <c r="GI22" i="7"/>
  <c r="GJ22" i="7"/>
  <c r="GK22" i="7"/>
  <c r="GL22" i="7"/>
  <c r="GM22" i="7"/>
  <c r="GN22" i="7"/>
  <c r="GO22" i="7"/>
  <c r="GP22" i="7"/>
  <c r="GQ22" i="7"/>
  <c r="GR22" i="7"/>
  <c r="GS22" i="7"/>
  <c r="GT22" i="7"/>
  <c r="GU22" i="7"/>
  <c r="GV22" i="7"/>
  <c r="GW22" i="7"/>
  <c r="GX22" i="7"/>
  <c r="GY22" i="7"/>
  <c r="GZ22" i="7"/>
  <c r="HA22" i="7"/>
  <c r="HB22" i="7"/>
  <c r="HC22" i="7"/>
  <c r="HD22" i="7"/>
  <c r="HE22" i="7"/>
  <c r="HF22" i="7"/>
  <c r="HG22" i="7"/>
  <c r="HH22" i="7"/>
  <c r="HI22" i="7"/>
  <c r="HJ22" i="7"/>
  <c r="HK22" i="7"/>
  <c r="HL22" i="7"/>
  <c r="HM22" i="7"/>
  <c r="HN22" i="7"/>
  <c r="HO22" i="7"/>
  <c r="HP22" i="7"/>
  <c r="HQ22" i="7"/>
  <c r="HR22" i="7"/>
  <c r="HS22" i="7"/>
  <c r="HT22" i="7"/>
  <c r="HU22" i="7"/>
  <c r="HV22" i="7"/>
  <c r="HW22" i="7"/>
  <c r="HX22" i="7"/>
  <c r="HY22" i="7"/>
  <c r="HZ22" i="7"/>
  <c r="IA22" i="7"/>
  <c r="IB22" i="7"/>
  <c r="IC22" i="7"/>
  <c r="ID22" i="7"/>
  <c r="IE22" i="7"/>
  <c r="IF22" i="7"/>
  <c r="IG22" i="7"/>
  <c r="IH22" i="7"/>
  <c r="II22" i="7"/>
  <c r="IJ22" i="7"/>
  <c r="IK22" i="7"/>
  <c r="IL22" i="7"/>
  <c r="IM22" i="7"/>
  <c r="IN22" i="7"/>
  <c r="IO22" i="7"/>
  <c r="IP22" i="7"/>
  <c r="IQ22" i="7"/>
  <c r="IR22" i="7"/>
  <c r="IS22" i="7"/>
  <c r="IT22" i="7"/>
  <c r="IU22" i="7"/>
  <c r="IV22" i="7"/>
  <c r="A23" i="7"/>
  <c r="B23" i="7"/>
  <c r="C23" i="7"/>
  <c r="D23" i="7"/>
  <c r="E23" i="7"/>
  <c r="F23" i="7"/>
  <c r="G23" i="7"/>
  <c r="H23" i="7"/>
  <c r="I23" i="7"/>
  <c r="J23" i="7"/>
  <c r="K23" i="7"/>
  <c r="L23" i="7"/>
  <c r="M23" i="7"/>
  <c r="N23" i="7"/>
  <c r="O23" i="7"/>
  <c r="P23" i="7"/>
  <c r="Q23" i="7"/>
  <c r="R23" i="7"/>
  <c r="S23" i="7"/>
  <c r="T23" i="7"/>
  <c r="U23" i="7"/>
  <c r="V23" i="7"/>
  <c r="W23" i="7"/>
  <c r="X23" i="7"/>
  <c r="Y23" i="7"/>
  <c r="Z23" i="7"/>
  <c r="AA23" i="7"/>
  <c r="AB23" i="7"/>
  <c r="AC23" i="7"/>
  <c r="AD23" i="7"/>
  <c r="AE23" i="7"/>
  <c r="AF23" i="7"/>
  <c r="AG23" i="7"/>
  <c r="AH23" i="7"/>
  <c r="AI23" i="7"/>
  <c r="AJ23" i="7"/>
  <c r="AK23" i="7"/>
  <c r="AL23" i="7"/>
  <c r="AM23" i="7"/>
  <c r="AN23" i="7"/>
  <c r="AO23" i="7"/>
  <c r="AP23" i="7"/>
  <c r="AQ23" i="7"/>
  <c r="AR23" i="7"/>
  <c r="AS23" i="7"/>
  <c r="AT23" i="7"/>
  <c r="AU23" i="7"/>
  <c r="AV23" i="7"/>
  <c r="AW23" i="7"/>
  <c r="AX23" i="7"/>
  <c r="AY23" i="7"/>
  <c r="AZ23" i="7"/>
  <c r="BA23" i="7"/>
  <c r="BB23" i="7"/>
  <c r="BC23" i="7"/>
  <c r="BD23" i="7"/>
  <c r="BE23" i="7"/>
  <c r="BF23" i="7"/>
  <c r="BG23" i="7"/>
  <c r="BH23" i="7"/>
  <c r="BI23" i="7"/>
  <c r="BJ23" i="7"/>
  <c r="BK23" i="7"/>
  <c r="BL23" i="7"/>
  <c r="BM23" i="7"/>
  <c r="BN23" i="7"/>
  <c r="BO23" i="7"/>
  <c r="BP23" i="7"/>
  <c r="BQ23" i="7"/>
  <c r="BR23" i="7"/>
  <c r="BS23" i="7"/>
  <c r="BT23" i="7"/>
  <c r="BU23" i="7"/>
  <c r="BV23" i="7"/>
  <c r="BW23" i="7"/>
  <c r="BX23" i="7"/>
  <c r="BY23" i="7"/>
  <c r="BZ23" i="7"/>
  <c r="CA23" i="7"/>
  <c r="CB23" i="7"/>
  <c r="CC23" i="7"/>
  <c r="CD23" i="7"/>
  <c r="CE23" i="7"/>
  <c r="CF23" i="7"/>
  <c r="CG23" i="7"/>
  <c r="CH23" i="7"/>
  <c r="CI23" i="7"/>
  <c r="CJ23" i="7"/>
  <c r="CK23" i="7"/>
  <c r="CL23" i="7"/>
  <c r="CM23" i="7"/>
  <c r="CN23" i="7"/>
  <c r="CO23" i="7"/>
  <c r="CP23" i="7"/>
  <c r="CQ23" i="7"/>
  <c r="CR23" i="7"/>
  <c r="CS23" i="7"/>
  <c r="CT23" i="7"/>
  <c r="CU23" i="7"/>
  <c r="CV23" i="7"/>
  <c r="CW23" i="7"/>
  <c r="CX23" i="7"/>
  <c r="CY23" i="7"/>
  <c r="CZ23" i="7"/>
  <c r="DA23" i="7"/>
  <c r="DB23" i="7"/>
  <c r="DC23" i="7"/>
  <c r="DD23" i="7"/>
  <c r="DE23" i="7"/>
  <c r="DF23" i="7"/>
  <c r="DG23" i="7"/>
  <c r="DH23" i="7"/>
  <c r="DI23" i="7"/>
  <c r="DJ23" i="7"/>
  <c r="DK23" i="7"/>
  <c r="DL23" i="7"/>
  <c r="DM23" i="7"/>
  <c r="DN23" i="7"/>
  <c r="DO23" i="7"/>
  <c r="DP23" i="7"/>
  <c r="DQ23" i="7"/>
  <c r="DR23" i="7"/>
  <c r="DS23" i="7"/>
  <c r="DT23" i="7"/>
  <c r="DU23" i="7"/>
  <c r="DV23" i="7"/>
  <c r="DW23" i="7"/>
  <c r="DX23" i="7"/>
  <c r="DY23" i="7"/>
  <c r="DZ23" i="7"/>
  <c r="EA23" i="7"/>
  <c r="EB23" i="7"/>
  <c r="EC23" i="7"/>
  <c r="ED23" i="7"/>
  <c r="EE23" i="7"/>
  <c r="EF23" i="7"/>
  <c r="EG23" i="7"/>
  <c r="EH23" i="7"/>
  <c r="EI23" i="7"/>
  <c r="EJ23" i="7"/>
  <c r="EK23" i="7"/>
  <c r="EL23" i="7"/>
  <c r="EM23" i="7"/>
  <c r="EN23" i="7"/>
  <c r="EO23" i="7"/>
  <c r="EP23" i="7"/>
  <c r="EQ23" i="7"/>
  <c r="ER23" i="7"/>
  <c r="ES23" i="7"/>
  <c r="ET23" i="7"/>
  <c r="EU23" i="7"/>
  <c r="EV23" i="7"/>
  <c r="EW23" i="7"/>
  <c r="EX23" i="7"/>
  <c r="EY23" i="7"/>
  <c r="EZ23" i="7"/>
  <c r="FA23" i="7"/>
  <c r="FB23" i="7"/>
  <c r="FC23" i="7"/>
  <c r="FD23" i="7"/>
  <c r="FE23" i="7"/>
  <c r="FF23" i="7"/>
  <c r="FG23" i="7"/>
  <c r="FH23" i="7"/>
  <c r="FI23" i="7"/>
  <c r="FJ23" i="7"/>
  <c r="FK23" i="7"/>
  <c r="FL23" i="7"/>
  <c r="FM23" i="7"/>
  <c r="FN23" i="7"/>
  <c r="FO23" i="7"/>
  <c r="FP23" i="7"/>
  <c r="FQ23" i="7"/>
  <c r="FR23" i="7"/>
  <c r="FS23" i="7"/>
  <c r="FT23" i="7"/>
  <c r="FU23" i="7"/>
  <c r="FV23" i="7"/>
  <c r="FW23" i="7"/>
  <c r="FX23" i="7"/>
  <c r="FY23" i="7"/>
  <c r="FZ23" i="7"/>
  <c r="GA23" i="7"/>
  <c r="GB23" i="7"/>
  <c r="GC23" i="7"/>
  <c r="GD23" i="7"/>
  <c r="GE23" i="7"/>
  <c r="GF23" i="7"/>
  <c r="GG23" i="7"/>
  <c r="GH23" i="7"/>
  <c r="GI23" i="7"/>
  <c r="GJ23" i="7"/>
  <c r="GK23" i="7"/>
  <c r="GL23" i="7"/>
  <c r="GM23" i="7"/>
  <c r="GN23" i="7"/>
  <c r="GO23" i="7"/>
  <c r="GP23" i="7"/>
  <c r="GQ23" i="7"/>
  <c r="GR23" i="7"/>
  <c r="GS23" i="7"/>
  <c r="GT23" i="7"/>
  <c r="GU23" i="7"/>
  <c r="GV23" i="7"/>
  <c r="GW23" i="7"/>
  <c r="GX23" i="7"/>
  <c r="GY23" i="7"/>
  <c r="GZ23" i="7"/>
  <c r="HA23" i="7"/>
  <c r="HB23" i="7"/>
  <c r="HC23" i="7"/>
  <c r="HD23" i="7"/>
  <c r="HE23" i="7"/>
  <c r="HF23" i="7"/>
  <c r="HG23" i="7"/>
  <c r="HH23" i="7"/>
  <c r="HI23" i="7"/>
  <c r="HJ23" i="7"/>
  <c r="HK23" i="7"/>
  <c r="HL23" i="7"/>
  <c r="HM23" i="7"/>
  <c r="HN23" i="7"/>
  <c r="HO23" i="7"/>
  <c r="HP23" i="7"/>
  <c r="HQ23" i="7"/>
  <c r="HR23" i="7"/>
  <c r="HS23" i="7"/>
  <c r="HT23" i="7"/>
  <c r="HU23" i="7"/>
  <c r="HV23" i="7"/>
  <c r="HW23" i="7"/>
  <c r="HX23" i="7"/>
  <c r="HY23" i="7"/>
  <c r="HZ23" i="7"/>
  <c r="IA23" i="7"/>
  <c r="IB23" i="7"/>
  <c r="IC23" i="7"/>
  <c r="ID23" i="7"/>
  <c r="IE23" i="7"/>
  <c r="IF23" i="7"/>
  <c r="IG23" i="7"/>
  <c r="IH23" i="7"/>
  <c r="II23" i="7"/>
  <c r="IJ23" i="7"/>
  <c r="IK23" i="7"/>
  <c r="IL23" i="7"/>
  <c r="IM23" i="7"/>
  <c r="IN23" i="7"/>
  <c r="IO23" i="7"/>
  <c r="IP23" i="7"/>
  <c r="IQ23" i="7"/>
  <c r="IR23" i="7"/>
  <c r="IS23" i="7"/>
  <c r="IT23" i="7"/>
  <c r="IU23" i="7"/>
  <c r="IV23" i="7"/>
  <c r="A24" i="7"/>
  <c r="B24" i="7"/>
  <c r="C24" i="7"/>
  <c r="D24" i="7"/>
  <c r="E24" i="7"/>
  <c r="F24" i="7"/>
  <c r="G24" i="7"/>
  <c r="H24" i="7"/>
  <c r="I24" i="7"/>
  <c r="J24" i="7"/>
  <c r="K24" i="7"/>
  <c r="L24" i="7"/>
  <c r="M24" i="7"/>
  <c r="N24" i="7"/>
  <c r="O24" i="7"/>
  <c r="P24" i="7"/>
  <c r="Q24" i="7"/>
  <c r="R24" i="7"/>
  <c r="S24" i="7"/>
  <c r="T24" i="7"/>
  <c r="U24" i="7"/>
  <c r="V24" i="7"/>
  <c r="W24" i="7"/>
  <c r="X24" i="7"/>
  <c r="Y24" i="7"/>
  <c r="Z24" i="7"/>
  <c r="AA24" i="7"/>
  <c r="AB24" i="7"/>
  <c r="AC24" i="7"/>
  <c r="AD24" i="7"/>
  <c r="AE24" i="7"/>
  <c r="AF24" i="7"/>
  <c r="AG24" i="7"/>
  <c r="AH24" i="7"/>
  <c r="AI24" i="7"/>
  <c r="AJ24" i="7"/>
  <c r="AK24" i="7"/>
  <c r="AL24" i="7"/>
  <c r="AM24" i="7"/>
  <c r="AN24" i="7"/>
  <c r="AO24" i="7"/>
  <c r="AP24" i="7"/>
  <c r="AQ24" i="7"/>
  <c r="AR24" i="7"/>
  <c r="AS24" i="7"/>
  <c r="AT24" i="7"/>
  <c r="AU24" i="7"/>
  <c r="AV24" i="7"/>
  <c r="AW24" i="7"/>
  <c r="AX24" i="7"/>
  <c r="AY24" i="7"/>
  <c r="AZ24" i="7"/>
  <c r="BA24" i="7"/>
  <c r="BB24" i="7"/>
  <c r="BC24" i="7"/>
  <c r="BD24" i="7"/>
  <c r="BE24" i="7"/>
  <c r="BF24" i="7"/>
  <c r="BG24" i="7"/>
  <c r="BH24" i="7"/>
  <c r="BI24" i="7"/>
  <c r="BJ24" i="7"/>
  <c r="BK24" i="7"/>
  <c r="BL24" i="7"/>
  <c r="BM24" i="7"/>
  <c r="BN24" i="7"/>
  <c r="BO24" i="7"/>
  <c r="BP24" i="7"/>
  <c r="BQ24" i="7"/>
  <c r="BR24" i="7"/>
  <c r="BS24" i="7"/>
  <c r="BT24" i="7"/>
  <c r="BU24" i="7"/>
  <c r="BV24" i="7"/>
  <c r="BW24" i="7"/>
  <c r="BX24" i="7"/>
  <c r="BY24" i="7"/>
  <c r="BZ24" i="7"/>
  <c r="CA24" i="7"/>
  <c r="CB24" i="7"/>
  <c r="CC24" i="7"/>
  <c r="CD24" i="7"/>
  <c r="CE24" i="7"/>
  <c r="CF24" i="7"/>
  <c r="CG24" i="7"/>
  <c r="CH24" i="7"/>
  <c r="CI24" i="7"/>
  <c r="CJ24" i="7"/>
  <c r="CK24" i="7"/>
  <c r="CL24" i="7"/>
  <c r="CM24" i="7"/>
  <c r="CN24" i="7"/>
  <c r="CO24" i="7"/>
  <c r="CP24" i="7"/>
  <c r="CQ24" i="7"/>
  <c r="CR24" i="7"/>
  <c r="CS24" i="7"/>
  <c r="CT24" i="7"/>
  <c r="CU24" i="7"/>
  <c r="CV24" i="7"/>
  <c r="CW24" i="7"/>
  <c r="CX24" i="7"/>
  <c r="CY24" i="7"/>
  <c r="CZ24" i="7"/>
  <c r="DA24" i="7"/>
  <c r="DB24" i="7"/>
  <c r="DC24" i="7"/>
  <c r="DD24" i="7"/>
  <c r="DE24" i="7"/>
  <c r="DF24" i="7"/>
  <c r="DG24" i="7"/>
  <c r="DH24" i="7"/>
  <c r="DI24" i="7"/>
  <c r="DJ24" i="7"/>
  <c r="DK24" i="7"/>
  <c r="DL24" i="7"/>
  <c r="DM24" i="7"/>
  <c r="DN24" i="7"/>
  <c r="DO24" i="7"/>
  <c r="DP24" i="7"/>
  <c r="DQ24" i="7"/>
  <c r="DR24" i="7"/>
  <c r="DS24" i="7"/>
  <c r="DT24" i="7"/>
  <c r="DU24" i="7"/>
  <c r="DV24" i="7"/>
  <c r="DW24" i="7"/>
  <c r="DX24" i="7"/>
  <c r="DY24" i="7"/>
  <c r="DZ24" i="7"/>
  <c r="EA24" i="7"/>
  <c r="EB24" i="7"/>
  <c r="EC24" i="7"/>
  <c r="ED24" i="7"/>
  <c r="EE24" i="7"/>
  <c r="EF24" i="7"/>
  <c r="EG24" i="7"/>
  <c r="EH24" i="7"/>
  <c r="EI24" i="7"/>
  <c r="EJ24" i="7"/>
  <c r="EK24" i="7"/>
  <c r="EL24" i="7"/>
  <c r="EM24" i="7"/>
  <c r="EN24" i="7"/>
  <c r="EO24" i="7"/>
  <c r="EP24" i="7"/>
  <c r="EQ24" i="7"/>
  <c r="ER24" i="7"/>
  <c r="ES24" i="7"/>
  <c r="ET24" i="7"/>
  <c r="EU24" i="7"/>
  <c r="EV24" i="7"/>
  <c r="EW24" i="7"/>
  <c r="EX24" i="7"/>
  <c r="EY24" i="7"/>
  <c r="EZ24" i="7"/>
  <c r="FA24" i="7"/>
  <c r="FB24" i="7"/>
  <c r="FC24" i="7"/>
  <c r="FD24" i="7"/>
  <c r="FE24" i="7"/>
  <c r="FF24" i="7"/>
  <c r="FG24" i="7"/>
  <c r="FH24" i="7"/>
  <c r="FI24" i="7"/>
  <c r="FJ24" i="7"/>
  <c r="FK24" i="7"/>
  <c r="FL24" i="7"/>
  <c r="FM24" i="7"/>
  <c r="FN24" i="7"/>
  <c r="FO24" i="7"/>
  <c r="FP24" i="7"/>
  <c r="FQ24" i="7"/>
  <c r="FR24" i="7"/>
  <c r="FS24" i="7"/>
  <c r="FT24" i="7"/>
  <c r="FU24" i="7"/>
  <c r="FV24" i="7"/>
  <c r="FW24" i="7"/>
  <c r="FX24" i="7"/>
  <c r="FY24" i="7"/>
  <c r="FZ24" i="7"/>
  <c r="GA24" i="7"/>
  <c r="GB24" i="7"/>
  <c r="GC24" i="7"/>
  <c r="GD24" i="7"/>
  <c r="GE24" i="7"/>
  <c r="GF24" i="7"/>
  <c r="GG24" i="7"/>
  <c r="GH24" i="7"/>
  <c r="GI24" i="7"/>
  <c r="GJ24" i="7"/>
  <c r="GK24" i="7"/>
  <c r="GL24" i="7"/>
  <c r="GM24" i="7"/>
  <c r="GN24" i="7"/>
  <c r="GO24" i="7"/>
  <c r="GP24" i="7"/>
  <c r="GQ24" i="7"/>
  <c r="GR24" i="7"/>
  <c r="GS24" i="7"/>
  <c r="GT24" i="7"/>
  <c r="GU24" i="7"/>
  <c r="GV24" i="7"/>
  <c r="GW24" i="7"/>
  <c r="GX24" i="7"/>
  <c r="GY24" i="7"/>
  <c r="GZ24" i="7"/>
  <c r="HA24" i="7"/>
  <c r="HB24" i="7"/>
  <c r="HC24" i="7"/>
  <c r="HD24" i="7"/>
  <c r="HE24" i="7"/>
  <c r="HF24" i="7"/>
  <c r="HG24" i="7"/>
  <c r="HH24" i="7"/>
  <c r="HI24" i="7"/>
  <c r="HJ24" i="7"/>
  <c r="HK24" i="7"/>
  <c r="HL24" i="7"/>
  <c r="HM24" i="7"/>
  <c r="HN24" i="7"/>
  <c r="HO24" i="7"/>
  <c r="HP24" i="7"/>
  <c r="HQ24" i="7"/>
  <c r="HR24" i="7"/>
  <c r="HS24" i="7"/>
  <c r="HT24" i="7"/>
  <c r="HU24" i="7"/>
  <c r="HV24" i="7"/>
  <c r="HW24" i="7"/>
  <c r="HX24" i="7"/>
  <c r="HY24" i="7"/>
  <c r="HZ24" i="7"/>
  <c r="IA24" i="7"/>
  <c r="IB24" i="7"/>
  <c r="IC24" i="7"/>
  <c r="ID24" i="7"/>
  <c r="IE24" i="7"/>
  <c r="IF24" i="7"/>
  <c r="IG24" i="7"/>
  <c r="IH24" i="7"/>
  <c r="II24" i="7"/>
  <c r="IJ24" i="7"/>
  <c r="IK24" i="7"/>
  <c r="IL24" i="7"/>
  <c r="IM24" i="7"/>
  <c r="IN24" i="7"/>
  <c r="IO24" i="7"/>
  <c r="IP24" i="7"/>
  <c r="IQ24" i="7"/>
  <c r="IR24" i="7"/>
  <c r="IS24" i="7"/>
  <c r="IT24" i="7"/>
  <c r="IU24" i="7"/>
  <c r="IV24" i="7"/>
  <c r="A25" i="7"/>
  <c r="B25" i="7"/>
  <c r="C25" i="7"/>
  <c r="D25" i="7"/>
  <c r="E25" i="7"/>
  <c r="F25" i="7"/>
  <c r="G25" i="7"/>
  <c r="H25" i="7"/>
  <c r="I25" i="7"/>
  <c r="J25" i="7"/>
  <c r="K25" i="7"/>
  <c r="L25" i="7"/>
  <c r="M25" i="7"/>
  <c r="N25" i="7"/>
  <c r="O25" i="7"/>
  <c r="P25" i="7"/>
  <c r="Q25" i="7"/>
  <c r="R25" i="7"/>
  <c r="S25" i="7"/>
  <c r="T25" i="7"/>
  <c r="U25" i="7"/>
  <c r="V25" i="7"/>
  <c r="W25" i="7"/>
  <c r="X25" i="7"/>
  <c r="Y25" i="7"/>
  <c r="Z25" i="7"/>
  <c r="AA25" i="7"/>
  <c r="AB25" i="7"/>
  <c r="AC25" i="7"/>
  <c r="AD25" i="7"/>
  <c r="AE25" i="7"/>
  <c r="AF25" i="7"/>
  <c r="AG25" i="7"/>
  <c r="AH25" i="7"/>
  <c r="AI25" i="7"/>
  <c r="AJ25" i="7"/>
  <c r="AK25" i="7"/>
  <c r="AL25" i="7"/>
  <c r="AM25" i="7"/>
  <c r="AN25" i="7"/>
  <c r="AO25" i="7"/>
  <c r="AP25" i="7"/>
  <c r="AQ25" i="7"/>
  <c r="AR25" i="7"/>
  <c r="AS25" i="7"/>
  <c r="AT25" i="7"/>
  <c r="AU25" i="7"/>
  <c r="AV25" i="7"/>
  <c r="AW25" i="7"/>
  <c r="AX25" i="7"/>
  <c r="AY25" i="7"/>
  <c r="AZ25" i="7"/>
  <c r="BA25" i="7"/>
  <c r="BB25" i="7"/>
  <c r="BC25" i="7"/>
  <c r="BD25" i="7"/>
  <c r="BE25" i="7"/>
  <c r="BF25" i="7"/>
  <c r="BG25" i="7"/>
  <c r="BH25" i="7"/>
  <c r="BI25" i="7"/>
  <c r="BJ25" i="7"/>
  <c r="BK25" i="7"/>
  <c r="BL25" i="7"/>
  <c r="BM25" i="7"/>
  <c r="BN25" i="7"/>
  <c r="BO25" i="7"/>
  <c r="BP25" i="7"/>
  <c r="BQ25" i="7"/>
  <c r="BR25" i="7"/>
  <c r="BS25" i="7"/>
  <c r="BT25" i="7"/>
  <c r="BU25" i="7"/>
  <c r="BV25" i="7"/>
  <c r="BW25" i="7"/>
  <c r="BX25" i="7"/>
  <c r="BY25" i="7"/>
  <c r="BZ25" i="7"/>
  <c r="CA25" i="7"/>
  <c r="CB25" i="7"/>
  <c r="CC25" i="7"/>
  <c r="CD25" i="7"/>
  <c r="CE25" i="7"/>
  <c r="CF25" i="7"/>
  <c r="CG25" i="7"/>
  <c r="CH25" i="7"/>
  <c r="CI25" i="7"/>
  <c r="CJ25" i="7"/>
  <c r="CK25" i="7"/>
  <c r="CL25" i="7"/>
  <c r="CM25" i="7"/>
  <c r="CN25" i="7"/>
  <c r="CO25" i="7"/>
  <c r="CP25" i="7"/>
  <c r="CQ25" i="7"/>
  <c r="CR25" i="7"/>
  <c r="CS25" i="7"/>
  <c r="CT25" i="7"/>
  <c r="CU25" i="7"/>
  <c r="CV25" i="7"/>
  <c r="CW25" i="7"/>
  <c r="CX25" i="7"/>
  <c r="CY25" i="7"/>
  <c r="CZ25" i="7"/>
  <c r="DA25" i="7"/>
  <c r="DB25" i="7"/>
  <c r="DC25" i="7"/>
  <c r="DD25" i="7"/>
  <c r="DE25" i="7"/>
  <c r="DF25" i="7"/>
  <c r="DG25" i="7"/>
  <c r="DH25" i="7"/>
  <c r="DI25" i="7"/>
  <c r="DJ25" i="7"/>
  <c r="DK25" i="7"/>
  <c r="DL25" i="7"/>
  <c r="DM25" i="7"/>
  <c r="DN25" i="7"/>
  <c r="DO25" i="7"/>
  <c r="DP25" i="7"/>
  <c r="DQ25" i="7"/>
  <c r="DR25" i="7"/>
  <c r="DS25" i="7"/>
  <c r="DT25" i="7"/>
  <c r="DU25" i="7"/>
  <c r="DV25" i="7"/>
  <c r="DW25" i="7"/>
  <c r="DX25" i="7"/>
  <c r="DY25" i="7"/>
  <c r="DZ25" i="7"/>
  <c r="EA25" i="7"/>
  <c r="EB25" i="7"/>
  <c r="EC25" i="7"/>
  <c r="ED25" i="7"/>
  <c r="EE25" i="7"/>
  <c r="EF25" i="7"/>
  <c r="EG25" i="7"/>
  <c r="EH25" i="7"/>
  <c r="EI25" i="7"/>
  <c r="EJ25" i="7"/>
  <c r="EK25" i="7"/>
  <c r="EL25" i="7"/>
  <c r="EM25" i="7"/>
  <c r="EN25" i="7"/>
  <c r="EO25" i="7"/>
  <c r="EP25" i="7"/>
  <c r="EQ25" i="7"/>
  <c r="ER25" i="7"/>
  <c r="ES25" i="7"/>
  <c r="ET25" i="7"/>
  <c r="EU25" i="7"/>
  <c r="EV25" i="7"/>
  <c r="EW25" i="7"/>
  <c r="EX25" i="7"/>
  <c r="EY25" i="7"/>
  <c r="EZ25" i="7"/>
  <c r="FA25" i="7"/>
  <c r="FB25" i="7"/>
  <c r="FC25" i="7"/>
  <c r="FD25" i="7"/>
  <c r="FE25" i="7"/>
  <c r="FF25" i="7"/>
  <c r="FG25" i="7"/>
  <c r="FH25" i="7"/>
  <c r="FI25" i="7"/>
  <c r="FJ25" i="7"/>
  <c r="FK25" i="7"/>
  <c r="FL25" i="7"/>
  <c r="FM25" i="7"/>
  <c r="FN25" i="7"/>
  <c r="FO25" i="7"/>
  <c r="FP25" i="7"/>
  <c r="FQ25" i="7"/>
  <c r="FR25" i="7"/>
  <c r="FS25" i="7"/>
  <c r="FT25" i="7"/>
  <c r="FU25" i="7"/>
  <c r="FV25" i="7"/>
  <c r="FW25" i="7"/>
  <c r="FX25" i="7"/>
  <c r="FY25" i="7"/>
  <c r="FZ25" i="7"/>
  <c r="GA25" i="7"/>
  <c r="GB25" i="7"/>
  <c r="GC25" i="7"/>
  <c r="GD25" i="7"/>
  <c r="GE25" i="7"/>
  <c r="GF25" i="7"/>
  <c r="GG25" i="7"/>
  <c r="GH25" i="7"/>
  <c r="GI25" i="7"/>
  <c r="GJ25" i="7"/>
  <c r="GK25" i="7"/>
  <c r="GL25" i="7"/>
  <c r="GM25" i="7"/>
  <c r="GN25" i="7"/>
  <c r="GO25" i="7"/>
  <c r="GP25" i="7"/>
  <c r="GQ25" i="7"/>
  <c r="GR25" i="7"/>
  <c r="GS25" i="7"/>
  <c r="GT25" i="7"/>
  <c r="GU25" i="7"/>
  <c r="GV25" i="7"/>
  <c r="GW25" i="7"/>
  <c r="GX25" i="7"/>
  <c r="GY25" i="7"/>
  <c r="GZ25" i="7"/>
  <c r="HA25" i="7"/>
  <c r="HB25" i="7"/>
  <c r="HC25" i="7"/>
  <c r="HD25" i="7"/>
  <c r="HE25" i="7"/>
  <c r="HF25" i="7"/>
  <c r="HG25" i="7"/>
  <c r="HH25" i="7"/>
  <c r="HI25" i="7"/>
  <c r="HJ25" i="7"/>
  <c r="HK25" i="7"/>
  <c r="HL25" i="7"/>
  <c r="HM25" i="7"/>
  <c r="HN25" i="7"/>
  <c r="HO25" i="7"/>
  <c r="HP25" i="7"/>
  <c r="HQ25" i="7"/>
  <c r="HR25" i="7"/>
  <c r="HS25" i="7"/>
  <c r="HT25" i="7"/>
  <c r="HU25" i="7"/>
  <c r="HV25" i="7"/>
  <c r="HW25" i="7"/>
  <c r="HX25" i="7"/>
  <c r="HY25" i="7"/>
  <c r="HZ25" i="7"/>
  <c r="IA25" i="7"/>
  <c r="IB25" i="7"/>
  <c r="IC25" i="7"/>
  <c r="ID25" i="7"/>
  <c r="IE25" i="7"/>
  <c r="IF25" i="7"/>
  <c r="IG25" i="7"/>
  <c r="IH25" i="7"/>
  <c r="II25" i="7"/>
  <c r="IJ25" i="7"/>
  <c r="IK25" i="7"/>
  <c r="IL25" i="7"/>
  <c r="IM25" i="7"/>
  <c r="IN25" i="7"/>
  <c r="IO25" i="7"/>
  <c r="IP25" i="7"/>
  <c r="IQ25" i="7"/>
  <c r="IR25" i="7"/>
  <c r="IS25" i="7"/>
  <c r="IT25" i="7"/>
  <c r="IU25" i="7"/>
  <c r="IV25" i="7"/>
  <c r="A26" i="7"/>
  <c r="B26" i="7"/>
  <c r="C26" i="7"/>
  <c r="D26" i="7"/>
  <c r="E26"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BW26" i="7"/>
  <c r="BX26" i="7"/>
  <c r="BY26" i="7"/>
  <c r="BZ26" i="7"/>
  <c r="CA26" i="7"/>
  <c r="CB26" i="7"/>
  <c r="CC26" i="7"/>
  <c r="CD26" i="7"/>
  <c r="CE26" i="7"/>
  <c r="CF26" i="7"/>
  <c r="CG26" i="7"/>
  <c r="CH26" i="7"/>
  <c r="CI26" i="7"/>
  <c r="CJ26" i="7"/>
  <c r="CK26" i="7"/>
  <c r="CL26" i="7"/>
  <c r="CM26" i="7"/>
  <c r="CN26" i="7"/>
  <c r="CO26" i="7"/>
  <c r="CP26" i="7"/>
  <c r="CQ26" i="7"/>
  <c r="CR26" i="7"/>
  <c r="CS26" i="7"/>
  <c r="CT26" i="7"/>
  <c r="CU26" i="7"/>
  <c r="CV26" i="7"/>
  <c r="CW26" i="7"/>
  <c r="CX26" i="7"/>
  <c r="CY26" i="7"/>
  <c r="CZ26" i="7"/>
  <c r="DA26" i="7"/>
  <c r="DB26" i="7"/>
  <c r="DC26" i="7"/>
  <c r="DD26" i="7"/>
  <c r="DE26" i="7"/>
  <c r="DF26" i="7"/>
  <c r="DG26" i="7"/>
  <c r="DH26" i="7"/>
  <c r="DI26" i="7"/>
  <c r="DJ26" i="7"/>
  <c r="DK26" i="7"/>
  <c r="DL26" i="7"/>
  <c r="DM26" i="7"/>
  <c r="DN26" i="7"/>
  <c r="DO26" i="7"/>
  <c r="DP26" i="7"/>
  <c r="DQ26" i="7"/>
  <c r="DR26" i="7"/>
  <c r="DS26" i="7"/>
  <c r="DT26" i="7"/>
  <c r="DU26" i="7"/>
  <c r="DV26" i="7"/>
  <c r="DW26" i="7"/>
  <c r="DX26" i="7"/>
  <c r="DY26" i="7"/>
  <c r="DZ26" i="7"/>
  <c r="EA26" i="7"/>
  <c r="EB26" i="7"/>
  <c r="EC26" i="7"/>
  <c r="ED26" i="7"/>
  <c r="EE26" i="7"/>
  <c r="EF26" i="7"/>
  <c r="EG26" i="7"/>
  <c r="EH26" i="7"/>
  <c r="EI26" i="7"/>
  <c r="EJ26" i="7"/>
  <c r="EK26" i="7"/>
  <c r="EL26" i="7"/>
  <c r="EM26" i="7"/>
  <c r="EN26" i="7"/>
  <c r="EO26" i="7"/>
  <c r="EP26" i="7"/>
  <c r="EQ26" i="7"/>
  <c r="ER26" i="7"/>
  <c r="ES26" i="7"/>
  <c r="ET26" i="7"/>
  <c r="EU26" i="7"/>
  <c r="EV26" i="7"/>
  <c r="EW26" i="7"/>
  <c r="EX26" i="7"/>
  <c r="EY26" i="7"/>
  <c r="EZ26" i="7"/>
  <c r="FA26" i="7"/>
  <c r="FB26" i="7"/>
  <c r="FC26" i="7"/>
  <c r="FD26" i="7"/>
  <c r="FE26" i="7"/>
  <c r="FF26" i="7"/>
  <c r="FG26" i="7"/>
  <c r="FH26" i="7"/>
  <c r="FI26" i="7"/>
  <c r="FJ26" i="7"/>
  <c r="FK26" i="7"/>
  <c r="FL26" i="7"/>
  <c r="FM26" i="7"/>
  <c r="FN26" i="7"/>
  <c r="FO26" i="7"/>
  <c r="FP26" i="7"/>
  <c r="FQ26" i="7"/>
  <c r="FR26" i="7"/>
  <c r="FS26" i="7"/>
  <c r="FT26" i="7"/>
  <c r="FU26" i="7"/>
  <c r="FV26" i="7"/>
  <c r="FW26" i="7"/>
  <c r="FX26" i="7"/>
  <c r="FY26" i="7"/>
  <c r="FZ26" i="7"/>
  <c r="GA26" i="7"/>
  <c r="GB26" i="7"/>
  <c r="GC26" i="7"/>
  <c r="GD26" i="7"/>
  <c r="GE26" i="7"/>
  <c r="GF26" i="7"/>
  <c r="GG26" i="7"/>
  <c r="GH26" i="7"/>
  <c r="GI26" i="7"/>
  <c r="GJ26" i="7"/>
  <c r="GK26" i="7"/>
  <c r="GL26" i="7"/>
  <c r="GM26" i="7"/>
  <c r="GN26" i="7"/>
  <c r="GO26" i="7"/>
  <c r="GP26" i="7"/>
  <c r="GQ26" i="7"/>
  <c r="GR26" i="7"/>
  <c r="GS26" i="7"/>
  <c r="GT26" i="7"/>
  <c r="GU26" i="7"/>
  <c r="GV26" i="7"/>
  <c r="GW26" i="7"/>
  <c r="GX26" i="7"/>
  <c r="GY26" i="7"/>
  <c r="GZ26" i="7"/>
  <c r="HA26" i="7"/>
  <c r="HB26" i="7"/>
  <c r="HC26" i="7"/>
  <c r="HD26" i="7"/>
  <c r="HE26" i="7"/>
  <c r="HF26" i="7"/>
  <c r="HG26" i="7"/>
  <c r="HH26" i="7"/>
  <c r="HI26" i="7"/>
  <c r="HJ26" i="7"/>
  <c r="HK26" i="7"/>
  <c r="HL26" i="7"/>
  <c r="HM26" i="7"/>
  <c r="HN26" i="7"/>
  <c r="HO26" i="7"/>
  <c r="HP26" i="7"/>
  <c r="HQ26" i="7"/>
  <c r="HR26" i="7"/>
  <c r="HS26" i="7"/>
  <c r="HT26" i="7"/>
  <c r="HU26" i="7"/>
  <c r="HV26" i="7"/>
  <c r="HW26" i="7"/>
  <c r="HX26" i="7"/>
  <c r="HY26" i="7"/>
  <c r="HZ26" i="7"/>
  <c r="IA26" i="7"/>
  <c r="IB26" i="7"/>
  <c r="IC26" i="7"/>
  <c r="ID26" i="7"/>
  <c r="IE26" i="7"/>
  <c r="IF26" i="7"/>
  <c r="IG26" i="7"/>
  <c r="IH26" i="7"/>
  <c r="II26" i="7"/>
  <c r="IJ26" i="7"/>
  <c r="IK26" i="7"/>
  <c r="IL26" i="7"/>
  <c r="IM26" i="7"/>
  <c r="IN26" i="7"/>
  <c r="IO26" i="7"/>
  <c r="IP26" i="7"/>
  <c r="IQ26" i="7"/>
  <c r="IR26" i="7"/>
  <c r="IS26" i="7"/>
  <c r="IT26" i="7"/>
  <c r="IU26" i="7"/>
  <c r="IV26" i="7"/>
  <c r="A27" i="7"/>
  <c r="B27" i="7"/>
  <c r="C27" i="7"/>
  <c r="D27" i="7"/>
  <c r="E27"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BW27" i="7"/>
  <c r="BX27" i="7"/>
  <c r="BY27" i="7"/>
  <c r="BZ27" i="7"/>
  <c r="CA27" i="7"/>
  <c r="CB27" i="7"/>
  <c r="CC27" i="7"/>
  <c r="CD27" i="7"/>
  <c r="CE27" i="7"/>
  <c r="CF27" i="7"/>
  <c r="CG27" i="7"/>
  <c r="CH27" i="7"/>
  <c r="CI27" i="7"/>
  <c r="CJ27" i="7"/>
  <c r="CK27" i="7"/>
  <c r="CL27" i="7"/>
  <c r="CM27" i="7"/>
  <c r="CN27" i="7"/>
  <c r="CO27" i="7"/>
  <c r="CP27" i="7"/>
  <c r="CQ27" i="7"/>
  <c r="CR27" i="7"/>
  <c r="CS27" i="7"/>
  <c r="CT27" i="7"/>
  <c r="CU27" i="7"/>
  <c r="CV27" i="7"/>
  <c r="CW27" i="7"/>
  <c r="CX27" i="7"/>
  <c r="CY27" i="7"/>
  <c r="CZ27" i="7"/>
  <c r="DA27" i="7"/>
  <c r="DB27" i="7"/>
  <c r="DC27" i="7"/>
  <c r="DD27" i="7"/>
  <c r="DE27" i="7"/>
  <c r="DF27" i="7"/>
  <c r="DG27" i="7"/>
  <c r="DH27" i="7"/>
  <c r="DI27" i="7"/>
  <c r="DJ27" i="7"/>
  <c r="DK27" i="7"/>
  <c r="DL27" i="7"/>
  <c r="DM27" i="7"/>
  <c r="DN27" i="7"/>
  <c r="DO27" i="7"/>
  <c r="DP27" i="7"/>
  <c r="DQ27" i="7"/>
  <c r="DR27" i="7"/>
  <c r="DS27" i="7"/>
  <c r="DT27" i="7"/>
  <c r="DU27" i="7"/>
  <c r="DV27" i="7"/>
  <c r="DW27" i="7"/>
  <c r="DX27" i="7"/>
  <c r="DY27" i="7"/>
  <c r="DZ27" i="7"/>
  <c r="EA27" i="7"/>
  <c r="EB27" i="7"/>
  <c r="EC27" i="7"/>
  <c r="ED27" i="7"/>
  <c r="EE27" i="7"/>
  <c r="EF27" i="7"/>
  <c r="EG27" i="7"/>
  <c r="EH27" i="7"/>
  <c r="EI27" i="7"/>
  <c r="EJ27" i="7"/>
  <c r="EK27" i="7"/>
  <c r="EL27" i="7"/>
  <c r="EM27" i="7"/>
  <c r="EN27" i="7"/>
  <c r="EO27" i="7"/>
  <c r="EP27" i="7"/>
  <c r="EQ27" i="7"/>
  <c r="ER27" i="7"/>
  <c r="ES27" i="7"/>
  <c r="ET27" i="7"/>
  <c r="EU27" i="7"/>
  <c r="EV27" i="7"/>
  <c r="EW27" i="7"/>
  <c r="EX27" i="7"/>
  <c r="EY27" i="7"/>
  <c r="EZ27" i="7"/>
  <c r="FA27" i="7"/>
  <c r="FB27" i="7"/>
  <c r="FC27" i="7"/>
  <c r="FD27" i="7"/>
  <c r="FE27" i="7"/>
  <c r="FF27" i="7"/>
  <c r="FG27" i="7"/>
  <c r="FH27" i="7"/>
  <c r="FI27" i="7"/>
  <c r="FJ27" i="7"/>
  <c r="FK27" i="7"/>
  <c r="FL27" i="7"/>
  <c r="FM27" i="7"/>
  <c r="FN27" i="7"/>
  <c r="FO27" i="7"/>
  <c r="FP27" i="7"/>
  <c r="FQ27" i="7"/>
  <c r="FR27" i="7"/>
  <c r="FS27" i="7"/>
  <c r="FT27" i="7"/>
  <c r="FU27" i="7"/>
  <c r="FV27" i="7"/>
  <c r="FW27" i="7"/>
  <c r="FX27" i="7"/>
  <c r="FY27" i="7"/>
  <c r="FZ27" i="7"/>
  <c r="GA27" i="7"/>
  <c r="GB27" i="7"/>
  <c r="GC27" i="7"/>
  <c r="GD27" i="7"/>
  <c r="GE27" i="7"/>
  <c r="GF27" i="7"/>
  <c r="GG27" i="7"/>
  <c r="GH27" i="7"/>
  <c r="GI27" i="7"/>
  <c r="GJ27" i="7"/>
  <c r="GK27" i="7"/>
  <c r="GL27" i="7"/>
  <c r="GM27" i="7"/>
  <c r="GN27" i="7"/>
  <c r="GO27" i="7"/>
  <c r="GP27" i="7"/>
  <c r="GQ27" i="7"/>
  <c r="GR27" i="7"/>
  <c r="GS27" i="7"/>
  <c r="GT27" i="7"/>
  <c r="GU27" i="7"/>
  <c r="GV27" i="7"/>
  <c r="GW27" i="7"/>
  <c r="GX27" i="7"/>
  <c r="GY27" i="7"/>
  <c r="GZ27" i="7"/>
  <c r="HA27" i="7"/>
  <c r="HB27" i="7"/>
  <c r="HC27" i="7"/>
  <c r="HD27" i="7"/>
  <c r="HE27" i="7"/>
  <c r="HF27" i="7"/>
  <c r="HG27" i="7"/>
  <c r="HH27" i="7"/>
  <c r="HI27" i="7"/>
  <c r="HJ27" i="7"/>
  <c r="HK27" i="7"/>
  <c r="HL27" i="7"/>
  <c r="HM27" i="7"/>
  <c r="HN27" i="7"/>
  <c r="HO27" i="7"/>
  <c r="HP27" i="7"/>
  <c r="HQ27" i="7"/>
  <c r="HR27" i="7"/>
  <c r="HS27" i="7"/>
  <c r="HT27" i="7"/>
  <c r="HU27" i="7"/>
  <c r="HV27" i="7"/>
  <c r="HW27" i="7"/>
  <c r="HX27" i="7"/>
  <c r="HY27" i="7"/>
  <c r="HZ27" i="7"/>
  <c r="IA27" i="7"/>
  <c r="IB27" i="7"/>
  <c r="IC27" i="7"/>
  <c r="ID27" i="7"/>
  <c r="IE27" i="7"/>
  <c r="IF27" i="7"/>
  <c r="IG27" i="7"/>
  <c r="IH27" i="7"/>
  <c r="II27" i="7"/>
  <c r="IJ27" i="7"/>
  <c r="IK27" i="7"/>
  <c r="IL27" i="7"/>
  <c r="IM27" i="7"/>
  <c r="IN27" i="7"/>
  <c r="IO27" i="7"/>
  <c r="IP27" i="7"/>
  <c r="IQ27" i="7"/>
  <c r="IR27" i="7"/>
  <c r="IS27" i="7"/>
  <c r="IT27" i="7"/>
  <c r="IU27" i="7"/>
  <c r="IV27" i="7"/>
  <c r="A28" i="7"/>
  <c r="B28" i="7"/>
  <c r="C28" i="7"/>
  <c r="D28" i="7"/>
  <c r="E28" i="7"/>
  <c r="F28" i="7"/>
  <c r="G28" i="7"/>
  <c r="H28" i="7"/>
  <c r="I28" i="7"/>
  <c r="J28" i="7"/>
  <c r="K28" i="7"/>
  <c r="L28" i="7"/>
  <c r="M28" i="7"/>
  <c r="N28" i="7"/>
  <c r="O28" i="7"/>
  <c r="P28" i="7"/>
  <c r="Q28" i="7"/>
  <c r="R28" i="7"/>
  <c r="S28" i="7"/>
  <c r="T28" i="7"/>
  <c r="U28" i="7"/>
  <c r="V28" i="7"/>
  <c r="W28" i="7"/>
  <c r="X28" i="7"/>
  <c r="Y28" i="7"/>
  <c r="Z28" i="7"/>
  <c r="AA28" i="7"/>
  <c r="AB28" i="7"/>
  <c r="AC28" i="7"/>
  <c r="AD28" i="7"/>
  <c r="AE28" i="7"/>
  <c r="AF28" i="7"/>
  <c r="AG28" i="7"/>
  <c r="AH28" i="7"/>
  <c r="AI28" i="7"/>
  <c r="AJ28" i="7"/>
  <c r="AK28" i="7"/>
  <c r="AL28" i="7"/>
  <c r="AM28" i="7"/>
  <c r="AN28" i="7"/>
  <c r="AO28" i="7"/>
  <c r="AP28" i="7"/>
  <c r="AQ28" i="7"/>
  <c r="AR28" i="7"/>
  <c r="AS28" i="7"/>
  <c r="AT28" i="7"/>
  <c r="AU28" i="7"/>
  <c r="AV28" i="7"/>
  <c r="AW28" i="7"/>
  <c r="AX28" i="7"/>
  <c r="AY28" i="7"/>
  <c r="AZ28" i="7"/>
  <c r="BA28" i="7"/>
  <c r="BB28" i="7"/>
  <c r="BC28" i="7"/>
  <c r="BD28" i="7"/>
  <c r="BE28" i="7"/>
  <c r="BF28" i="7"/>
  <c r="BG28" i="7"/>
  <c r="BH28" i="7"/>
  <c r="BI28" i="7"/>
  <c r="BJ28" i="7"/>
  <c r="BK28" i="7"/>
  <c r="BL28" i="7"/>
  <c r="BM28" i="7"/>
  <c r="BN28" i="7"/>
  <c r="BO28" i="7"/>
  <c r="BP28" i="7"/>
  <c r="BQ28" i="7"/>
  <c r="BR28" i="7"/>
  <c r="BS28" i="7"/>
  <c r="BT28" i="7"/>
  <c r="BU28" i="7"/>
  <c r="BV28" i="7"/>
  <c r="BW28" i="7"/>
  <c r="BX28" i="7"/>
  <c r="BY28" i="7"/>
  <c r="BZ28" i="7"/>
  <c r="CA28" i="7"/>
  <c r="CB28" i="7"/>
  <c r="CC28" i="7"/>
  <c r="CD28" i="7"/>
  <c r="CE28" i="7"/>
  <c r="CF28" i="7"/>
  <c r="CG28" i="7"/>
  <c r="CH28" i="7"/>
  <c r="CI28" i="7"/>
  <c r="CJ28" i="7"/>
  <c r="CK28" i="7"/>
  <c r="CL28" i="7"/>
  <c r="CM28" i="7"/>
  <c r="CN28" i="7"/>
  <c r="CO28" i="7"/>
  <c r="CP28" i="7"/>
  <c r="CQ28" i="7"/>
  <c r="CR28" i="7"/>
  <c r="CS28" i="7"/>
  <c r="CT28" i="7"/>
  <c r="CU28" i="7"/>
  <c r="CV28" i="7"/>
  <c r="CW28" i="7"/>
  <c r="CX28" i="7"/>
  <c r="CY28" i="7"/>
  <c r="CZ28" i="7"/>
  <c r="DA28" i="7"/>
  <c r="DB28" i="7"/>
  <c r="DC28" i="7"/>
  <c r="DD28" i="7"/>
  <c r="DE28" i="7"/>
  <c r="DF28" i="7"/>
  <c r="DG28" i="7"/>
  <c r="DH28" i="7"/>
  <c r="DI28" i="7"/>
  <c r="DJ28" i="7"/>
  <c r="DK28" i="7"/>
  <c r="DL28" i="7"/>
  <c r="DM28" i="7"/>
  <c r="DN28" i="7"/>
  <c r="DO28" i="7"/>
  <c r="DP28" i="7"/>
  <c r="DQ28" i="7"/>
  <c r="DR28" i="7"/>
  <c r="DS28" i="7"/>
  <c r="DT28" i="7"/>
  <c r="DU28" i="7"/>
  <c r="DV28" i="7"/>
  <c r="DW28" i="7"/>
  <c r="DX28" i="7"/>
  <c r="DY28" i="7"/>
  <c r="DZ28" i="7"/>
  <c r="EA28" i="7"/>
  <c r="EB28" i="7"/>
  <c r="EC28" i="7"/>
  <c r="ED28" i="7"/>
  <c r="EE28" i="7"/>
  <c r="EF28" i="7"/>
  <c r="EG28" i="7"/>
  <c r="EH28" i="7"/>
  <c r="EI28" i="7"/>
  <c r="EJ28" i="7"/>
  <c r="EK28" i="7"/>
  <c r="EL28" i="7"/>
  <c r="EM28" i="7"/>
  <c r="EN28" i="7"/>
  <c r="EO28" i="7"/>
  <c r="EP28" i="7"/>
  <c r="EQ28" i="7"/>
  <c r="ER28" i="7"/>
  <c r="ES28" i="7"/>
  <c r="ET28" i="7"/>
  <c r="EU28" i="7"/>
  <c r="EV28" i="7"/>
  <c r="EW28" i="7"/>
  <c r="EX28" i="7"/>
  <c r="EY28" i="7"/>
  <c r="EZ28" i="7"/>
  <c r="FA28" i="7"/>
  <c r="FB28" i="7"/>
  <c r="FC28" i="7"/>
  <c r="FD28" i="7"/>
  <c r="FE28" i="7"/>
  <c r="FF28" i="7"/>
  <c r="FG28" i="7"/>
  <c r="FH28" i="7"/>
  <c r="FI28" i="7"/>
  <c r="FJ28" i="7"/>
  <c r="FK28" i="7"/>
  <c r="FL28" i="7"/>
  <c r="FM28" i="7"/>
  <c r="FN28" i="7"/>
  <c r="FO28" i="7"/>
  <c r="FP28" i="7"/>
  <c r="FQ28" i="7"/>
  <c r="FR28" i="7"/>
  <c r="FS28" i="7"/>
  <c r="FT28" i="7"/>
  <c r="FU28" i="7"/>
  <c r="FV28" i="7"/>
  <c r="FW28" i="7"/>
  <c r="FX28" i="7"/>
  <c r="FY28" i="7"/>
  <c r="FZ28" i="7"/>
  <c r="GA28" i="7"/>
  <c r="GB28" i="7"/>
  <c r="GC28" i="7"/>
  <c r="GD28" i="7"/>
  <c r="GE28" i="7"/>
  <c r="GF28" i="7"/>
  <c r="GG28" i="7"/>
  <c r="GH28" i="7"/>
  <c r="GI28" i="7"/>
  <c r="GJ28" i="7"/>
  <c r="GK28" i="7"/>
  <c r="GL28" i="7"/>
  <c r="GM28" i="7"/>
  <c r="GN28" i="7"/>
  <c r="GO28" i="7"/>
  <c r="GP28" i="7"/>
  <c r="GQ28" i="7"/>
  <c r="GR28" i="7"/>
  <c r="GS28" i="7"/>
  <c r="GT28" i="7"/>
  <c r="GU28" i="7"/>
  <c r="GV28" i="7"/>
  <c r="GW28" i="7"/>
  <c r="GX28" i="7"/>
  <c r="GY28" i="7"/>
  <c r="GZ28" i="7"/>
  <c r="HA28" i="7"/>
  <c r="HB28" i="7"/>
  <c r="HC28" i="7"/>
  <c r="HD28" i="7"/>
  <c r="HE28" i="7"/>
  <c r="HF28" i="7"/>
  <c r="HG28" i="7"/>
  <c r="HH28" i="7"/>
  <c r="HI28" i="7"/>
  <c r="HJ28" i="7"/>
  <c r="HK28" i="7"/>
  <c r="HL28" i="7"/>
  <c r="HM28" i="7"/>
  <c r="HN28" i="7"/>
  <c r="HO28" i="7"/>
  <c r="HP28" i="7"/>
  <c r="HQ28" i="7"/>
  <c r="HR28" i="7"/>
  <c r="HS28" i="7"/>
  <c r="HT28" i="7"/>
  <c r="HU28" i="7"/>
  <c r="HV28" i="7"/>
  <c r="HW28" i="7"/>
  <c r="HX28" i="7"/>
  <c r="HY28" i="7"/>
  <c r="HZ28" i="7"/>
  <c r="IA28" i="7"/>
  <c r="IB28" i="7"/>
  <c r="IC28" i="7"/>
  <c r="ID28" i="7"/>
  <c r="IE28" i="7"/>
  <c r="IF28" i="7"/>
  <c r="IG28" i="7"/>
  <c r="IH28" i="7"/>
  <c r="II28" i="7"/>
  <c r="IJ28" i="7"/>
  <c r="IK28" i="7"/>
  <c r="IL28" i="7"/>
  <c r="IM28" i="7"/>
  <c r="IN28" i="7"/>
  <c r="IO28" i="7"/>
  <c r="IP28" i="7"/>
  <c r="IQ28" i="7"/>
  <c r="IR28" i="7"/>
  <c r="IS28" i="7"/>
  <c r="IT28" i="7"/>
  <c r="IU28" i="7"/>
  <c r="IV28" i="7"/>
  <c r="A29" i="7"/>
  <c r="B29" i="7"/>
  <c r="C29" i="7"/>
  <c r="D29" i="7"/>
  <c r="E29" i="7"/>
  <c r="F29" i="7"/>
  <c r="G29" i="7"/>
  <c r="H29" i="7"/>
  <c r="I29" i="7"/>
  <c r="J29" i="7"/>
  <c r="K29" i="7"/>
  <c r="L29" i="7"/>
  <c r="M29" i="7"/>
  <c r="N29" i="7"/>
  <c r="O29" i="7"/>
  <c r="P29" i="7"/>
  <c r="Q29" i="7"/>
  <c r="R29" i="7"/>
  <c r="S29" i="7"/>
  <c r="T29" i="7"/>
  <c r="U29" i="7"/>
  <c r="V29" i="7"/>
  <c r="W29" i="7"/>
  <c r="X29" i="7"/>
  <c r="Y29" i="7"/>
  <c r="Z29" i="7"/>
  <c r="AA29" i="7"/>
  <c r="AB29" i="7"/>
  <c r="AC29" i="7"/>
  <c r="AD29" i="7"/>
  <c r="AE29" i="7"/>
  <c r="AF29" i="7"/>
  <c r="AG29" i="7"/>
  <c r="AH29" i="7"/>
  <c r="AI29" i="7"/>
  <c r="AJ29" i="7"/>
  <c r="AK29" i="7"/>
  <c r="AL29" i="7"/>
  <c r="AM29" i="7"/>
  <c r="AN29" i="7"/>
  <c r="AO29" i="7"/>
  <c r="AP29" i="7"/>
  <c r="AQ29" i="7"/>
  <c r="AR29" i="7"/>
  <c r="AS29" i="7"/>
  <c r="AT29" i="7"/>
  <c r="AU29" i="7"/>
  <c r="AV29" i="7"/>
  <c r="AW29" i="7"/>
  <c r="AX29" i="7"/>
  <c r="AY29" i="7"/>
  <c r="AZ29" i="7"/>
  <c r="BA29" i="7"/>
  <c r="BB29" i="7"/>
  <c r="BC29" i="7"/>
  <c r="BD29" i="7"/>
  <c r="BE29" i="7"/>
  <c r="BF29" i="7"/>
  <c r="BG29" i="7"/>
  <c r="BH29" i="7"/>
  <c r="BI29" i="7"/>
  <c r="BJ29" i="7"/>
  <c r="BK29" i="7"/>
  <c r="BL29" i="7"/>
  <c r="BM29" i="7"/>
  <c r="BN29" i="7"/>
  <c r="BO29" i="7"/>
  <c r="BP29" i="7"/>
  <c r="BQ29" i="7"/>
  <c r="BR29" i="7"/>
  <c r="BS29" i="7"/>
  <c r="BT29" i="7"/>
  <c r="BU29" i="7"/>
  <c r="BV29" i="7"/>
  <c r="BW29" i="7"/>
  <c r="BX29" i="7"/>
  <c r="BY29" i="7"/>
  <c r="BZ29" i="7"/>
  <c r="CA29" i="7"/>
  <c r="CB29" i="7"/>
  <c r="CC29" i="7"/>
  <c r="CD29" i="7"/>
  <c r="CE29" i="7"/>
  <c r="CF29" i="7"/>
  <c r="CG29" i="7"/>
  <c r="CH29" i="7"/>
  <c r="CI29" i="7"/>
  <c r="CJ29" i="7"/>
  <c r="CK29" i="7"/>
  <c r="CL29" i="7"/>
  <c r="CM29" i="7"/>
  <c r="CN29" i="7"/>
  <c r="CO29" i="7"/>
  <c r="CP29" i="7"/>
  <c r="CQ29" i="7"/>
  <c r="CR29" i="7"/>
  <c r="CS29" i="7"/>
  <c r="CT29" i="7"/>
  <c r="CU29" i="7"/>
  <c r="CV29" i="7"/>
  <c r="CW29" i="7"/>
  <c r="CX29" i="7"/>
  <c r="CY29" i="7"/>
  <c r="CZ29" i="7"/>
  <c r="DA29" i="7"/>
  <c r="DB29" i="7"/>
  <c r="DC29" i="7"/>
  <c r="DD29" i="7"/>
  <c r="DE29" i="7"/>
  <c r="DF29" i="7"/>
  <c r="DG29" i="7"/>
  <c r="DH29" i="7"/>
  <c r="DI29" i="7"/>
  <c r="DJ29" i="7"/>
  <c r="DK29" i="7"/>
  <c r="DL29" i="7"/>
  <c r="DM29" i="7"/>
  <c r="DN29" i="7"/>
  <c r="DO29" i="7"/>
  <c r="DP29" i="7"/>
  <c r="DQ29" i="7"/>
  <c r="DR29" i="7"/>
  <c r="DS29" i="7"/>
  <c r="DT29" i="7"/>
  <c r="DU29" i="7"/>
  <c r="DV29" i="7"/>
  <c r="DW29" i="7"/>
  <c r="DX29" i="7"/>
  <c r="DY29" i="7"/>
  <c r="DZ29" i="7"/>
  <c r="EA29" i="7"/>
  <c r="EB29" i="7"/>
  <c r="EC29" i="7"/>
  <c r="ED29" i="7"/>
  <c r="EE29" i="7"/>
  <c r="EF29" i="7"/>
  <c r="EG29" i="7"/>
  <c r="EH29" i="7"/>
  <c r="EI29" i="7"/>
  <c r="EJ29" i="7"/>
  <c r="EK29" i="7"/>
  <c r="EL29" i="7"/>
  <c r="EM29" i="7"/>
  <c r="EN29" i="7"/>
  <c r="EO29" i="7"/>
  <c r="EP29" i="7"/>
  <c r="EQ29" i="7"/>
  <c r="ER29" i="7"/>
  <c r="ES29" i="7"/>
  <c r="ET29" i="7"/>
  <c r="EU29" i="7"/>
  <c r="EV29" i="7"/>
  <c r="EW29" i="7"/>
  <c r="EX29" i="7"/>
  <c r="EY29" i="7"/>
  <c r="EZ29" i="7"/>
  <c r="FA29" i="7"/>
  <c r="FB29" i="7"/>
  <c r="FC29" i="7"/>
  <c r="FD29" i="7"/>
  <c r="FE29" i="7"/>
  <c r="FF29" i="7"/>
  <c r="FG29" i="7"/>
  <c r="FH29" i="7"/>
  <c r="FI29" i="7"/>
  <c r="FJ29" i="7"/>
  <c r="FK29" i="7"/>
  <c r="FL29" i="7"/>
  <c r="FM29" i="7"/>
  <c r="FN29" i="7"/>
  <c r="FO29" i="7"/>
  <c r="FP29" i="7"/>
  <c r="FQ29" i="7"/>
  <c r="FR29" i="7"/>
  <c r="FS29" i="7"/>
  <c r="FT29" i="7"/>
  <c r="FU29" i="7"/>
  <c r="FV29" i="7"/>
  <c r="FW29" i="7"/>
  <c r="FX29" i="7"/>
  <c r="FY29" i="7"/>
  <c r="FZ29" i="7"/>
  <c r="GA29" i="7"/>
  <c r="GB29" i="7"/>
  <c r="GC29" i="7"/>
  <c r="GD29" i="7"/>
  <c r="GE29" i="7"/>
  <c r="GF29" i="7"/>
  <c r="GG29" i="7"/>
  <c r="GH29" i="7"/>
  <c r="GI29" i="7"/>
  <c r="GJ29" i="7"/>
  <c r="GK29" i="7"/>
  <c r="GL29" i="7"/>
  <c r="GM29" i="7"/>
  <c r="GN29" i="7"/>
  <c r="GO29" i="7"/>
  <c r="GP29" i="7"/>
  <c r="GQ29" i="7"/>
  <c r="GR29" i="7"/>
  <c r="GS29" i="7"/>
  <c r="GT29" i="7"/>
  <c r="GU29" i="7"/>
  <c r="GV29" i="7"/>
  <c r="GW29" i="7"/>
  <c r="GX29" i="7"/>
  <c r="GY29" i="7"/>
  <c r="GZ29" i="7"/>
  <c r="HA29" i="7"/>
  <c r="HB29" i="7"/>
  <c r="HC29" i="7"/>
  <c r="HD29" i="7"/>
  <c r="HE29" i="7"/>
  <c r="HF29" i="7"/>
  <c r="HG29" i="7"/>
  <c r="HH29" i="7"/>
  <c r="HI29" i="7"/>
  <c r="HJ29" i="7"/>
  <c r="HK29" i="7"/>
  <c r="HL29" i="7"/>
  <c r="HM29" i="7"/>
  <c r="HN29" i="7"/>
  <c r="HO29" i="7"/>
  <c r="HP29" i="7"/>
  <c r="HQ29" i="7"/>
  <c r="HR29" i="7"/>
  <c r="HS29" i="7"/>
  <c r="HT29" i="7"/>
  <c r="HU29" i="7"/>
  <c r="HV29" i="7"/>
  <c r="HW29" i="7"/>
  <c r="HX29" i="7"/>
  <c r="HY29" i="7"/>
  <c r="HZ29" i="7"/>
  <c r="IA29" i="7"/>
  <c r="IB29" i="7"/>
  <c r="IC29" i="7"/>
  <c r="ID29" i="7"/>
  <c r="IE29" i="7"/>
  <c r="IF29" i="7"/>
  <c r="IG29" i="7"/>
  <c r="IH29" i="7"/>
  <c r="II29" i="7"/>
  <c r="IJ29" i="7"/>
  <c r="IK29" i="7"/>
  <c r="IL29" i="7"/>
  <c r="IM29" i="7"/>
  <c r="IN29" i="7"/>
  <c r="IO29" i="7"/>
  <c r="IP29" i="7"/>
  <c r="IQ29" i="7"/>
  <c r="IR29" i="7"/>
  <c r="IS29" i="7"/>
  <c r="IT29" i="7"/>
  <c r="IU29" i="7"/>
  <c r="IV29" i="7"/>
  <c r="A30" i="7"/>
  <c r="B30" i="7"/>
  <c r="C30" i="7"/>
  <c r="D30" i="7"/>
  <c r="E30" i="7"/>
  <c r="F30" i="7"/>
  <c r="G30" i="7"/>
  <c r="H30" i="7"/>
  <c r="I30" i="7"/>
  <c r="J30" i="7"/>
  <c r="K30" i="7"/>
  <c r="L30" i="7"/>
  <c r="M30" i="7"/>
  <c r="N30" i="7"/>
  <c r="O30" i="7"/>
  <c r="P30" i="7"/>
  <c r="Q30" i="7"/>
  <c r="R30" i="7"/>
  <c r="S30" i="7"/>
  <c r="T30" i="7"/>
  <c r="U30" i="7"/>
  <c r="V30" i="7"/>
  <c r="W30" i="7"/>
  <c r="X30" i="7"/>
  <c r="Y30" i="7"/>
  <c r="Z30" i="7"/>
  <c r="AA30" i="7"/>
  <c r="AB30" i="7"/>
  <c r="AC30" i="7"/>
  <c r="AD30" i="7"/>
  <c r="AE30" i="7"/>
  <c r="AF30" i="7"/>
  <c r="AG30" i="7"/>
  <c r="AH30" i="7"/>
  <c r="AI30" i="7"/>
  <c r="AJ30" i="7"/>
  <c r="AK30" i="7"/>
  <c r="AL30" i="7"/>
  <c r="AM30" i="7"/>
  <c r="AN30" i="7"/>
  <c r="AO30" i="7"/>
  <c r="AP30" i="7"/>
  <c r="AQ30" i="7"/>
  <c r="AR30" i="7"/>
  <c r="AS30" i="7"/>
  <c r="AT30" i="7"/>
  <c r="AU30" i="7"/>
  <c r="AV30" i="7"/>
  <c r="AW30" i="7"/>
  <c r="AX30" i="7"/>
  <c r="AY30" i="7"/>
  <c r="AZ30" i="7"/>
  <c r="BA30" i="7"/>
  <c r="BB30" i="7"/>
  <c r="BC30" i="7"/>
  <c r="BD30" i="7"/>
  <c r="BE30" i="7"/>
  <c r="BF30" i="7"/>
  <c r="BG30" i="7"/>
  <c r="BH30" i="7"/>
  <c r="BI30" i="7"/>
  <c r="BJ30" i="7"/>
  <c r="BK30" i="7"/>
  <c r="BL30" i="7"/>
  <c r="BM30" i="7"/>
  <c r="BN30" i="7"/>
  <c r="BO30" i="7"/>
  <c r="BP30" i="7"/>
  <c r="BQ30" i="7"/>
  <c r="BR30" i="7"/>
  <c r="BS30" i="7"/>
  <c r="BT30" i="7"/>
  <c r="BU30" i="7"/>
  <c r="BV30" i="7"/>
  <c r="BW30" i="7"/>
  <c r="BX30" i="7"/>
  <c r="BY30" i="7"/>
  <c r="BZ30" i="7"/>
  <c r="CA30" i="7"/>
  <c r="CB30" i="7"/>
  <c r="CC30" i="7"/>
  <c r="CD30" i="7"/>
  <c r="CE30" i="7"/>
  <c r="CF30" i="7"/>
  <c r="CG30" i="7"/>
  <c r="CH30" i="7"/>
  <c r="CI30" i="7"/>
  <c r="CJ30" i="7"/>
  <c r="CK30" i="7"/>
  <c r="CL30" i="7"/>
  <c r="CM30" i="7"/>
  <c r="CN30" i="7"/>
  <c r="CO30" i="7"/>
  <c r="CP30" i="7"/>
  <c r="CQ30" i="7"/>
  <c r="CR30" i="7"/>
  <c r="CS30" i="7"/>
  <c r="CT30" i="7"/>
  <c r="CU30" i="7"/>
  <c r="CV30" i="7"/>
  <c r="CW30" i="7"/>
  <c r="CX30" i="7"/>
  <c r="CY30" i="7"/>
  <c r="CZ30" i="7"/>
  <c r="DA30" i="7"/>
  <c r="DB30" i="7"/>
  <c r="DC30" i="7"/>
  <c r="DD30" i="7"/>
  <c r="DE30" i="7"/>
  <c r="DF30" i="7"/>
  <c r="DG30" i="7"/>
  <c r="DH30" i="7"/>
  <c r="DI30" i="7"/>
  <c r="DJ30" i="7"/>
  <c r="DK30" i="7"/>
  <c r="DL30" i="7"/>
  <c r="DM30" i="7"/>
  <c r="DN30" i="7"/>
  <c r="DO30" i="7"/>
  <c r="DP30" i="7"/>
  <c r="DQ30" i="7"/>
  <c r="DR30" i="7"/>
  <c r="DS30" i="7"/>
  <c r="DT30" i="7"/>
  <c r="DU30" i="7"/>
  <c r="DV30" i="7"/>
  <c r="DW30" i="7"/>
  <c r="DX30" i="7"/>
  <c r="DY30" i="7"/>
  <c r="DZ30" i="7"/>
  <c r="EA30" i="7"/>
  <c r="EB30" i="7"/>
  <c r="EC30" i="7"/>
  <c r="ED30" i="7"/>
  <c r="EE30" i="7"/>
  <c r="EF30" i="7"/>
  <c r="EG30" i="7"/>
  <c r="EH30" i="7"/>
  <c r="EI30" i="7"/>
  <c r="EJ30" i="7"/>
  <c r="EK30" i="7"/>
  <c r="EL30" i="7"/>
  <c r="EM30" i="7"/>
  <c r="EN30" i="7"/>
  <c r="EO30" i="7"/>
  <c r="EP30" i="7"/>
  <c r="EQ30" i="7"/>
  <c r="ER30" i="7"/>
  <c r="ES30" i="7"/>
  <c r="ET30" i="7"/>
  <c r="EU30" i="7"/>
  <c r="EV30" i="7"/>
  <c r="EW30" i="7"/>
  <c r="EX30" i="7"/>
  <c r="EY30" i="7"/>
  <c r="EZ30" i="7"/>
  <c r="FA30" i="7"/>
  <c r="FB30" i="7"/>
  <c r="FC30" i="7"/>
  <c r="FD30" i="7"/>
  <c r="FE30" i="7"/>
  <c r="FF30" i="7"/>
  <c r="FG30" i="7"/>
  <c r="FH30" i="7"/>
  <c r="FI30" i="7"/>
  <c r="FJ30" i="7"/>
  <c r="FK30" i="7"/>
  <c r="FL30" i="7"/>
  <c r="FM30" i="7"/>
  <c r="FN30" i="7"/>
  <c r="FO30" i="7"/>
  <c r="FP30" i="7"/>
  <c r="FQ30" i="7"/>
  <c r="FR30" i="7"/>
  <c r="FS30" i="7"/>
  <c r="FT30" i="7"/>
  <c r="FU30" i="7"/>
  <c r="FV30" i="7"/>
  <c r="FW30" i="7"/>
  <c r="FX30" i="7"/>
  <c r="FY30" i="7"/>
  <c r="FZ30" i="7"/>
  <c r="GA30" i="7"/>
  <c r="GB30" i="7"/>
  <c r="GC30" i="7"/>
  <c r="GD30" i="7"/>
  <c r="GE30" i="7"/>
  <c r="GF30" i="7"/>
  <c r="GG30" i="7"/>
  <c r="GH30" i="7"/>
  <c r="GI30" i="7"/>
  <c r="GJ30" i="7"/>
  <c r="GK30" i="7"/>
  <c r="GL30" i="7"/>
  <c r="GM30" i="7"/>
  <c r="GN30" i="7"/>
  <c r="GO30" i="7"/>
  <c r="GP30" i="7"/>
  <c r="GQ30" i="7"/>
  <c r="GR30" i="7"/>
  <c r="GS30" i="7"/>
  <c r="GT30" i="7"/>
  <c r="GU30" i="7"/>
  <c r="GV30" i="7"/>
  <c r="GW30" i="7"/>
  <c r="GX30" i="7"/>
  <c r="GY30" i="7"/>
  <c r="GZ30" i="7"/>
  <c r="HA30" i="7"/>
  <c r="HB30" i="7"/>
  <c r="HC30" i="7"/>
  <c r="HD30" i="7"/>
  <c r="HE30" i="7"/>
  <c r="HF30" i="7"/>
  <c r="HG30" i="7"/>
  <c r="HH30" i="7"/>
  <c r="HI30" i="7"/>
  <c r="HJ30" i="7"/>
  <c r="HK30" i="7"/>
  <c r="HL30" i="7"/>
  <c r="HM30" i="7"/>
  <c r="HN30" i="7"/>
  <c r="HO30" i="7"/>
  <c r="HP30" i="7"/>
  <c r="HQ30" i="7"/>
  <c r="HR30" i="7"/>
  <c r="HS30" i="7"/>
  <c r="HT30" i="7"/>
  <c r="HU30" i="7"/>
  <c r="HV30" i="7"/>
  <c r="HW30" i="7"/>
  <c r="HX30" i="7"/>
  <c r="HY30" i="7"/>
  <c r="HZ30" i="7"/>
  <c r="IA30" i="7"/>
  <c r="IB30" i="7"/>
  <c r="IC30" i="7"/>
  <c r="ID30" i="7"/>
  <c r="IE30" i="7"/>
  <c r="IF30" i="7"/>
  <c r="IG30" i="7"/>
  <c r="IH30" i="7"/>
  <c r="II30" i="7"/>
  <c r="IJ30" i="7"/>
  <c r="IK30" i="7"/>
  <c r="IL30" i="7"/>
  <c r="IM30" i="7"/>
  <c r="IN30" i="7"/>
  <c r="IO30" i="7"/>
  <c r="IP30" i="7"/>
  <c r="IQ30" i="7"/>
  <c r="IR30" i="7"/>
  <c r="IS30" i="7"/>
  <c r="IT30" i="7"/>
  <c r="IU30" i="7"/>
  <c r="IV30" i="7"/>
  <c r="A31" i="7"/>
  <c r="B31" i="7"/>
  <c r="C31" i="7"/>
  <c r="D31" i="7"/>
  <c r="E31" i="7"/>
  <c r="F31" i="7"/>
  <c r="G31" i="7"/>
  <c r="H31" i="7"/>
  <c r="I31" i="7"/>
  <c r="J31" i="7"/>
  <c r="K31" i="7"/>
  <c r="L31" i="7"/>
  <c r="M31" i="7"/>
  <c r="N31" i="7"/>
  <c r="O31" i="7"/>
  <c r="P31" i="7"/>
  <c r="Q31" i="7"/>
  <c r="R31" i="7"/>
  <c r="S31" i="7"/>
  <c r="T31" i="7"/>
  <c r="U31" i="7"/>
  <c r="V31" i="7"/>
  <c r="W31" i="7"/>
  <c r="X31" i="7"/>
  <c r="Y31" i="7"/>
  <c r="Z31" i="7"/>
  <c r="AA31" i="7"/>
  <c r="AB31" i="7"/>
  <c r="AC31" i="7"/>
  <c r="AD31" i="7"/>
  <c r="AE31" i="7"/>
  <c r="AF31" i="7"/>
  <c r="AG31" i="7"/>
  <c r="AH31" i="7"/>
  <c r="AI31" i="7"/>
  <c r="AJ31" i="7"/>
  <c r="AK31" i="7"/>
  <c r="AL31" i="7"/>
  <c r="AM31" i="7"/>
  <c r="AN31" i="7"/>
  <c r="AO31" i="7"/>
  <c r="AP31" i="7"/>
  <c r="AQ31" i="7"/>
  <c r="AR31" i="7"/>
  <c r="AS31" i="7"/>
  <c r="AT31" i="7"/>
  <c r="AU31" i="7"/>
  <c r="AV31" i="7"/>
  <c r="AW31" i="7"/>
  <c r="AX31" i="7"/>
  <c r="AY31" i="7"/>
  <c r="AZ31" i="7"/>
  <c r="BA31" i="7"/>
  <c r="BB31" i="7"/>
  <c r="BC31" i="7"/>
  <c r="BD31" i="7"/>
  <c r="BE31" i="7"/>
  <c r="BF31" i="7"/>
  <c r="BG31" i="7"/>
  <c r="BH31" i="7"/>
  <c r="BI31" i="7"/>
  <c r="BJ31" i="7"/>
  <c r="BK31" i="7"/>
  <c r="BL31" i="7"/>
  <c r="BM31" i="7"/>
  <c r="BN31" i="7"/>
  <c r="BO31" i="7"/>
  <c r="BP31" i="7"/>
  <c r="BQ31" i="7"/>
  <c r="BR31" i="7"/>
  <c r="BS31" i="7"/>
  <c r="BT31" i="7"/>
  <c r="BU31" i="7"/>
  <c r="BV31" i="7"/>
  <c r="BW31" i="7"/>
  <c r="BX31" i="7"/>
  <c r="BY31" i="7"/>
  <c r="BZ31" i="7"/>
  <c r="CA31" i="7"/>
  <c r="CB31" i="7"/>
  <c r="CC31" i="7"/>
  <c r="CD31" i="7"/>
  <c r="CE31" i="7"/>
  <c r="CF31" i="7"/>
  <c r="CG31" i="7"/>
  <c r="CH31" i="7"/>
  <c r="CI31" i="7"/>
  <c r="CJ31" i="7"/>
  <c r="CK31" i="7"/>
  <c r="CL31" i="7"/>
  <c r="CM31" i="7"/>
  <c r="CN31" i="7"/>
  <c r="CO31" i="7"/>
  <c r="CP31" i="7"/>
  <c r="CQ31" i="7"/>
  <c r="CR31" i="7"/>
  <c r="CS31" i="7"/>
  <c r="CT31" i="7"/>
  <c r="CU31" i="7"/>
  <c r="CV31" i="7"/>
  <c r="CW31" i="7"/>
  <c r="CX31" i="7"/>
  <c r="CY31" i="7"/>
  <c r="CZ31" i="7"/>
  <c r="DA31" i="7"/>
  <c r="DB31" i="7"/>
  <c r="DC31" i="7"/>
  <c r="DD31" i="7"/>
  <c r="DE31" i="7"/>
  <c r="DF31" i="7"/>
  <c r="DG31" i="7"/>
  <c r="DH31" i="7"/>
  <c r="DI31" i="7"/>
  <c r="DJ31" i="7"/>
  <c r="DK31" i="7"/>
  <c r="DL31" i="7"/>
  <c r="DM31" i="7"/>
  <c r="DN31" i="7"/>
  <c r="DO31" i="7"/>
  <c r="DP31" i="7"/>
  <c r="DQ31" i="7"/>
  <c r="DR31" i="7"/>
  <c r="DS31" i="7"/>
  <c r="DT31" i="7"/>
  <c r="DU31" i="7"/>
  <c r="DV31" i="7"/>
  <c r="DW31" i="7"/>
  <c r="DX31" i="7"/>
  <c r="DY31" i="7"/>
  <c r="DZ31" i="7"/>
  <c r="EA31" i="7"/>
  <c r="EB31" i="7"/>
  <c r="EC31" i="7"/>
  <c r="ED31" i="7"/>
  <c r="EE31" i="7"/>
  <c r="EF31" i="7"/>
  <c r="EG31" i="7"/>
  <c r="EH31" i="7"/>
  <c r="EI31" i="7"/>
  <c r="EJ31" i="7"/>
  <c r="EK31" i="7"/>
  <c r="EL31" i="7"/>
  <c r="EM31" i="7"/>
  <c r="EN31" i="7"/>
  <c r="EO31" i="7"/>
  <c r="EP31" i="7"/>
  <c r="EQ31" i="7"/>
  <c r="ER31" i="7"/>
  <c r="ES31" i="7"/>
  <c r="ET31" i="7"/>
  <c r="EU31" i="7"/>
  <c r="EV31" i="7"/>
  <c r="EW31" i="7"/>
  <c r="EX31" i="7"/>
  <c r="EY31" i="7"/>
  <c r="EZ31" i="7"/>
  <c r="FA31" i="7"/>
  <c r="FB31" i="7"/>
  <c r="FC31" i="7"/>
  <c r="FD31" i="7"/>
  <c r="FE31" i="7"/>
  <c r="FF31" i="7"/>
  <c r="FG31" i="7"/>
  <c r="FH31" i="7"/>
  <c r="FI31" i="7"/>
  <c r="FJ31" i="7"/>
  <c r="FK31" i="7"/>
  <c r="FL31" i="7"/>
  <c r="FM31" i="7"/>
  <c r="FN31" i="7"/>
  <c r="FO31" i="7"/>
  <c r="FP31" i="7"/>
  <c r="FQ31" i="7"/>
  <c r="FR31" i="7"/>
  <c r="FS31" i="7"/>
  <c r="FT31" i="7"/>
  <c r="FU31" i="7"/>
  <c r="FV31" i="7"/>
  <c r="FW31" i="7"/>
  <c r="FX31" i="7"/>
  <c r="FY31" i="7"/>
  <c r="FZ31" i="7"/>
  <c r="GA31" i="7"/>
  <c r="GB31" i="7"/>
  <c r="GC31" i="7"/>
  <c r="GD31" i="7"/>
  <c r="GE31" i="7"/>
  <c r="GF31" i="7"/>
  <c r="GG31" i="7"/>
  <c r="GH31" i="7"/>
  <c r="GI31" i="7"/>
  <c r="GJ31" i="7"/>
  <c r="GK31" i="7"/>
  <c r="GL31" i="7"/>
  <c r="GM31" i="7"/>
  <c r="GN31" i="7"/>
  <c r="GO31" i="7"/>
  <c r="GP31" i="7"/>
  <c r="GQ31" i="7"/>
  <c r="GR31" i="7"/>
  <c r="GS31" i="7"/>
  <c r="GT31" i="7"/>
  <c r="GU31" i="7"/>
  <c r="GV31" i="7"/>
  <c r="GW31" i="7"/>
  <c r="GX31" i="7"/>
  <c r="GY31" i="7"/>
  <c r="GZ31" i="7"/>
  <c r="HA31" i="7"/>
  <c r="HB31" i="7"/>
  <c r="HC31" i="7"/>
  <c r="HD31" i="7"/>
  <c r="HE31" i="7"/>
  <c r="HF31" i="7"/>
  <c r="HG31" i="7"/>
  <c r="HH31" i="7"/>
  <c r="HI31" i="7"/>
  <c r="HJ31" i="7"/>
  <c r="HK31" i="7"/>
  <c r="HL31" i="7"/>
  <c r="HM31" i="7"/>
  <c r="HN31" i="7"/>
  <c r="HO31" i="7"/>
  <c r="HP31" i="7"/>
  <c r="HQ31" i="7"/>
  <c r="HR31" i="7"/>
  <c r="HS31" i="7"/>
  <c r="HT31" i="7"/>
  <c r="HU31" i="7"/>
  <c r="HV31" i="7"/>
  <c r="HW31" i="7"/>
  <c r="HX31" i="7"/>
  <c r="HY31" i="7"/>
  <c r="HZ31" i="7"/>
  <c r="IA31" i="7"/>
  <c r="IB31" i="7"/>
  <c r="IC31" i="7"/>
  <c r="ID31" i="7"/>
  <c r="IE31" i="7"/>
  <c r="IF31" i="7"/>
  <c r="IG31" i="7"/>
  <c r="IH31" i="7"/>
  <c r="II31" i="7"/>
  <c r="IJ31" i="7"/>
  <c r="IK31" i="7"/>
  <c r="IL31" i="7"/>
  <c r="IM31" i="7"/>
  <c r="IN31" i="7"/>
  <c r="IO31" i="7"/>
  <c r="IP31" i="7"/>
  <c r="IQ31" i="7"/>
  <c r="IR31" i="7"/>
  <c r="IS31" i="7"/>
  <c r="IT31" i="7"/>
  <c r="IU31" i="7"/>
  <c r="IV31" i="7"/>
  <c r="A32" i="7"/>
  <c r="B32" i="7"/>
  <c r="C32" i="7"/>
  <c r="D32" i="7"/>
  <c r="E32" i="7"/>
  <c r="F32" i="7"/>
  <c r="G32" i="7"/>
  <c r="H32" i="7"/>
  <c r="I32" i="7"/>
  <c r="J32" i="7"/>
  <c r="K32" i="7"/>
  <c r="L32" i="7"/>
  <c r="M32" i="7"/>
  <c r="N32" i="7"/>
  <c r="O32" i="7"/>
  <c r="P32" i="7"/>
  <c r="Q32" i="7"/>
  <c r="R32" i="7"/>
  <c r="S32" i="7"/>
  <c r="T32" i="7"/>
  <c r="U32" i="7"/>
  <c r="V32" i="7"/>
  <c r="W32" i="7"/>
  <c r="X32" i="7"/>
  <c r="Y32" i="7"/>
  <c r="Z32" i="7"/>
  <c r="AA32" i="7"/>
  <c r="AB32" i="7"/>
  <c r="AC32" i="7"/>
  <c r="AD32" i="7"/>
  <c r="AE32" i="7"/>
  <c r="AF32" i="7"/>
  <c r="AG32" i="7"/>
  <c r="AH32" i="7"/>
  <c r="AI32" i="7"/>
  <c r="AJ32" i="7"/>
  <c r="AK32" i="7"/>
  <c r="AL32" i="7"/>
  <c r="AM32" i="7"/>
  <c r="AN32" i="7"/>
  <c r="AO32" i="7"/>
  <c r="AP32" i="7"/>
  <c r="AQ32" i="7"/>
  <c r="AR32" i="7"/>
  <c r="AS32" i="7"/>
  <c r="AT32" i="7"/>
  <c r="AU32" i="7"/>
  <c r="AV32" i="7"/>
  <c r="AW32" i="7"/>
  <c r="AX32" i="7"/>
  <c r="AY32" i="7"/>
  <c r="AZ32" i="7"/>
  <c r="BA32" i="7"/>
  <c r="BB32" i="7"/>
  <c r="BC32" i="7"/>
  <c r="BD32" i="7"/>
  <c r="BE32" i="7"/>
  <c r="BF32" i="7"/>
  <c r="BG32" i="7"/>
  <c r="BH32" i="7"/>
  <c r="BI32" i="7"/>
  <c r="BJ32" i="7"/>
  <c r="BK32" i="7"/>
  <c r="BL32" i="7"/>
  <c r="BM32" i="7"/>
  <c r="BN32" i="7"/>
  <c r="BO32" i="7"/>
  <c r="BP32" i="7"/>
  <c r="BQ32" i="7"/>
  <c r="BR32" i="7"/>
  <c r="BS32" i="7"/>
  <c r="BT32" i="7"/>
  <c r="BU32" i="7"/>
  <c r="BV32" i="7"/>
  <c r="BW32" i="7"/>
  <c r="BX32" i="7"/>
  <c r="BY32" i="7"/>
  <c r="BZ32" i="7"/>
  <c r="CA32" i="7"/>
  <c r="CB32" i="7"/>
  <c r="CC32" i="7"/>
  <c r="CD32" i="7"/>
  <c r="CE32" i="7"/>
  <c r="CF32" i="7"/>
  <c r="CG32" i="7"/>
  <c r="CH32" i="7"/>
  <c r="CI32" i="7"/>
  <c r="CJ32" i="7"/>
  <c r="CK32" i="7"/>
  <c r="CL32" i="7"/>
  <c r="CM32" i="7"/>
  <c r="CN32" i="7"/>
  <c r="CO32" i="7"/>
  <c r="CP32" i="7"/>
  <c r="CQ32" i="7"/>
  <c r="CR32" i="7"/>
  <c r="CS32" i="7"/>
  <c r="CT32" i="7"/>
  <c r="CU32" i="7"/>
  <c r="CV32" i="7"/>
  <c r="CW32" i="7"/>
  <c r="CX32" i="7"/>
  <c r="CY32" i="7"/>
  <c r="CZ32" i="7"/>
  <c r="DA32" i="7"/>
  <c r="DB32" i="7"/>
  <c r="DC32" i="7"/>
  <c r="DD32" i="7"/>
  <c r="DE32" i="7"/>
  <c r="DF32" i="7"/>
  <c r="DG32" i="7"/>
  <c r="DH32" i="7"/>
  <c r="DI32" i="7"/>
  <c r="DJ32" i="7"/>
  <c r="DK32" i="7"/>
  <c r="DL32" i="7"/>
  <c r="DM32" i="7"/>
  <c r="DN32" i="7"/>
  <c r="DO32" i="7"/>
  <c r="DP32" i="7"/>
  <c r="DQ32" i="7"/>
  <c r="DR32" i="7"/>
  <c r="DS32" i="7"/>
  <c r="DT32" i="7"/>
  <c r="DU32" i="7"/>
  <c r="DV32" i="7"/>
  <c r="DW32" i="7"/>
  <c r="DX32" i="7"/>
  <c r="DY32" i="7"/>
  <c r="DZ32" i="7"/>
  <c r="EA32" i="7"/>
  <c r="EB32" i="7"/>
  <c r="EC32" i="7"/>
  <c r="ED32" i="7"/>
  <c r="EE32" i="7"/>
  <c r="EF32" i="7"/>
  <c r="EG32" i="7"/>
  <c r="EH32" i="7"/>
  <c r="EI32" i="7"/>
  <c r="EJ32" i="7"/>
  <c r="EK32" i="7"/>
  <c r="EL32" i="7"/>
  <c r="EM32" i="7"/>
  <c r="EN32" i="7"/>
  <c r="EO32" i="7"/>
  <c r="EP32" i="7"/>
  <c r="EQ32" i="7"/>
  <c r="ER32" i="7"/>
  <c r="ES32" i="7"/>
  <c r="ET32" i="7"/>
  <c r="EU32" i="7"/>
  <c r="EV32" i="7"/>
  <c r="EW32" i="7"/>
  <c r="EX32" i="7"/>
  <c r="EY32" i="7"/>
  <c r="EZ32" i="7"/>
  <c r="FA32" i="7"/>
  <c r="FB32" i="7"/>
  <c r="FC32" i="7"/>
  <c r="FD32" i="7"/>
  <c r="FE32" i="7"/>
  <c r="FF32" i="7"/>
  <c r="FG32" i="7"/>
  <c r="FH32" i="7"/>
  <c r="FI32" i="7"/>
  <c r="FJ32" i="7"/>
  <c r="FK32" i="7"/>
  <c r="FL32" i="7"/>
  <c r="FM32" i="7"/>
  <c r="FN32" i="7"/>
  <c r="FO32" i="7"/>
  <c r="FP32" i="7"/>
  <c r="FQ32" i="7"/>
  <c r="FR32" i="7"/>
  <c r="FS32" i="7"/>
  <c r="FT32" i="7"/>
  <c r="FU32" i="7"/>
  <c r="FV32" i="7"/>
  <c r="FW32" i="7"/>
  <c r="FX32" i="7"/>
  <c r="FY32" i="7"/>
  <c r="FZ32" i="7"/>
  <c r="GA32" i="7"/>
  <c r="GB32" i="7"/>
  <c r="GC32" i="7"/>
  <c r="GD32" i="7"/>
  <c r="GE32" i="7"/>
  <c r="GF32" i="7"/>
  <c r="GG32" i="7"/>
  <c r="GH32" i="7"/>
  <c r="GI32" i="7"/>
  <c r="GJ32" i="7"/>
  <c r="GK32" i="7"/>
  <c r="GL32" i="7"/>
  <c r="GM32" i="7"/>
  <c r="GN32" i="7"/>
  <c r="GO32" i="7"/>
  <c r="GP32" i="7"/>
  <c r="GQ32" i="7"/>
  <c r="GR32" i="7"/>
  <c r="GS32" i="7"/>
  <c r="GT32" i="7"/>
  <c r="GU32" i="7"/>
  <c r="GV32" i="7"/>
  <c r="GW32" i="7"/>
  <c r="GX32" i="7"/>
  <c r="GY32" i="7"/>
  <c r="GZ32" i="7"/>
  <c r="HA32" i="7"/>
  <c r="HB32" i="7"/>
  <c r="HC32" i="7"/>
  <c r="HD32" i="7"/>
  <c r="HE32" i="7"/>
  <c r="HF32" i="7"/>
  <c r="HG32" i="7"/>
  <c r="HH32" i="7"/>
  <c r="HI32" i="7"/>
  <c r="HJ32" i="7"/>
  <c r="HK32" i="7"/>
  <c r="HL32" i="7"/>
  <c r="HM32" i="7"/>
  <c r="HN32" i="7"/>
  <c r="HO32" i="7"/>
  <c r="HP32" i="7"/>
  <c r="HQ32" i="7"/>
  <c r="HR32" i="7"/>
  <c r="HS32" i="7"/>
  <c r="HT32" i="7"/>
  <c r="HU32" i="7"/>
  <c r="HV32" i="7"/>
  <c r="HW32" i="7"/>
  <c r="HX32" i="7"/>
  <c r="HY32" i="7"/>
  <c r="HZ32" i="7"/>
  <c r="IA32" i="7"/>
  <c r="IB32" i="7"/>
  <c r="IC32" i="7"/>
  <c r="ID32" i="7"/>
  <c r="IE32" i="7"/>
  <c r="IF32" i="7"/>
  <c r="IG32" i="7"/>
  <c r="IH32" i="7"/>
  <c r="II32" i="7"/>
  <c r="IJ32" i="7"/>
  <c r="IK32" i="7"/>
  <c r="IL32" i="7"/>
  <c r="IM32" i="7"/>
  <c r="IN32" i="7"/>
  <c r="IO32" i="7"/>
  <c r="IP32" i="7"/>
  <c r="IQ32" i="7"/>
  <c r="IR32" i="7"/>
  <c r="IS32" i="7"/>
  <c r="IT32" i="7"/>
  <c r="IU32" i="7"/>
  <c r="IV32" i="7"/>
  <c r="A33" i="7"/>
  <c r="B33" i="7"/>
  <c r="C33" i="7"/>
  <c r="D33" i="7"/>
  <c r="E33" i="7"/>
  <c r="F33" i="7"/>
  <c r="G33" i="7"/>
  <c r="H33" i="7"/>
  <c r="I33" i="7"/>
  <c r="J33" i="7"/>
  <c r="K33" i="7"/>
  <c r="L33" i="7"/>
  <c r="M33" i="7"/>
  <c r="N33" i="7"/>
  <c r="O33" i="7"/>
  <c r="P33" i="7"/>
  <c r="Q33" i="7"/>
  <c r="R33" i="7"/>
  <c r="S33" i="7"/>
  <c r="T33" i="7"/>
  <c r="U33" i="7"/>
  <c r="V33" i="7"/>
  <c r="W33" i="7"/>
  <c r="X33" i="7"/>
  <c r="Y33" i="7"/>
  <c r="Z33" i="7"/>
  <c r="AA33" i="7"/>
  <c r="AB33" i="7"/>
  <c r="AC33" i="7"/>
  <c r="AD33" i="7"/>
  <c r="AE33" i="7"/>
  <c r="AF33" i="7"/>
  <c r="AG33" i="7"/>
  <c r="AH33" i="7"/>
  <c r="AI33" i="7"/>
  <c r="AJ33" i="7"/>
  <c r="AK33" i="7"/>
  <c r="AL33" i="7"/>
  <c r="AM33" i="7"/>
  <c r="AN33" i="7"/>
  <c r="AO33" i="7"/>
  <c r="AP33" i="7"/>
  <c r="AQ33" i="7"/>
  <c r="AR33" i="7"/>
  <c r="AS33" i="7"/>
  <c r="AT33" i="7"/>
  <c r="AU33" i="7"/>
  <c r="AV33" i="7"/>
  <c r="AW33" i="7"/>
  <c r="AX33" i="7"/>
  <c r="AY33" i="7"/>
  <c r="AZ33" i="7"/>
  <c r="BA33" i="7"/>
  <c r="BB33" i="7"/>
  <c r="BC33" i="7"/>
  <c r="BD33" i="7"/>
  <c r="BE33" i="7"/>
  <c r="BF33" i="7"/>
  <c r="BG33" i="7"/>
  <c r="BH33" i="7"/>
  <c r="BI33" i="7"/>
  <c r="BJ33" i="7"/>
  <c r="BK33" i="7"/>
  <c r="BL33" i="7"/>
  <c r="BM33" i="7"/>
  <c r="BN33" i="7"/>
  <c r="BO33" i="7"/>
  <c r="BP33" i="7"/>
  <c r="BQ33" i="7"/>
  <c r="BR33" i="7"/>
  <c r="BS33" i="7"/>
  <c r="BT33" i="7"/>
  <c r="BU33" i="7"/>
  <c r="BV33" i="7"/>
  <c r="BW33" i="7"/>
  <c r="BX33" i="7"/>
  <c r="BY33" i="7"/>
  <c r="BZ33" i="7"/>
  <c r="CA33" i="7"/>
  <c r="CB33" i="7"/>
  <c r="CC33" i="7"/>
  <c r="CD33" i="7"/>
  <c r="CE33" i="7"/>
  <c r="CF33" i="7"/>
  <c r="CG33" i="7"/>
  <c r="CH33" i="7"/>
  <c r="CI33" i="7"/>
  <c r="CJ33" i="7"/>
  <c r="CK33" i="7"/>
  <c r="CL33" i="7"/>
  <c r="CM33" i="7"/>
  <c r="CN33" i="7"/>
  <c r="CO33" i="7"/>
  <c r="CP33" i="7"/>
  <c r="CQ33" i="7"/>
  <c r="CR33" i="7"/>
  <c r="CS33" i="7"/>
  <c r="CT33" i="7"/>
  <c r="CU33" i="7"/>
  <c r="CV33" i="7"/>
  <c r="CW33" i="7"/>
  <c r="CX33" i="7"/>
  <c r="CY33" i="7"/>
  <c r="CZ33" i="7"/>
  <c r="DA33" i="7"/>
  <c r="DB33" i="7"/>
  <c r="DC33" i="7"/>
  <c r="DD33" i="7"/>
  <c r="DE33" i="7"/>
  <c r="DF33" i="7"/>
  <c r="DG33" i="7"/>
  <c r="DH33" i="7"/>
  <c r="DI33" i="7"/>
  <c r="DJ33" i="7"/>
  <c r="DK33" i="7"/>
  <c r="DL33" i="7"/>
  <c r="DM33" i="7"/>
  <c r="DN33" i="7"/>
  <c r="DO33" i="7"/>
  <c r="DP33" i="7"/>
  <c r="DQ33" i="7"/>
  <c r="DR33" i="7"/>
  <c r="DS33" i="7"/>
  <c r="DT33" i="7"/>
  <c r="DU33" i="7"/>
  <c r="DV33" i="7"/>
  <c r="DW33" i="7"/>
  <c r="DX33" i="7"/>
  <c r="DY33" i="7"/>
  <c r="DZ33" i="7"/>
  <c r="EA33" i="7"/>
  <c r="EB33" i="7"/>
  <c r="EC33" i="7"/>
  <c r="ED33" i="7"/>
  <c r="EE33" i="7"/>
  <c r="EF33" i="7"/>
  <c r="EG33" i="7"/>
  <c r="EH33" i="7"/>
  <c r="EI33" i="7"/>
  <c r="EJ33" i="7"/>
  <c r="EK33" i="7"/>
  <c r="EL33" i="7"/>
  <c r="EM33" i="7"/>
  <c r="EN33" i="7"/>
  <c r="EO33" i="7"/>
  <c r="EP33" i="7"/>
  <c r="EQ33" i="7"/>
  <c r="ER33" i="7"/>
  <c r="ES33" i="7"/>
  <c r="ET33" i="7"/>
  <c r="EU33" i="7"/>
  <c r="EV33" i="7"/>
  <c r="EW33" i="7"/>
  <c r="EX33" i="7"/>
  <c r="EY33" i="7"/>
  <c r="EZ33" i="7"/>
  <c r="FA33" i="7"/>
  <c r="FB33" i="7"/>
  <c r="FC33" i="7"/>
  <c r="FD33" i="7"/>
  <c r="FE33" i="7"/>
  <c r="FF33" i="7"/>
  <c r="FG33" i="7"/>
  <c r="FH33" i="7"/>
  <c r="FI33" i="7"/>
  <c r="FJ33" i="7"/>
  <c r="FK33" i="7"/>
  <c r="FL33" i="7"/>
  <c r="FM33" i="7"/>
  <c r="FN33" i="7"/>
  <c r="FO33" i="7"/>
  <c r="FP33" i="7"/>
  <c r="FQ33" i="7"/>
  <c r="FR33" i="7"/>
  <c r="FS33" i="7"/>
  <c r="FT33" i="7"/>
  <c r="FU33" i="7"/>
  <c r="FV33" i="7"/>
  <c r="FW33" i="7"/>
  <c r="FX33" i="7"/>
  <c r="FY33" i="7"/>
  <c r="FZ33" i="7"/>
  <c r="GA33" i="7"/>
  <c r="GB33" i="7"/>
  <c r="GC33" i="7"/>
  <c r="GD33" i="7"/>
  <c r="GE33" i="7"/>
  <c r="GF33" i="7"/>
  <c r="GG33" i="7"/>
  <c r="GH33" i="7"/>
  <c r="GI33" i="7"/>
  <c r="GJ33" i="7"/>
  <c r="GK33" i="7"/>
  <c r="GL33" i="7"/>
  <c r="GM33" i="7"/>
  <c r="GN33" i="7"/>
  <c r="GO33" i="7"/>
  <c r="GP33" i="7"/>
  <c r="GQ33" i="7"/>
  <c r="GR33" i="7"/>
  <c r="GS33" i="7"/>
  <c r="GT33" i="7"/>
  <c r="GU33" i="7"/>
  <c r="GV33" i="7"/>
  <c r="GW33" i="7"/>
  <c r="GX33" i="7"/>
  <c r="GY33" i="7"/>
  <c r="GZ33" i="7"/>
  <c r="HA33" i="7"/>
  <c r="HB33" i="7"/>
  <c r="HC33" i="7"/>
  <c r="HD33" i="7"/>
  <c r="HE33" i="7"/>
  <c r="HF33" i="7"/>
  <c r="HG33" i="7"/>
  <c r="HH33" i="7"/>
  <c r="HI33" i="7"/>
  <c r="HJ33" i="7"/>
  <c r="HK33" i="7"/>
  <c r="HL33" i="7"/>
  <c r="HM33" i="7"/>
  <c r="HN33" i="7"/>
  <c r="HO33" i="7"/>
  <c r="HP33" i="7"/>
  <c r="HQ33" i="7"/>
  <c r="HR33" i="7"/>
  <c r="HS33" i="7"/>
  <c r="HT33" i="7"/>
  <c r="HU33" i="7"/>
  <c r="HV33" i="7"/>
  <c r="HW33" i="7"/>
  <c r="HX33" i="7"/>
  <c r="HY33" i="7"/>
  <c r="HZ33" i="7"/>
  <c r="IA33" i="7"/>
  <c r="IB33" i="7"/>
  <c r="IC33" i="7"/>
  <c r="ID33" i="7"/>
  <c r="IE33" i="7"/>
  <c r="IF33" i="7"/>
  <c r="IG33" i="7"/>
  <c r="IH33" i="7"/>
  <c r="II33" i="7"/>
  <c r="IJ33" i="7"/>
  <c r="IK33" i="7"/>
  <c r="IL33" i="7"/>
  <c r="IM33" i="7"/>
  <c r="IN33" i="7"/>
  <c r="IO33" i="7"/>
  <c r="IP33" i="7"/>
  <c r="IQ33" i="7"/>
  <c r="IR33" i="7"/>
  <c r="IS33" i="7"/>
  <c r="IT33" i="7"/>
  <c r="IU33" i="7"/>
  <c r="IV33" i="7"/>
  <c r="A34" i="7"/>
  <c r="B34" i="7"/>
  <c r="C34" i="7"/>
  <c r="D34" i="7"/>
  <c r="E34" i="7"/>
  <c r="F34" i="7"/>
  <c r="G34" i="7"/>
  <c r="H34" i="7"/>
  <c r="I34" i="7"/>
  <c r="J34" i="7"/>
  <c r="K34" i="7"/>
  <c r="L34" i="7"/>
  <c r="M34" i="7"/>
  <c r="N34" i="7"/>
  <c r="O34" i="7"/>
  <c r="P34" i="7"/>
  <c r="Q34" i="7"/>
  <c r="R34" i="7"/>
  <c r="S34" i="7"/>
  <c r="T34" i="7"/>
  <c r="U34" i="7"/>
  <c r="V34" i="7"/>
  <c r="W34" i="7"/>
  <c r="X34" i="7"/>
  <c r="Y34" i="7"/>
  <c r="Z34" i="7"/>
  <c r="AA34" i="7"/>
  <c r="AB34" i="7"/>
  <c r="AC34" i="7"/>
  <c r="AD34" i="7"/>
  <c r="AE34" i="7"/>
  <c r="AF34" i="7"/>
  <c r="AG34" i="7"/>
  <c r="AH34" i="7"/>
  <c r="AI34" i="7"/>
  <c r="AJ34" i="7"/>
  <c r="AK34" i="7"/>
  <c r="AL34" i="7"/>
  <c r="AM34" i="7"/>
  <c r="AN34" i="7"/>
  <c r="AO34" i="7"/>
  <c r="AP34" i="7"/>
  <c r="AQ34" i="7"/>
  <c r="AR34" i="7"/>
  <c r="AS34" i="7"/>
  <c r="AT34" i="7"/>
  <c r="AU34" i="7"/>
  <c r="AV34" i="7"/>
  <c r="AW34" i="7"/>
  <c r="AX34" i="7"/>
  <c r="AY34" i="7"/>
  <c r="AZ34" i="7"/>
  <c r="BA34" i="7"/>
  <c r="BB34" i="7"/>
  <c r="BC34" i="7"/>
  <c r="BD34" i="7"/>
  <c r="BE34" i="7"/>
  <c r="BF34" i="7"/>
  <c r="BG34" i="7"/>
  <c r="BH34" i="7"/>
  <c r="BI34" i="7"/>
  <c r="BJ34" i="7"/>
  <c r="BK34" i="7"/>
  <c r="BL34" i="7"/>
  <c r="BM34" i="7"/>
  <c r="BN34" i="7"/>
  <c r="BO34" i="7"/>
  <c r="BP34" i="7"/>
  <c r="BQ34" i="7"/>
  <c r="BR34" i="7"/>
  <c r="BS34" i="7"/>
  <c r="BT34" i="7"/>
  <c r="BU34" i="7"/>
  <c r="BV34" i="7"/>
  <c r="BW34" i="7"/>
  <c r="BX34" i="7"/>
  <c r="BY34" i="7"/>
  <c r="BZ34" i="7"/>
  <c r="CA34" i="7"/>
  <c r="CB34" i="7"/>
  <c r="CC34" i="7"/>
  <c r="CD34" i="7"/>
  <c r="CE34" i="7"/>
  <c r="CF34" i="7"/>
  <c r="CG34" i="7"/>
  <c r="CH34" i="7"/>
  <c r="CI34" i="7"/>
  <c r="CJ34" i="7"/>
  <c r="CK34" i="7"/>
  <c r="CL34" i="7"/>
  <c r="CM34" i="7"/>
  <c r="CN34" i="7"/>
  <c r="CO34" i="7"/>
  <c r="CP34" i="7"/>
  <c r="CQ34" i="7"/>
  <c r="CR34" i="7"/>
  <c r="CS34" i="7"/>
  <c r="CT34" i="7"/>
  <c r="CU34" i="7"/>
  <c r="CV34" i="7"/>
  <c r="CW34" i="7"/>
  <c r="CX34" i="7"/>
  <c r="CY34" i="7"/>
  <c r="CZ34" i="7"/>
  <c r="DA34" i="7"/>
  <c r="DB34" i="7"/>
  <c r="DC34" i="7"/>
  <c r="DD34" i="7"/>
  <c r="DE34" i="7"/>
  <c r="DF34" i="7"/>
  <c r="DG34" i="7"/>
  <c r="DH34" i="7"/>
  <c r="DI34" i="7"/>
  <c r="DJ34" i="7"/>
  <c r="DK34" i="7"/>
  <c r="DL34" i="7"/>
  <c r="DM34" i="7"/>
  <c r="DN34" i="7"/>
  <c r="DO34" i="7"/>
  <c r="DP34" i="7"/>
  <c r="DQ34" i="7"/>
  <c r="DR34" i="7"/>
  <c r="DS34" i="7"/>
  <c r="DT34" i="7"/>
  <c r="DU34" i="7"/>
  <c r="DV34" i="7"/>
  <c r="DW34" i="7"/>
  <c r="DX34" i="7"/>
  <c r="DY34" i="7"/>
  <c r="DZ34" i="7"/>
  <c r="EA34" i="7"/>
  <c r="EB34" i="7"/>
  <c r="EC34" i="7"/>
  <c r="ED34" i="7"/>
  <c r="EE34" i="7"/>
  <c r="EF34" i="7"/>
  <c r="EG34" i="7"/>
  <c r="EH34" i="7"/>
  <c r="EI34" i="7"/>
  <c r="EJ34" i="7"/>
  <c r="EK34" i="7"/>
  <c r="EL34" i="7"/>
  <c r="EM34" i="7"/>
  <c r="EN34" i="7"/>
  <c r="EO34" i="7"/>
  <c r="EP34" i="7"/>
  <c r="EQ34" i="7"/>
  <c r="ER34" i="7"/>
  <c r="ES34" i="7"/>
  <c r="ET34" i="7"/>
  <c r="EU34" i="7"/>
  <c r="EV34" i="7"/>
  <c r="EW34" i="7"/>
  <c r="EX34" i="7"/>
  <c r="EY34" i="7"/>
  <c r="EZ34" i="7"/>
  <c r="FA34" i="7"/>
  <c r="FB34" i="7"/>
  <c r="FC34" i="7"/>
  <c r="FD34" i="7"/>
  <c r="FE34" i="7"/>
  <c r="FF34" i="7"/>
  <c r="FG34" i="7"/>
  <c r="FH34" i="7"/>
  <c r="FI34" i="7"/>
  <c r="FJ34" i="7"/>
  <c r="FK34" i="7"/>
  <c r="FL34" i="7"/>
  <c r="FM34" i="7"/>
  <c r="FN34" i="7"/>
  <c r="FO34" i="7"/>
  <c r="FP34" i="7"/>
  <c r="FQ34" i="7"/>
  <c r="FR34" i="7"/>
  <c r="FS34" i="7"/>
  <c r="FT34" i="7"/>
  <c r="FU34" i="7"/>
  <c r="FV34" i="7"/>
  <c r="FW34" i="7"/>
  <c r="FX34" i="7"/>
  <c r="FY34" i="7"/>
  <c r="FZ34" i="7"/>
  <c r="GA34" i="7"/>
  <c r="GB34" i="7"/>
  <c r="GC34" i="7"/>
  <c r="GD34" i="7"/>
  <c r="GE34" i="7"/>
  <c r="GF34" i="7"/>
  <c r="GG34" i="7"/>
  <c r="GH34" i="7"/>
  <c r="GI34" i="7"/>
  <c r="GJ34" i="7"/>
  <c r="GK34" i="7"/>
  <c r="GL34" i="7"/>
  <c r="GM34" i="7"/>
  <c r="GN34" i="7"/>
  <c r="GO34" i="7"/>
  <c r="GP34" i="7"/>
  <c r="GQ34" i="7"/>
  <c r="GR34" i="7"/>
  <c r="GS34" i="7"/>
  <c r="GT34" i="7"/>
  <c r="GU34" i="7"/>
  <c r="GV34" i="7"/>
  <c r="GW34" i="7"/>
  <c r="GX34" i="7"/>
  <c r="GY34" i="7"/>
  <c r="GZ34" i="7"/>
  <c r="HA34" i="7"/>
  <c r="HB34" i="7"/>
  <c r="HC34" i="7"/>
  <c r="HD34" i="7"/>
  <c r="HE34" i="7"/>
  <c r="HF34" i="7"/>
  <c r="HG34" i="7"/>
  <c r="HH34" i="7"/>
  <c r="HI34" i="7"/>
  <c r="HJ34" i="7"/>
  <c r="HK34" i="7"/>
  <c r="HL34" i="7"/>
  <c r="HM34" i="7"/>
  <c r="HN34" i="7"/>
  <c r="HO34" i="7"/>
  <c r="HP34" i="7"/>
  <c r="HQ34" i="7"/>
  <c r="HR34" i="7"/>
  <c r="HS34" i="7"/>
  <c r="HT34" i="7"/>
  <c r="HU34" i="7"/>
  <c r="HV34" i="7"/>
  <c r="HW34" i="7"/>
  <c r="HX34" i="7"/>
  <c r="HY34" i="7"/>
  <c r="HZ34" i="7"/>
  <c r="IA34" i="7"/>
  <c r="IB34" i="7"/>
  <c r="IC34" i="7"/>
  <c r="ID34" i="7"/>
  <c r="IE34" i="7"/>
  <c r="IF34" i="7"/>
  <c r="IG34" i="7"/>
  <c r="IH34" i="7"/>
  <c r="II34" i="7"/>
  <c r="IJ34" i="7"/>
  <c r="IK34" i="7"/>
  <c r="IL34" i="7"/>
  <c r="IM34" i="7"/>
  <c r="IN34" i="7"/>
  <c r="IO34" i="7"/>
  <c r="IP34" i="7"/>
  <c r="IQ34" i="7"/>
  <c r="IR34" i="7"/>
  <c r="IS34" i="7"/>
  <c r="IT34" i="7"/>
  <c r="IU34" i="7"/>
  <c r="IV34" i="7"/>
  <c r="A35" i="7"/>
  <c r="B35" i="7"/>
  <c r="C35" i="7"/>
  <c r="D35" i="7"/>
  <c r="E35" i="7"/>
  <c r="F35" i="7"/>
  <c r="G35" i="7"/>
  <c r="H35" i="7"/>
  <c r="I35" i="7"/>
  <c r="J35" i="7"/>
  <c r="K35" i="7"/>
  <c r="L35" i="7"/>
  <c r="M35" i="7"/>
  <c r="N35" i="7"/>
  <c r="O35" i="7"/>
  <c r="P35" i="7"/>
  <c r="Q35" i="7"/>
  <c r="R35" i="7"/>
  <c r="S35" i="7"/>
  <c r="T35" i="7"/>
  <c r="U35" i="7"/>
  <c r="V35" i="7"/>
  <c r="W35" i="7"/>
  <c r="X35" i="7"/>
  <c r="Y35" i="7"/>
  <c r="Z35" i="7"/>
  <c r="AA35" i="7"/>
  <c r="AB35" i="7"/>
  <c r="AC35" i="7"/>
  <c r="AD35" i="7"/>
  <c r="AE35" i="7"/>
  <c r="AF35" i="7"/>
  <c r="AG35" i="7"/>
  <c r="AH35" i="7"/>
  <c r="AI35" i="7"/>
  <c r="AJ35" i="7"/>
  <c r="AK35" i="7"/>
  <c r="AL35" i="7"/>
  <c r="AM35" i="7"/>
  <c r="AN35" i="7"/>
  <c r="AO35" i="7"/>
  <c r="AP35" i="7"/>
  <c r="AQ35" i="7"/>
  <c r="AR35" i="7"/>
  <c r="AS35" i="7"/>
  <c r="AT35" i="7"/>
  <c r="AU35" i="7"/>
  <c r="AV35" i="7"/>
  <c r="AW35" i="7"/>
  <c r="AX35" i="7"/>
  <c r="AY35" i="7"/>
  <c r="AZ35" i="7"/>
  <c r="BA35" i="7"/>
  <c r="BB35" i="7"/>
  <c r="BC35" i="7"/>
  <c r="BD35" i="7"/>
  <c r="BE35" i="7"/>
  <c r="BF35" i="7"/>
  <c r="BG35" i="7"/>
  <c r="BH35" i="7"/>
  <c r="BI35" i="7"/>
  <c r="BJ35" i="7"/>
  <c r="BK35" i="7"/>
  <c r="BL35" i="7"/>
  <c r="BM35" i="7"/>
  <c r="BN35" i="7"/>
  <c r="BO35" i="7"/>
  <c r="BP35" i="7"/>
  <c r="BQ35" i="7"/>
  <c r="BR35" i="7"/>
  <c r="BS35" i="7"/>
  <c r="BT35" i="7"/>
  <c r="BU35" i="7"/>
  <c r="BV35" i="7"/>
  <c r="BW35" i="7"/>
  <c r="BX35" i="7"/>
  <c r="BY35" i="7"/>
  <c r="BZ35" i="7"/>
  <c r="CA35" i="7"/>
  <c r="CB35" i="7"/>
  <c r="CC35" i="7"/>
  <c r="CD35" i="7"/>
  <c r="CE35" i="7"/>
  <c r="CF35" i="7"/>
  <c r="CG35" i="7"/>
  <c r="CH35" i="7"/>
  <c r="CI35" i="7"/>
  <c r="CJ35" i="7"/>
  <c r="CK35" i="7"/>
  <c r="CL35" i="7"/>
  <c r="CM35" i="7"/>
  <c r="CN35" i="7"/>
  <c r="CO35" i="7"/>
  <c r="CP35" i="7"/>
  <c r="CQ35" i="7"/>
  <c r="CR35" i="7"/>
  <c r="CS35" i="7"/>
  <c r="CT35" i="7"/>
  <c r="CU35" i="7"/>
  <c r="CV35" i="7"/>
  <c r="CW35" i="7"/>
  <c r="CX35" i="7"/>
  <c r="CY35" i="7"/>
  <c r="CZ35" i="7"/>
  <c r="DA35" i="7"/>
  <c r="DB35" i="7"/>
  <c r="DC35" i="7"/>
  <c r="DD35" i="7"/>
  <c r="DE35" i="7"/>
  <c r="DF35" i="7"/>
  <c r="DG35" i="7"/>
  <c r="DH35" i="7"/>
  <c r="DI35" i="7"/>
  <c r="DJ35" i="7"/>
  <c r="DK35" i="7"/>
  <c r="DL35" i="7"/>
  <c r="DM35" i="7"/>
  <c r="DN35" i="7"/>
  <c r="DO35" i="7"/>
  <c r="DP35" i="7"/>
  <c r="DQ35" i="7"/>
  <c r="DR35" i="7"/>
  <c r="DS35" i="7"/>
  <c r="DT35" i="7"/>
  <c r="DU35" i="7"/>
  <c r="DV35" i="7"/>
  <c r="DW35" i="7"/>
  <c r="DX35" i="7"/>
  <c r="DY35" i="7"/>
  <c r="DZ35" i="7"/>
  <c r="EA35" i="7"/>
  <c r="EB35" i="7"/>
  <c r="EC35" i="7"/>
  <c r="ED35" i="7"/>
  <c r="EE35" i="7"/>
  <c r="EF35" i="7"/>
  <c r="EG35" i="7"/>
  <c r="EH35" i="7"/>
  <c r="EI35" i="7"/>
  <c r="EJ35" i="7"/>
  <c r="EK35" i="7"/>
  <c r="EL35" i="7"/>
  <c r="EM35" i="7"/>
  <c r="EN35" i="7"/>
  <c r="EO35" i="7"/>
  <c r="EP35" i="7"/>
  <c r="EQ35" i="7"/>
  <c r="ER35" i="7"/>
  <c r="ES35" i="7"/>
  <c r="ET35" i="7"/>
  <c r="EU35" i="7"/>
  <c r="EV35" i="7"/>
  <c r="EW35" i="7"/>
  <c r="EX35" i="7"/>
  <c r="EY35" i="7"/>
  <c r="EZ35" i="7"/>
  <c r="FA35" i="7"/>
  <c r="FB35" i="7"/>
  <c r="FC35" i="7"/>
  <c r="FD35" i="7"/>
  <c r="FE35" i="7"/>
  <c r="FF35" i="7"/>
  <c r="FG35" i="7"/>
  <c r="FH35" i="7"/>
  <c r="FI35" i="7"/>
  <c r="FJ35" i="7"/>
  <c r="FK35" i="7"/>
  <c r="FL35" i="7"/>
  <c r="FM35" i="7"/>
  <c r="FN35" i="7"/>
  <c r="FO35" i="7"/>
  <c r="FP35" i="7"/>
  <c r="FQ35" i="7"/>
  <c r="FR35" i="7"/>
  <c r="FS35" i="7"/>
  <c r="FT35" i="7"/>
  <c r="FU35" i="7"/>
  <c r="FV35" i="7"/>
  <c r="FW35" i="7"/>
  <c r="FX35" i="7"/>
  <c r="FY35" i="7"/>
  <c r="FZ35" i="7"/>
  <c r="GA35" i="7"/>
  <c r="GB35" i="7"/>
  <c r="GC35" i="7"/>
  <c r="GD35" i="7"/>
  <c r="GE35" i="7"/>
  <c r="GF35" i="7"/>
  <c r="GG35" i="7"/>
  <c r="GH35" i="7"/>
  <c r="GI35" i="7"/>
  <c r="GJ35" i="7"/>
  <c r="GK35" i="7"/>
  <c r="GL35" i="7"/>
  <c r="GM35" i="7"/>
  <c r="GN35" i="7"/>
  <c r="GO35" i="7"/>
  <c r="GP35" i="7"/>
  <c r="GQ35" i="7"/>
  <c r="GR35" i="7"/>
  <c r="GS35" i="7"/>
  <c r="GT35" i="7"/>
  <c r="GU35" i="7"/>
  <c r="GV35" i="7"/>
  <c r="GW35" i="7"/>
  <c r="GX35" i="7"/>
  <c r="GY35" i="7"/>
  <c r="GZ35" i="7"/>
  <c r="HA35" i="7"/>
  <c r="HB35" i="7"/>
  <c r="HC35" i="7"/>
  <c r="HD35" i="7"/>
  <c r="HE35" i="7"/>
  <c r="HF35" i="7"/>
  <c r="HG35" i="7"/>
  <c r="HH35" i="7"/>
  <c r="HI35" i="7"/>
  <c r="HJ35" i="7"/>
  <c r="HK35" i="7"/>
  <c r="HL35" i="7"/>
  <c r="HM35" i="7"/>
  <c r="HN35" i="7"/>
  <c r="HO35" i="7"/>
  <c r="HP35" i="7"/>
  <c r="HQ35" i="7"/>
  <c r="HR35" i="7"/>
  <c r="HS35" i="7"/>
  <c r="HT35" i="7"/>
  <c r="HU35" i="7"/>
  <c r="HV35" i="7"/>
  <c r="HW35" i="7"/>
  <c r="HX35" i="7"/>
  <c r="HY35" i="7"/>
  <c r="HZ35" i="7"/>
  <c r="IA35" i="7"/>
  <c r="IB35" i="7"/>
  <c r="IC35" i="7"/>
  <c r="ID35" i="7"/>
  <c r="IE35" i="7"/>
  <c r="IF35" i="7"/>
  <c r="IG35" i="7"/>
  <c r="IH35" i="7"/>
  <c r="II35" i="7"/>
  <c r="IJ35" i="7"/>
  <c r="IK35" i="7"/>
  <c r="IL35" i="7"/>
  <c r="IM35" i="7"/>
  <c r="IN35" i="7"/>
  <c r="IO35" i="7"/>
  <c r="IP35" i="7"/>
  <c r="IQ35" i="7"/>
  <c r="IR35" i="7"/>
  <c r="IS35" i="7"/>
  <c r="IT35" i="7"/>
  <c r="IU35" i="7"/>
  <c r="IV35" i="7"/>
  <c r="A36" i="7"/>
  <c r="B36" i="7"/>
  <c r="C36" i="7"/>
  <c r="D36" i="7"/>
  <c r="E36" i="7"/>
  <c r="F36" i="7"/>
  <c r="G36" i="7"/>
  <c r="H36" i="7"/>
  <c r="I36" i="7"/>
  <c r="J36" i="7"/>
  <c r="K36" i="7"/>
  <c r="L36" i="7"/>
  <c r="M36" i="7"/>
  <c r="N36" i="7"/>
  <c r="O36" i="7"/>
  <c r="P36" i="7"/>
  <c r="Q36" i="7"/>
  <c r="R36" i="7"/>
  <c r="S36" i="7"/>
  <c r="T36" i="7"/>
  <c r="U36" i="7"/>
  <c r="V36" i="7"/>
  <c r="W36" i="7"/>
  <c r="X36" i="7"/>
  <c r="Y36" i="7"/>
  <c r="Z36" i="7"/>
  <c r="AA36" i="7"/>
  <c r="AB36" i="7"/>
  <c r="AC36" i="7"/>
  <c r="AD36" i="7"/>
  <c r="AE36" i="7"/>
  <c r="AF36" i="7"/>
  <c r="AG36" i="7"/>
  <c r="AH36" i="7"/>
  <c r="AI36" i="7"/>
  <c r="AJ36" i="7"/>
  <c r="AK36" i="7"/>
  <c r="AL36" i="7"/>
  <c r="AM36" i="7"/>
  <c r="AN36" i="7"/>
  <c r="AO36" i="7"/>
  <c r="AP36" i="7"/>
  <c r="AQ36" i="7"/>
  <c r="AR36" i="7"/>
  <c r="AS36" i="7"/>
  <c r="AT36" i="7"/>
  <c r="AU36" i="7"/>
  <c r="AV36" i="7"/>
  <c r="AW36" i="7"/>
  <c r="AX36" i="7"/>
  <c r="AY36" i="7"/>
  <c r="AZ36" i="7"/>
  <c r="BA36" i="7"/>
  <c r="BB36" i="7"/>
  <c r="BC36" i="7"/>
  <c r="BD36" i="7"/>
  <c r="BE36" i="7"/>
  <c r="BF36" i="7"/>
  <c r="BG36" i="7"/>
  <c r="BH36" i="7"/>
  <c r="BI36" i="7"/>
  <c r="BJ36" i="7"/>
  <c r="BK36" i="7"/>
  <c r="BL36" i="7"/>
  <c r="BM36" i="7"/>
  <c r="BN36" i="7"/>
  <c r="BO36" i="7"/>
  <c r="BP36" i="7"/>
  <c r="BQ36" i="7"/>
  <c r="BR36" i="7"/>
  <c r="BS36" i="7"/>
  <c r="BT36" i="7"/>
  <c r="BU36" i="7"/>
  <c r="BV36" i="7"/>
  <c r="BW36" i="7"/>
  <c r="BX36" i="7"/>
  <c r="BY36" i="7"/>
  <c r="BZ36" i="7"/>
  <c r="CA36" i="7"/>
  <c r="CB36" i="7"/>
  <c r="CC36" i="7"/>
  <c r="CD36" i="7"/>
  <c r="CE36" i="7"/>
  <c r="CF36" i="7"/>
  <c r="CG36" i="7"/>
  <c r="CH36" i="7"/>
  <c r="CI36" i="7"/>
  <c r="CJ36" i="7"/>
  <c r="CK36" i="7"/>
  <c r="CL36" i="7"/>
  <c r="CM36" i="7"/>
  <c r="CN36" i="7"/>
  <c r="CO36" i="7"/>
  <c r="CP36" i="7"/>
  <c r="CQ36" i="7"/>
  <c r="CR36" i="7"/>
  <c r="CS36" i="7"/>
  <c r="CT36" i="7"/>
  <c r="CU36" i="7"/>
  <c r="CV36" i="7"/>
  <c r="CW36" i="7"/>
  <c r="CX36" i="7"/>
  <c r="CY36" i="7"/>
  <c r="CZ36" i="7"/>
  <c r="DA36" i="7"/>
  <c r="DB36" i="7"/>
  <c r="DC36" i="7"/>
  <c r="DD36" i="7"/>
  <c r="DE36" i="7"/>
  <c r="DF36" i="7"/>
  <c r="DG36" i="7"/>
  <c r="DH36" i="7"/>
  <c r="DI36" i="7"/>
  <c r="DJ36" i="7"/>
  <c r="DK36" i="7"/>
  <c r="DL36" i="7"/>
  <c r="DM36" i="7"/>
  <c r="DN36" i="7"/>
  <c r="DO36" i="7"/>
  <c r="DP36" i="7"/>
  <c r="DQ36" i="7"/>
  <c r="DR36" i="7"/>
  <c r="DS36" i="7"/>
  <c r="DT36" i="7"/>
  <c r="DU36" i="7"/>
  <c r="DV36" i="7"/>
  <c r="DW36" i="7"/>
  <c r="DX36" i="7"/>
  <c r="DY36" i="7"/>
  <c r="DZ36" i="7"/>
  <c r="EA36" i="7"/>
  <c r="EB36" i="7"/>
  <c r="EC36" i="7"/>
  <c r="ED36" i="7"/>
  <c r="EE36" i="7"/>
  <c r="EF36" i="7"/>
  <c r="EG36" i="7"/>
  <c r="EH36" i="7"/>
  <c r="EI36" i="7"/>
  <c r="EJ36" i="7"/>
  <c r="EK36" i="7"/>
  <c r="EL36" i="7"/>
  <c r="EM36" i="7"/>
  <c r="EN36" i="7"/>
  <c r="EO36" i="7"/>
  <c r="EP36" i="7"/>
  <c r="EQ36" i="7"/>
  <c r="ER36" i="7"/>
  <c r="ES36" i="7"/>
  <c r="ET36" i="7"/>
  <c r="EU36" i="7"/>
  <c r="EV36" i="7"/>
  <c r="EW36" i="7"/>
  <c r="EX36" i="7"/>
  <c r="EY36" i="7"/>
  <c r="EZ36" i="7"/>
  <c r="FA36" i="7"/>
  <c r="FB36" i="7"/>
  <c r="FC36" i="7"/>
  <c r="FD36" i="7"/>
  <c r="FE36" i="7"/>
  <c r="FF36" i="7"/>
  <c r="FG36" i="7"/>
  <c r="FH36" i="7"/>
  <c r="FI36" i="7"/>
  <c r="FJ36" i="7"/>
  <c r="FK36" i="7"/>
  <c r="FL36" i="7"/>
  <c r="FM36" i="7"/>
  <c r="FN36" i="7"/>
  <c r="FO36" i="7"/>
  <c r="FP36" i="7"/>
  <c r="FQ36" i="7"/>
  <c r="FR36" i="7"/>
  <c r="FS36" i="7"/>
  <c r="FT36" i="7"/>
  <c r="FU36" i="7"/>
  <c r="FV36" i="7"/>
  <c r="FW36" i="7"/>
  <c r="FX36" i="7"/>
  <c r="FY36" i="7"/>
  <c r="FZ36" i="7"/>
  <c r="GA36" i="7"/>
  <c r="GB36" i="7"/>
  <c r="GC36" i="7"/>
  <c r="GD36" i="7"/>
  <c r="GE36" i="7"/>
  <c r="GF36" i="7"/>
  <c r="GG36" i="7"/>
  <c r="GH36" i="7"/>
  <c r="GI36" i="7"/>
  <c r="GJ36" i="7"/>
  <c r="GK36" i="7"/>
  <c r="GL36" i="7"/>
  <c r="GM36" i="7"/>
  <c r="GN36" i="7"/>
  <c r="GO36" i="7"/>
  <c r="GP36" i="7"/>
  <c r="GQ36" i="7"/>
  <c r="GR36" i="7"/>
  <c r="GS36" i="7"/>
  <c r="GT36" i="7"/>
  <c r="GU36" i="7"/>
  <c r="GV36" i="7"/>
  <c r="GW36" i="7"/>
  <c r="GX36" i="7"/>
  <c r="GY36" i="7"/>
  <c r="GZ36" i="7"/>
  <c r="HA36" i="7"/>
  <c r="HB36" i="7"/>
  <c r="HC36" i="7"/>
  <c r="HD36" i="7"/>
  <c r="HE36" i="7"/>
  <c r="HF36" i="7"/>
  <c r="HG36" i="7"/>
  <c r="HH36" i="7"/>
  <c r="HI36" i="7"/>
  <c r="HJ36" i="7"/>
  <c r="HK36" i="7"/>
  <c r="HL36" i="7"/>
  <c r="HM36" i="7"/>
  <c r="HN36" i="7"/>
  <c r="HO36" i="7"/>
  <c r="HP36" i="7"/>
  <c r="HQ36" i="7"/>
  <c r="HR36" i="7"/>
  <c r="HS36" i="7"/>
  <c r="HT36" i="7"/>
  <c r="HU36" i="7"/>
  <c r="HV36" i="7"/>
  <c r="HW36" i="7"/>
  <c r="HX36" i="7"/>
  <c r="HY36" i="7"/>
  <c r="HZ36" i="7"/>
  <c r="IA36" i="7"/>
  <c r="IB36" i="7"/>
  <c r="IC36" i="7"/>
  <c r="ID36" i="7"/>
  <c r="IE36" i="7"/>
  <c r="IF36" i="7"/>
  <c r="IG36" i="7"/>
  <c r="IH36" i="7"/>
  <c r="II36" i="7"/>
  <c r="IJ36" i="7"/>
  <c r="IK36" i="7"/>
  <c r="IL36" i="7"/>
  <c r="IM36" i="7"/>
  <c r="IN36" i="7"/>
  <c r="IO36" i="7"/>
  <c r="IP36" i="7"/>
  <c r="IQ36" i="7"/>
  <c r="IR36" i="7"/>
  <c r="IS36" i="7"/>
  <c r="IT36" i="7"/>
  <c r="IU36" i="7"/>
  <c r="IV36" i="7"/>
  <c r="A37" i="7"/>
  <c r="B37" i="7"/>
  <c r="C37" i="7"/>
  <c r="D37" i="7"/>
  <c r="E37" i="7"/>
  <c r="F37" i="7"/>
  <c r="G37" i="7"/>
  <c r="H37" i="7"/>
  <c r="I37" i="7"/>
  <c r="J37" i="7"/>
  <c r="K37" i="7"/>
  <c r="L37" i="7"/>
  <c r="M37" i="7"/>
  <c r="N37" i="7"/>
  <c r="O37" i="7"/>
  <c r="P37" i="7"/>
  <c r="Q37" i="7"/>
  <c r="R37" i="7"/>
  <c r="S37" i="7"/>
  <c r="T37" i="7"/>
  <c r="U37" i="7"/>
  <c r="V37" i="7"/>
  <c r="W37" i="7"/>
  <c r="X37" i="7"/>
  <c r="Y37" i="7"/>
  <c r="Z37" i="7"/>
  <c r="AA37" i="7"/>
  <c r="AB37" i="7"/>
  <c r="AC37" i="7"/>
  <c r="AD37" i="7"/>
  <c r="AE37" i="7"/>
  <c r="AF37" i="7"/>
  <c r="AG37" i="7"/>
  <c r="AH37" i="7"/>
  <c r="AI37" i="7"/>
  <c r="AJ37" i="7"/>
  <c r="AK37" i="7"/>
  <c r="AL37" i="7"/>
  <c r="AM37" i="7"/>
  <c r="AN37" i="7"/>
  <c r="AO37" i="7"/>
  <c r="AP37" i="7"/>
  <c r="AQ37" i="7"/>
  <c r="AR37" i="7"/>
  <c r="AS37" i="7"/>
  <c r="AT37" i="7"/>
  <c r="AU37" i="7"/>
  <c r="AV37" i="7"/>
  <c r="AW37" i="7"/>
  <c r="AX37" i="7"/>
  <c r="AY37" i="7"/>
  <c r="AZ37" i="7"/>
  <c r="BA37" i="7"/>
  <c r="BB37" i="7"/>
  <c r="BC37" i="7"/>
  <c r="BD37" i="7"/>
  <c r="BE37" i="7"/>
  <c r="BF37" i="7"/>
  <c r="BG37" i="7"/>
  <c r="BH37" i="7"/>
  <c r="BI37" i="7"/>
  <c r="BJ37" i="7"/>
  <c r="BK37" i="7"/>
  <c r="BL37" i="7"/>
  <c r="BM37" i="7"/>
  <c r="BN37" i="7"/>
  <c r="BO37" i="7"/>
  <c r="BP37" i="7"/>
  <c r="BQ37" i="7"/>
  <c r="BR37" i="7"/>
  <c r="BS37" i="7"/>
  <c r="BT37" i="7"/>
  <c r="BU37" i="7"/>
  <c r="BV37" i="7"/>
  <c r="BW37" i="7"/>
  <c r="BX37" i="7"/>
  <c r="BY37" i="7"/>
  <c r="BZ37" i="7"/>
  <c r="CA37" i="7"/>
  <c r="CB37" i="7"/>
  <c r="CC37" i="7"/>
  <c r="CD37" i="7"/>
  <c r="CE37" i="7"/>
  <c r="CF37" i="7"/>
  <c r="CG37" i="7"/>
  <c r="CH37" i="7"/>
  <c r="CI37" i="7"/>
  <c r="CJ37" i="7"/>
  <c r="CK37" i="7"/>
  <c r="CL37" i="7"/>
  <c r="CM37" i="7"/>
  <c r="CN37" i="7"/>
  <c r="CO37" i="7"/>
  <c r="CP37" i="7"/>
  <c r="CQ37" i="7"/>
  <c r="CR37" i="7"/>
  <c r="CS37" i="7"/>
  <c r="CT37" i="7"/>
  <c r="CU37" i="7"/>
  <c r="CV37" i="7"/>
  <c r="CW37" i="7"/>
  <c r="CX37" i="7"/>
  <c r="CY37" i="7"/>
  <c r="CZ37" i="7"/>
  <c r="DA37" i="7"/>
  <c r="DB37" i="7"/>
  <c r="DC37" i="7"/>
  <c r="DD37" i="7"/>
  <c r="DE37" i="7"/>
  <c r="DF37" i="7"/>
  <c r="DG37" i="7"/>
  <c r="DH37" i="7"/>
  <c r="DI37" i="7"/>
  <c r="DJ37" i="7"/>
  <c r="DK37" i="7"/>
  <c r="DL37" i="7"/>
  <c r="DM37" i="7"/>
  <c r="DN37" i="7"/>
  <c r="DO37" i="7"/>
  <c r="DP37" i="7"/>
  <c r="DQ37" i="7"/>
  <c r="DR37" i="7"/>
  <c r="DS37" i="7"/>
  <c r="DT37" i="7"/>
  <c r="DU37" i="7"/>
  <c r="DV37" i="7"/>
  <c r="DW37" i="7"/>
  <c r="DX37" i="7"/>
  <c r="DY37" i="7"/>
  <c r="DZ37" i="7"/>
  <c r="EA37" i="7"/>
  <c r="EB37" i="7"/>
  <c r="EC37" i="7"/>
  <c r="ED37" i="7"/>
  <c r="EE37" i="7"/>
  <c r="EF37" i="7"/>
  <c r="EG37" i="7"/>
  <c r="EH37" i="7"/>
  <c r="EI37" i="7"/>
  <c r="EJ37" i="7"/>
  <c r="EK37" i="7"/>
  <c r="EL37" i="7"/>
  <c r="EM37" i="7"/>
  <c r="EN37" i="7"/>
  <c r="EO37" i="7"/>
  <c r="EP37" i="7"/>
  <c r="EQ37" i="7"/>
  <c r="ER37" i="7"/>
  <c r="ES37" i="7"/>
  <c r="ET37" i="7"/>
  <c r="EU37" i="7"/>
  <c r="EV37" i="7"/>
  <c r="EW37" i="7"/>
  <c r="EX37" i="7"/>
  <c r="EY37" i="7"/>
  <c r="EZ37" i="7"/>
  <c r="FA37" i="7"/>
  <c r="FB37" i="7"/>
  <c r="FC37" i="7"/>
  <c r="FD37" i="7"/>
  <c r="FE37" i="7"/>
  <c r="FF37" i="7"/>
  <c r="FG37" i="7"/>
  <c r="FH37" i="7"/>
  <c r="FI37" i="7"/>
  <c r="FJ37" i="7"/>
  <c r="FK37" i="7"/>
  <c r="FL37" i="7"/>
  <c r="FM37" i="7"/>
  <c r="FN37" i="7"/>
  <c r="FO37" i="7"/>
  <c r="FP37" i="7"/>
  <c r="FQ37" i="7"/>
  <c r="FR37" i="7"/>
  <c r="FS37" i="7"/>
  <c r="FT37" i="7"/>
  <c r="FU37" i="7"/>
  <c r="FV37" i="7"/>
  <c r="FW37" i="7"/>
  <c r="FX37" i="7"/>
  <c r="FY37" i="7"/>
  <c r="FZ37" i="7"/>
  <c r="GA37" i="7"/>
  <c r="GB37" i="7"/>
  <c r="GC37" i="7"/>
  <c r="GD37" i="7"/>
  <c r="GE37" i="7"/>
  <c r="GF37" i="7"/>
  <c r="GG37" i="7"/>
  <c r="GH37" i="7"/>
  <c r="GI37" i="7"/>
  <c r="GJ37" i="7"/>
  <c r="GK37" i="7"/>
  <c r="GL37" i="7"/>
  <c r="GM37" i="7"/>
  <c r="GN37" i="7"/>
  <c r="GO37" i="7"/>
  <c r="GP37" i="7"/>
  <c r="GQ37" i="7"/>
  <c r="GR37" i="7"/>
  <c r="GS37" i="7"/>
  <c r="GT37" i="7"/>
  <c r="GU37" i="7"/>
  <c r="GV37" i="7"/>
  <c r="GW37" i="7"/>
  <c r="GX37" i="7"/>
  <c r="GY37" i="7"/>
  <c r="GZ37" i="7"/>
  <c r="HA37" i="7"/>
  <c r="HB37" i="7"/>
  <c r="HC37" i="7"/>
  <c r="HD37" i="7"/>
  <c r="HE37" i="7"/>
  <c r="HF37" i="7"/>
  <c r="HG37" i="7"/>
  <c r="HH37" i="7"/>
  <c r="HI37" i="7"/>
  <c r="HJ37" i="7"/>
  <c r="HK37" i="7"/>
  <c r="HL37" i="7"/>
  <c r="HM37" i="7"/>
  <c r="HN37" i="7"/>
  <c r="HO37" i="7"/>
  <c r="HP37" i="7"/>
  <c r="HQ37" i="7"/>
  <c r="HR37" i="7"/>
  <c r="HS37" i="7"/>
  <c r="HT37" i="7"/>
  <c r="HU37" i="7"/>
  <c r="HV37" i="7"/>
  <c r="HW37" i="7"/>
  <c r="HX37" i="7"/>
  <c r="HY37" i="7"/>
  <c r="HZ37" i="7"/>
  <c r="IA37" i="7"/>
  <c r="IB37" i="7"/>
  <c r="IC37" i="7"/>
  <c r="ID37" i="7"/>
  <c r="IE37" i="7"/>
  <c r="IF37" i="7"/>
  <c r="IG37" i="7"/>
  <c r="IH37" i="7"/>
  <c r="II37" i="7"/>
  <c r="IJ37" i="7"/>
  <c r="IK37" i="7"/>
  <c r="IL37" i="7"/>
  <c r="IM37" i="7"/>
  <c r="IN37" i="7"/>
  <c r="IO37" i="7"/>
  <c r="IP37" i="7"/>
  <c r="IQ37" i="7"/>
  <c r="IR37" i="7"/>
  <c r="IS37" i="7"/>
  <c r="IT37" i="7"/>
  <c r="IU37" i="7"/>
  <c r="IV37" i="7"/>
  <c r="A38" i="7"/>
  <c r="B38" i="7"/>
  <c r="C38" i="7"/>
  <c r="D38" i="7"/>
  <c r="E38" i="7"/>
  <c r="F38" i="7"/>
  <c r="G38" i="7"/>
  <c r="H38" i="7"/>
  <c r="I38" i="7"/>
  <c r="J38" i="7"/>
  <c r="K38" i="7"/>
  <c r="L38" i="7"/>
  <c r="M38" i="7"/>
  <c r="N38" i="7"/>
  <c r="O38" i="7"/>
  <c r="P38" i="7"/>
  <c r="Q38" i="7"/>
  <c r="R38" i="7"/>
  <c r="S38" i="7"/>
  <c r="T38" i="7"/>
  <c r="U38" i="7"/>
  <c r="V38" i="7"/>
  <c r="W38" i="7"/>
  <c r="X38" i="7"/>
  <c r="Y38" i="7"/>
  <c r="Z38" i="7"/>
  <c r="AA38" i="7"/>
  <c r="AB38" i="7"/>
  <c r="AC38" i="7"/>
  <c r="AD38" i="7"/>
  <c r="AE38" i="7"/>
  <c r="AF38" i="7"/>
  <c r="AG38" i="7"/>
  <c r="AH38" i="7"/>
  <c r="AI38" i="7"/>
  <c r="AJ38" i="7"/>
  <c r="AK38" i="7"/>
  <c r="AL38" i="7"/>
  <c r="AM38" i="7"/>
  <c r="AN38" i="7"/>
  <c r="AO38" i="7"/>
  <c r="AP38" i="7"/>
  <c r="AQ38" i="7"/>
  <c r="AR38" i="7"/>
  <c r="AS38" i="7"/>
  <c r="AT38" i="7"/>
  <c r="AU38" i="7"/>
  <c r="AV38" i="7"/>
  <c r="AW38" i="7"/>
  <c r="AX38" i="7"/>
  <c r="AY38" i="7"/>
  <c r="AZ38" i="7"/>
  <c r="BA38" i="7"/>
  <c r="BB38" i="7"/>
  <c r="BC38" i="7"/>
  <c r="BD38" i="7"/>
  <c r="BE38" i="7"/>
  <c r="BF38" i="7"/>
  <c r="BG38" i="7"/>
  <c r="BH38" i="7"/>
  <c r="BI38" i="7"/>
  <c r="BJ38" i="7"/>
  <c r="BK38" i="7"/>
  <c r="BL38" i="7"/>
  <c r="BM38" i="7"/>
  <c r="BN38" i="7"/>
  <c r="BO38" i="7"/>
  <c r="BP38" i="7"/>
  <c r="BQ38" i="7"/>
  <c r="BR38" i="7"/>
  <c r="BS38" i="7"/>
  <c r="BT38" i="7"/>
  <c r="BU38" i="7"/>
  <c r="BV38" i="7"/>
  <c r="BW38" i="7"/>
  <c r="BX38" i="7"/>
  <c r="BY38" i="7"/>
  <c r="BZ38" i="7"/>
  <c r="CA38" i="7"/>
  <c r="CB38" i="7"/>
  <c r="CC38" i="7"/>
  <c r="CD38" i="7"/>
  <c r="CE38" i="7"/>
  <c r="CF38" i="7"/>
  <c r="CG38" i="7"/>
  <c r="CH38" i="7"/>
  <c r="CI38" i="7"/>
  <c r="CJ38" i="7"/>
  <c r="CK38" i="7"/>
  <c r="CL38" i="7"/>
  <c r="CM38" i="7"/>
  <c r="CN38" i="7"/>
  <c r="CO38" i="7"/>
  <c r="CP38" i="7"/>
  <c r="CQ38" i="7"/>
  <c r="CR38" i="7"/>
  <c r="CS38" i="7"/>
  <c r="CT38" i="7"/>
  <c r="CU38" i="7"/>
  <c r="CV38" i="7"/>
  <c r="CW38" i="7"/>
  <c r="CX38" i="7"/>
  <c r="CY38" i="7"/>
  <c r="CZ38" i="7"/>
  <c r="DA38" i="7"/>
  <c r="DB38" i="7"/>
  <c r="DC38" i="7"/>
  <c r="DD38" i="7"/>
  <c r="DE38" i="7"/>
  <c r="DF38" i="7"/>
  <c r="DG38" i="7"/>
  <c r="DH38" i="7"/>
  <c r="DI38" i="7"/>
  <c r="DJ38" i="7"/>
  <c r="DK38" i="7"/>
  <c r="DL38" i="7"/>
  <c r="DM38" i="7"/>
  <c r="DN38" i="7"/>
  <c r="DO38" i="7"/>
  <c r="DP38" i="7"/>
  <c r="DQ38" i="7"/>
  <c r="DR38" i="7"/>
  <c r="DS38" i="7"/>
  <c r="DT38" i="7"/>
  <c r="DU38" i="7"/>
  <c r="DV38" i="7"/>
  <c r="DW38" i="7"/>
  <c r="DX38" i="7"/>
  <c r="DY38" i="7"/>
  <c r="DZ38" i="7"/>
  <c r="EA38" i="7"/>
  <c r="EB38" i="7"/>
  <c r="EC38" i="7"/>
  <c r="ED38" i="7"/>
  <c r="EE38" i="7"/>
  <c r="EF38" i="7"/>
  <c r="EG38" i="7"/>
  <c r="EH38" i="7"/>
  <c r="EI38" i="7"/>
  <c r="EJ38" i="7"/>
  <c r="EK38" i="7"/>
  <c r="EL38" i="7"/>
  <c r="EM38" i="7"/>
  <c r="EN38" i="7"/>
  <c r="EO38" i="7"/>
  <c r="EP38" i="7"/>
  <c r="EQ38" i="7"/>
  <c r="ER38" i="7"/>
  <c r="ES38" i="7"/>
  <c r="ET38" i="7"/>
  <c r="EU38" i="7"/>
  <c r="EV38" i="7"/>
  <c r="EW38" i="7"/>
  <c r="EX38" i="7"/>
  <c r="EY38" i="7"/>
  <c r="EZ38" i="7"/>
  <c r="FA38" i="7"/>
  <c r="FB38" i="7"/>
  <c r="FC38" i="7"/>
  <c r="FD38" i="7"/>
  <c r="FE38" i="7"/>
  <c r="FF38" i="7"/>
  <c r="FG38" i="7"/>
  <c r="FH38" i="7"/>
  <c r="FI38" i="7"/>
  <c r="FJ38" i="7"/>
  <c r="FK38" i="7"/>
  <c r="FL38" i="7"/>
  <c r="FM38" i="7"/>
  <c r="FN38" i="7"/>
  <c r="FO38" i="7"/>
  <c r="FP38" i="7"/>
  <c r="FQ38" i="7"/>
  <c r="FR38" i="7"/>
  <c r="FS38" i="7"/>
  <c r="FT38" i="7"/>
  <c r="FU38" i="7"/>
  <c r="FV38" i="7"/>
  <c r="FW38" i="7"/>
  <c r="FX38" i="7"/>
  <c r="FY38" i="7"/>
  <c r="FZ38" i="7"/>
  <c r="GA38" i="7"/>
  <c r="GB38" i="7"/>
  <c r="GC38" i="7"/>
  <c r="GD38" i="7"/>
  <c r="GE38" i="7"/>
  <c r="GF38" i="7"/>
  <c r="GG38" i="7"/>
  <c r="GH38" i="7"/>
  <c r="GI38" i="7"/>
  <c r="GJ38" i="7"/>
  <c r="GK38" i="7"/>
  <c r="GL38" i="7"/>
  <c r="GM38" i="7"/>
  <c r="GN38" i="7"/>
  <c r="GO38" i="7"/>
  <c r="GP38" i="7"/>
  <c r="GQ38" i="7"/>
  <c r="GR38" i="7"/>
  <c r="GS38" i="7"/>
  <c r="GT38" i="7"/>
  <c r="GU38" i="7"/>
  <c r="GV38" i="7"/>
  <c r="GW38" i="7"/>
  <c r="GX38" i="7"/>
  <c r="GY38" i="7"/>
  <c r="GZ38" i="7"/>
  <c r="HA38" i="7"/>
  <c r="HB38" i="7"/>
  <c r="HC38" i="7"/>
  <c r="HD38" i="7"/>
  <c r="HE38" i="7"/>
  <c r="HF38" i="7"/>
  <c r="HG38" i="7"/>
  <c r="HH38" i="7"/>
  <c r="HI38" i="7"/>
  <c r="HJ38" i="7"/>
  <c r="HK38" i="7"/>
  <c r="HL38" i="7"/>
  <c r="HM38" i="7"/>
  <c r="HN38" i="7"/>
  <c r="HO38" i="7"/>
  <c r="HP38" i="7"/>
  <c r="HQ38" i="7"/>
  <c r="HR38" i="7"/>
  <c r="HS38" i="7"/>
  <c r="HT38" i="7"/>
  <c r="HU38" i="7"/>
  <c r="HV38" i="7"/>
  <c r="HW38" i="7"/>
  <c r="HX38" i="7"/>
  <c r="HY38" i="7"/>
  <c r="HZ38" i="7"/>
  <c r="IA38" i="7"/>
  <c r="IB38" i="7"/>
  <c r="IC38" i="7"/>
  <c r="ID38" i="7"/>
  <c r="IE38" i="7"/>
  <c r="IF38" i="7"/>
  <c r="IG38" i="7"/>
  <c r="IH38" i="7"/>
  <c r="II38" i="7"/>
  <c r="IJ38" i="7"/>
  <c r="IK38" i="7"/>
  <c r="IL38" i="7"/>
  <c r="IM38" i="7"/>
  <c r="IN38" i="7"/>
  <c r="IO38" i="7"/>
  <c r="IP38" i="7"/>
  <c r="IQ38" i="7"/>
  <c r="IR38" i="7"/>
  <c r="IS38" i="7"/>
  <c r="IT38" i="7"/>
  <c r="IU38" i="7"/>
  <c r="IV38" i="7"/>
  <c r="A39" i="7"/>
  <c r="B39" i="7"/>
  <c r="C39" i="7"/>
  <c r="D39" i="7"/>
  <c r="E39" i="7"/>
  <c r="F39" i="7"/>
  <c r="G39" i="7"/>
  <c r="H39" i="7"/>
  <c r="I39" i="7"/>
  <c r="J39" i="7"/>
  <c r="K39" i="7"/>
  <c r="L39" i="7"/>
  <c r="M39" i="7"/>
  <c r="N39" i="7"/>
  <c r="O39" i="7"/>
  <c r="P39" i="7"/>
  <c r="Q39" i="7"/>
  <c r="R39" i="7"/>
  <c r="S39" i="7"/>
  <c r="T39" i="7"/>
  <c r="U39" i="7"/>
  <c r="V39" i="7"/>
  <c r="W39" i="7"/>
  <c r="X39" i="7"/>
  <c r="Y39" i="7"/>
  <c r="Z39" i="7"/>
  <c r="AA39" i="7"/>
  <c r="AB39" i="7"/>
  <c r="AC39" i="7"/>
  <c r="AD39" i="7"/>
  <c r="AE39" i="7"/>
  <c r="AF39" i="7"/>
  <c r="AG39" i="7"/>
  <c r="AH39" i="7"/>
  <c r="AI39" i="7"/>
  <c r="AJ39" i="7"/>
  <c r="AK39" i="7"/>
  <c r="AL39" i="7"/>
  <c r="AM39" i="7"/>
  <c r="AN39" i="7"/>
  <c r="AO39" i="7"/>
  <c r="AP39" i="7"/>
  <c r="AQ39" i="7"/>
  <c r="AR39" i="7"/>
  <c r="AS39" i="7"/>
  <c r="AT39" i="7"/>
  <c r="AU39" i="7"/>
  <c r="AV39" i="7"/>
  <c r="AW39" i="7"/>
  <c r="AX39" i="7"/>
  <c r="AY39" i="7"/>
  <c r="AZ39" i="7"/>
  <c r="BA39" i="7"/>
  <c r="BB39" i="7"/>
  <c r="BC39" i="7"/>
  <c r="BD39" i="7"/>
  <c r="BE39" i="7"/>
  <c r="BF39" i="7"/>
  <c r="BG39" i="7"/>
  <c r="BH39" i="7"/>
  <c r="BI39" i="7"/>
  <c r="BJ39" i="7"/>
  <c r="BK39" i="7"/>
  <c r="BL39" i="7"/>
  <c r="BM39" i="7"/>
  <c r="BN39" i="7"/>
  <c r="BO39" i="7"/>
  <c r="BP39" i="7"/>
  <c r="BQ39" i="7"/>
  <c r="BR39" i="7"/>
  <c r="BS39" i="7"/>
  <c r="BT39" i="7"/>
  <c r="BU39" i="7"/>
  <c r="BV39" i="7"/>
  <c r="BW39" i="7"/>
  <c r="BX39" i="7"/>
  <c r="BY39" i="7"/>
  <c r="BZ39" i="7"/>
  <c r="CA39" i="7"/>
  <c r="CB39" i="7"/>
  <c r="CC39" i="7"/>
  <c r="CD39" i="7"/>
  <c r="CE39" i="7"/>
  <c r="CF39" i="7"/>
  <c r="CG39" i="7"/>
  <c r="CH39" i="7"/>
  <c r="CI39" i="7"/>
  <c r="CJ39" i="7"/>
  <c r="CK39" i="7"/>
  <c r="CL39" i="7"/>
  <c r="CM39" i="7"/>
  <c r="CN39" i="7"/>
  <c r="CO39" i="7"/>
  <c r="CP39" i="7"/>
  <c r="CQ39" i="7"/>
  <c r="CR39" i="7"/>
  <c r="CS39" i="7"/>
  <c r="CT39" i="7"/>
  <c r="CU39" i="7"/>
  <c r="CV39" i="7"/>
  <c r="CW39" i="7"/>
  <c r="CX39" i="7"/>
  <c r="CY39" i="7"/>
  <c r="CZ39" i="7"/>
  <c r="DA39" i="7"/>
  <c r="DB39" i="7"/>
  <c r="DC39" i="7"/>
  <c r="DD39" i="7"/>
  <c r="DE39" i="7"/>
  <c r="DF39" i="7"/>
  <c r="DG39" i="7"/>
  <c r="DH39" i="7"/>
  <c r="DI39" i="7"/>
  <c r="DJ39" i="7"/>
  <c r="DK39" i="7"/>
  <c r="DL39" i="7"/>
  <c r="DM39" i="7"/>
  <c r="DN39" i="7"/>
  <c r="DO39" i="7"/>
  <c r="DP39" i="7"/>
  <c r="DQ39" i="7"/>
  <c r="DR39" i="7"/>
  <c r="DS39" i="7"/>
  <c r="DT39" i="7"/>
  <c r="DU39" i="7"/>
  <c r="DV39" i="7"/>
  <c r="DW39" i="7"/>
  <c r="DX39" i="7"/>
  <c r="DY39" i="7"/>
  <c r="DZ39" i="7"/>
  <c r="EA39" i="7"/>
  <c r="EB39" i="7"/>
  <c r="EC39" i="7"/>
  <c r="ED39" i="7"/>
  <c r="EE39" i="7"/>
  <c r="EF39" i="7"/>
  <c r="EG39" i="7"/>
  <c r="EH39" i="7"/>
  <c r="EI39" i="7"/>
  <c r="EJ39" i="7"/>
  <c r="EK39" i="7"/>
  <c r="EL39" i="7"/>
  <c r="EM39" i="7"/>
  <c r="EN39" i="7"/>
  <c r="EO39" i="7"/>
  <c r="EP39" i="7"/>
  <c r="EQ39" i="7"/>
  <c r="ER39" i="7"/>
  <c r="ES39" i="7"/>
  <c r="ET39" i="7"/>
  <c r="EU39" i="7"/>
  <c r="EV39" i="7"/>
  <c r="EW39" i="7"/>
  <c r="EX39" i="7"/>
  <c r="EY39" i="7"/>
  <c r="EZ39" i="7"/>
  <c r="FA39" i="7"/>
  <c r="FB39" i="7"/>
  <c r="FC39" i="7"/>
  <c r="FD39" i="7"/>
  <c r="FE39" i="7"/>
  <c r="FF39" i="7"/>
  <c r="FG39" i="7"/>
  <c r="FH39" i="7"/>
  <c r="FI39" i="7"/>
  <c r="FJ39" i="7"/>
  <c r="FK39" i="7"/>
  <c r="FL39" i="7"/>
  <c r="FM39" i="7"/>
  <c r="FN39" i="7"/>
  <c r="FO39" i="7"/>
  <c r="FP39" i="7"/>
  <c r="FQ39" i="7"/>
  <c r="FR39" i="7"/>
  <c r="FS39" i="7"/>
  <c r="FT39" i="7"/>
  <c r="FU39" i="7"/>
  <c r="FV39" i="7"/>
  <c r="FW39" i="7"/>
  <c r="FX39" i="7"/>
  <c r="FY39" i="7"/>
  <c r="FZ39" i="7"/>
  <c r="GA39" i="7"/>
  <c r="GB39" i="7"/>
  <c r="GC39" i="7"/>
  <c r="GD39" i="7"/>
  <c r="GE39" i="7"/>
  <c r="GF39" i="7"/>
  <c r="GG39" i="7"/>
  <c r="GH39" i="7"/>
  <c r="GI39" i="7"/>
  <c r="GJ39" i="7"/>
  <c r="GK39" i="7"/>
  <c r="GL39" i="7"/>
  <c r="GM39" i="7"/>
  <c r="GN39" i="7"/>
  <c r="GO39" i="7"/>
  <c r="GP39" i="7"/>
  <c r="GQ39" i="7"/>
  <c r="GR39" i="7"/>
  <c r="GS39" i="7"/>
  <c r="GT39" i="7"/>
  <c r="GU39" i="7"/>
  <c r="GV39" i="7"/>
  <c r="GW39" i="7"/>
  <c r="GX39" i="7"/>
  <c r="GY39" i="7"/>
  <c r="GZ39" i="7"/>
  <c r="HA39" i="7"/>
  <c r="HB39" i="7"/>
  <c r="HC39" i="7"/>
  <c r="HD39" i="7"/>
  <c r="HE39" i="7"/>
  <c r="HF39" i="7"/>
  <c r="HG39" i="7"/>
  <c r="HH39" i="7"/>
  <c r="HI39" i="7"/>
  <c r="HJ39" i="7"/>
  <c r="HK39" i="7"/>
  <c r="HL39" i="7"/>
  <c r="HM39" i="7"/>
  <c r="HN39" i="7"/>
  <c r="HO39" i="7"/>
  <c r="HP39" i="7"/>
  <c r="HQ39" i="7"/>
  <c r="HR39" i="7"/>
  <c r="HS39" i="7"/>
  <c r="HT39" i="7"/>
  <c r="HU39" i="7"/>
  <c r="HV39" i="7"/>
  <c r="HW39" i="7"/>
  <c r="HX39" i="7"/>
  <c r="HY39" i="7"/>
  <c r="HZ39" i="7"/>
  <c r="IA39" i="7"/>
  <c r="IB39" i="7"/>
  <c r="IC39" i="7"/>
  <c r="ID39" i="7"/>
  <c r="IE39" i="7"/>
  <c r="IF39" i="7"/>
  <c r="IG39" i="7"/>
  <c r="IH39" i="7"/>
  <c r="II39" i="7"/>
  <c r="IJ39" i="7"/>
  <c r="IK39" i="7"/>
  <c r="IL39" i="7"/>
  <c r="IM39" i="7"/>
  <c r="IN39" i="7"/>
  <c r="IO39" i="7"/>
  <c r="IP39" i="7"/>
  <c r="IQ39" i="7"/>
  <c r="IR39" i="7"/>
  <c r="IS39" i="7"/>
  <c r="IT39" i="7"/>
  <c r="IU39" i="7"/>
  <c r="IV39" i="7"/>
  <c r="A40" i="7"/>
  <c r="B40" i="7"/>
  <c r="C40" i="7"/>
  <c r="D40" i="7"/>
  <c r="E40" i="7"/>
  <c r="F40" i="7"/>
  <c r="G40" i="7"/>
  <c r="H40" i="7"/>
  <c r="I40" i="7"/>
  <c r="J40" i="7"/>
  <c r="K40" i="7"/>
  <c r="L40" i="7"/>
  <c r="M40" i="7"/>
  <c r="N40" i="7"/>
  <c r="O40" i="7"/>
  <c r="P40" i="7"/>
  <c r="Q40" i="7"/>
  <c r="R40" i="7"/>
  <c r="S40" i="7"/>
  <c r="T40" i="7"/>
  <c r="U40" i="7"/>
  <c r="V40" i="7"/>
  <c r="W40" i="7"/>
  <c r="X40" i="7"/>
  <c r="Y40" i="7"/>
  <c r="Z40" i="7"/>
  <c r="AA40" i="7"/>
  <c r="AB40" i="7"/>
  <c r="AC40" i="7"/>
  <c r="AD40" i="7"/>
  <c r="AE40" i="7"/>
  <c r="AF40" i="7"/>
  <c r="AG40" i="7"/>
  <c r="AH40" i="7"/>
  <c r="AI40" i="7"/>
  <c r="AJ40" i="7"/>
  <c r="AK40" i="7"/>
  <c r="AL40" i="7"/>
  <c r="AM40" i="7"/>
  <c r="AN40" i="7"/>
  <c r="AO40" i="7"/>
  <c r="AP40" i="7"/>
  <c r="AQ40" i="7"/>
  <c r="AR40" i="7"/>
  <c r="AS40" i="7"/>
  <c r="AT40" i="7"/>
  <c r="AU40" i="7"/>
  <c r="AV40" i="7"/>
  <c r="AW40" i="7"/>
  <c r="AX40" i="7"/>
  <c r="AY40" i="7"/>
  <c r="AZ40" i="7"/>
  <c r="BA40" i="7"/>
  <c r="BB40" i="7"/>
  <c r="BC40" i="7"/>
  <c r="BD40" i="7"/>
  <c r="BE40" i="7"/>
  <c r="BF40" i="7"/>
  <c r="BG40" i="7"/>
  <c r="BH40" i="7"/>
  <c r="BI40" i="7"/>
  <c r="BJ40" i="7"/>
  <c r="BK40" i="7"/>
  <c r="BL40" i="7"/>
  <c r="BM40" i="7"/>
  <c r="BN40" i="7"/>
  <c r="BO40" i="7"/>
  <c r="BP40" i="7"/>
  <c r="BQ40" i="7"/>
  <c r="BR40" i="7"/>
  <c r="BS40" i="7"/>
  <c r="BT40" i="7"/>
  <c r="BU40" i="7"/>
  <c r="BV40" i="7"/>
  <c r="BW40" i="7"/>
  <c r="BX40" i="7"/>
  <c r="BY40" i="7"/>
  <c r="BZ40" i="7"/>
  <c r="CA40" i="7"/>
  <c r="CB40" i="7"/>
  <c r="CC40" i="7"/>
  <c r="CD40" i="7"/>
  <c r="CE40" i="7"/>
  <c r="CF40" i="7"/>
  <c r="CG40" i="7"/>
  <c r="CH40" i="7"/>
  <c r="CI40" i="7"/>
  <c r="CJ40" i="7"/>
  <c r="CK40" i="7"/>
  <c r="CL40" i="7"/>
  <c r="CM40" i="7"/>
  <c r="CN40" i="7"/>
  <c r="CO40" i="7"/>
  <c r="CP40" i="7"/>
  <c r="CQ40" i="7"/>
  <c r="CR40" i="7"/>
  <c r="CS40" i="7"/>
  <c r="CT40" i="7"/>
  <c r="CU40" i="7"/>
  <c r="CV40" i="7"/>
  <c r="CW40" i="7"/>
  <c r="CX40" i="7"/>
  <c r="CY40" i="7"/>
  <c r="CZ40" i="7"/>
  <c r="DA40" i="7"/>
  <c r="DB40" i="7"/>
  <c r="DC40" i="7"/>
  <c r="DD40" i="7"/>
  <c r="DE40" i="7"/>
  <c r="DF40" i="7"/>
  <c r="DG40" i="7"/>
  <c r="DH40" i="7"/>
  <c r="DI40" i="7"/>
  <c r="DJ40" i="7"/>
  <c r="DK40" i="7"/>
  <c r="DL40" i="7"/>
  <c r="DM40" i="7"/>
  <c r="DN40" i="7"/>
  <c r="DO40" i="7"/>
  <c r="DP40" i="7"/>
  <c r="DQ40" i="7"/>
  <c r="DR40" i="7"/>
  <c r="DS40" i="7"/>
  <c r="DT40" i="7"/>
  <c r="DU40" i="7"/>
  <c r="DV40" i="7"/>
  <c r="DW40" i="7"/>
  <c r="DX40" i="7"/>
  <c r="DY40" i="7"/>
  <c r="DZ40" i="7"/>
  <c r="EA40" i="7"/>
  <c r="EB40" i="7"/>
  <c r="EC40" i="7"/>
  <c r="ED40" i="7"/>
  <c r="EE40" i="7"/>
  <c r="EF40" i="7"/>
  <c r="EG40" i="7"/>
  <c r="EH40" i="7"/>
  <c r="EI40" i="7"/>
  <c r="EJ40" i="7"/>
  <c r="EK40" i="7"/>
  <c r="EL40" i="7"/>
  <c r="EM40" i="7"/>
  <c r="EN40" i="7"/>
  <c r="EO40" i="7"/>
  <c r="EP40" i="7"/>
  <c r="EQ40" i="7"/>
  <c r="ER40" i="7"/>
  <c r="ES40" i="7"/>
  <c r="ET40" i="7"/>
  <c r="EU40" i="7"/>
  <c r="EV40" i="7"/>
  <c r="EW40" i="7"/>
  <c r="EX40" i="7"/>
  <c r="EY40" i="7"/>
  <c r="EZ40" i="7"/>
  <c r="FA40" i="7"/>
  <c r="FB40" i="7"/>
  <c r="FC40" i="7"/>
  <c r="FD40" i="7"/>
  <c r="FE40" i="7"/>
  <c r="FF40" i="7"/>
  <c r="FG40" i="7"/>
  <c r="FH40" i="7"/>
  <c r="FI40" i="7"/>
  <c r="FJ40" i="7"/>
  <c r="FK40" i="7"/>
  <c r="FL40" i="7"/>
  <c r="FM40" i="7"/>
  <c r="FN40" i="7"/>
  <c r="FO40" i="7"/>
  <c r="FP40" i="7"/>
  <c r="FQ40" i="7"/>
  <c r="FR40" i="7"/>
  <c r="FS40" i="7"/>
  <c r="FT40" i="7"/>
  <c r="FU40" i="7"/>
  <c r="FV40" i="7"/>
  <c r="FW40" i="7"/>
  <c r="FX40" i="7"/>
  <c r="FY40" i="7"/>
  <c r="FZ40" i="7"/>
  <c r="GA40" i="7"/>
  <c r="GB40" i="7"/>
  <c r="GC40" i="7"/>
  <c r="GD40" i="7"/>
  <c r="GE40" i="7"/>
  <c r="GF40" i="7"/>
  <c r="GG40" i="7"/>
  <c r="GH40" i="7"/>
  <c r="GI40" i="7"/>
  <c r="GJ40" i="7"/>
  <c r="GK40" i="7"/>
  <c r="GL40" i="7"/>
  <c r="GM40" i="7"/>
  <c r="GN40" i="7"/>
  <c r="GO40" i="7"/>
  <c r="GP40" i="7"/>
  <c r="GQ40" i="7"/>
  <c r="GR40" i="7"/>
  <c r="GS40" i="7"/>
  <c r="GT40" i="7"/>
  <c r="GU40" i="7"/>
  <c r="GV40" i="7"/>
  <c r="GW40" i="7"/>
  <c r="GX40" i="7"/>
  <c r="GY40" i="7"/>
  <c r="GZ40" i="7"/>
  <c r="HA40" i="7"/>
  <c r="HB40" i="7"/>
  <c r="HC40" i="7"/>
  <c r="HD40" i="7"/>
  <c r="HE40" i="7"/>
  <c r="HF40" i="7"/>
  <c r="HG40" i="7"/>
  <c r="HH40" i="7"/>
  <c r="HI40" i="7"/>
  <c r="HJ40" i="7"/>
  <c r="HK40" i="7"/>
  <c r="HL40" i="7"/>
  <c r="HM40" i="7"/>
  <c r="HN40" i="7"/>
  <c r="HO40" i="7"/>
  <c r="HP40" i="7"/>
  <c r="HQ40" i="7"/>
  <c r="HR40" i="7"/>
  <c r="HS40" i="7"/>
  <c r="HT40" i="7"/>
  <c r="HU40" i="7"/>
  <c r="HV40" i="7"/>
  <c r="HW40" i="7"/>
  <c r="HX40" i="7"/>
  <c r="HY40" i="7"/>
  <c r="HZ40" i="7"/>
  <c r="IA40" i="7"/>
  <c r="IB40" i="7"/>
  <c r="IC40" i="7"/>
  <c r="ID40" i="7"/>
  <c r="IE40" i="7"/>
  <c r="IF40" i="7"/>
  <c r="IG40" i="7"/>
  <c r="IH40" i="7"/>
  <c r="II40" i="7"/>
  <c r="IJ40" i="7"/>
  <c r="IK40" i="7"/>
  <c r="IL40" i="7"/>
  <c r="IM40" i="7"/>
  <c r="IN40" i="7"/>
  <c r="IO40" i="7"/>
  <c r="IP40" i="7"/>
  <c r="IQ40" i="7"/>
  <c r="IR40" i="7"/>
  <c r="IS40" i="7"/>
  <c r="IT40" i="7"/>
  <c r="IU40" i="7"/>
  <c r="IV40" i="7"/>
  <c r="A41" i="7"/>
  <c r="B41" i="7"/>
  <c r="C41" i="7"/>
  <c r="D41" i="7"/>
  <c r="E41" i="7"/>
  <c r="F41" i="7"/>
  <c r="G41" i="7"/>
  <c r="H41" i="7"/>
  <c r="I41" i="7"/>
  <c r="J41" i="7"/>
  <c r="K41" i="7"/>
  <c r="L41" i="7"/>
  <c r="M41" i="7"/>
  <c r="N41" i="7"/>
  <c r="O41" i="7"/>
  <c r="P41" i="7"/>
  <c r="Q41" i="7"/>
  <c r="R41" i="7"/>
  <c r="S41" i="7"/>
  <c r="T41" i="7"/>
  <c r="U41" i="7"/>
  <c r="V41" i="7"/>
  <c r="W41" i="7"/>
  <c r="X41" i="7"/>
  <c r="Y41" i="7"/>
  <c r="Z41" i="7"/>
  <c r="AA41" i="7"/>
  <c r="AB41" i="7"/>
  <c r="AC41" i="7"/>
  <c r="AD41" i="7"/>
  <c r="AE41" i="7"/>
  <c r="AF41" i="7"/>
  <c r="AG41" i="7"/>
  <c r="AH41" i="7"/>
  <c r="AI41" i="7"/>
  <c r="AJ41" i="7"/>
  <c r="AK41" i="7"/>
  <c r="AL41" i="7"/>
  <c r="AM41" i="7"/>
  <c r="AN41" i="7"/>
  <c r="AO41" i="7"/>
  <c r="AP41" i="7"/>
  <c r="AQ41" i="7"/>
  <c r="AR41" i="7"/>
  <c r="AS41" i="7"/>
  <c r="AT41" i="7"/>
  <c r="AU41" i="7"/>
  <c r="AV41" i="7"/>
  <c r="AW41" i="7"/>
  <c r="AX41" i="7"/>
  <c r="AY41" i="7"/>
  <c r="AZ41" i="7"/>
  <c r="BA41" i="7"/>
  <c r="BB41" i="7"/>
  <c r="BC41" i="7"/>
  <c r="BD41" i="7"/>
  <c r="BE41" i="7"/>
  <c r="BF41" i="7"/>
  <c r="BG41" i="7"/>
  <c r="BH41" i="7"/>
  <c r="BI41" i="7"/>
  <c r="BJ41" i="7"/>
  <c r="BK41" i="7"/>
  <c r="BL41" i="7"/>
  <c r="BM41" i="7"/>
  <c r="BN41" i="7"/>
  <c r="BO41" i="7"/>
  <c r="BP41" i="7"/>
  <c r="BQ41" i="7"/>
  <c r="BR41" i="7"/>
  <c r="BS41" i="7"/>
  <c r="BT41" i="7"/>
  <c r="BU41" i="7"/>
  <c r="BV41" i="7"/>
  <c r="BW41" i="7"/>
  <c r="BX41" i="7"/>
  <c r="BY41" i="7"/>
  <c r="BZ41" i="7"/>
  <c r="CA41" i="7"/>
  <c r="CB41" i="7"/>
  <c r="CC41" i="7"/>
  <c r="CD41" i="7"/>
  <c r="CE41" i="7"/>
  <c r="CF41" i="7"/>
  <c r="CG41" i="7"/>
  <c r="CH41" i="7"/>
  <c r="CI41" i="7"/>
  <c r="CJ41" i="7"/>
  <c r="CK41" i="7"/>
  <c r="CL41" i="7"/>
  <c r="CM41" i="7"/>
  <c r="CN41" i="7"/>
  <c r="CO41" i="7"/>
  <c r="CP41" i="7"/>
  <c r="CQ41" i="7"/>
  <c r="CR41" i="7"/>
  <c r="CS41" i="7"/>
  <c r="CT41" i="7"/>
  <c r="CU41" i="7"/>
  <c r="CV41" i="7"/>
  <c r="CW41" i="7"/>
  <c r="CX41" i="7"/>
  <c r="CY41" i="7"/>
  <c r="CZ41" i="7"/>
  <c r="DA41" i="7"/>
  <c r="DB41" i="7"/>
  <c r="DC41" i="7"/>
  <c r="DD41" i="7"/>
  <c r="DE41" i="7"/>
  <c r="DF41" i="7"/>
  <c r="DG41" i="7"/>
  <c r="DH41" i="7"/>
  <c r="DI41" i="7"/>
  <c r="DJ41" i="7"/>
  <c r="DK41" i="7"/>
  <c r="DL41" i="7"/>
  <c r="DM41" i="7"/>
  <c r="DN41" i="7"/>
  <c r="DO41" i="7"/>
  <c r="DP41" i="7"/>
  <c r="DQ41" i="7"/>
  <c r="DR41" i="7"/>
  <c r="DS41" i="7"/>
  <c r="DT41" i="7"/>
  <c r="DU41" i="7"/>
  <c r="DV41" i="7"/>
  <c r="DW41" i="7"/>
  <c r="DX41" i="7"/>
  <c r="DY41" i="7"/>
  <c r="DZ41" i="7"/>
  <c r="EA41" i="7"/>
  <c r="EB41" i="7"/>
  <c r="EC41" i="7"/>
  <c r="ED41" i="7"/>
  <c r="EE41" i="7"/>
  <c r="EF41" i="7"/>
  <c r="EG41" i="7"/>
  <c r="EH41" i="7"/>
  <c r="EI41" i="7"/>
  <c r="EJ41" i="7"/>
  <c r="EK41" i="7"/>
  <c r="EL41" i="7"/>
  <c r="EM41" i="7"/>
  <c r="EN41" i="7"/>
  <c r="EO41" i="7"/>
  <c r="EP41" i="7"/>
  <c r="EQ41" i="7"/>
  <c r="ER41" i="7"/>
  <c r="ES41" i="7"/>
  <c r="ET41" i="7"/>
  <c r="EU41" i="7"/>
  <c r="EV41" i="7"/>
  <c r="EW41" i="7"/>
  <c r="EX41" i="7"/>
  <c r="EY41" i="7"/>
  <c r="EZ41" i="7"/>
  <c r="FA41" i="7"/>
  <c r="FB41" i="7"/>
  <c r="FC41" i="7"/>
  <c r="FD41" i="7"/>
  <c r="FE41" i="7"/>
  <c r="FF41" i="7"/>
  <c r="FG41" i="7"/>
  <c r="FH41" i="7"/>
  <c r="FI41" i="7"/>
  <c r="FJ41" i="7"/>
  <c r="FK41" i="7"/>
  <c r="FL41" i="7"/>
  <c r="FM41" i="7"/>
  <c r="FN41" i="7"/>
  <c r="FO41" i="7"/>
  <c r="FP41" i="7"/>
  <c r="FQ41" i="7"/>
  <c r="FR41" i="7"/>
  <c r="FS41" i="7"/>
  <c r="FT41" i="7"/>
  <c r="FU41" i="7"/>
  <c r="FV41" i="7"/>
  <c r="FW41" i="7"/>
  <c r="FX41" i="7"/>
  <c r="FY41" i="7"/>
  <c r="FZ41" i="7"/>
  <c r="GA41" i="7"/>
  <c r="GB41" i="7"/>
  <c r="GC41" i="7"/>
  <c r="GD41" i="7"/>
  <c r="GE41" i="7"/>
  <c r="GF41" i="7"/>
  <c r="GG41" i="7"/>
  <c r="GH41" i="7"/>
  <c r="GI41" i="7"/>
  <c r="GJ41" i="7"/>
  <c r="GK41" i="7"/>
  <c r="GL41" i="7"/>
  <c r="GM41" i="7"/>
  <c r="GN41" i="7"/>
  <c r="GO41" i="7"/>
  <c r="GP41" i="7"/>
  <c r="GQ41" i="7"/>
  <c r="GR41" i="7"/>
  <c r="GS41" i="7"/>
  <c r="GT41" i="7"/>
  <c r="GU41" i="7"/>
  <c r="GV41" i="7"/>
  <c r="GW41" i="7"/>
  <c r="GX41" i="7"/>
  <c r="GY41" i="7"/>
  <c r="GZ41" i="7"/>
  <c r="HA41" i="7"/>
  <c r="HB41" i="7"/>
  <c r="HC41" i="7"/>
  <c r="HD41" i="7"/>
  <c r="HE41" i="7"/>
  <c r="HF41" i="7"/>
  <c r="HG41" i="7"/>
  <c r="HH41" i="7"/>
  <c r="HI41" i="7"/>
  <c r="HJ41" i="7"/>
  <c r="HK41" i="7"/>
  <c r="HL41" i="7"/>
  <c r="HM41" i="7"/>
  <c r="HN41" i="7"/>
  <c r="HO41" i="7"/>
  <c r="HP41" i="7"/>
  <c r="HQ41" i="7"/>
  <c r="HR41" i="7"/>
  <c r="HS41" i="7"/>
  <c r="HT41" i="7"/>
  <c r="HU41" i="7"/>
  <c r="HV41" i="7"/>
  <c r="HW41" i="7"/>
  <c r="HX41" i="7"/>
  <c r="HY41" i="7"/>
  <c r="HZ41" i="7"/>
  <c r="IA41" i="7"/>
  <c r="IB41" i="7"/>
  <c r="IC41" i="7"/>
  <c r="ID41" i="7"/>
  <c r="IE41" i="7"/>
  <c r="IF41" i="7"/>
  <c r="IG41" i="7"/>
  <c r="IH41" i="7"/>
  <c r="II41" i="7"/>
  <c r="IJ41" i="7"/>
  <c r="IK41" i="7"/>
  <c r="IL41" i="7"/>
  <c r="IM41" i="7"/>
  <c r="IN41" i="7"/>
  <c r="IO41" i="7"/>
  <c r="IP41" i="7"/>
  <c r="IQ41" i="7"/>
  <c r="IR41" i="7"/>
  <c r="IS41" i="7"/>
  <c r="IT41" i="7"/>
  <c r="IU41" i="7"/>
  <c r="IV41" i="7"/>
  <c r="A42" i="7"/>
  <c r="B42" i="7"/>
  <c r="C42" i="7"/>
  <c r="D42" i="7"/>
  <c r="E42" i="7"/>
  <c r="F42" i="7"/>
  <c r="G42" i="7"/>
  <c r="H42" i="7"/>
  <c r="I42" i="7"/>
  <c r="J42" i="7"/>
  <c r="K42" i="7"/>
  <c r="L42" i="7"/>
  <c r="M42" i="7"/>
  <c r="N42" i="7"/>
  <c r="O42" i="7"/>
  <c r="P42" i="7"/>
  <c r="Q42" i="7"/>
  <c r="R42" i="7"/>
  <c r="S42" i="7"/>
  <c r="T42" i="7"/>
  <c r="U42" i="7"/>
  <c r="V42" i="7"/>
  <c r="W42" i="7"/>
  <c r="X42" i="7"/>
  <c r="Y42" i="7"/>
  <c r="Z42" i="7"/>
  <c r="AA42" i="7"/>
  <c r="AB42" i="7"/>
  <c r="AC42" i="7"/>
  <c r="AD42" i="7"/>
  <c r="AE42" i="7"/>
  <c r="AF42" i="7"/>
  <c r="AG42" i="7"/>
  <c r="AH42" i="7"/>
  <c r="AI42" i="7"/>
  <c r="AJ42" i="7"/>
  <c r="AK42" i="7"/>
  <c r="AL42" i="7"/>
  <c r="AM42" i="7"/>
  <c r="AN42" i="7"/>
  <c r="AO42" i="7"/>
  <c r="AP42" i="7"/>
  <c r="AQ42" i="7"/>
  <c r="AR42" i="7"/>
  <c r="AS42" i="7"/>
  <c r="AT42" i="7"/>
  <c r="AU42" i="7"/>
  <c r="AV42" i="7"/>
  <c r="AW42" i="7"/>
  <c r="AX42" i="7"/>
  <c r="AY42" i="7"/>
  <c r="AZ42" i="7"/>
  <c r="BA42" i="7"/>
  <c r="BB42" i="7"/>
  <c r="BC42" i="7"/>
  <c r="BD42" i="7"/>
  <c r="BE42" i="7"/>
  <c r="BF42" i="7"/>
  <c r="BG42" i="7"/>
  <c r="BH42" i="7"/>
  <c r="BI42" i="7"/>
  <c r="BJ42" i="7"/>
  <c r="BK42" i="7"/>
  <c r="BL42" i="7"/>
  <c r="BM42" i="7"/>
  <c r="BN42" i="7"/>
  <c r="BO42" i="7"/>
  <c r="BP42" i="7"/>
  <c r="BQ42" i="7"/>
  <c r="BR42" i="7"/>
  <c r="BS42" i="7"/>
  <c r="BT42" i="7"/>
  <c r="BU42" i="7"/>
  <c r="BV42" i="7"/>
  <c r="BW42" i="7"/>
  <c r="BX42" i="7"/>
  <c r="BY42" i="7"/>
  <c r="BZ42" i="7"/>
  <c r="CA42" i="7"/>
  <c r="CB42" i="7"/>
  <c r="CC42" i="7"/>
  <c r="CD42" i="7"/>
  <c r="CE42" i="7"/>
  <c r="CF42" i="7"/>
  <c r="CG42" i="7"/>
  <c r="CH42" i="7"/>
  <c r="CI42" i="7"/>
  <c r="CJ42" i="7"/>
  <c r="CK42" i="7"/>
  <c r="CL42" i="7"/>
  <c r="CM42" i="7"/>
  <c r="CN42" i="7"/>
  <c r="CO42" i="7"/>
  <c r="CP42" i="7"/>
  <c r="CQ42" i="7"/>
  <c r="CR42" i="7"/>
  <c r="CS42" i="7"/>
  <c r="CT42" i="7"/>
  <c r="CU42" i="7"/>
  <c r="CV42" i="7"/>
  <c r="CW42" i="7"/>
  <c r="CX42" i="7"/>
  <c r="CY42" i="7"/>
  <c r="CZ42" i="7"/>
  <c r="DA42" i="7"/>
  <c r="DB42" i="7"/>
  <c r="DC42" i="7"/>
  <c r="DD42" i="7"/>
  <c r="DE42" i="7"/>
  <c r="DF42" i="7"/>
  <c r="DG42" i="7"/>
  <c r="DH42" i="7"/>
  <c r="DI42" i="7"/>
  <c r="DJ42" i="7"/>
  <c r="DK42" i="7"/>
  <c r="DL42" i="7"/>
  <c r="DM42" i="7"/>
  <c r="DN42" i="7"/>
  <c r="DO42" i="7"/>
  <c r="DP42" i="7"/>
  <c r="DQ42" i="7"/>
  <c r="DR42" i="7"/>
  <c r="DS42" i="7"/>
  <c r="DT42" i="7"/>
  <c r="DU42" i="7"/>
  <c r="DV42" i="7"/>
  <c r="DW42" i="7"/>
  <c r="DX42" i="7"/>
  <c r="DY42" i="7"/>
  <c r="DZ42" i="7"/>
  <c r="EA42" i="7"/>
  <c r="EB42" i="7"/>
  <c r="EC42" i="7"/>
  <c r="ED42" i="7"/>
  <c r="EE42" i="7"/>
  <c r="EF42" i="7"/>
  <c r="EG42" i="7"/>
  <c r="EH42" i="7"/>
  <c r="EI42" i="7"/>
  <c r="EJ42" i="7"/>
  <c r="EK42" i="7"/>
  <c r="EL42" i="7"/>
  <c r="EM42" i="7"/>
  <c r="EN42" i="7"/>
  <c r="EO42" i="7"/>
  <c r="EP42" i="7"/>
  <c r="EQ42" i="7"/>
  <c r="ER42" i="7"/>
  <c r="ES42" i="7"/>
  <c r="ET42" i="7"/>
  <c r="EU42" i="7"/>
  <c r="EV42" i="7"/>
  <c r="EW42" i="7"/>
  <c r="EX42" i="7"/>
  <c r="EY42" i="7"/>
  <c r="EZ42" i="7"/>
  <c r="FA42" i="7"/>
  <c r="FB42" i="7"/>
  <c r="FC42" i="7"/>
  <c r="FD42" i="7"/>
  <c r="FE42" i="7"/>
  <c r="FF42" i="7"/>
  <c r="FG42" i="7"/>
  <c r="FH42" i="7"/>
  <c r="FI42" i="7"/>
  <c r="FJ42" i="7"/>
  <c r="FK42" i="7"/>
  <c r="FL42" i="7"/>
  <c r="FM42" i="7"/>
  <c r="FN42" i="7"/>
  <c r="FO42" i="7"/>
  <c r="FP42" i="7"/>
  <c r="FQ42" i="7"/>
  <c r="FR42" i="7"/>
  <c r="FS42" i="7"/>
  <c r="FT42" i="7"/>
  <c r="FU42" i="7"/>
  <c r="FV42" i="7"/>
  <c r="FW42" i="7"/>
  <c r="FX42" i="7"/>
  <c r="FY42" i="7"/>
  <c r="FZ42" i="7"/>
  <c r="GA42" i="7"/>
  <c r="GB42" i="7"/>
  <c r="GC42" i="7"/>
  <c r="GD42" i="7"/>
  <c r="GE42" i="7"/>
  <c r="GF42" i="7"/>
  <c r="GG42" i="7"/>
  <c r="GH42" i="7"/>
  <c r="GI42" i="7"/>
  <c r="GJ42" i="7"/>
  <c r="GK42" i="7"/>
  <c r="GL42" i="7"/>
  <c r="GM42" i="7"/>
  <c r="GN42" i="7"/>
  <c r="GO42" i="7"/>
  <c r="GP42" i="7"/>
  <c r="GQ42" i="7"/>
  <c r="GR42" i="7"/>
  <c r="GS42" i="7"/>
  <c r="GT42" i="7"/>
  <c r="GU42" i="7"/>
  <c r="GV42" i="7"/>
  <c r="GW42" i="7"/>
  <c r="GX42" i="7"/>
  <c r="GY42" i="7"/>
  <c r="GZ42" i="7"/>
  <c r="HA42" i="7"/>
  <c r="HB42" i="7"/>
  <c r="HC42" i="7"/>
  <c r="HD42" i="7"/>
  <c r="HE42" i="7"/>
  <c r="HF42" i="7"/>
  <c r="HG42" i="7"/>
  <c r="HH42" i="7"/>
  <c r="HI42" i="7"/>
  <c r="HJ42" i="7"/>
  <c r="HK42" i="7"/>
  <c r="HL42" i="7"/>
  <c r="HM42" i="7"/>
  <c r="HN42" i="7"/>
  <c r="HO42" i="7"/>
  <c r="HP42" i="7"/>
  <c r="HQ42" i="7"/>
  <c r="HR42" i="7"/>
  <c r="HS42" i="7"/>
  <c r="HT42" i="7"/>
  <c r="HU42" i="7"/>
  <c r="HV42" i="7"/>
  <c r="HW42" i="7"/>
  <c r="HX42" i="7"/>
  <c r="HY42" i="7"/>
  <c r="HZ42" i="7"/>
  <c r="IA42" i="7"/>
  <c r="IB42" i="7"/>
  <c r="IC42" i="7"/>
  <c r="ID42" i="7"/>
  <c r="IE42" i="7"/>
  <c r="IF42" i="7"/>
  <c r="IG42" i="7"/>
  <c r="IH42" i="7"/>
  <c r="II42" i="7"/>
  <c r="IJ42" i="7"/>
  <c r="IK42" i="7"/>
  <c r="IL42" i="7"/>
  <c r="IM42" i="7"/>
  <c r="IN42" i="7"/>
  <c r="IO42" i="7"/>
  <c r="IP42" i="7"/>
  <c r="IQ42" i="7"/>
  <c r="IR42" i="7"/>
  <c r="IS42" i="7"/>
  <c r="IT42" i="7"/>
  <c r="IU42" i="7"/>
  <c r="IV42" i="7"/>
  <c r="A43" i="7"/>
  <c r="B43" i="7"/>
  <c r="C43" i="7"/>
  <c r="D43" i="7"/>
  <c r="E43" i="7"/>
  <c r="F43" i="7"/>
  <c r="G43" i="7"/>
  <c r="H43" i="7"/>
  <c r="I43" i="7"/>
  <c r="J43" i="7"/>
  <c r="K43" i="7"/>
  <c r="L43" i="7"/>
  <c r="M43" i="7"/>
  <c r="N43" i="7"/>
  <c r="O43" i="7"/>
  <c r="P43" i="7"/>
  <c r="Q43" i="7"/>
  <c r="R43" i="7"/>
  <c r="S43" i="7"/>
  <c r="T43" i="7"/>
  <c r="U43" i="7"/>
  <c r="V43" i="7"/>
  <c r="W43" i="7"/>
  <c r="X43" i="7"/>
  <c r="Y43" i="7"/>
  <c r="Z43" i="7"/>
  <c r="AA43" i="7"/>
  <c r="AB43" i="7"/>
  <c r="AC43" i="7"/>
  <c r="AD43" i="7"/>
  <c r="AE43" i="7"/>
  <c r="AF43" i="7"/>
  <c r="AG43" i="7"/>
  <c r="AH43" i="7"/>
  <c r="AI43" i="7"/>
  <c r="AJ43" i="7"/>
  <c r="AK43" i="7"/>
  <c r="AL43" i="7"/>
  <c r="AM43" i="7"/>
  <c r="AN43" i="7"/>
  <c r="AO43" i="7"/>
  <c r="AP43" i="7"/>
  <c r="AQ43" i="7"/>
  <c r="AR43" i="7"/>
  <c r="AS43" i="7"/>
  <c r="AT43" i="7"/>
  <c r="AU43" i="7"/>
  <c r="AV43" i="7"/>
  <c r="AW43" i="7"/>
  <c r="AX43" i="7"/>
  <c r="AY43" i="7"/>
  <c r="AZ43" i="7"/>
  <c r="BA43" i="7"/>
  <c r="BB43" i="7"/>
  <c r="BC43" i="7"/>
  <c r="BD43" i="7"/>
  <c r="BE43" i="7"/>
  <c r="BF43" i="7"/>
  <c r="BG43" i="7"/>
  <c r="BH43" i="7"/>
  <c r="BI43" i="7"/>
  <c r="BJ43" i="7"/>
  <c r="BK43" i="7"/>
  <c r="BL43" i="7"/>
  <c r="BM43" i="7"/>
  <c r="BN43" i="7"/>
  <c r="BO43" i="7"/>
  <c r="BP43" i="7"/>
  <c r="BQ43" i="7"/>
  <c r="BR43" i="7"/>
  <c r="BS43" i="7"/>
  <c r="BT43" i="7"/>
  <c r="BU43" i="7"/>
  <c r="BV43" i="7"/>
  <c r="BW43" i="7"/>
  <c r="BX43" i="7"/>
  <c r="BY43" i="7"/>
  <c r="BZ43" i="7"/>
  <c r="CA43" i="7"/>
  <c r="CB43" i="7"/>
  <c r="CC43" i="7"/>
  <c r="CD43" i="7"/>
  <c r="CE43" i="7"/>
  <c r="CF43" i="7"/>
  <c r="CG43" i="7"/>
  <c r="CH43" i="7"/>
  <c r="CI43" i="7"/>
  <c r="CJ43" i="7"/>
  <c r="CK43" i="7"/>
  <c r="CL43" i="7"/>
  <c r="CM43" i="7"/>
  <c r="CN43" i="7"/>
  <c r="CO43" i="7"/>
  <c r="CP43" i="7"/>
  <c r="CQ43" i="7"/>
  <c r="CR43" i="7"/>
  <c r="CS43" i="7"/>
  <c r="CT43" i="7"/>
  <c r="CU43" i="7"/>
  <c r="CV43" i="7"/>
  <c r="CW43" i="7"/>
  <c r="CX43" i="7"/>
  <c r="CY43" i="7"/>
  <c r="CZ43" i="7"/>
  <c r="DA43" i="7"/>
  <c r="DB43" i="7"/>
  <c r="DC43" i="7"/>
  <c r="DD43" i="7"/>
  <c r="DE43" i="7"/>
  <c r="DF43" i="7"/>
  <c r="DG43" i="7"/>
  <c r="DH43" i="7"/>
  <c r="DI43" i="7"/>
  <c r="DJ43" i="7"/>
  <c r="DK43" i="7"/>
  <c r="DL43" i="7"/>
  <c r="DM43" i="7"/>
  <c r="DN43" i="7"/>
  <c r="DO43" i="7"/>
  <c r="DP43" i="7"/>
  <c r="DQ43" i="7"/>
  <c r="DR43" i="7"/>
  <c r="DS43" i="7"/>
  <c r="DT43" i="7"/>
  <c r="DU43" i="7"/>
  <c r="DV43" i="7"/>
  <c r="DW43" i="7"/>
  <c r="DX43" i="7"/>
  <c r="DY43" i="7"/>
  <c r="DZ43" i="7"/>
  <c r="EA43" i="7"/>
  <c r="EB43" i="7"/>
  <c r="EC43" i="7"/>
  <c r="ED43" i="7"/>
  <c r="EE43" i="7"/>
  <c r="EF43" i="7"/>
  <c r="EG43" i="7"/>
  <c r="EH43" i="7"/>
  <c r="EI43" i="7"/>
  <c r="EJ43" i="7"/>
  <c r="EK43" i="7"/>
  <c r="EL43" i="7"/>
  <c r="EM43" i="7"/>
  <c r="EN43" i="7"/>
  <c r="EO43" i="7"/>
  <c r="EP43" i="7"/>
  <c r="EQ43" i="7"/>
  <c r="ER43" i="7"/>
  <c r="ES43" i="7"/>
  <c r="ET43" i="7"/>
  <c r="EU43" i="7"/>
  <c r="EV43" i="7"/>
  <c r="EW43" i="7"/>
  <c r="EX43" i="7"/>
  <c r="EY43" i="7"/>
  <c r="EZ43" i="7"/>
  <c r="FA43" i="7"/>
  <c r="FB43" i="7"/>
  <c r="FC43" i="7"/>
  <c r="FD43" i="7"/>
  <c r="FE43" i="7"/>
  <c r="FF43" i="7"/>
  <c r="FG43" i="7"/>
  <c r="FH43" i="7"/>
  <c r="FI43" i="7"/>
  <c r="FJ43" i="7"/>
  <c r="FK43" i="7"/>
  <c r="FL43" i="7"/>
  <c r="FM43" i="7"/>
  <c r="FN43" i="7"/>
  <c r="FO43" i="7"/>
  <c r="FP43" i="7"/>
  <c r="FQ43" i="7"/>
  <c r="FR43" i="7"/>
  <c r="FS43" i="7"/>
  <c r="FT43" i="7"/>
  <c r="FU43" i="7"/>
  <c r="FV43" i="7"/>
  <c r="FW43" i="7"/>
  <c r="FX43" i="7"/>
  <c r="FY43" i="7"/>
  <c r="FZ43" i="7"/>
  <c r="GA43" i="7"/>
  <c r="GB43" i="7"/>
  <c r="GC43" i="7"/>
  <c r="GD43" i="7"/>
  <c r="GE43" i="7"/>
  <c r="GF43" i="7"/>
  <c r="GG43" i="7"/>
  <c r="GH43" i="7"/>
  <c r="GI43" i="7"/>
  <c r="GJ43" i="7"/>
  <c r="GK43" i="7"/>
  <c r="GL43" i="7"/>
  <c r="GM43" i="7"/>
  <c r="GN43" i="7"/>
  <c r="GO43" i="7"/>
  <c r="GP43" i="7"/>
  <c r="GQ43" i="7"/>
  <c r="GR43" i="7"/>
  <c r="GS43" i="7"/>
  <c r="GT43" i="7"/>
  <c r="GU43" i="7"/>
  <c r="GV43" i="7"/>
  <c r="GW43" i="7"/>
  <c r="GX43" i="7"/>
  <c r="GY43" i="7"/>
  <c r="GZ43" i="7"/>
  <c r="HA43" i="7"/>
  <c r="HB43" i="7"/>
  <c r="HC43" i="7"/>
  <c r="HD43" i="7"/>
  <c r="HE43" i="7"/>
  <c r="HF43" i="7"/>
  <c r="HG43" i="7"/>
  <c r="HH43" i="7"/>
  <c r="HI43" i="7"/>
  <c r="HJ43" i="7"/>
  <c r="HK43" i="7"/>
  <c r="HL43" i="7"/>
  <c r="HM43" i="7"/>
  <c r="HN43" i="7"/>
  <c r="HO43" i="7"/>
  <c r="HP43" i="7"/>
  <c r="HQ43" i="7"/>
  <c r="HR43" i="7"/>
  <c r="HS43" i="7"/>
  <c r="HT43" i="7"/>
  <c r="HU43" i="7"/>
  <c r="HV43" i="7"/>
  <c r="HW43" i="7"/>
  <c r="HX43" i="7"/>
  <c r="HY43" i="7"/>
  <c r="HZ43" i="7"/>
  <c r="IA43" i="7"/>
  <c r="IB43" i="7"/>
  <c r="IC43" i="7"/>
  <c r="ID43" i="7"/>
  <c r="IE43" i="7"/>
  <c r="IF43" i="7"/>
  <c r="IG43" i="7"/>
  <c r="IH43" i="7"/>
  <c r="II43" i="7"/>
  <c r="IJ43" i="7"/>
  <c r="IK43" i="7"/>
  <c r="IL43" i="7"/>
  <c r="IM43" i="7"/>
  <c r="IN43" i="7"/>
  <c r="IO43" i="7"/>
  <c r="IP43" i="7"/>
  <c r="IQ43" i="7"/>
  <c r="IR43" i="7"/>
  <c r="IS43" i="7"/>
  <c r="IT43" i="7"/>
  <c r="IU43" i="7"/>
  <c r="IV43" i="7"/>
  <c r="A44" i="7"/>
  <c r="B44" i="7"/>
  <c r="C44" i="7"/>
  <c r="D44" i="7"/>
  <c r="E44" i="7"/>
  <c r="F44" i="7"/>
  <c r="G44" i="7"/>
  <c r="H44" i="7"/>
  <c r="I44" i="7"/>
  <c r="J44" i="7"/>
  <c r="K44" i="7"/>
  <c r="L44" i="7"/>
  <c r="M44" i="7"/>
  <c r="N44" i="7"/>
  <c r="O44" i="7"/>
  <c r="P44" i="7"/>
  <c r="Q44" i="7"/>
  <c r="R44" i="7"/>
  <c r="S44" i="7"/>
  <c r="T44" i="7"/>
  <c r="U44" i="7"/>
  <c r="V44" i="7"/>
  <c r="W44" i="7"/>
  <c r="X44" i="7"/>
  <c r="Y44" i="7"/>
  <c r="Z44" i="7"/>
  <c r="AA44" i="7"/>
  <c r="AB44" i="7"/>
  <c r="AC44" i="7"/>
  <c r="AD44" i="7"/>
  <c r="AE44" i="7"/>
  <c r="AF44" i="7"/>
  <c r="AG44" i="7"/>
  <c r="AH44" i="7"/>
  <c r="AI44" i="7"/>
  <c r="AJ44" i="7"/>
  <c r="AK44" i="7"/>
  <c r="AL44" i="7"/>
  <c r="AM44" i="7"/>
  <c r="AN44" i="7"/>
  <c r="AO44" i="7"/>
  <c r="AP44" i="7"/>
  <c r="AQ44" i="7"/>
  <c r="AR44" i="7"/>
  <c r="AS44" i="7"/>
  <c r="AT44" i="7"/>
  <c r="AU44" i="7"/>
  <c r="AV44" i="7"/>
  <c r="AW44" i="7"/>
  <c r="AX44" i="7"/>
  <c r="AY44" i="7"/>
  <c r="AZ44" i="7"/>
  <c r="BA44" i="7"/>
  <c r="BB44" i="7"/>
  <c r="BC44" i="7"/>
  <c r="BD44" i="7"/>
  <c r="BE44" i="7"/>
  <c r="BF44" i="7"/>
  <c r="BG44" i="7"/>
  <c r="BH44" i="7"/>
  <c r="BI44" i="7"/>
  <c r="BJ44" i="7"/>
  <c r="BK44" i="7"/>
  <c r="BL44" i="7"/>
  <c r="BM44" i="7"/>
  <c r="BN44" i="7"/>
  <c r="BO44" i="7"/>
  <c r="BP44" i="7"/>
  <c r="BQ44" i="7"/>
  <c r="BR44" i="7"/>
  <c r="BS44" i="7"/>
  <c r="BT44" i="7"/>
  <c r="BU44" i="7"/>
  <c r="BV44" i="7"/>
  <c r="BW44" i="7"/>
  <c r="BX44" i="7"/>
  <c r="BY44" i="7"/>
  <c r="BZ44" i="7"/>
  <c r="CA44" i="7"/>
  <c r="CB44" i="7"/>
  <c r="CC44" i="7"/>
  <c r="CD44" i="7"/>
  <c r="CE44" i="7"/>
  <c r="CF44" i="7"/>
  <c r="CG44" i="7"/>
  <c r="CH44" i="7"/>
  <c r="CI44" i="7"/>
  <c r="CJ44" i="7"/>
  <c r="CK44" i="7"/>
  <c r="CL44" i="7"/>
  <c r="CM44" i="7"/>
  <c r="CN44" i="7"/>
  <c r="CO44" i="7"/>
  <c r="CP44" i="7"/>
  <c r="CQ44" i="7"/>
  <c r="CR44" i="7"/>
  <c r="CS44" i="7"/>
  <c r="CT44" i="7"/>
  <c r="CU44" i="7"/>
  <c r="CV44" i="7"/>
  <c r="CW44" i="7"/>
  <c r="CX44" i="7"/>
  <c r="CY44" i="7"/>
  <c r="CZ44" i="7"/>
  <c r="DA44" i="7"/>
  <c r="DB44" i="7"/>
  <c r="DC44" i="7"/>
  <c r="DD44" i="7"/>
  <c r="DE44" i="7"/>
  <c r="DF44" i="7"/>
  <c r="DG44" i="7"/>
  <c r="DH44" i="7"/>
  <c r="DI44" i="7"/>
  <c r="DJ44" i="7"/>
  <c r="DK44" i="7"/>
  <c r="DL44" i="7"/>
  <c r="DM44" i="7"/>
  <c r="DN44" i="7"/>
  <c r="DO44" i="7"/>
  <c r="DP44" i="7"/>
  <c r="DQ44" i="7"/>
  <c r="DR44" i="7"/>
  <c r="DS44" i="7"/>
  <c r="DT44" i="7"/>
  <c r="DU44" i="7"/>
  <c r="DV44" i="7"/>
  <c r="DW44" i="7"/>
  <c r="DX44" i="7"/>
  <c r="DY44" i="7"/>
  <c r="DZ44" i="7"/>
  <c r="EA44" i="7"/>
  <c r="EB44" i="7"/>
  <c r="EC44" i="7"/>
  <c r="ED44" i="7"/>
  <c r="EE44" i="7"/>
  <c r="EF44" i="7"/>
  <c r="EG44" i="7"/>
  <c r="EH44" i="7"/>
  <c r="EI44" i="7"/>
  <c r="EJ44" i="7"/>
  <c r="EK44" i="7"/>
  <c r="EL44" i="7"/>
  <c r="EM44" i="7"/>
  <c r="EN44" i="7"/>
  <c r="EO44" i="7"/>
  <c r="EP44" i="7"/>
  <c r="EQ44" i="7"/>
  <c r="ER44" i="7"/>
  <c r="ES44" i="7"/>
  <c r="ET44" i="7"/>
  <c r="EU44" i="7"/>
  <c r="EV44" i="7"/>
  <c r="EW44" i="7"/>
  <c r="EX44" i="7"/>
  <c r="EY44" i="7"/>
  <c r="EZ44" i="7"/>
  <c r="FA44" i="7"/>
  <c r="FB44" i="7"/>
  <c r="FC44" i="7"/>
  <c r="FD44" i="7"/>
  <c r="FE44" i="7"/>
  <c r="FF44" i="7"/>
  <c r="FG44" i="7"/>
  <c r="FH44" i="7"/>
  <c r="FI44" i="7"/>
  <c r="FJ44" i="7"/>
  <c r="FK44" i="7"/>
  <c r="FL44" i="7"/>
  <c r="FM44" i="7"/>
  <c r="FN44" i="7"/>
  <c r="FO44" i="7"/>
  <c r="FP44" i="7"/>
  <c r="FQ44" i="7"/>
  <c r="FR44" i="7"/>
  <c r="FS44" i="7"/>
  <c r="FT44" i="7"/>
  <c r="FU44" i="7"/>
  <c r="FV44" i="7"/>
  <c r="FW44" i="7"/>
  <c r="FX44" i="7"/>
  <c r="FY44" i="7"/>
  <c r="FZ44" i="7"/>
  <c r="GA44" i="7"/>
  <c r="GB44" i="7"/>
  <c r="GC44" i="7"/>
  <c r="GD44" i="7"/>
  <c r="GE44" i="7"/>
  <c r="GF44" i="7"/>
  <c r="GG44" i="7"/>
  <c r="GH44" i="7"/>
  <c r="GI44" i="7"/>
  <c r="GJ44" i="7"/>
  <c r="GK44" i="7"/>
  <c r="GL44" i="7"/>
  <c r="GM44" i="7"/>
  <c r="GN44" i="7"/>
  <c r="GO44" i="7"/>
  <c r="GP44" i="7"/>
  <c r="GQ44" i="7"/>
  <c r="GR44" i="7"/>
  <c r="GS44" i="7"/>
  <c r="GT44" i="7"/>
  <c r="GU44" i="7"/>
  <c r="GV44" i="7"/>
  <c r="GW44" i="7"/>
  <c r="GX44" i="7"/>
  <c r="GY44" i="7"/>
  <c r="GZ44" i="7"/>
  <c r="HA44" i="7"/>
  <c r="HB44" i="7"/>
  <c r="HC44" i="7"/>
  <c r="HD44" i="7"/>
  <c r="HE44" i="7"/>
  <c r="HF44" i="7"/>
  <c r="HG44" i="7"/>
  <c r="HH44" i="7"/>
  <c r="HI44" i="7"/>
  <c r="HJ44" i="7"/>
  <c r="HK44" i="7"/>
  <c r="HL44" i="7"/>
  <c r="HM44" i="7"/>
  <c r="HN44" i="7"/>
  <c r="HO44" i="7"/>
  <c r="HP44" i="7"/>
  <c r="HQ44" i="7"/>
  <c r="HR44" i="7"/>
  <c r="HS44" i="7"/>
  <c r="HT44" i="7"/>
  <c r="HU44" i="7"/>
  <c r="HV44" i="7"/>
  <c r="HW44" i="7"/>
  <c r="HX44" i="7"/>
  <c r="HY44" i="7"/>
  <c r="HZ44" i="7"/>
  <c r="IA44" i="7"/>
  <c r="IB44" i="7"/>
  <c r="IC44" i="7"/>
  <c r="ID44" i="7"/>
  <c r="IE44" i="7"/>
  <c r="IF44" i="7"/>
  <c r="IG44" i="7"/>
  <c r="IH44" i="7"/>
  <c r="II44" i="7"/>
  <c r="IJ44" i="7"/>
  <c r="IK44" i="7"/>
  <c r="IL44" i="7"/>
  <c r="IM44" i="7"/>
  <c r="IN44" i="7"/>
  <c r="IO44" i="7"/>
  <c r="IP44" i="7"/>
  <c r="IQ44" i="7"/>
  <c r="IR44" i="7"/>
  <c r="IS44" i="7"/>
  <c r="IT44" i="7"/>
  <c r="IU44" i="7"/>
  <c r="IV44" i="7"/>
  <c r="A45" i="7"/>
  <c r="B45" i="7"/>
  <c r="C45" i="7"/>
  <c r="D45" i="7"/>
  <c r="E45" i="7"/>
  <c r="F45" i="7"/>
  <c r="G45" i="7"/>
  <c r="H45" i="7"/>
  <c r="I45" i="7"/>
  <c r="J45" i="7"/>
  <c r="K45" i="7"/>
  <c r="L45" i="7"/>
  <c r="M45" i="7"/>
  <c r="N45" i="7"/>
  <c r="O45" i="7"/>
  <c r="P45" i="7"/>
  <c r="Q45" i="7"/>
  <c r="R45" i="7"/>
  <c r="S45" i="7"/>
  <c r="T45" i="7"/>
  <c r="U45" i="7"/>
  <c r="V45" i="7"/>
  <c r="W45" i="7"/>
  <c r="X45" i="7"/>
  <c r="Y45" i="7"/>
  <c r="Z45" i="7"/>
  <c r="AA45" i="7"/>
  <c r="AB45" i="7"/>
  <c r="AC45" i="7"/>
  <c r="AD45" i="7"/>
  <c r="AE45" i="7"/>
  <c r="AF45" i="7"/>
  <c r="AG45" i="7"/>
  <c r="AH45" i="7"/>
  <c r="AI45" i="7"/>
  <c r="AJ45" i="7"/>
  <c r="AK45" i="7"/>
  <c r="AL45" i="7"/>
  <c r="AM45" i="7"/>
  <c r="AN45" i="7"/>
  <c r="AO45" i="7"/>
  <c r="AP45" i="7"/>
  <c r="AQ45" i="7"/>
  <c r="AR45" i="7"/>
  <c r="AS45" i="7"/>
  <c r="AT45" i="7"/>
  <c r="AU45" i="7"/>
  <c r="AV45" i="7"/>
  <c r="AW45" i="7"/>
  <c r="AX45" i="7"/>
  <c r="AY45" i="7"/>
  <c r="AZ45" i="7"/>
  <c r="BA45" i="7"/>
  <c r="BB45" i="7"/>
  <c r="BC45" i="7"/>
  <c r="BD45" i="7"/>
  <c r="BE45" i="7"/>
  <c r="BF45" i="7"/>
  <c r="BG45" i="7"/>
  <c r="BH45" i="7"/>
  <c r="BI45" i="7"/>
  <c r="BJ45" i="7"/>
  <c r="BK45" i="7"/>
  <c r="BL45" i="7"/>
  <c r="BM45" i="7"/>
  <c r="BN45" i="7"/>
  <c r="BO45" i="7"/>
  <c r="BP45" i="7"/>
  <c r="BQ45" i="7"/>
  <c r="BR45" i="7"/>
  <c r="BS45" i="7"/>
  <c r="BT45" i="7"/>
  <c r="BU45" i="7"/>
  <c r="BV45" i="7"/>
  <c r="BW45" i="7"/>
  <c r="BX45" i="7"/>
  <c r="BY45" i="7"/>
  <c r="BZ45" i="7"/>
  <c r="CA45" i="7"/>
  <c r="CB45" i="7"/>
  <c r="CC45" i="7"/>
  <c r="CD45" i="7"/>
  <c r="CE45" i="7"/>
  <c r="CF45" i="7"/>
  <c r="CG45" i="7"/>
  <c r="CH45" i="7"/>
  <c r="CI45" i="7"/>
  <c r="CJ45" i="7"/>
  <c r="CK45" i="7"/>
  <c r="CL45" i="7"/>
  <c r="CM45" i="7"/>
  <c r="CN45" i="7"/>
  <c r="CO45" i="7"/>
  <c r="CP45" i="7"/>
  <c r="CQ45" i="7"/>
  <c r="CR45" i="7"/>
  <c r="CS45" i="7"/>
  <c r="CT45" i="7"/>
  <c r="CU45" i="7"/>
  <c r="CV45" i="7"/>
  <c r="CW45" i="7"/>
  <c r="CX45" i="7"/>
  <c r="CY45" i="7"/>
  <c r="CZ45" i="7"/>
  <c r="DA45" i="7"/>
  <c r="DB45" i="7"/>
  <c r="DC45" i="7"/>
  <c r="DD45" i="7"/>
  <c r="DE45" i="7"/>
  <c r="DF45" i="7"/>
  <c r="DG45" i="7"/>
  <c r="DH45" i="7"/>
  <c r="DI45" i="7"/>
  <c r="DJ45" i="7"/>
  <c r="DK45" i="7"/>
  <c r="DL45" i="7"/>
  <c r="DM45" i="7"/>
  <c r="DN45" i="7"/>
  <c r="DO45" i="7"/>
  <c r="DP45" i="7"/>
  <c r="DQ45" i="7"/>
  <c r="DR45" i="7"/>
  <c r="DS45" i="7"/>
  <c r="DT45" i="7"/>
  <c r="DU45" i="7"/>
  <c r="DV45" i="7"/>
  <c r="DW45" i="7"/>
  <c r="DX45" i="7"/>
  <c r="DY45" i="7"/>
  <c r="DZ45" i="7"/>
  <c r="EA45" i="7"/>
  <c r="EB45" i="7"/>
  <c r="EC45" i="7"/>
  <c r="ED45" i="7"/>
  <c r="EE45" i="7"/>
  <c r="EF45" i="7"/>
  <c r="EG45" i="7"/>
  <c r="EH45" i="7"/>
  <c r="EI45" i="7"/>
  <c r="EJ45" i="7"/>
  <c r="EK45" i="7"/>
  <c r="EL45" i="7"/>
  <c r="EM45" i="7"/>
  <c r="EN45" i="7"/>
  <c r="EO45" i="7"/>
  <c r="EP45" i="7"/>
  <c r="EQ45" i="7"/>
  <c r="ER45" i="7"/>
  <c r="ES45" i="7"/>
  <c r="ET45" i="7"/>
  <c r="EU45" i="7"/>
  <c r="EV45" i="7"/>
  <c r="EW45" i="7"/>
  <c r="EX45" i="7"/>
  <c r="EY45" i="7"/>
  <c r="EZ45" i="7"/>
  <c r="FA45" i="7"/>
  <c r="FB45" i="7"/>
  <c r="FC45" i="7"/>
  <c r="FD45" i="7"/>
  <c r="FE45" i="7"/>
  <c r="FF45" i="7"/>
  <c r="FG45" i="7"/>
  <c r="FH45" i="7"/>
  <c r="FI45" i="7"/>
  <c r="FJ45" i="7"/>
  <c r="FK45" i="7"/>
  <c r="FL45" i="7"/>
  <c r="FM45" i="7"/>
  <c r="FN45" i="7"/>
  <c r="FO45" i="7"/>
  <c r="FP45" i="7"/>
  <c r="FQ45" i="7"/>
  <c r="FR45" i="7"/>
  <c r="FS45" i="7"/>
  <c r="FT45" i="7"/>
  <c r="FU45" i="7"/>
  <c r="FV45" i="7"/>
  <c r="FW45" i="7"/>
  <c r="FX45" i="7"/>
  <c r="FY45" i="7"/>
  <c r="FZ45" i="7"/>
  <c r="GA45" i="7"/>
  <c r="GB45" i="7"/>
  <c r="GC45" i="7"/>
  <c r="GD45" i="7"/>
  <c r="GE45" i="7"/>
  <c r="GF45" i="7"/>
  <c r="GG45" i="7"/>
  <c r="GH45" i="7"/>
  <c r="GI45" i="7"/>
  <c r="GJ45" i="7"/>
  <c r="GK45" i="7"/>
  <c r="GL45" i="7"/>
  <c r="GM45" i="7"/>
  <c r="GN45" i="7"/>
  <c r="GO45" i="7"/>
  <c r="GP45" i="7"/>
  <c r="GQ45" i="7"/>
  <c r="GR45" i="7"/>
  <c r="GS45" i="7"/>
  <c r="GT45" i="7"/>
  <c r="GU45" i="7"/>
  <c r="GV45" i="7"/>
  <c r="GW45" i="7"/>
  <c r="GX45" i="7"/>
  <c r="GY45" i="7"/>
  <c r="GZ45" i="7"/>
  <c r="HA45" i="7"/>
  <c r="HB45" i="7"/>
  <c r="HC45" i="7"/>
  <c r="HD45" i="7"/>
  <c r="HE45" i="7"/>
  <c r="HF45" i="7"/>
  <c r="HG45" i="7"/>
  <c r="HH45" i="7"/>
  <c r="HI45" i="7"/>
  <c r="HJ45" i="7"/>
  <c r="HK45" i="7"/>
  <c r="HL45" i="7"/>
  <c r="HM45" i="7"/>
  <c r="HN45" i="7"/>
  <c r="HO45" i="7"/>
  <c r="HP45" i="7"/>
  <c r="HQ45" i="7"/>
  <c r="HR45" i="7"/>
  <c r="HS45" i="7"/>
  <c r="HT45" i="7"/>
  <c r="HU45" i="7"/>
  <c r="HV45" i="7"/>
  <c r="HW45" i="7"/>
  <c r="HX45" i="7"/>
  <c r="HY45" i="7"/>
  <c r="HZ45" i="7"/>
  <c r="IA45" i="7"/>
  <c r="IB45" i="7"/>
  <c r="IC45" i="7"/>
  <c r="ID45" i="7"/>
  <c r="IE45" i="7"/>
  <c r="IF45" i="7"/>
  <c r="IG45" i="7"/>
  <c r="IH45" i="7"/>
  <c r="II45" i="7"/>
  <c r="IJ45" i="7"/>
  <c r="IK45" i="7"/>
  <c r="IL45" i="7"/>
  <c r="IM45" i="7"/>
  <c r="IN45" i="7"/>
  <c r="IO45" i="7"/>
  <c r="IP45" i="7"/>
  <c r="IQ45" i="7"/>
  <c r="IR45" i="7"/>
  <c r="IS45" i="7"/>
  <c r="IT45" i="7"/>
  <c r="IU45" i="7"/>
  <c r="IV45" i="7"/>
  <c r="A46" i="7"/>
  <c r="B46" i="7"/>
  <c r="C46" i="7"/>
  <c r="D46" i="7"/>
  <c r="E46" i="7"/>
  <c r="F46" i="7"/>
  <c r="G46" i="7"/>
  <c r="H46" i="7"/>
  <c r="I46" i="7"/>
  <c r="J46" i="7"/>
  <c r="K46" i="7"/>
  <c r="L46" i="7"/>
  <c r="M46" i="7"/>
  <c r="N46" i="7"/>
  <c r="O46" i="7"/>
  <c r="P46" i="7"/>
  <c r="Q46" i="7"/>
  <c r="R46" i="7"/>
  <c r="S46" i="7"/>
  <c r="T46" i="7"/>
  <c r="U46" i="7"/>
  <c r="V46" i="7"/>
  <c r="W46" i="7"/>
  <c r="X46" i="7"/>
  <c r="Y46" i="7"/>
  <c r="Z46" i="7"/>
  <c r="AA46" i="7"/>
  <c r="AB46" i="7"/>
  <c r="AC46" i="7"/>
  <c r="AD46" i="7"/>
  <c r="AE46" i="7"/>
  <c r="AF46" i="7"/>
  <c r="AG46" i="7"/>
  <c r="AH46" i="7"/>
  <c r="AI46" i="7"/>
  <c r="AJ46" i="7"/>
  <c r="AK46" i="7"/>
  <c r="AL46" i="7"/>
  <c r="AM46" i="7"/>
  <c r="AN46" i="7"/>
  <c r="AO46" i="7"/>
  <c r="AP46" i="7"/>
  <c r="AQ46" i="7"/>
  <c r="AR46" i="7"/>
  <c r="AS46" i="7"/>
  <c r="AT46" i="7"/>
  <c r="AU46" i="7"/>
  <c r="AV46" i="7"/>
  <c r="AW46" i="7"/>
  <c r="AX46" i="7"/>
  <c r="AY46" i="7"/>
  <c r="AZ46" i="7"/>
  <c r="BA46" i="7"/>
  <c r="BB46" i="7"/>
  <c r="BC46" i="7"/>
  <c r="BD46" i="7"/>
  <c r="BE46" i="7"/>
  <c r="BF46" i="7"/>
  <c r="BG46" i="7"/>
  <c r="BH46" i="7"/>
  <c r="BI46" i="7"/>
  <c r="BJ46" i="7"/>
  <c r="BK46" i="7"/>
  <c r="BL46" i="7"/>
  <c r="BM46" i="7"/>
  <c r="BN46" i="7"/>
  <c r="BO46" i="7"/>
  <c r="BP46" i="7"/>
  <c r="BQ46" i="7"/>
  <c r="BR46" i="7"/>
  <c r="BS46" i="7"/>
  <c r="BT46" i="7"/>
  <c r="BU46" i="7"/>
  <c r="BV46" i="7"/>
  <c r="BW46" i="7"/>
  <c r="BX46" i="7"/>
  <c r="BY46" i="7"/>
  <c r="BZ46" i="7"/>
  <c r="CA46" i="7"/>
  <c r="CB46" i="7"/>
  <c r="CC46" i="7"/>
  <c r="CD46" i="7"/>
  <c r="CE46" i="7"/>
  <c r="CF46" i="7"/>
  <c r="CG46" i="7"/>
  <c r="CH46" i="7"/>
  <c r="CI46" i="7"/>
  <c r="CJ46" i="7"/>
  <c r="CK46" i="7"/>
  <c r="CL46" i="7"/>
  <c r="CM46" i="7"/>
  <c r="CN46" i="7"/>
  <c r="CO46" i="7"/>
  <c r="CP46" i="7"/>
  <c r="CQ46" i="7"/>
  <c r="CR46" i="7"/>
  <c r="CS46" i="7"/>
  <c r="CT46" i="7"/>
  <c r="CU46" i="7"/>
  <c r="CV46" i="7"/>
  <c r="CW46" i="7"/>
  <c r="CX46" i="7"/>
  <c r="CY46" i="7"/>
  <c r="CZ46" i="7"/>
  <c r="DA46" i="7"/>
  <c r="DB46" i="7"/>
  <c r="DC46" i="7"/>
  <c r="DD46" i="7"/>
  <c r="DE46" i="7"/>
  <c r="DF46" i="7"/>
  <c r="DG46" i="7"/>
  <c r="DH46" i="7"/>
  <c r="DI46" i="7"/>
  <c r="DJ46" i="7"/>
  <c r="DK46" i="7"/>
  <c r="DL46" i="7"/>
  <c r="DM46" i="7"/>
  <c r="DN46" i="7"/>
  <c r="DO46" i="7"/>
  <c r="DP46" i="7"/>
  <c r="DQ46" i="7"/>
  <c r="DR46" i="7"/>
  <c r="DS46" i="7"/>
  <c r="DT46" i="7"/>
  <c r="DU46" i="7"/>
  <c r="DV46" i="7"/>
  <c r="DW46" i="7"/>
  <c r="DX46" i="7"/>
  <c r="DY46" i="7"/>
  <c r="DZ46" i="7"/>
  <c r="EA46" i="7"/>
  <c r="EB46" i="7"/>
  <c r="EC46" i="7"/>
  <c r="ED46" i="7"/>
  <c r="EE46" i="7"/>
  <c r="EF46" i="7"/>
  <c r="EH46" i="7"/>
  <c r="EI46" i="7"/>
  <c r="EJ46" i="7"/>
  <c r="EK46" i="7"/>
  <c r="EL46" i="7"/>
  <c r="EM46" i="7"/>
  <c r="EN46" i="7"/>
  <c r="EO46" i="7"/>
  <c r="EP46" i="7"/>
  <c r="EQ46" i="7"/>
  <c r="ER46" i="7"/>
  <c r="ES46" i="7"/>
  <c r="ET46" i="7"/>
  <c r="EU46" i="7"/>
  <c r="EV46" i="7"/>
  <c r="EW46" i="7"/>
  <c r="EX46" i="7"/>
  <c r="EY46" i="7"/>
  <c r="EZ46" i="7"/>
  <c r="FA46" i="7"/>
  <c r="FB46" i="7"/>
  <c r="FC46" i="7"/>
  <c r="FD46" i="7"/>
  <c r="FE46" i="7"/>
  <c r="FF46" i="7"/>
  <c r="FG46" i="7"/>
  <c r="FH46" i="7"/>
  <c r="FI46" i="7"/>
  <c r="FJ46" i="7"/>
  <c r="FK46" i="7"/>
  <c r="FL46" i="7"/>
  <c r="FM46" i="7"/>
  <c r="FN46" i="7"/>
  <c r="FO46" i="7"/>
  <c r="FP46" i="7"/>
  <c r="FQ46" i="7"/>
  <c r="FR46" i="7"/>
  <c r="FS46" i="7"/>
  <c r="FT46" i="7"/>
  <c r="FU46" i="7"/>
  <c r="FV46" i="7"/>
  <c r="FW46" i="7"/>
  <c r="FX46" i="7"/>
  <c r="FY46" i="7"/>
  <c r="FZ46" i="7"/>
  <c r="GA46" i="7"/>
  <c r="GB46" i="7"/>
  <c r="GC46" i="7"/>
  <c r="GD46" i="7"/>
  <c r="GE46" i="7"/>
  <c r="GF46" i="7"/>
  <c r="GG46" i="7"/>
  <c r="GH46" i="7"/>
  <c r="GI46" i="7"/>
  <c r="GJ46" i="7"/>
  <c r="GK46" i="7"/>
  <c r="GL46" i="7"/>
  <c r="GM46" i="7"/>
  <c r="GN46" i="7"/>
  <c r="GO46" i="7"/>
  <c r="GP46" i="7"/>
  <c r="GQ46" i="7"/>
  <c r="GR46" i="7"/>
  <c r="GS46" i="7"/>
  <c r="GT46" i="7"/>
  <c r="GU46" i="7"/>
  <c r="GV46" i="7"/>
  <c r="GW46" i="7"/>
  <c r="GX46" i="7"/>
  <c r="GY46" i="7"/>
  <c r="GZ46" i="7"/>
  <c r="HA46" i="7"/>
  <c r="HB46" i="7"/>
  <c r="HC46" i="7"/>
  <c r="HD46" i="7"/>
  <c r="HE46" i="7"/>
  <c r="HF46" i="7"/>
  <c r="HG46" i="7"/>
  <c r="HH46" i="7"/>
  <c r="HI46" i="7"/>
  <c r="HJ46" i="7"/>
  <c r="HK46" i="7"/>
  <c r="HL46" i="7"/>
  <c r="HM46" i="7"/>
  <c r="HN46" i="7"/>
  <c r="HO46" i="7"/>
  <c r="HP46" i="7"/>
  <c r="HQ46" i="7"/>
  <c r="HR46" i="7"/>
  <c r="HS46" i="7"/>
  <c r="HT46" i="7"/>
  <c r="HU46" i="7"/>
  <c r="HV46" i="7"/>
  <c r="HW46" i="7"/>
  <c r="HX46" i="7"/>
  <c r="HY46" i="7"/>
  <c r="HZ46" i="7"/>
  <c r="IA46" i="7"/>
  <c r="IB46" i="7"/>
  <c r="IC46" i="7"/>
  <c r="ID46" i="7"/>
  <c r="IE46" i="7"/>
  <c r="IF46" i="7"/>
  <c r="IG46" i="7"/>
  <c r="IH46" i="7"/>
  <c r="II46" i="7"/>
  <c r="IJ46" i="7"/>
  <c r="IK46" i="7"/>
  <c r="IL46" i="7"/>
  <c r="IM46" i="7"/>
  <c r="IN46" i="7"/>
  <c r="IO46" i="7"/>
  <c r="IP46" i="7"/>
  <c r="IQ46" i="7"/>
  <c r="IR46" i="7"/>
  <c r="IS46" i="7"/>
  <c r="IT46" i="7"/>
  <c r="IU46" i="7"/>
  <c r="IV46" i="7"/>
  <c r="A47" i="7"/>
  <c r="B47" i="7"/>
  <c r="C47" i="7"/>
  <c r="D47" i="7"/>
  <c r="E47" i="7"/>
  <c r="F47" i="7"/>
  <c r="G47" i="7"/>
  <c r="H47" i="7"/>
  <c r="I47" i="7"/>
  <c r="J47" i="7"/>
  <c r="K47" i="7"/>
  <c r="L47" i="7"/>
  <c r="M47" i="7"/>
  <c r="N47" i="7"/>
  <c r="O47" i="7"/>
  <c r="P47" i="7"/>
  <c r="Q47" i="7"/>
  <c r="R47" i="7"/>
  <c r="S47" i="7"/>
  <c r="T47" i="7"/>
  <c r="U47" i="7"/>
  <c r="V47" i="7"/>
  <c r="W47" i="7"/>
  <c r="X47" i="7"/>
  <c r="Y47" i="7"/>
  <c r="Z47" i="7"/>
  <c r="AA47" i="7"/>
  <c r="AB47" i="7"/>
  <c r="AC47" i="7"/>
  <c r="AD47" i="7"/>
  <c r="AE47" i="7"/>
  <c r="AF47" i="7"/>
  <c r="AG47" i="7"/>
  <c r="AH47" i="7"/>
  <c r="AI47" i="7"/>
  <c r="AJ47" i="7"/>
  <c r="AK47" i="7"/>
  <c r="AL47" i="7"/>
  <c r="AM47" i="7"/>
  <c r="AN47" i="7"/>
  <c r="AO47" i="7"/>
  <c r="AP47" i="7"/>
  <c r="AQ47" i="7"/>
  <c r="AR47" i="7"/>
  <c r="AS47" i="7"/>
  <c r="AT47" i="7"/>
  <c r="AU47" i="7"/>
  <c r="AV47" i="7"/>
  <c r="AW47" i="7"/>
  <c r="AX47" i="7"/>
  <c r="AY47" i="7"/>
  <c r="AZ47" i="7"/>
  <c r="BA47" i="7"/>
  <c r="BB47" i="7"/>
  <c r="BC47" i="7"/>
  <c r="BD47" i="7"/>
  <c r="BE47" i="7"/>
  <c r="BF47" i="7"/>
  <c r="BG47" i="7"/>
  <c r="BH47" i="7"/>
  <c r="BI47" i="7"/>
  <c r="BJ47" i="7"/>
  <c r="BK47" i="7"/>
  <c r="BL47" i="7"/>
  <c r="BM47" i="7"/>
  <c r="BN47" i="7"/>
  <c r="BO47" i="7"/>
  <c r="BP47" i="7"/>
  <c r="BQ47" i="7"/>
  <c r="BR47" i="7"/>
  <c r="BS47" i="7"/>
  <c r="BT47" i="7"/>
  <c r="BU47" i="7"/>
  <c r="BV47" i="7"/>
  <c r="BW47" i="7"/>
  <c r="BX47" i="7"/>
  <c r="BY47" i="7"/>
  <c r="BZ47" i="7"/>
  <c r="CA47" i="7"/>
  <c r="CB47" i="7"/>
  <c r="CC47" i="7"/>
  <c r="CD47" i="7"/>
  <c r="CE47" i="7"/>
  <c r="CF47" i="7"/>
  <c r="CG47" i="7"/>
  <c r="CH47" i="7"/>
  <c r="CI47" i="7"/>
  <c r="CJ47" i="7"/>
  <c r="CK47" i="7"/>
  <c r="CL47" i="7"/>
  <c r="CM47" i="7"/>
  <c r="CN47" i="7"/>
  <c r="CO47" i="7"/>
  <c r="CP47" i="7"/>
  <c r="CQ47" i="7"/>
  <c r="CR47" i="7"/>
  <c r="CS47" i="7"/>
  <c r="CT47" i="7"/>
  <c r="CU47" i="7"/>
  <c r="CV47" i="7"/>
  <c r="CW47" i="7"/>
  <c r="CX47" i="7"/>
  <c r="CY47" i="7"/>
  <c r="CZ47" i="7"/>
  <c r="DA47" i="7"/>
  <c r="DB47" i="7"/>
  <c r="DC47" i="7"/>
  <c r="DD47" i="7"/>
  <c r="DE47" i="7"/>
  <c r="DF47" i="7"/>
  <c r="DG47" i="7"/>
  <c r="DH47" i="7"/>
  <c r="DI47" i="7"/>
  <c r="DJ47" i="7"/>
  <c r="DK47" i="7"/>
  <c r="DL47" i="7"/>
  <c r="DM47" i="7"/>
  <c r="DN47" i="7"/>
  <c r="DO47" i="7"/>
  <c r="DP47" i="7"/>
  <c r="DQ47" i="7"/>
  <c r="DR47" i="7"/>
  <c r="DS47" i="7"/>
  <c r="DT47" i="7"/>
  <c r="DU47" i="7"/>
  <c r="DV47" i="7"/>
  <c r="DW47" i="7"/>
  <c r="DX47" i="7"/>
  <c r="DY47" i="7"/>
  <c r="DZ47" i="7"/>
  <c r="EA47" i="7"/>
  <c r="EB47" i="7"/>
  <c r="EC47" i="7"/>
  <c r="ED47" i="7"/>
  <c r="EE47" i="7"/>
  <c r="EF47" i="7"/>
  <c r="EG47" i="7"/>
  <c r="EH47" i="7"/>
  <c r="EI47" i="7"/>
  <c r="EJ47" i="7"/>
  <c r="EK47" i="7"/>
  <c r="EL47" i="7"/>
  <c r="EM47" i="7"/>
  <c r="EN47" i="7"/>
  <c r="EO47" i="7"/>
  <c r="EP47" i="7"/>
  <c r="EQ47" i="7"/>
  <c r="ER47" i="7"/>
  <c r="ES47" i="7"/>
  <c r="ET47" i="7"/>
  <c r="EU47" i="7"/>
  <c r="EV47" i="7"/>
  <c r="EW47" i="7"/>
  <c r="EX47" i="7"/>
  <c r="EY47" i="7"/>
  <c r="EZ47" i="7"/>
  <c r="FA47" i="7"/>
  <c r="FB47" i="7"/>
  <c r="FC47" i="7"/>
  <c r="FD47" i="7"/>
  <c r="FE47" i="7"/>
  <c r="FF47" i="7"/>
  <c r="FG47" i="7"/>
  <c r="FH47" i="7"/>
  <c r="FI47" i="7"/>
  <c r="FJ47" i="7"/>
  <c r="FK47" i="7"/>
  <c r="FL47" i="7"/>
  <c r="FM47" i="7"/>
  <c r="FN47" i="7"/>
  <c r="FO47" i="7"/>
  <c r="FP47" i="7"/>
  <c r="FQ47" i="7"/>
  <c r="FR47" i="7"/>
  <c r="FS47" i="7"/>
  <c r="FT47" i="7"/>
  <c r="FU47" i="7"/>
  <c r="FV47" i="7"/>
  <c r="FW47" i="7"/>
  <c r="FX47" i="7"/>
  <c r="FY47" i="7"/>
  <c r="FZ47" i="7"/>
  <c r="GA47" i="7"/>
  <c r="GB47" i="7"/>
  <c r="GC47" i="7"/>
  <c r="GD47" i="7"/>
  <c r="GE47" i="7"/>
  <c r="GF47" i="7"/>
  <c r="GG47" i="7"/>
  <c r="GH47" i="7"/>
  <c r="GI47" i="7"/>
  <c r="GJ47" i="7"/>
  <c r="GK47" i="7"/>
  <c r="GL47" i="7"/>
  <c r="GM47" i="7"/>
  <c r="GN47" i="7"/>
  <c r="GO47" i="7"/>
  <c r="GP47" i="7"/>
  <c r="GQ47" i="7"/>
  <c r="GR47" i="7"/>
  <c r="GS47" i="7"/>
  <c r="GT47" i="7"/>
  <c r="GU47" i="7"/>
  <c r="GV47" i="7"/>
  <c r="GW47" i="7"/>
  <c r="GX47" i="7"/>
  <c r="GY47" i="7"/>
  <c r="GZ47" i="7"/>
  <c r="HA47" i="7"/>
  <c r="HB47" i="7"/>
  <c r="HC47" i="7"/>
  <c r="HD47" i="7"/>
  <c r="HE47" i="7"/>
  <c r="HF47" i="7"/>
  <c r="HG47" i="7"/>
  <c r="HH47" i="7"/>
  <c r="HI47" i="7"/>
  <c r="HJ47" i="7"/>
  <c r="HK47" i="7"/>
  <c r="HL47" i="7"/>
  <c r="HM47" i="7"/>
  <c r="HN47" i="7"/>
  <c r="HO47" i="7"/>
  <c r="HP47" i="7"/>
  <c r="HQ47" i="7"/>
  <c r="HR47" i="7"/>
  <c r="HS47" i="7"/>
  <c r="HT47" i="7"/>
  <c r="HU47" i="7"/>
  <c r="HV47" i="7"/>
  <c r="HW47" i="7"/>
  <c r="HX47" i="7"/>
  <c r="HY47" i="7"/>
  <c r="HZ47" i="7"/>
  <c r="IA47" i="7"/>
  <c r="IB47" i="7"/>
  <c r="IC47" i="7"/>
  <c r="ID47" i="7"/>
  <c r="IE47" i="7"/>
  <c r="IF47" i="7"/>
  <c r="IG47" i="7"/>
  <c r="IH47" i="7"/>
  <c r="II47" i="7"/>
  <c r="IJ47" i="7"/>
  <c r="IK47" i="7"/>
  <c r="IL47" i="7"/>
  <c r="IM47" i="7"/>
  <c r="IN47" i="7"/>
  <c r="IO47" i="7"/>
  <c r="IP47" i="7"/>
  <c r="IQ47" i="7"/>
  <c r="IR47" i="7"/>
  <c r="IS47" i="7"/>
  <c r="IT47" i="7"/>
  <c r="IU47" i="7"/>
  <c r="IV47" i="7"/>
  <c r="A48" i="7"/>
  <c r="B48" i="7"/>
  <c r="C48" i="7"/>
  <c r="D48" i="7"/>
  <c r="E48" i="7"/>
  <c r="F48" i="7"/>
  <c r="G48" i="7"/>
  <c r="H48" i="7"/>
  <c r="I48" i="7"/>
  <c r="J48" i="7"/>
  <c r="K48" i="7"/>
  <c r="L48" i="7"/>
  <c r="M48" i="7"/>
  <c r="N48" i="7"/>
  <c r="O48" i="7"/>
  <c r="P48" i="7"/>
  <c r="Q48" i="7"/>
  <c r="R48" i="7"/>
  <c r="S48" i="7"/>
  <c r="T48" i="7"/>
  <c r="U48" i="7"/>
  <c r="V48" i="7"/>
  <c r="W48" i="7"/>
  <c r="X48" i="7"/>
  <c r="Y48" i="7"/>
  <c r="Z48" i="7"/>
  <c r="AA48" i="7"/>
  <c r="AB48" i="7"/>
  <c r="AC48" i="7"/>
  <c r="AD48" i="7"/>
  <c r="AE48" i="7"/>
  <c r="AF48" i="7"/>
  <c r="AG48" i="7"/>
  <c r="AH48" i="7"/>
  <c r="AI48" i="7"/>
  <c r="AJ48" i="7"/>
  <c r="AK48" i="7"/>
  <c r="AL48" i="7"/>
  <c r="AM48" i="7"/>
  <c r="AN48" i="7"/>
  <c r="AO48" i="7"/>
  <c r="AP48" i="7"/>
  <c r="AQ48" i="7"/>
  <c r="AR48" i="7"/>
  <c r="AS48" i="7"/>
  <c r="AT48" i="7"/>
  <c r="AU48" i="7"/>
  <c r="AV48" i="7"/>
  <c r="AW48" i="7"/>
  <c r="AX48" i="7"/>
  <c r="AY48" i="7"/>
  <c r="AZ48" i="7"/>
  <c r="BA48" i="7"/>
  <c r="BB48" i="7"/>
  <c r="BC48" i="7"/>
  <c r="BD48" i="7"/>
  <c r="BE48" i="7"/>
  <c r="BF48" i="7"/>
  <c r="BG48" i="7"/>
  <c r="BH48" i="7"/>
  <c r="BI48" i="7"/>
  <c r="BJ48" i="7"/>
  <c r="BK48" i="7"/>
  <c r="BL48" i="7"/>
  <c r="BM48" i="7"/>
  <c r="BN48" i="7"/>
  <c r="BO48" i="7"/>
  <c r="BP48" i="7"/>
  <c r="BQ48" i="7"/>
  <c r="BR48" i="7"/>
  <c r="BS48" i="7"/>
  <c r="BT48" i="7"/>
  <c r="BU48" i="7"/>
  <c r="BV48" i="7"/>
  <c r="BW48" i="7"/>
  <c r="BX48" i="7"/>
  <c r="BY48" i="7"/>
  <c r="BZ48" i="7"/>
  <c r="CA48" i="7"/>
  <c r="CB48" i="7"/>
  <c r="CC48" i="7"/>
  <c r="CD48" i="7"/>
  <c r="CE48" i="7"/>
  <c r="CF48" i="7"/>
  <c r="CG48" i="7"/>
  <c r="CH48" i="7"/>
  <c r="CI48" i="7"/>
  <c r="CJ48" i="7"/>
  <c r="CK48" i="7"/>
  <c r="CL48" i="7"/>
  <c r="CM48" i="7"/>
  <c r="CN48" i="7"/>
  <c r="CO48" i="7"/>
  <c r="CP48" i="7"/>
  <c r="CQ48" i="7"/>
  <c r="CR48" i="7"/>
  <c r="CS48" i="7"/>
  <c r="CT48" i="7"/>
  <c r="CU48" i="7"/>
  <c r="CV48" i="7"/>
  <c r="CW48" i="7"/>
  <c r="CX48" i="7"/>
  <c r="CY48" i="7"/>
  <c r="CZ48" i="7"/>
  <c r="DA48" i="7"/>
  <c r="DB48" i="7"/>
  <c r="DC48" i="7"/>
  <c r="DD48" i="7"/>
  <c r="DE48" i="7"/>
  <c r="DF48" i="7"/>
  <c r="DG48" i="7"/>
  <c r="DH48" i="7"/>
  <c r="DI48" i="7"/>
  <c r="DJ48" i="7"/>
  <c r="DK48" i="7"/>
  <c r="DL48" i="7"/>
  <c r="DM48" i="7"/>
  <c r="DN48" i="7"/>
  <c r="DO48" i="7"/>
  <c r="DP48" i="7"/>
  <c r="DQ48" i="7"/>
  <c r="DR48" i="7"/>
  <c r="DS48" i="7"/>
  <c r="DT48" i="7"/>
  <c r="DU48" i="7"/>
  <c r="DV48" i="7"/>
  <c r="DW48" i="7"/>
  <c r="DX48" i="7"/>
  <c r="DY48" i="7"/>
  <c r="DZ48" i="7"/>
  <c r="EA48" i="7"/>
  <c r="EB48" i="7"/>
  <c r="EC48" i="7"/>
  <c r="ED48" i="7"/>
  <c r="EE48" i="7"/>
  <c r="EF48" i="7"/>
  <c r="EG48" i="7"/>
  <c r="EH48" i="7"/>
  <c r="EI48" i="7"/>
  <c r="EJ48" i="7"/>
  <c r="EK48" i="7"/>
  <c r="EL48" i="7"/>
  <c r="EM48" i="7"/>
  <c r="EN48" i="7"/>
  <c r="EO48" i="7"/>
  <c r="EP48" i="7"/>
  <c r="EQ48" i="7"/>
  <c r="ER48" i="7"/>
  <c r="ES48" i="7"/>
  <c r="ET48" i="7"/>
  <c r="EU48" i="7"/>
  <c r="EV48" i="7"/>
  <c r="EW48" i="7"/>
  <c r="EX48" i="7"/>
  <c r="EY48" i="7"/>
  <c r="EZ48" i="7"/>
  <c r="FA48" i="7"/>
  <c r="FB48" i="7"/>
  <c r="FC48" i="7"/>
  <c r="FD48" i="7"/>
  <c r="FE48" i="7"/>
  <c r="FF48" i="7"/>
  <c r="FG48" i="7"/>
  <c r="FH48" i="7"/>
  <c r="FI48" i="7"/>
  <c r="FJ48" i="7"/>
  <c r="FK48" i="7"/>
  <c r="FL48" i="7"/>
  <c r="FM48" i="7"/>
  <c r="FN48" i="7"/>
  <c r="FO48" i="7"/>
  <c r="FP48" i="7"/>
  <c r="FQ48" i="7"/>
  <c r="FR48" i="7"/>
  <c r="FS48" i="7"/>
  <c r="FT48" i="7"/>
  <c r="FU48" i="7"/>
  <c r="FV48" i="7"/>
  <c r="FW48" i="7"/>
  <c r="FX48" i="7"/>
  <c r="FY48" i="7"/>
  <c r="FZ48" i="7"/>
  <c r="GA48" i="7"/>
  <c r="GB48" i="7"/>
  <c r="GC48" i="7"/>
  <c r="GD48" i="7"/>
  <c r="GE48" i="7"/>
  <c r="GF48" i="7"/>
  <c r="GG48" i="7"/>
  <c r="GH48" i="7"/>
  <c r="GI48" i="7"/>
  <c r="GJ48" i="7"/>
  <c r="GK48" i="7"/>
  <c r="GL48" i="7"/>
  <c r="GM48" i="7"/>
  <c r="GN48" i="7"/>
  <c r="GO48" i="7"/>
  <c r="GP48" i="7"/>
  <c r="GQ48" i="7"/>
  <c r="GR48" i="7"/>
  <c r="GS48" i="7"/>
  <c r="GT48" i="7"/>
  <c r="GU48" i="7"/>
  <c r="GV48" i="7"/>
  <c r="GW48" i="7"/>
  <c r="GX48" i="7"/>
  <c r="GY48" i="7"/>
  <c r="GZ48" i="7"/>
  <c r="HA48" i="7"/>
  <c r="HB48" i="7"/>
  <c r="HC48" i="7"/>
  <c r="HD48" i="7"/>
  <c r="HE48" i="7"/>
  <c r="HF48" i="7"/>
  <c r="HG48" i="7"/>
  <c r="HH48" i="7"/>
  <c r="HI48" i="7"/>
  <c r="HJ48" i="7"/>
  <c r="HK48" i="7"/>
  <c r="HL48" i="7"/>
  <c r="HM48" i="7"/>
  <c r="HN48" i="7"/>
  <c r="HO48" i="7"/>
  <c r="HP48" i="7"/>
  <c r="HQ48" i="7"/>
  <c r="HR48" i="7"/>
  <c r="HS48" i="7"/>
  <c r="HT48" i="7"/>
  <c r="HU48" i="7"/>
  <c r="HV48" i="7"/>
  <c r="HW48" i="7"/>
  <c r="HX48" i="7"/>
  <c r="HY48" i="7"/>
  <c r="HZ48" i="7"/>
  <c r="IA48" i="7"/>
  <c r="IB48" i="7"/>
  <c r="IC48" i="7"/>
  <c r="ID48" i="7"/>
  <c r="IE48" i="7"/>
  <c r="IF48" i="7"/>
  <c r="IG48" i="7"/>
  <c r="IH48" i="7"/>
  <c r="II48" i="7"/>
  <c r="IJ48" i="7"/>
  <c r="IK48" i="7"/>
  <c r="IL48" i="7"/>
  <c r="IM48" i="7"/>
  <c r="IN48" i="7"/>
  <c r="IO48" i="7"/>
  <c r="IP48" i="7"/>
  <c r="IQ48" i="7"/>
  <c r="IR48" i="7"/>
  <c r="IS48" i="7"/>
  <c r="IT48" i="7"/>
  <c r="IU48" i="7"/>
  <c r="IV48" i="7"/>
  <c r="A49" i="7"/>
  <c r="B49" i="7"/>
  <c r="C49" i="7"/>
  <c r="D49" i="7"/>
  <c r="E49" i="7"/>
  <c r="F49" i="7"/>
  <c r="G49" i="7"/>
  <c r="H49" i="7"/>
  <c r="I49" i="7"/>
  <c r="J49" i="7"/>
  <c r="K49" i="7"/>
  <c r="L49" i="7"/>
  <c r="M49" i="7"/>
  <c r="N49" i="7"/>
  <c r="O49" i="7"/>
  <c r="P49" i="7"/>
  <c r="Q49" i="7"/>
  <c r="R49" i="7"/>
  <c r="S49" i="7"/>
  <c r="T49" i="7"/>
  <c r="U49" i="7"/>
  <c r="V49" i="7"/>
  <c r="W49" i="7"/>
  <c r="X49" i="7"/>
  <c r="Y49" i="7"/>
  <c r="Z49" i="7"/>
  <c r="AA49" i="7"/>
  <c r="AB49" i="7"/>
  <c r="AC49" i="7"/>
  <c r="AD49" i="7"/>
  <c r="AE49" i="7"/>
  <c r="AF49" i="7"/>
  <c r="AG49" i="7"/>
  <c r="AH49" i="7"/>
  <c r="AI49" i="7"/>
  <c r="AJ49" i="7"/>
  <c r="AK49" i="7"/>
  <c r="AL49" i="7"/>
  <c r="AM49" i="7"/>
  <c r="AN49" i="7"/>
  <c r="AO49" i="7"/>
  <c r="AP49" i="7"/>
  <c r="AQ49" i="7"/>
  <c r="AR49" i="7"/>
  <c r="AS49" i="7"/>
  <c r="AT49" i="7"/>
  <c r="AU49" i="7"/>
  <c r="AV49" i="7"/>
  <c r="AW49" i="7"/>
  <c r="AX49" i="7"/>
  <c r="AY49" i="7"/>
  <c r="AZ49" i="7"/>
  <c r="BA49" i="7"/>
  <c r="BB49" i="7"/>
  <c r="BC49" i="7"/>
  <c r="BD49" i="7"/>
  <c r="BE49" i="7"/>
  <c r="BF49" i="7"/>
  <c r="BG49" i="7"/>
  <c r="BH49" i="7"/>
  <c r="BI49" i="7"/>
  <c r="BJ49" i="7"/>
  <c r="BK49" i="7"/>
  <c r="BL49" i="7"/>
  <c r="BM49" i="7"/>
  <c r="BN49" i="7"/>
  <c r="BO49" i="7"/>
  <c r="BP49" i="7"/>
  <c r="BQ49" i="7"/>
  <c r="BR49" i="7"/>
  <c r="BS49" i="7"/>
  <c r="BT49" i="7"/>
  <c r="BU49" i="7"/>
  <c r="BV49" i="7"/>
  <c r="BW49" i="7"/>
  <c r="BX49" i="7"/>
  <c r="BY49" i="7"/>
  <c r="BZ49" i="7"/>
  <c r="CA49" i="7"/>
  <c r="CB49" i="7"/>
  <c r="CC49" i="7"/>
  <c r="CD49" i="7"/>
  <c r="CE49" i="7"/>
  <c r="CF49" i="7"/>
  <c r="CG49" i="7"/>
  <c r="CH49" i="7"/>
  <c r="CI49" i="7"/>
  <c r="CJ49" i="7"/>
  <c r="CK49" i="7"/>
  <c r="CL49" i="7"/>
  <c r="CM49" i="7"/>
  <c r="CN49" i="7"/>
  <c r="CO49" i="7"/>
  <c r="CP49" i="7"/>
  <c r="CQ49" i="7"/>
  <c r="CR49" i="7"/>
  <c r="CS49" i="7"/>
  <c r="CT49" i="7"/>
  <c r="CU49" i="7"/>
  <c r="CV49" i="7"/>
  <c r="CW49" i="7"/>
  <c r="CX49" i="7"/>
  <c r="CY49" i="7"/>
  <c r="CZ49" i="7"/>
  <c r="DA49" i="7"/>
  <c r="DB49" i="7"/>
  <c r="DC49" i="7"/>
  <c r="DD49" i="7"/>
  <c r="DE49" i="7"/>
  <c r="DF49" i="7"/>
  <c r="DG49" i="7"/>
  <c r="DH49" i="7"/>
  <c r="DI49" i="7"/>
  <c r="DJ49" i="7"/>
  <c r="DK49" i="7"/>
  <c r="DL49" i="7"/>
  <c r="DM49" i="7"/>
  <c r="DN49" i="7"/>
  <c r="DO49" i="7"/>
  <c r="DP49" i="7"/>
  <c r="DQ49" i="7"/>
  <c r="DR49" i="7"/>
  <c r="DS49" i="7"/>
  <c r="DT49" i="7"/>
  <c r="DU49" i="7"/>
  <c r="DV49" i="7"/>
  <c r="DW49" i="7"/>
  <c r="DX49" i="7"/>
  <c r="DY49" i="7"/>
  <c r="DZ49" i="7"/>
  <c r="EA49" i="7"/>
  <c r="EB49" i="7"/>
  <c r="EC49" i="7"/>
  <c r="ED49" i="7"/>
  <c r="EE49" i="7"/>
  <c r="EF49" i="7"/>
  <c r="EG49" i="7"/>
  <c r="EH49" i="7"/>
  <c r="EI49" i="7"/>
  <c r="EJ49" i="7"/>
  <c r="EK49" i="7"/>
  <c r="EL49" i="7"/>
  <c r="EM49" i="7"/>
  <c r="EN49" i="7"/>
  <c r="EO49" i="7"/>
  <c r="EP49" i="7"/>
  <c r="EQ49" i="7"/>
  <c r="ER49" i="7"/>
  <c r="ES49" i="7"/>
  <c r="ET49" i="7"/>
  <c r="EU49" i="7"/>
  <c r="EV49" i="7"/>
  <c r="EW49" i="7"/>
  <c r="EX49" i="7"/>
  <c r="EY49" i="7"/>
  <c r="EZ49" i="7"/>
  <c r="FA49" i="7"/>
  <c r="FB49" i="7"/>
  <c r="FC49" i="7"/>
  <c r="FD49" i="7"/>
  <c r="FE49" i="7"/>
  <c r="FF49" i="7"/>
  <c r="FG49" i="7"/>
  <c r="FH49" i="7"/>
  <c r="FI49" i="7"/>
  <c r="FJ49" i="7"/>
  <c r="FK49" i="7"/>
  <c r="FL49" i="7"/>
  <c r="FM49" i="7"/>
  <c r="FN49" i="7"/>
  <c r="FO49" i="7"/>
  <c r="FP49" i="7"/>
  <c r="FQ49" i="7"/>
  <c r="FR49" i="7"/>
  <c r="FS49" i="7"/>
  <c r="FT49" i="7"/>
  <c r="FU49" i="7"/>
  <c r="FV49" i="7"/>
  <c r="FW49" i="7"/>
  <c r="FX49" i="7"/>
  <c r="FY49" i="7"/>
  <c r="FZ49" i="7"/>
  <c r="GA49" i="7"/>
  <c r="GB49" i="7"/>
  <c r="GC49" i="7"/>
  <c r="GD49" i="7"/>
  <c r="GE49" i="7"/>
  <c r="GF49" i="7"/>
  <c r="GG49" i="7"/>
  <c r="GH49" i="7"/>
  <c r="GI49" i="7"/>
  <c r="GJ49" i="7"/>
  <c r="GK49" i="7"/>
  <c r="GL49" i="7"/>
  <c r="GM49" i="7"/>
  <c r="GN49" i="7"/>
  <c r="GO49" i="7"/>
  <c r="GP49" i="7"/>
  <c r="GQ49" i="7"/>
  <c r="GR49" i="7"/>
  <c r="GS49" i="7"/>
  <c r="GT49" i="7"/>
  <c r="GU49" i="7"/>
  <c r="GV49" i="7"/>
  <c r="GW49" i="7"/>
  <c r="GX49" i="7"/>
  <c r="GY49" i="7"/>
  <c r="GZ49" i="7"/>
  <c r="HA49" i="7"/>
  <c r="HB49" i="7"/>
  <c r="HC49" i="7"/>
  <c r="HD49" i="7"/>
  <c r="HE49" i="7"/>
  <c r="HF49" i="7"/>
  <c r="HG49" i="7"/>
  <c r="HH49" i="7"/>
  <c r="HI49" i="7"/>
  <c r="HJ49" i="7"/>
  <c r="HK49" i="7"/>
  <c r="HL49" i="7"/>
  <c r="HM49" i="7"/>
  <c r="HN49" i="7"/>
  <c r="HO49" i="7"/>
  <c r="HP49" i="7"/>
  <c r="HQ49" i="7"/>
  <c r="HR49" i="7"/>
  <c r="HS49" i="7"/>
  <c r="HT49" i="7"/>
  <c r="HU49" i="7"/>
  <c r="HV49" i="7"/>
  <c r="HW49" i="7"/>
  <c r="HX49" i="7"/>
  <c r="HY49" i="7"/>
  <c r="HZ49" i="7"/>
  <c r="IA49" i="7"/>
  <c r="IB49" i="7"/>
  <c r="IC49" i="7"/>
  <c r="ID49" i="7"/>
  <c r="IE49" i="7"/>
  <c r="IF49" i="7"/>
  <c r="IG49" i="7"/>
  <c r="IH49" i="7"/>
  <c r="II49" i="7"/>
  <c r="IJ49" i="7"/>
  <c r="IK49" i="7"/>
  <c r="IL49" i="7"/>
  <c r="IM49" i="7"/>
  <c r="IN49" i="7"/>
  <c r="IO49" i="7"/>
  <c r="IP49" i="7"/>
  <c r="IQ49" i="7"/>
  <c r="IR49" i="7"/>
  <c r="IS49" i="7"/>
  <c r="IT49" i="7"/>
  <c r="IU49" i="7"/>
  <c r="IV49" i="7"/>
  <c r="A50" i="7"/>
  <c r="B50" i="7"/>
  <c r="C50" i="7"/>
  <c r="D50" i="7"/>
  <c r="E50" i="7"/>
  <c r="F50" i="7"/>
  <c r="G50" i="7"/>
  <c r="H50" i="7"/>
  <c r="I50" i="7"/>
  <c r="J50" i="7"/>
  <c r="K50" i="7"/>
  <c r="L50" i="7"/>
  <c r="M50" i="7"/>
  <c r="N50" i="7"/>
  <c r="O50" i="7"/>
  <c r="P50" i="7"/>
  <c r="Q50" i="7"/>
  <c r="R50" i="7"/>
  <c r="S50" i="7"/>
  <c r="T50" i="7"/>
  <c r="U50" i="7"/>
  <c r="V50" i="7"/>
  <c r="W50" i="7"/>
  <c r="X50" i="7"/>
  <c r="Y50" i="7"/>
  <c r="Z50" i="7"/>
  <c r="AA50" i="7"/>
  <c r="AB50" i="7"/>
  <c r="AC50" i="7"/>
  <c r="AD50" i="7"/>
  <c r="AE50" i="7"/>
  <c r="AF50" i="7"/>
  <c r="AG50" i="7"/>
  <c r="AH50" i="7"/>
  <c r="AI50" i="7"/>
  <c r="AJ50" i="7"/>
  <c r="AK50" i="7"/>
  <c r="AL50" i="7"/>
  <c r="AM50" i="7"/>
  <c r="AN50" i="7"/>
  <c r="AO50" i="7"/>
  <c r="AP50" i="7"/>
  <c r="AQ50" i="7"/>
  <c r="AR50" i="7"/>
  <c r="AS50" i="7"/>
  <c r="AT50" i="7"/>
  <c r="AU50" i="7"/>
  <c r="AV50" i="7"/>
  <c r="AW50" i="7"/>
  <c r="AX50" i="7"/>
  <c r="AY50" i="7"/>
  <c r="AZ50" i="7"/>
  <c r="BA50" i="7"/>
  <c r="BB50" i="7"/>
  <c r="BC50" i="7"/>
  <c r="BD50" i="7"/>
  <c r="BE50" i="7"/>
  <c r="BF50" i="7"/>
  <c r="BG50" i="7"/>
  <c r="BH50" i="7"/>
  <c r="BI50" i="7"/>
  <c r="BJ50" i="7"/>
  <c r="BK50" i="7"/>
  <c r="BL50" i="7"/>
  <c r="BM50" i="7"/>
  <c r="BN50" i="7"/>
  <c r="BO50" i="7"/>
  <c r="BP50" i="7"/>
  <c r="BQ50" i="7"/>
  <c r="BR50" i="7"/>
  <c r="BS50" i="7"/>
  <c r="BT50" i="7"/>
  <c r="BU50" i="7"/>
  <c r="BV50" i="7"/>
  <c r="BW50" i="7"/>
  <c r="BX50" i="7"/>
  <c r="BY50" i="7"/>
  <c r="BZ50" i="7"/>
  <c r="CA50" i="7"/>
  <c r="CB50" i="7"/>
  <c r="CC50" i="7"/>
  <c r="CD50" i="7"/>
  <c r="CE50" i="7"/>
  <c r="CF50" i="7"/>
  <c r="CG50" i="7"/>
  <c r="CH50" i="7"/>
  <c r="CI50" i="7"/>
  <c r="CJ50" i="7"/>
  <c r="CK50" i="7"/>
  <c r="CL50" i="7"/>
  <c r="CM50" i="7"/>
  <c r="CN50" i="7"/>
  <c r="CO50" i="7"/>
  <c r="CP50" i="7"/>
  <c r="CQ50" i="7"/>
  <c r="CR50" i="7"/>
  <c r="CS50" i="7"/>
  <c r="CT50" i="7"/>
  <c r="CU50" i="7"/>
  <c r="CV50" i="7"/>
  <c r="CW50" i="7"/>
  <c r="CX50" i="7"/>
  <c r="CY50" i="7"/>
  <c r="CZ50" i="7"/>
  <c r="DA50" i="7"/>
  <c r="DB50" i="7"/>
  <c r="DC50" i="7"/>
  <c r="DD50" i="7"/>
  <c r="DE50" i="7"/>
  <c r="DF50" i="7"/>
  <c r="DG50" i="7"/>
  <c r="DH50" i="7"/>
  <c r="DI50" i="7"/>
  <c r="DJ50" i="7"/>
  <c r="DK50" i="7"/>
  <c r="DL50" i="7"/>
  <c r="DM50" i="7"/>
  <c r="DN50" i="7"/>
  <c r="DO50" i="7"/>
  <c r="DP50" i="7"/>
  <c r="DQ50" i="7"/>
  <c r="DR50" i="7"/>
  <c r="DS50" i="7"/>
  <c r="DT50" i="7"/>
  <c r="DU50" i="7"/>
  <c r="DV50" i="7"/>
  <c r="DW50" i="7"/>
  <c r="DX50" i="7"/>
  <c r="DY50" i="7"/>
  <c r="DZ50" i="7"/>
  <c r="EA50" i="7"/>
  <c r="EB50" i="7"/>
  <c r="EC50" i="7"/>
  <c r="ED50" i="7"/>
  <c r="EE50" i="7"/>
  <c r="EF50" i="7"/>
  <c r="EG50" i="7"/>
  <c r="EH50" i="7"/>
  <c r="EI50" i="7"/>
  <c r="EJ50" i="7"/>
  <c r="EK50" i="7"/>
  <c r="EL50" i="7"/>
  <c r="EM50" i="7"/>
  <c r="EN50" i="7"/>
  <c r="EO50" i="7"/>
  <c r="EP50" i="7"/>
  <c r="EQ50" i="7"/>
  <c r="ER50" i="7"/>
  <c r="ES50" i="7"/>
  <c r="ET50" i="7"/>
  <c r="EU50" i="7"/>
  <c r="EV50" i="7"/>
  <c r="EW50" i="7"/>
  <c r="EX50" i="7"/>
  <c r="EY50" i="7"/>
  <c r="EZ50" i="7"/>
  <c r="FA50" i="7"/>
  <c r="FB50" i="7"/>
  <c r="FC50" i="7"/>
  <c r="FD50" i="7"/>
  <c r="FE50" i="7"/>
  <c r="FF50" i="7"/>
  <c r="FG50" i="7"/>
  <c r="FH50" i="7"/>
  <c r="FI50" i="7"/>
  <c r="FJ50" i="7"/>
  <c r="FK50" i="7"/>
  <c r="FL50" i="7"/>
  <c r="FM50" i="7"/>
  <c r="FN50" i="7"/>
  <c r="FO50" i="7"/>
  <c r="FP50" i="7"/>
  <c r="FQ50" i="7"/>
  <c r="FR50" i="7"/>
  <c r="FS50" i="7"/>
  <c r="FT50" i="7"/>
  <c r="FU50" i="7"/>
  <c r="FV50" i="7"/>
  <c r="FW50" i="7"/>
  <c r="FX50" i="7"/>
  <c r="FY50" i="7"/>
  <c r="FZ50" i="7"/>
  <c r="GA50" i="7"/>
  <c r="GB50" i="7"/>
  <c r="GC50" i="7"/>
  <c r="GD50" i="7"/>
  <c r="GE50" i="7"/>
  <c r="GF50" i="7"/>
  <c r="GG50" i="7"/>
  <c r="GH50" i="7"/>
  <c r="GI50" i="7"/>
  <c r="GJ50" i="7"/>
  <c r="GK50" i="7"/>
  <c r="GL50" i="7"/>
  <c r="GM50" i="7"/>
  <c r="GN50" i="7"/>
  <c r="GO50" i="7"/>
  <c r="GP50" i="7"/>
  <c r="GQ50" i="7"/>
  <c r="GR50" i="7"/>
  <c r="GS50" i="7"/>
  <c r="GT50" i="7"/>
  <c r="GU50" i="7"/>
  <c r="GV50" i="7"/>
  <c r="GW50" i="7"/>
  <c r="GX50" i="7"/>
  <c r="GY50" i="7"/>
  <c r="GZ50" i="7"/>
  <c r="HA50" i="7"/>
  <c r="HB50" i="7"/>
  <c r="HC50" i="7"/>
  <c r="HD50" i="7"/>
  <c r="HE50" i="7"/>
  <c r="HF50" i="7"/>
  <c r="HG50" i="7"/>
  <c r="HH50" i="7"/>
  <c r="HI50" i="7"/>
  <c r="HJ50" i="7"/>
  <c r="HK50" i="7"/>
  <c r="HL50" i="7"/>
  <c r="HM50" i="7"/>
  <c r="HN50" i="7"/>
  <c r="HO50" i="7"/>
  <c r="HP50" i="7"/>
  <c r="HQ50" i="7"/>
  <c r="HR50" i="7"/>
  <c r="HS50" i="7"/>
  <c r="HT50" i="7"/>
  <c r="HU50" i="7"/>
  <c r="HV50" i="7"/>
  <c r="HW50" i="7"/>
  <c r="HX50" i="7"/>
  <c r="HY50" i="7"/>
  <c r="HZ50" i="7"/>
  <c r="IA50" i="7"/>
  <c r="IB50" i="7"/>
  <c r="IC50" i="7"/>
  <c r="ID50" i="7"/>
  <c r="IE50" i="7"/>
  <c r="IF50" i="7"/>
  <c r="IG50" i="7"/>
  <c r="IH50" i="7"/>
  <c r="II50" i="7"/>
  <c r="IJ50" i="7"/>
  <c r="IK50" i="7"/>
  <c r="IL50" i="7"/>
  <c r="IM50" i="7"/>
  <c r="IN50" i="7"/>
  <c r="IO50" i="7"/>
  <c r="IP50" i="7"/>
  <c r="IQ50" i="7"/>
  <c r="IR50" i="7"/>
  <c r="IS50" i="7"/>
  <c r="IT50" i="7"/>
  <c r="IU50" i="7"/>
  <c r="IV50" i="7"/>
  <c r="A51" i="7"/>
  <c r="B51" i="7"/>
  <c r="C51" i="7"/>
  <c r="D51" i="7"/>
  <c r="E51" i="7"/>
  <c r="F51" i="7"/>
  <c r="G51" i="7"/>
  <c r="H51" i="7"/>
  <c r="I51" i="7"/>
  <c r="J51" i="7"/>
  <c r="K51" i="7"/>
  <c r="L51" i="7"/>
  <c r="M51" i="7"/>
  <c r="N51" i="7"/>
  <c r="O51" i="7"/>
  <c r="P51" i="7"/>
  <c r="Q51" i="7"/>
  <c r="R51" i="7"/>
  <c r="S51" i="7"/>
  <c r="T51" i="7"/>
  <c r="U51" i="7"/>
  <c r="V51" i="7"/>
  <c r="W51" i="7"/>
  <c r="X51" i="7"/>
  <c r="Y51" i="7"/>
  <c r="Z51" i="7"/>
  <c r="AA51" i="7"/>
  <c r="AB51" i="7"/>
  <c r="AC51" i="7"/>
  <c r="AD51" i="7"/>
  <c r="AE51" i="7"/>
  <c r="AF51" i="7"/>
  <c r="AG51" i="7"/>
  <c r="AH51" i="7"/>
  <c r="AI51" i="7"/>
  <c r="AJ51" i="7"/>
  <c r="AK51" i="7"/>
  <c r="AL51" i="7"/>
  <c r="AM51" i="7"/>
  <c r="AN51" i="7"/>
  <c r="AO51" i="7"/>
  <c r="AP51" i="7"/>
  <c r="AQ51" i="7"/>
  <c r="AR51" i="7"/>
  <c r="AS51" i="7"/>
  <c r="AT51" i="7"/>
  <c r="AU51" i="7"/>
  <c r="AV51" i="7"/>
  <c r="AW51" i="7"/>
  <c r="AX51" i="7"/>
  <c r="AY51" i="7"/>
  <c r="AZ51" i="7"/>
  <c r="BA51" i="7"/>
  <c r="BB51" i="7"/>
  <c r="BC51" i="7"/>
  <c r="BD51" i="7"/>
  <c r="BE51" i="7"/>
  <c r="BF51" i="7"/>
  <c r="BG51" i="7"/>
  <c r="BH51" i="7"/>
  <c r="BI51" i="7"/>
  <c r="BJ51" i="7"/>
  <c r="BK51" i="7"/>
  <c r="BL51" i="7"/>
  <c r="BM51" i="7"/>
  <c r="BN51" i="7"/>
  <c r="BO51" i="7"/>
  <c r="BP51" i="7"/>
  <c r="BQ51" i="7"/>
  <c r="BR51" i="7"/>
  <c r="BS51" i="7"/>
  <c r="BT51" i="7"/>
  <c r="BU51" i="7"/>
  <c r="BV51" i="7"/>
  <c r="BW51" i="7"/>
  <c r="BX51" i="7"/>
  <c r="BY51" i="7"/>
  <c r="BZ51" i="7"/>
  <c r="CA51" i="7"/>
  <c r="CB51" i="7"/>
  <c r="CC51" i="7"/>
  <c r="CD51" i="7"/>
  <c r="CE51" i="7"/>
  <c r="CF51" i="7"/>
  <c r="CG51" i="7"/>
  <c r="CH51" i="7"/>
  <c r="CI51" i="7"/>
  <c r="CJ51" i="7"/>
  <c r="CK51" i="7"/>
  <c r="CL51" i="7"/>
  <c r="CM51" i="7"/>
  <c r="CN51" i="7"/>
  <c r="CO51" i="7"/>
  <c r="CP51" i="7"/>
  <c r="CQ51" i="7"/>
  <c r="CR51" i="7"/>
  <c r="CS51" i="7"/>
  <c r="CT51" i="7"/>
  <c r="CU51" i="7"/>
  <c r="CV51" i="7"/>
  <c r="CW51" i="7"/>
  <c r="CX51" i="7"/>
  <c r="CY51" i="7"/>
  <c r="CZ51" i="7"/>
  <c r="DA51" i="7"/>
  <c r="DB51" i="7"/>
  <c r="DC51" i="7"/>
  <c r="DD51" i="7"/>
  <c r="DE51" i="7"/>
  <c r="DF51" i="7"/>
  <c r="DG51" i="7"/>
  <c r="DH51" i="7"/>
  <c r="DI51" i="7"/>
  <c r="DJ51" i="7"/>
  <c r="DK51" i="7"/>
  <c r="DL51" i="7"/>
  <c r="DM51" i="7"/>
  <c r="DN51" i="7"/>
  <c r="DO51" i="7"/>
  <c r="DP51" i="7"/>
  <c r="DQ51" i="7"/>
  <c r="DR51" i="7"/>
  <c r="DS51" i="7"/>
  <c r="DT51" i="7"/>
  <c r="DU51" i="7"/>
  <c r="DV51" i="7"/>
  <c r="DW51" i="7"/>
  <c r="DX51" i="7"/>
  <c r="DY51" i="7"/>
  <c r="DZ51" i="7"/>
  <c r="EA51" i="7"/>
  <c r="EB51" i="7"/>
  <c r="EC51" i="7"/>
  <c r="ED51" i="7"/>
  <c r="EE51" i="7"/>
  <c r="EF51" i="7"/>
  <c r="EG51" i="7"/>
  <c r="EH51" i="7"/>
  <c r="EI51" i="7"/>
  <c r="EJ51" i="7"/>
  <c r="EK51" i="7"/>
  <c r="EL51" i="7"/>
  <c r="EM51" i="7"/>
  <c r="EN51" i="7"/>
  <c r="EO51" i="7"/>
  <c r="EP51" i="7"/>
  <c r="EQ51" i="7"/>
  <c r="ER51" i="7"/>
  <c r="ES51" i="7"/>
  <c r="ET51" i="7"/>
  <c r="EU51" i="7"/>
  <c r="EV51" i="7"/>
  <c r="EW51" i="7"/>
  <c r="EX51" i="7"/>
  <c r="EY51" i="7"/>
  <c r="EZ51" i="7"/>
  <c r="FA51" i="7"/>
  <c r="FB51" i="7"/>
  <c r="FC51" i="7"/>
  <c r="FD51" i="7"/>
  <c r="FE51" i="7"/>
  <c r="FF51" i="7"/>
  <c r="FG51" i="7"/>
  <c r="FH51" i="7"/>
  <c r="FI51" i="7"/>
  <c r="FJ51" i="7"/>
  <c r="FK51" i="7"/>
  <c r="FL51" i="7"/>
  <c r="FM51" i="7"/>
  <c r="FN51" i="7"/>
  <c r="FO51" i="7"/>
  <c r="FP51" i="7"/>
  <c r="FQ51" i="7"/>
  <c r="FR51" i="7"/>
  <c r="FS51" i="7"/>
  <c r="FT51" i="7"/>
  <c r="FU51" i="7"/>
  <c r="FV51" i="7"/>
  <c r="FW51" i="7"/>
  <c r="FX51" i="7"/>
  <c r="FY51" i="7"/>
  <c r="FZ51" i="7"/>
  <c r="GA51" i="7"/>
  <c r="GB51" i="7"/>
  <c r="GC51" i="7"/>
  <c r="GD51" i="7"/>
  <c r="GE51" i="7"/>
  <c r="GF51" i="7"/>
  <c r="GG51" i="7"/>
  <c r="GH51" i="7"/>
  <c r="GI51" i="7"/>
  <c r="GJ51" i="7"/>
  <c r="GK51" i="7"/>
  <c r="GL51" i="7"/>
  <c r="GM51" i="7"/>
  <c r="GN51" i="7"/>
  <c r="GO51" i="7"/>
  <c r="GP51" i="7"/>
  <c r="GQ51" i="7"/>
  <c r="GR51" i="7"/>
  <c r="GS51" i="7"/>
  <c r="GT51" i="7"/>
  <c r="GU51" i="7"/>
  <c r="GV51" i="7"/>
  <c r="GW51" i="7"/>
  <c r="GX51" i="7"/>
  <c r="GY51" i="7"/>
  <c r="GZ51" i="7"/>
  <c r="HA51" i="7"/>
  <c r="HB51" i="7"/>
  <c r="HC51" i="7"/>
  <c r="HD51" i="7"/>
  <c r="HE51" i="7"/>
  <c r="HF51" i="7"/>
  <c r="HG51" i="7"/>
  <c r="HH51" i="7"/>
  <c r="HI51" i="7"/>
  <c r="HJ51" i="7"/>
  <c r="HK51" i="7"/>
  <c r="HL51" i="7"/>
  <c r="HM51" i="7"/>
  <c r="HN51" i="7"/>
  <c r="HO51" i="7"/>
  <c r="HP51" i="7"/>
  <c r="HQ51" i="7"/>
  <c r="HR51" i="7"/>
  <c r="HS51" i="7"/>
  <c r="HT51" i="7"/>
  <c r="HU51" i="7"/>
  <c r="HV51" i="7"/>
  <c r="HW51" i="7"/>
  <c r="HX51" i="7"/>
  <c r="HY51" i="7"/>
  <c r="HZ51" i="7"/>
  <c r="IA51" i="7"/>
  <c r="IB51" i="7"/>
  <c r="IC51" i="7"/>
  <c r="ID51" i="7"/>
  <c r="IE51" i="7"/>
  <c r="IF51" i="7"/>
  <c r="IG51" i="7"/>
  <c r="IH51" i="7"/>
  <c r="II51" i="7"/>
  <c r="IJ51" i="7"/>
  <c r="IK51" i="7"/>
  <c r="IL51" i="7"/>
  <c r="IM51" i="7"/>
  <c r="IN51" i="7"/>
  <c r="IO51" i="7"/>
  <c r="IP51" i="7"/>
  <c r="IQ51" i="7"/>
  <c r="IR51" i="7"/>
  <c r="IS51" i="7"/>
  <c r="IT51" i="7"/>
  <c r="IU51" i="7"/>
  <c r="IV51" i="7"/>
  <c r="A52" i="7"/>
  <c r="B52" i="7"/>
  <c r="C52" i="7"/>
  <c r="D52" i="7"/>
  <c r="E52" i="7"/>
  <c r="F52" i="7"/>
  <c r="G52" i="7"/>
  <c r="H52" i="7"/>
  <c r="I52" i="7"/>
  <c r="J52" i="7"/>
  <c r="K52" i="7"/>
  <c r="L52" i="7"/>
  <c r="M52" i="7"/>
  <c r="N52" i="7"/>
  <c r="O52" i="7"/>
  <c r="P52" i="7"/>
  <c r="Q52" i="7"/>
  <c r="R52" i="7"/>
  <c r="S52" i="7"/>
  <c r="T52" i="7"/>
  <c r="U52" i="7"/>
  <c r="V52" i="7"/>
  <c r="W52" i="7"/>
  <c r="X52" i="7"/>
  <c r="Y52" i="7"/>
  <c r="Z52" i="7"/>
  <c r="AA52" i="7"/>
  <c r="AB52" i="7"/>
  <c r="AC52" i="7"/>
  <c r="AD52" i="7"/>
  <c r="AE52" i="7"/>
  <c r="AF52" i="7"/>
  <c r="AG52" i="7"/>
  <c r="AH52" i="7"/>
  <c r="AI52" i="7"/>
  <c r="AJ52" i="7"/>
  <c r="AK52" i="7"/>
  <c r="AL52" i="7"/>
  <c r="AM52" i="7"/>
  <c r="AN52" i="7"/>
  <c r="AO52" i="7"/>
  <c r="AP52" i="7"/>
  <c r="AQ52" i="7"/>
  <c r="AR52" i="7"/>
  <c r="AS52" i="7"/>
  <c r="AT52" i="7"/>
  <c r="AU52" i="7"/>
  <c r="AV52" i="7"/>
  <c r="AW52" i="7"/>
  <c r="AX52" i="7"/>
  <c r="AY52" i="7"/>
  <c r="AZ52" i="7"/>
  <c r="BA52" i="7"/>
  <c r="BB52" i="7"/>
  <c r="BC52" i="7"/>
  <c r="BD52" i="7"/>
  <c r="BE52" i="7"/>
  <c r="BF52" i="7"/>
  <c r="BG52" i="7"/>
  <c r="BH52" i="7"/>
  <c r="BI52" i="7"/>
  <c r="BJ52" i="7"/>
  <c r="BK52" i="7"/>
  <c r="BL52" i="7"/>
  <c r="BM52" i="7"/>
  <c r="BN52" i="7"/>
  <c r="BO52" i="7"/>
  <c r="BP52" i="7"/>
  <c r="BQ52" i="7"/>
  <c r="BR52" i="7"/>
  <c r="BS52" i="7"/>
  <c r="BT52" i="7"/>
  <c r="BU52" i="7"/>
  <c r="BV52" i="7"/>
  <c r="BW52" i="7"/>
  <c r="BX52" i="7"/>
  <c r="BY52" i="7"/>
  <c r="BZ52" i="7"/>
  <c r="CA52" i="7"/>
  <c r="CB52" i="7"/>
  <c r="CC52" i="7"/>
  <c r="CD52" i="7"/>
  <c r="CE52" i="7"/>
  <c r="CF52" i="7"/>
  <c r="CG52" i="7"/>
  <c r="CH52" i="7"/>
  <c r="CI52" i="7"/>
  <c r="CJ52" i="7"/>
  <c r="CK52" i="7"/>
  <c r="CL52" i="7"/>
  <c r="CM52" i="7"/>
  <c r="CN52" i="7"/>
  <c r="CO52" i="7"/>
  <c r="CP52" i="7"/>
  <c r="CQ52" i="7"/>
  <c r="CR52" i="7"/>
  <c r="CS52" i="7"/>
  <c r="CT52" i="7"/>
  <c r="CU52" i="7"/>
  <c r="CV52" i="7"/>
  <c r="CW52" i="7"/>
  <c r="CX52" i="7"/>
  <c r="CY52" i="7"/>
  <c r="CZ52" i="7"/>
  <c r="DA52" i="7"/>
  <c r="DB52" i="7"/>
  <c r="DC52" i="7"/>
  <c r="DD52" i="7"/>
  <c r="DE52" i="7"/>
  <c r="DF52" i="7"/>
  <c r="DG52" i="7"/>
  <c r="DH52" i="7"/>
  <c r="DI52" i="7"/>
  <c r="DJ52" i="7"/>
  <c r="DK52" i="7"/>
  <c r="DL52" i="7"/>
  <c r="DM52" i="7"/>
  <c r="DN52" i="7"/>
  <c r="DO52" i="7"/>
  <c r="DP52" i="7"/>
  <c r="DQ52" i="7"/>
  <c r="DR52" i="7"/>
  <c r="DS52" i="7"/>
  <c r="DT52" i="7"/>
  <c r="DU52" i="7"/>
  <c r="DV52" i="7"/>
  <c r="DW52" i="7"/>
  <c r="DX52" i="7"/>
  <c r="DY52" i="7"/>
  <c r="DZ52" i="7"/>
  <c r="EA52" i="7"/>
  <c r="EB52" i="7"/>
  <c r="EC52" i="7"/>
  <c r="ED52" i="7"/>
  <c r="EE52" i="7"/>
  <c r="EF52" i="7"/>
  <c r="EG52" i="7"/>
  <c r="EH52" i="7"/>
  <c r="EI52" i="7"/>
  <c r="EJ52" i="7"/>
  <c r="EK52" i="7"/>
  <c r="EL52" i="7"/>
  <c r="EM52" i="7"/>
  <c r="EN52" i="7"/>
  <c r="EO52" i="7"/>
  <c r="EP52" i="7"/>
  <c r="EQ52" i="7"/>
  <c r="ER52" i="7"/>
  <c r="ES52" i="7"/>
  <c r="ET52" i="7"/>
  <c r="EU52" i="7"/>
  <c r="EV52" i="7"/>
  <c r="EW52" i="7"/>
  <c r="EX52" i="7"/>
  <c r="EY52" i="7"/>
  <c r="EZ52" i="7"/>
  <c r="FA52" i="7"/>
  <c r="FB52" i="7"/>
  <c r="FC52" i="7"/>
  <c r="FD52" i="7"/>
  <c r="FE52" i="7"/>
  <c r="FF52" i="7"/>
  <c r="FG52" i="7"/>
  <c r="FH52" i="7"/>
  <c r="FI52" i="7"/>
  <c r="FJ52" i="7"/>
  <c r="FK52" i="7"/>
  <c r="FL52" i="7"/>
  <c r="FM52" i="7"/>
  <c r="FN52" i="7"/>
  <c r="FO52" i="7"/>
  <c r="FP52" i="7"/>
  <c r="FQ52" i="7"/>
  <c r="FR52" i="7"/>
  <c r="FS52" i="7"/>
  <c r="FT52" i="7"/>
  <c r="FU52" i="7"/>
  <c r="FV52" i="7"/>
  <c r="FW52" i="7"/>
  <c r="FX52" i="7"/>
  <c r="FY52" i="7"/>
  <c r="FZ52" i="7"/>
  <c r="GA52" i="7"/>
  <c r="GB52" i="7"/>
  <c r="GC52" i="7"/>
  <c r="GD52" i="7"/>
  <c r="GE52" i="7"/>
  <c r="GF52" i="7"/>
  <c r="GG52" i="7"/>
  <c r="GH52" i="7"/>
  <c r="GI52" i="7"/>
  <c r="GJ52" i="7"/>
  <c r="GK52" i="7"/>
  <c r="GL52" i="7"/>
  <c r="GM52" i="7"/>
  <c r="GN52" i="7"/>
  <c r="GO52" i="7"/>
  <c r="GP52" i="7"/>
  <c r="GQ52" i="7"/>
  <c r="GR52" i="7"/>
  <c r="GS52" i="7"/>
  <c r="GT52" i="7"/>
  <c r="GU52" i="7"/>
  <c r="GV52" i="7"/>
  <c r="GW52" i="7"/>
  <c r="GX52" i="7"/>
  <c r="GY52" i="7"/>
  <c r="GZ52" i="7"/>
  <c r="HA52" i="7"/>
  <c r="HB52" i="7"/>
  <c r="HC52" i="7"/>
  <c r="HD52" i="7"/>
  <c r="HE52" i="7"/>
  <c r="HF52" i="7"/>
  <c r="HG52" i="7"/>
  <c r="HH52" i="7"/>
  <c r="HI52" i="7"/>
  <c r="HJ52" i="7"/>
  <c r="HK52" i="7"/>
  <c r="HL52" i="7"/>
  <c r="HM52" i="7"/>
  <c r="HN52" i="7"/>
  <c r="HO52" i="7"/>
  <c r="HP52" i="7"/>
  <c r="HQ52" i="7"/>
  <c r="HR52" i="7"/>
  <c r="HS52" i="7"/>
  <c r="HT52" i="7"/>
  <c r="HU52" i="7"/>
  <c r="HV52" i="7"/>
  <c r="HW52" i="7"/>
  <c r="HX52" i="7"/>
  <c r="HY52" i="7"/>
  <c r="HZ52" i="7"/>
  <c r="IA52" i="7"/>
  <c r="IB52" i="7"/>
  <c r="IC52" i="7"/>
  <c r="ID52" i="7"/>
  <c r="IE52" i="7"/>
  <c r="IF52" i="7"/>
  <c r="IG52" i="7"/>
  <c r="IH52" i="7"/>
  <c r="II52" i="7"/>
  <c r="IJ52" i="7"/>
  <c r="IK52" i="7"/>
  <c r="IL52" i="7"/>
  <c r="IM52" i="7"/>
  <c r="IN52" i="7"/>
  <c r="IO52" i="7"/>
  <c r="IP52" i="7"/>
  <c r="IQ52" i="7"/>
  <c r="IR52" i="7"/>
  <c r="IS52" i="7"/>
  <c r="IT52" i="7"/>
  <c r="IU52" i="7"/>
  <c r="IV52" i="7"/>
  <c r="A53" i="7"/>
  <c r="B53" i="7"/>
  <c r="C53" i="7"/>
  <c r="D53" i="7"/>
  <c r="E53" i="7"/>
  <c r="F53" i="7"/>
  <c r="G53" i="7"/>
  <c r="H53" i="7"/>
  <c r="I53" i="7"/>
  <c r="J53" i="7"/>
  <c r="K53" i="7"/>
  <c r="L53" i="7"/>
  <c r="M53" i="7"/>
  <c r="N53" i="7"/>
  <c r="O53" i="7"/>
  <c r="P53" i="7"/>
  <c r="Q53" i="7"/>
  <c r="R53" i="7"/>
  <c r="S53" i="7"/>
  <c r="T53" i="7"/>
  <c r="U53" i="7"/>
  <c r="V53" i="7"/>
  <c r="W53" i="7"/>
  <c r="X53" i="7"/>
  <c r="Y53" i="7"/>
  <c r="Z53" i="7"/>
  <c r="AA53" i="7"/>
  <c r="AB53" i="7"/>
  <c r="AC53" i="7"/>
  <c r="AD53" i="7"/>
  <c r="AE53" i="7"/>
  <c r="AF53" i="7"/>
  <c r="AG53" i="7"/>
  <c r="AH53" i="7"/>
  <c r="AI53" i="7"/>
  <c r="AJ53" i="7"/>
  <c r="AK53" i="7"/>
  <c r="AL53" i="7"/>
  <c r="AM53" i="7"/>
  <c r="AN53" i="7"/>
  <c r="AO53" i="7"/>
  <c r="AP53" i="7"/>
  <c r="AQ53" i="7"/>
  <c r="AR53" i="7"/>
  <c r="AS53" i="7"/>
  <c r="AT53" i="7"/>
  <c r="AU53" i="7"/>
  <c r="AV53" i="7"/>
  <c r="AW53" i="7"/>
  <c r="AX53" i="7"/>
  <c r="AY53" i="7"/>
  <c r="AZ53" i="7"/>
  <c r="BA53" i="7"/>
  <c r="BB53" i="7"/>
  <c r="BC53" i="7"/>
  <c r="BD53" i="7"/>
  <c r="BE53" i="7"/>
  <c r="BF53" i="7"/>
  <c r="BG53" i="7"/>
  <c r="BH53" i="7"/>
  <c r="BI53" i="7"/>
  <c r="BJ53" i="7"/>
  <c r="BK53" i="7"/>
  <c r="BL53" i="7"/>
  <c r="BM53" i="7"/>
  <c r="BN53" i="7"/>
  <c r="BO53" i="7"/>
  <c r="BP53" i="7"/>
  <c r="BQ53" i="7"/>
  <c r="BR53" i="7"/>
  <c r="BS53" i="7"/>
  <c r="BT53" i="7"/>
  <c r="BU53" i="7"/>
  <c r="BV53" i="7"/>
  <c r="BW53" i="7"/>
  <c r="BX53" i="7"/>
  <c r="BY53" i="7"/>
  <c r="BZ53" i="7"/>
  <c r="CA53" i="7"/>
  <c r="CB53" i="7"/>
  <c r="CC53" i="7"/>
  <c r="CD53" i="7"/>
  <c r="CE53" i="7"/>
  <c r="CF53" i="7"/>
  <c r="CG53" i="7"/>
  <c r="CH53" i="7"/>
  <c r="CI53" i="7"/>
  <c r="CJ53" i="7"/>
  <c r="CK53" i="7"/>
  <c r="CL53" i="7"/>
  <c r="CM53" i="7"/>
  <c r="CN53" i="7"/>
  <c r="CO53" i="7"/>
  <c r="CP53" i="7"/>
  <c r="CQ53" i="7"/>
  <c r="CR53" i="7"/>
  <c r="CS53" i="7"/>
  <c r="CT53" i="7"/>
  <c r="CU53" i="7"/>
  <c r="CV53" i="7"/>
  <c r="CW53" i="7"/>
  <c r="CX53" i="7"/>
  <c r="CY53" i="7"/>
  <c r="CZ53" i="7"/>
  <c r="DA53" i="7"/>
  <c r="DB53" i="7"/>
  <c r="DC53" i="7"/>
  <c r="DD53" i="7"/>
  <c r="DE53" i="7"/>
  <c r="DF53" i="7"/>
  <c r="DG53" i="7"/>
  <c r="DH53" i="7"/>
  <c r="DI53" i="7"/>
  <c r="DJ53" i="7"/>
  <c r="DK53" i="7"/>
  <c r="DL53" i="7"/>
  <c r="DM53" i="7"/>
  <c r="DN53" i="7"/>
  <c r="DO53" i="7"/>
  <c r="DP53" i="7"/>
  <c r="DQ53" i="7"/>
  <c r="DR53" i="7"/>
  <c r="DS53" i="7"/>
  <c r="DT53" i="7"/>
  <c r="DU53" i="7"/>
  <c r="DV53" i="7"/>
  <c r="DW53" i="7"/>
  <c r="DX53" i="7"/>
  <c r="DY53" i="7"/>
  <c r="DZ53" i="7"/>
  <c r="EA53" i="7"/>
  <c r="EB53" i="7"/>
  <c r="EC53" i="7"/>
  <c r="ED53" i="7"/>
  <c r="EE53" i="7"/>
  <c r="EF53" i="7"/>
  <c r="EG53" i="7"/>
  <c r="EH53" i="7"/>
  <c r="EI53" i="7"/>
  <c r="EJ53" i="7"/>
  <c r="EK53" i="7"/>
  <c r="EL53" i="7"/>
  <c r="EM53" i="7"/>
  <c r="EN53" i="7"/>
  <c r="EO53" i="7"/>
  <c r="EP53" i="7"/>
  <c r="EQ53" i="7"/>
  <c r="ER53" i="7"/>
  <c r="ES53" i="7"/>
  <c r="ET53" i="7"/>
  <c r="EU53" i="7"/>
  <c r="EV53" i="7"/>
  <c r="EW53" i="7"/>
  <c r="EX53" i="7"/>
  <c r="EY53" i="7"/>
  <c r="EZ53" i="7"/>
  <c r="FA53" i="7"/>
  <c r="FB53" i="7"/>
  <c r="FC53" i="7"/>
  <c r="FD53" i="7"/>
  <c r="FE53" i="7"/>
  <c r="FF53" i="7"/>
  <c r="FG53" i="7"/>
  <c r="FH53" i="7"/>
  <c r="FI53" i="7"/>
  <c r="FJ53" i="7"/>
  <c r="FK53" i="7"/>
  <c r="FL53" i="7"/>
  <c r="FM53" i="7"/>
  <c r="FN53" i="7"/>
  <c r="FO53" i="7"/>
  <c r="FP53" i="7"/>
  <c r="FQ53" i="7"/>
  <c r="FR53" i="7"/>
  <c r="FS53" i="7"/>
  <c r="FT53" i="7"/>
  <c r="FU53" i="7"/>
  <c r="FV53" i="7"/>
  <c r="FW53" i="7"/>
  <c r="FX53" i="7"/>
  <c r="FY53" i="7"/>
  <c r="FZ53" i="7"/>
  <c r="GA53" i="7"/>
  <c r="GB53" i="7"/>
  <c r="GC53" i="7"/>
  <c r="GD53" i="7"/>
  <c r="GE53" i="7"/>
  <c r="GF53" i="7"/>
  <c r="GG53" i="7"/>
  <c r="GH53" i="7"/>
  <c r="GI53" i="7"/>
  <c r="GJ53" i="7"/>
  <c r="GK53" i="7"/>
  <c r="GL53" i="7"/>
  <c r="GM53" i="7"/>
  <c r="GN53" i="7"/>
  <c r="GO53" i="7"/>
  <c r="GP53" i="7"/>
  <c r="GQ53" i="7"/>
  <c r="GR53" i="7"/>
  <c r="GS53" i="7"/>
  <c r="GT53" i="7"/>
  <c r="GU53" i="7"/>
  <c r="GV53" i="7"/>
  <c r="GW53" i="7"/>
  <c r="GX53" i="7"/>
  <c r="GY53" i="7"/>
  <c r="GZ53" i="7"/>
  <c r="HA53" i="7"/>
  <c r="HB53" i="7"/>
  <c r="HC53" i="7"/>
  <c r="HD53" i="7"/>
  <c r="HE53" i="7"/>
  <c r="HF53" i="7"/>
  <c r="HG53" i="7"/>
  <c r="HH53" i="7"/>
  <c r="HI53" i="7"/>
  <c r="HJ53" i="7"/>
  <c r="HK53" i="7"/>
  <c r="HL53" i="7"/>
  <c r="HM53" i="7"/>
  <c r="HN53" i="7"/>
  <c r="HO53" i="7"/>
  <c r="HP53" i="7"/>
  <c r="HQ53" i="7"/>
  <c r="HR53" i="7"/>
  <c r="HS53" i="7"/>
  <c r="HT53" i="7"/>
  <c r="HU53" i="7"/>
  <c r="HV53" i="7"/>
  <c r="HW53" i="7"/>
  <c r="HX53" i="7"/>
  <c r="HY53" i="7"/>
  <c r="HZ53" i="7"/>
  <c r="IA53" i="7"/>
  <c r="IB53" i="7"/>
  <c r="IC53" i="7"/>
  <c r="ID53" i="7"/>
  <c r="IE53" i="7"/>
  <c r="IF53" i="7"/>
  <c r="IG53" i="7"/>
  <c r="IH53" i="7"/>
  <c r="II53" i="7"/>
  <c r="IJ53" i="7"/>
  <c r="IK53" i="7"/>
  <c r="IL53" i="7"/>
  <c r="IM53" i="7"/>
  <c r="IN53" i="7"/>
  <c r="IO53" i="7"/>
  <c r="IP53" i="7"/>
  <c r="IQ53" i="7"/>
  <c r="IR53" i="7"/>
  <c r="IS53" i="7"/>
  <c r="IT53" i="7"/>
  <c r="IU53" i="7"/>
  <c r="IV53" i="7"/>
  <c r="A54" i="7"/>
  <c r="B54" i="7"/>
  <c r="C54" i="7"/>
  <c r="D54" i="7"/>
  <c r="E54" i="7"/>
  <c r="F54" i="7"/>
  <c r="G54" i="7"/>
  <c r="H54" i="7"/>
  <c r="I54" i="7"/>
  <c r="J54" i="7"/>
  <c r="K54" i="7"/>
  <c r="L54" i="7"/>
  <c r="M54" i="7"/>
  <c r="N54" i="7"/>
  <c r="O54" i="7"/>
  <c r="P54" i="7"/>
  <c r="Q54" i="7"/>
  <c r="R54" i="7"/>
  <c r="S54" i="7"/>
  <c r="T54" i="7"/>
  <c r="U54" i="7"/>
  <c r="V54" i="7"/>
  <c r="W54" i="7"/>
  <c r="X54" i="7"/>
  <c r="Y54" i="7"/>
  <c r="Z54" i="7"/>
  <c r="AA54" i="7"/>
  <c r="AB54" i="7"/>
  <c r="AC54" i="7"/>
  <c r="AD54" i="7"/>
  <c r="AE54" i="7"/>
  <c r="AF54" i="7"/>
  <c r="AG54" i="7"/>
  <c r="AH54" i="7"/>
  <c r="AI54" i="7"/>
  <c r="AJ54" i="7"/>
  <c r="AK54" i="7"/>
  <c r="AL54" i="7"/>
  <c r="AM54" i="7"/>
  <c r="AN54" i="7"/>
  <c r="AO54" i="7"/>
  <c r="AP54" i="7"/>
  <c r="AQ54" i="7"/>
  <c r="AR54" i="7"/>
  <c r="AS54" i="7"/>
  <c r="AT54" i="7"/>
  <c r="AU54" i="7"/>
  <c r="AV54" i="7"/>
  <c r="AW54" i="7"/>
  <c r="AX54" i="7"/>
  <c r="AY54" i="7"/>
  <c r="AZ54" i="7"/>
  <c r="BA54" i="7"/>
  <c r="BB54" i="7"/>
  <c r="BC54" i="7"/>
  <c r="BD54" i="7"/>
  <c r="BE54" i="7"/>
  <c r="BF54" i="7"/>
  <c r="BG54" i="7"/>
  <c r="BH54" i="7"/>
  <c r="BI54" i="7"/>
  <c r="BJ54" i="7"/>
  <c r="BK54" i="7"/>
  <c r="BL54" i="7"/>
  <c r="BM54" i="7"/>
  <c r="BN54" i="7"/>
  <c r="BO54" i="7"/>
  <c r="BP54" i="7"/>
  <c r="BQ54" i="7"/>
  <c r="BR54" i="7"/>
  <c r="BS54" i="7"/>
  <c r="BT54" i="7"/>
  <c r="BU54" i="7"/>
  <c r="BV54" i="7"/>
  <c r="BW54" i="7"/>
  <c r="BX54" i="7"/>
  <c r="BY54" i="7"/>
  <c r="BZ54" i="7"/>
  <c r="CA54" i="7"/>
  <c r="CB54" i="7"/>
  <c r="CC54" i="7"/>
  <c r="CD54" i="7"/>
  <c r="CE54" i="7"/>
  <c r="CF54" i="7"/>
  <c r="CG54" i="7"/>
  <c r="CH54" i="7"/>
  <c r="CI54" i="7"/>
  <c r="CJ54" i="7"/>
  <c r="CK54" i="7"/>
  <c r="CL54" i="7"/>
  <c r="CM54" i="7"/>
  <c r="CN54" i="7"/>
  <c r="CO54" i="7"/>
  <c r="CP54" i="7"/>
  <c r="CQ54" i="7"/>
  <c r="CR54" i="7"/>
  <c r="CS54" i="7"/>
  <c r="CT54" i="7"/>
  <c r="CU54" i="7"/>
  <c r="CV54" i="7"/>
  <c r="CW54" i="7"/>
  <c r="CX54" i="7"/>
  <c r="CY54" i="7"/>
  <c r="CZ54" i="7"/>
  <c r="DA54" i="7"/>
  <c r="DB54" i="7"/>
  <c r="DC54" i="7"/>
  <c r="DD54" i="7"/>
  <c r="DE54" i="7"/>
  <c r="DF54" i="7"/>
  <c r="DG54" i="7"/>
  <c r="DH54" i="7"/>
  <c r="DI54" i="7"/>
  <c r="DJ54" i="7"/>
  <c r="DK54" i="7"/>
  <c r="DL54" i="7"/>
  <c r="DM54" i="7"/>
  <c r="DN54" i="7"/>
  <c r="DO54" i="7"/>
  <c r="DP54" i="7"/>
  <c r="DQ54" i="7"/>
  <c r="DR54" i="7"/>
  <c r="DS54" i="7"/>
  <c r="DT54" i="7"/>
  <c r="DU54" i="7"/>
  <c r="DV54" i="7"/>
  <c r="DW54" i="7"/>
  <c r="DX54" i="7"/>
  <c r="DY54" i="7"/>
  <c r="DZ54" i="7"/>
  <c r="EA54" i="7"/>
  <c r="EB54" i="7"/>
  <c r="EC54" i="7"/>
  <c r="ED54" i="7"/>
  <c r="EE54" i="7"/>
  <c r="EF54" i="7"/>
  <c r="EG54" i="7"/>
  <c r="EH54" i="7"/>
  <c r="EI54" i="7"/>
  <c r="EJ54" i="7"/>
  <c r="EK54" i="7"/>
  <c r="EL54" i="7"/>
  <c r="EM54" i="7"/>
  <c r="EN54" i="7"/>
  <c r="EO54" i="7"/>
  <c r="EP54" i="7"/>
  <c r="EQ54" i="7"/>
  <c r="ER54" i="7"/>
  <c r="ES54" i="7"/>
  <c r="ET54" i="7"/>
  <c r="EU54" i="7"/>
  <c r="EV54" i="7"/>
  <c r="EW54" i="7"/>
  <c r="EX54" i="7"/>
  <c r="EY54" i="7"/>
  <c r="EZ54" i="7"/>
  <c r="FA54" i="7"/>
  <c r="FB54" i="7"/>
  <c r="FC54" i="7"/>
  <c r="FD54" i="7"/>
  <c r="FE54" i="7"/>
  <c r="FF54" i="7"/>
  <c r="FG54" i="7"/>
  <c r="FH54" i="7"/>
  <c r="FI54" i="7"/>
  <c r="FJ54" i="7"/>
  <c r="FK54" i="7"/>
  <c r="FL54" i="7"/>
  <c r="FM54" i="7"/>
  <c r="FN54" i="7"/>
  <c r="FO54" i="7"/>
  <c r="FP54" i="7"/>
  <c r="FQ54" i="7"/>
  <c r="FR54" i="7"/>
  <c r="FS54" i="7"/>
  <c r="FT54" i="7"/>
  <c r="FU54" i="7"/>
  <c r="FV54" i="7"/>
  <c r="FW54" i="7"/>
  <c r="FX54" i="7"/>
  <c r="FY54" i="7"/>
  <c r="FZ54" i="7"/>
  <c r="GA54" i="7"/>
  <c r="GB54" i="7"/>
  <c r="GC54" i="7"/>
  <c r="GD54" i="7"/>
  <c r="GE54" i="7"/>
  <c r="GF54" i="7"/>
  <c r="GG54" i="7"/>
  <c r="GH54" i="7"/>
  <c r="GI54" i="7"/>
  <c r="GJ54" i="7"/>
  <c r="GK54" i="7"/>
  <c r="GL54" i="7"/>
  <c r="GM54" i="7"/>
  <c r="GN54" i="7"/>
  <c r="GO54" i="7"/>
  <c r="GP54" i="7"/>
  <c r="GQ54" i="7"/>
  <c r="GR54" i="7"/>
  <c r="GS54" i="7"/>
  <c r="GT54" i="7"/>
  <c r="GU54" i="7"/>
  <c r="GV54" i="7"/>
  <c r="GW54" i="7"/>
  <c r="GX54" i="7"/>
  <c r="GY54" i="7"/>
  <c r="GZ54" i="7"/>
  <c r="HA54" i="7"/>
  <c r="HB54" i="7"/>
  <c r="HC54" i="7"/>
  <c r="HD54" i="7"/>
  <c r="HE54" i="7"/>
  <c r="HF54" i="7"/>
  <c r="HG54" i="7"/>
  <c r="HH54" i="7"/>
  <c r="HI54" i="7"/>
  <c r="HJ54" i="7"/>
  <c r="HK54" i="7"/>
  <c r="HL54" i="7"/>
  <c r="HM54" i="7"/>
  <c r="HN54" i="7"/>
  <c r="HO54" i="7"/>
  <c r="HP54" i="7"/>
  <c r="HQ54" i="7"/>
  <c r="HR54" i="7"/>
  <c r="HS54" i="7"/>
  <c r="HT54" i="7"/>
  <c r="HU54" i="7"/>
  <c r="HV54" i="7"/>
  <c r="HW54" i="7"/>
  <c r="HX54" i="7"/>
  <c r="HY54" i="7"/>
  <c r="HZ54" i="7"/>
  <c r="IA54" i="7"/>
  <c r="IB54" i="7"/>
  <c r="IC54" i="7"/>
  <c r="ID54" i="7"/>
  <c r="IE54" i="7"/>
  <c r="IF54" i="7"/>
  <c r="IG54" i="7"/>
  <c r="IH54" i="7"/>
  <c r="II54" i="7"/>
  <c r="IJ54" i="7"/>
  <c r="IK54" i="7"/>
  <c r="IL54" i="7"/>
  <c r="IM54" i="7"/>
  <c r="IN54" i="7"/>
  <c r="IO54" i="7"/>
  <c r="IP54" i="7"/>
  <c r="IQ54" i="7"/>
  <c r="IR54" i="7"/>
  <c r="IS54" i="7"/>
  <c r="IT54" i="7"/>
  <c r="IU54" i="7"/>
  <c r="IV54" i="7"/>
  <c r="A55" i="7"/>
  <c r="B55" i="7"/>
  <c r="C55" i="7"/>
  <c r="D55" i="7"/>
  <c r="E55" i="7"/>
  <c r="F55" i="7"/>
  <c r="G55" i="7"/>
  <c r="H55" i="7"/>
  <c r="I55" i="7"/>
  <c r="J55" i="7"/>
  <c r="K55" i="7"/>
  <c r="L55" i="7"/>
  <c r="M55" i="7"/>
  <c r="N55" i="7"/>
  <c r="O55" i="7"/>
  <c r="P55" i="7"/>
  <c r="Q55" i="7"/>
  <c r="R55" i="7"/>
  <c r="S55" i="7"/>
  <c r="T55" i="7"/>
  <c r="U55" i="7"/>
  <c r="V55" i="7"/>
  <c r="W55" i="7"/>
  <c r="X55" i="7"/>
  <c r="Y55" i="7"/>
  <c r="Z55" i="7"/>
  <c r="AA55" i="7"/>
  <c r="AB55" i="7"/>
  <c r="AC55" i="7"/>
  <c r="AD55" i="7"/>
  <c r="AE55" i="7"/>
  <c r="AF55" i="7"/>
  <c r="AG55" i="7"/>
  <c r="AH55" i="7"/>
  <c r="AI55" i="7"/>
  <c r="AJ55" i="7"/>
  <c r="AK55" i="7"/>
  <c r="AL55" i="7"/>
  <c r="AM55" i="7"/>
  <c r="AN55" i="7"/>
  <c r="AO55" i="7"/>
  <c r="AP55" i="7"/>
  <c r="AQ55" i="7"/>
  <c r="AR55" i="7"/>
  <c r="AS55" i="7"/>
  <c r="AT55" i="7"/>
  <c r="AU55" i="7"/>
  <c r="AV55" i="7"/>
  <c r="AW55" i="7"/>
  <c r="AX55" i="7"/>
  <c r="AY55" i="7"/>
  <c r="AZ55" i="7"/>
  <c r="BA55" i="7"/>
  <c r="BB55" i="7"/>
  <c r="BC55" i="7"/>
  <c r="BD55" i="7"/>
  <c r="BE55" i="7"/>
  <c r="BF55" i="7"/>
  <c r="BG55" i="7"/>
  <c r="BH55" i="7"/>
  <c r="BI55" i="7"/>
  <c r="BJ55" i="7"/>
  <c r="BK55" i="7"/>
  <c r="BL55" i="7"/>
  <c r="BM55" i="7"/>
  <c r="BN55" i="7"/>
  <c r="BO55" i="7"/>
  <c r="BP55" i="7"/>
  <c r="BQ55" i="7"/>
  <c r="BR55" i="7"/>
  <c r="BS55" i="7"/>
  <c r="BT55" i="7"/>
  <c r="BU55" i="7"/>
  <c r="BV55" i="7"/>
  <c r="BW55" i="7"/>
  <c r="BX55" i="7"/>
  <c r="BY55" i="7"/>
  <c r="BZ55" i="7"/>
  <c r="CA55" i="7"/>
  <c r="CB55" i="7"/>
  <c r="CC55" i="7"/>
  <c r="CD55" i="7"/>
  <c r="CE55" i="7"/>
  <c r="CF55" i="7"/>
  <c r="CG55" i="7"/>
  <c r="CH55" i="7"/>
  <c r="CI55" i="7"/>
  <c r="CJ55" i="7"/>
  <c r="CK55" i="7"/>
  <c r="CL55" i="7"/>
  <c r="CM55" i="7"/>
  <c r="CN55" i="7"/>
  <c r="CO55" i="7"/>
  <c r="CP55" i="7"/>
  <c r="CQ55" i="7"/>
  <c r="CR55" i="7"/>
  <c r="CS55" i="7"/>
  <c r="CT55" i="7"/>
  <c r="CU55" i="7"/>
  <c r="CV55" i="7"/>
  <c r="CW55" i="7"/>
  <c r="CX55" i="7"/>
  <c r="CY55" i="7"/>
  <c r="CZ55" i="7"/>
  <c r="DA55" i="7"/>
  <c r="DB55" i="7"/>
  <c r="DC55" i="7"/>
  <c r="DD55" i="7"/>
  <c r="DE55" i="7"/>
  <c r="DF55" i="7"/>
  <c r="DG55" i="7"/>
  <c r="DH55" i="7"/>
  <c r="DI55" i="7"/>
  <c r="DJ55" i="7"/>
  <c r="DK55" i="7"/>
  <c r="DL55" i="7"/>
  <c r="DM55" i="7"/>
  <c r="DN55" i="7"/>
  <c r="DO55" i="7"/>
  <c r="DP55" i="7"/>
  <c r="DQ55" i="7"/>
  <c r="DR55" i="7"/>
  <c r="DS55" i="7"/>
  <c r="DT55" i="7"/>
  <c r="DU55" i="7"/>
  <c r="DV55" i="7"/>
  <c r="DW55" i="7"/>
  <c r="DX55" i="7"/>
  <c r="DY55" i="7"/>
  <c r="DZ55" i="7"/>
  <c r="EA55" i="7"/>
  <c r="EB55" i="7"/>
  <c r="EC55" i="7"/>
  <c r="ED55" i="7"/>
  <c r="EE55" i="7"/>
  <c r="EF55" i="7"/>
  <c r="EG55" i="7"/>
  <c r="EH55" i="7"/>
  <c r="EI55" i="7"/>
  <c r="EJ55" i="7"/>
  <c r="EK55" i="7"/>
  <c r="EL55" i="7"/>
  <c r="EM55" i="7"/>
  <c r="EN55" i="7"/>
  <c r="EO55" i="7"/>
  <c r="EP55" i="7"/>
  <c r="EQ55" i="7"/>
  <c r="ER55" i="7"/>
  <c r="ES55" i="7"/>
  <c r="ET55" i="7"/>
  <c r="EU55" i="7"/>
  <c r="EV55" i="7"/>
  <c r="EW55" i="7"/>
  <c r="EX55" i="7"/>
  <c r="EY55" i="7"/>
  <c r="EZ55" i="7"/>
  <c r="FA55" i="7"/>
  <c r="FB55" i="7"/>
  <c r="FC55" i="7"/>
  <c r="FD55" i="7"/>
  <c r="FE55" i="7"/>
  <c r="FF55" i="7"/>
  <c r="FG55" i="7"/>
  <c r="FH55" i="7"/>
  <c r="FI55" i="7"/>
  <c r="FJ55" i="7"/>
  <c r="FK55" i="7"/>
  <c r="FL55" i="7"/>
  <c r="FM55" i="7"/>
  <c r="FN55" i="7"/>
  <c r="FO55" i="7"/>
  <c r="FP55" i="7"/>
  <c r="FQ55" i="7"/>
  <c r="FR55" i="7"/>
  <c r="FS55" i="7"/>
  <c r="FT55" i="7"/>
  <c r="FU55" i="7"/>
  <c r="FV55" i="7"/>
  <c r="FW55" i="7"/>
  <c r="FX55" i="7"/>
  <c r="FY55" i="7"/>
  <c r="FZ55" i="7"/>
  <c r="GA55" i="7"/>
  <c r="GB55" i="7"/>
  <c r="GC55" i="7"/>
  <c r="GD55" i="7"/>
  <c r="GE55" i="7"/>
  <c r="GF55" i="7"/>
  <c r="GG55" i="7"/>
  <c r="GH55" i="7"/>
  <c r="GI55" i="7"/>
  <c r="GJ55" i="7"/>
  <c r="GK55" i="7"/>
  <c r="GL55" i="7"/>
  <c r="GM55" i="7"/>
  <c r="GN55" i="7"/>
  <c r="GO55" i="7"/>
  <c r="GP55" i="7"/>
  <c r="GQ55" i="7"/>
  <c r="GR55" i="7"/>
  <c r="GS55" i="7"/>
  <c r="GT55" i="7"/>
  <c r="GU55" i="7"/>
  <c r="GV55" i="7"/>
  <c r="GW55" i="7"/>
  <c r="GX55" i="7"/>
  <c r="GY55" i="7"/>
  <c r="GZ55" i="7"/>
  <c r="HA55" i="7"/>
  <c r="HB55" i="7"/>
  <c r="HC55" i="7"/>
  <c r="HD55" i="7"/>
  <c r="HE55" i="7"/>
  <c r="HF55" i="7"/>
  <c r="HG55" i="7"/>
  <c r="HH55" i="7"/>
  <c r="HI55" i="7"/>
  <c r="HJ55" i="7"/>
  <c r="HK55" i="7"/>
  <c r="HL55" i="7"/>
  <c r="HM55" i="7"/>
  <c r="HN55" i="7"/>
  <c r="HO55" i="7"/>
  <c r="HP55" i="7"/>
  <c r="HQ55" i="7"/>
  <c r="HR55" i="7"/>
  <c r="HS55" i="7"/>
  <c r="HT55" i="7"/>
  <c r="HU55" i="7"/>
  <c r="HV55" i="7"/>
  <c r="HW55" i="7"/>
  <c r="HX55" i="7"/>
  <c r="HY55" i="7"/>
  <c r="HZ55" i="7"/>
  <c r="IA55" i="7"/>
  <c r="IB55" i="7"/>
  <c r="IC55" i="7"/>
  <c r="ID55" i="7"/>
  <c r="IE55" i="7"/>
  <c r="IF55" i="7"/>
  <c r="IG55" i="7"/>
  <c r="IH55" i="7"/>
  <c r="II55" i="7"/>
  <c r="IJ55" i="7"/>
  <c r="IK55" i="7"/>
  <c r="IL55" i="7"/>
  <c r="IM55" i="7"/>
  <c r="IN55" i="7"/>
  <c r="IO55" i="7"/>
  <c r="IP55" i="7"/>
  <c r="IQ55" i="7"/>
  <c r="IR55" i="7"/>
  <c r="IS55" i="7"/>
  <c r="IT55" i="7"/>
  <c r="IU55" i="7"/>
  <c r="IV55" i="7"/>
  <c r="A56" i="7"/>
  <c r="B56" i="7"/>
  <c r="C56" i="7"/>
  <c r="D56" i="7"/>
  <c r="E56" i="7"/>
  <c r="F56" i="7"/>
  <c r="G56" i="7"/>
  <c r="H56" i="7"/>
  <c r="I56" i="7"/>
  <c r="J56" i="7"/>
  <c r="K56" i="7"/>
  <c r="L56" i="7"/>
  <c r="M56" i="7"/>
  <c r="N56" i="7"/>
  <c r="O56" i="7"/>
  <c r="P56" i="7"/>
  <c r="Q56" i="7"/>
  <c r="R56" i="7"/>
  <c r="S56" i="7"/>
  <c r="T56" i="7"/>
  <c r="U56" i="7"/>
  <c r="V56" i="7"/>
  <c r="W56" i="7"/>
  <c r="X56" i="7"/>
  <c r="Y56" i="7"/>
  <c r="Z56" i="7"/>
  <c r="AA56" i="7"/>
  <c r="AB56" i="7"/>
  <c r="AC56" i="7"/>
  <c r="AD56" i="7"/>
  <c r="AE56" i="7"/>
  <c r="AF56" i="7"/>
  <c r="AG56" i="7"/>
  <c r="AH56" i="7"/>
  <c r="AI56" i="7"/>
  <c r="AJ56" i="7"/>
  <c r="AK56" i="7"/>
  <c r="AL56" i="7"/>
  <c r="AM56" i="7"/>
  <c r="AN56" i="7"/>
  <c r="AO56" i="7"/>
  <c r="AP56" i="7"/>
  <c r="AQ56" i="7"/>
  <c r="AR56" i="7"/>
  <c r="AS56" i="7"/>
  <c r="AT56" i="7"/>
  <c r="AU56" i="7"/>
  <c r="AV56" i="7"/>
  <c r="AW56" i="7"/>
  <c r="AX56" i="7"/>
  <c r="AY56" i="7"/>
  <c r="AZ56" i="7"/>
  <c r="BA56" i="7"/>
  <c r="BB56" i="7"/>
  <c r="BC56" i="7"/>
  <c r="BD56" i="7"/>
  <c r="BE56" i="7"/>
  <c r="BF56" i="7"/>
  <c r="BG56" i="7"/>
  <c r="BH56" i="7"/>
  <c r="BI56" i="7"/>
  <c r="BJ56" i="7"/>
  <c r="BK56" i="7"/>
  <c r="BL56" i="7"/>
  <c r="BM56" i="7"/>
  <c r="BN56" i="7"/>
  <c r="BO56" i="7"/>
  <c r="BP56" i="7"/>
  <c r="BQ56" i="7"/>
  <c r="BR56" i="7"/>
  <c r="BS56" i="7"/>
  <c r="BT56" i="7"/>
  <c r="BU56" i="7"/>
  <c r="BV56" i="7"/>
  <c r="BW56" i="7"/>
  <c r="BX56" i="7"/>
  <c r="BY56" i="7"/>
  <c r="BZ56" i="7"/>
  <c r="CA56" i="7"/>
  <c r="CB56" i="7"/>
  <c r="CC56" i="7"/>
  <c r="CD56" i="7"/>
  <c r="CE56" i="7"/>
  <c r="CF56" i="7"/>
  <c r="CG56" i="7"/>
  <c r="CH56" i="7"/>
  <c r="CI56" i="7"/>
  <c r="CJ56" i="7"/>
  <c r="CK56" i="7"/>
  <c r="CL56" i="7"/>
  <c r="CM56" i="7"/>
  <c r="CN56" i="7"/>
  <c r="CO56" i="7"/>
  <c r="CP56" i="7"/>
  <c r="CQ56" i="7"/>
  <c r="CR56" i="7"/>
  <c r="CS56" i="7"/>
  <c r="CT56" i="7"/>
  <c r="CU56" i="7"/>
  <c r="CV56" i="7"/>
  <c r="CW56" i="7"/>
  <c r="CX56" i="7"/>
  <c r="CY56" i="7"/>
  <c r="CZ56" i="7"/>
  <c r="DA56" i="7"/>
  <c r="DB56" i="7"/>
  <c r="DC56" i="7"/>
  <c r="DD56" i="7"/>
  <c r="DE56" i="7"/>
  <c r="DF56" i="7"/>
  <c r="DG56" i="7"/>
  <c r="DH56" i="7"/>
  <c r="DI56" i="7"/>
  <c r="DJ56" i="7"/>
  <c r="DK56" i="7"/>
  <c r="DL56" i="7"/>
  <c r="DM56" i="7"/>
  <c r="DN56" i="7"/>
  <c r="DO56" i="7"/>
  <c r="DP56" i="7"/>
  <c r="DQ56" i="7"/>
  <c r="DR56" i="7"/>
  <c r="DS56" i="7"/>
  <c r="DT56" i="7"/>
  <c r="DU56" i="7"/>
  <c r="DV56" i="7"/>
  <c r="DW56" i="7"/>
  <c r="DX56" i="7"/>
  <c r="DY56" i="7"/>
  <c r="DZ56" i="7"/>
  <c r="EA56" i="7"/>
  <c r="EB56" i="7"/>
  <c r="EC56" i="7"/>
  <c r="ED56" i="7"/>
  <c r="EE56" i="7"/>
  <c r="EF56" i="7"/>
  <c r="EG56" i="7"/>
  <c r="EH56" i="7"/>
  <c r="EI56" i="7"/>
  <c r="EJ56" i="7"/>
  <c r="EK56" i="7"/>
  <c r="EL56" i="7"/>
  <c r="EM56" i="7"/>
  <c r="EN56" i="7"/>
  <c r="EO56" i="7"/>
  <c r="EP56" i="7"/>
  <c r="EQ56" i="7"/>
  <c r="ER56" i="7"/>
  <c r="ES56" i="7"/>
  <c r="ET56" i="7"/>
  <c r="EU56" i="7"/>
  <c r="EV56" i="7"/>
  <c r="EW56" i="7"/>
  <c r="EX56" i="7"/>
  <c r="EY56" i="7"/>
  <c r="EZ56" i="7"/>
  <c r="FA56" i="7"/>
  <c r="FB56" i="7"/>
  <c r="FC56" i="7"/>
  <c r="FD56" i="7"/>
  <c r="FE56" i="7"/>
  <c r="FF56" i="7"/>
  <c r="FG56" i="7"/>
  <c r="FH56" i="7"/>
  <c r="FI56" i="7"/>
  <c r="FJ56" i="7"/>
  <c r="FK56" i="7"/>
  <c r="FL56" i="7"/>
  <c r="FM56" i="7"/>
  <c r="FN56" i="7"/>
  <c r="FO56" i="7"/>
  <c r="FP56" i="7"/>
  <c r="FQ56" i="7"/>
  <c r="FR56" i="7"/>
  <c r="FS56" i="7"/>
  <c r="FT56" i="7"/>
  <c r="FU56" i="7"/>
  <c r="FV56" i="7"/>
  <c r="FW56" i="7"/>
  <c r="FX56" i="7"/>
  <c r="FY56" i="7"/>
  <c r="FZ56" i="7"/>
  <c r="GA56" i="7"/>
  <c r="GB56" i="7"/>
  <c r="GC56" i="7"/>
  <c r="GD56" i="7"/>
  <c r="GE56" i="7"/>
  <c r="GF56" i="7"/>
  <c r="GG56" i="7"/>
  <c r="GH56" i="7"/>
  <c r="GI56" i="7"/>
  <c r="GJ56" i="7"/>
  <c r="GK56" i="7"/>
  <c r="GL56" i="7"/>
  <c r="GM56" i="7"/>
  <c r="GN56" i="7"/>
  <c r="GO56" i="7"/>
  <c r="GP56" i="7"/>
  <c r="GQ56" i="7"/>
  <c r="GR56" i="7"/>
  <c r="GS56" i="7"/>
  <c r="GT56" i="7"/>
  <c r="GU56" i="7"/>
  <c r="GV56" i="7"/>
  <c r="GW56" i="7"/>
  <c r="GX56" i="7"/>
  <c r="GY56" i="7"/>
  <c r="GZ56" i="7"/>
  <c r="HA56" i="7"/>
  <c r="HB56" i="7"/>
  <c r="HC56" i="7"/>
  <c r="HD56" i="7"/>
  <c r="HE56" i="7"/>
  <c r="HF56" i="7"/>
  <c r="HG56" i="7"/>
  <c r="HH56" i="7"/>
  <c r="HI56" i="7"/>
  <c r="HJ56" i="7"/>
  <c r="HK56" i="7"/>
  <c r="HL56" i="7"/>
  <c r="HM56" i="7"/>
  <c r="HN56" i="7"/>
  <c r="HO56" i="7"/>
  <c r="HP56" i="7"/>
  <c r="HQ56" i="7"/>
  <c r="HR56" i="7"/>
  <c r="HS56" i="7"/>
  <c r="HT56" i="7"/>
  <c r="HU56" i="7"/>
  <c r="HV56" i="7"/>
  <c r="HW56" i="7"/>
  <c r="HX56" i="7"/>
  <c r="HY56" i="7"/>
  <c r="HZ56" i="7"/>
  <c r="IA56" i="7"/>
  <c r="IB56" i="7"/>
  <c r="IC56" i="7"/>
  <c r="ID56" i="7"/>
  <c r="IE56" i="7"/>
  <c r="IF56" i="7"/>
  <c r="IG56" i="7"/>
  <c r="IH56" i="7"/>
  <c r="II56" i="7"/>
  <c r="IJ56" i="7"/>
  <c r="IK56" i="7"/>
  <c r="IL56" i="7"/>
  <c r="IM56" i="7"/>
  <c r="IN56" i="7"/>
  <c r="IO56" i="7"/>
  <c r="IP56" i="7"/>
  <c r="IQ56" i="7"/>
  <c r="IR56" i="7"/>
  <c r="IS56" i="7"/>
  <c r="IT56" i="7"/>
  <c r="IU56" i="7"/>
  <c r="IV56" i="7"/>
  <c r="A57" i="7"/>
  <c r="B57" i="7"/>
  <c r="C57" i="7"/>
  <c r="D57" i="7"/>
  <c r="E57" i="7"/>
  <c r="F57" i="7"/>
  <c r="G57" i="7"/>
  <c r="H57" i="7"/>
  <c r="I57" i="7"/>
  <c r="J57" i="7"/>
  <c r="K57" i="7"/>
  <c r="L57" i="7"/>
  <c r="M57" i="7"/>
  <c r="N57" i="7"/>
  <c r="O57" i="7"/>
  <c r="P57" i="7"/>
  <c r="Q57" i="7"/>
  <c r="R57" i="7"/>
  <c r="S57" i="7"/>
  <c r="T57" i="7"/>
  <c r="U57" i="7"/>
  <c r="V57" i="7"/>
  <c r="W57" i="7"/>
  <c r="X57" i="7"/>
  <c r="Y57" i="7"/>
  <c r="Z57" i="7"/>
  <c r="AA57" i="7"/>
  <c r="AB57" i="7"/>
  <c r="AC57" i="7"/>
  <c r="AD57" i="7"/>
  <c r="AE57" i="7"/>
  <c r="AF57" i="7"/>
  <c r="AG57" i="7"/>
  <c r="AH57" i="7"/>
  <c r="AI57" i="7"/>
  <c r="AJ57" i="7"/>
  <c r="AK57" i="7"/>
  <c r="AL57" i="7"/>
  <c r="AM57" i="7"/>
  <c r="AN57" i="7"/>
  <c r="AO57" i="7"/>
  <c r="AP57" i="7"/>
  <c r="AQ57" i="7"/>
  <c r="AR57" i="7"/>
  <c r="AS57" i="7"/>
  <c r="AT57" i="7"/>
  <c r="AU57" i="7"/>
  <c r="AV57" i="7"/>
  <c r="AW57" i="7"/>
  <c r="AX57" i="7"/>
  <c r="AY57" i="7"/>
  <c r="AZ57" i="7"/>
  <c r="BA57" i="7"/>
  <c r="BB57" i="7"/>
  <c r="BC57" i="7"/>
  <c r="BD57" i="7"/>
  <c r="BE57" i="7"/>
  <c r="BF57" i="7"/>
  <c r="BG57" i="7"/>
  <c r="BH57" i="7"/>
  <c r="BI57" i="7"/>
  <c r="BJ57" i="7"/>
  <c r="BK57" i="7"/>
  <c r="BL57" i="7"/>
  <c r="BM57" i="7"/>
  <c r="BN57" i="7"/>
  <c r="BO57" i="7"/>
  <c r="BP57" i="7"/>
  <c r="BQ57" i="7"/>
  <c r="BR57" i="7"/>
  <c r="BS57" i="7"/>
  <c r="BT57" i="7"/>
  <c r="BU57" i="7"/>
  <c r="BV57" i="7"/>
  <c r="BW57" i="7"/>
  <c r="BX57" i="7"/>
  <c r="BY57" i="7"/>
  <c r="BZ57" i="7"/>
  <c r="CA57" i="7"/>
  <c r="CB57" i="7"/>
  <c r="CC57" i="7"/>
  <c r="CD57" i="7"/>
  <c r="CE57" i="7"/>
  <c r="CF57" i="7"/>
  <c r="CG57" i="7"/>
  <c r="CH57" i="7"/>
  <c r="CI57" i="7"/>
  <c r="CJ57" i="7"/>
  <c r="CK57" i="7"/>
  <c r="CL57" i="7"/>
  <c r="CM57" i="7"/>
  <c r="CN57" i="7"/>
  <c r="CO57" i="7"/>
  <c r="CP57" i="7"/>
  <c r="CQ57" i="7"/>
  <c r="CR57" i="7"/>
  <c r="CS57" i="7"/>
  <c r="CT57" i="7"/>
  <c r="CU57" i="7"/>
  <c r="CV57" i="7"/>
  <c r="CW57" i="7"/>
  <c r="CX57" i="7"/>
  <c r="CY57" i="7"/>
  <c r="CZ57" i="7"/>
  <c r="DA57" i="7"/>
  <c r="DB57" i="7"/>
  <c r="DC57" i="7"/>
  <c r="DD57" i="7"/>
  <c r="DE57" i="7"/>
  <c r="DF57" i="7"/>
  <c r="DG57" i="7"/>
  <c r="DH57" i="7"/>
  <c r="DI57" i="7"/>
  <c r="DJ57" i="7"/>
  <c r="DK57" i="7"/>
  <c r="DL57" i="7"/>
  <c r="DM57" i="7"/>
  <c r="DN57" i="7"/>
  <c r="DO57" i="7"/>
  <c r="DP57" i="7"/>
  <c r="DQ57" i="7"/>
  <c r="DR57" i="7"/>
  <c r="DS57" i="7"/>
  <c r="DT57" i="7"/>
  <c r="DU57" i="7"/>
  <c r="DV57" i="7"/>
  <c r="DW57" i="7"/>
  <c r="DX57" i="7"/>
  <c r="DY57" i="7"/>
  <c r="DZ57" i="7"/>
  <c r="EA57" i="7"/>
  <c r="EB57" i="7"/>
  <c r="EC57" i="7"/>
  <c r="ED57" i="7"/>
  <c r="EE57" i="7"/>
  <c r="EF57" i="7"/>
  <c r="EG57" i="7"/>
  <c r="EH57" i="7"/>
  <c r="EI57" i="7"/>
  <c r="EJ57" i="7"/>
  <c r="EK57" i="7"/>
  <c r="EL57" i="7"/>
  <c r="EM57" i="7"/>
  <c r="EN57" i="7"/>
  <c r="EO57" i="7"/>
  <c r="EP57" i="7"/>
  <c r="EQ57" i="7"/>
  <c r="ER57" i="7"/>
  <c r="ES57" i="7"/>
  <c r="ET57" i="7"/>
  <c r="EU57" i="7"/>
  <c r="EV57" i="7"/>
  <c r="EW57" i="7"/>
  <c r="EX57" i="7"/>
  <c r="EY57" i="7"/>
  <c r="EZ57" i="7"/>
  <c r="FA57" i="7"/>
  <c r="FB57" i="7"/>
  <c r="FC57" i="7"/>
  <c r="FD57" i="7"/>
  <c r="FE57" i="7"/>
  <c r="FF57" i="7"/>
  <c r="FG57" i="7"/>
  <c r="FH57" i="7"/>
  <c r="FI57" i="7"/>
  <c r="FJ57" i="7"/>
  <c r="FK57" i="7"/>
  <c r="FL57" i="7"/>
  <c r="FM57" i="7"/>
  <c r="FN57" i="7"/>
  <c r="FO57" i="7"/>
  <c r="FP57" i="7"/>
  <c r="FQ57" i="7"/>
  <c r="FR57" i="7"/>
  <c r="FS57" i="7"/>
  <c r="FT57" i="7"/>
  <c r="FU57" i="7"/>
  <c r="FV57" i="7"/>
  <c r="FW57" i="7"/>
  <c r="FX57" i="7"/>
  <c r="FY57" i="7"/>
  <c r="FZ57" i="7"/>
  <c r="GA57" i="7"/>
  <c r="GB57" i="7"/>
  <c r="GC57" i="7"/>
  <c r="GD57" i="7"/>
  <c r="GE57" i="7"/>
  <c r="GF57" i="7"/>
  <c r="GG57" i="7"/>
  <c r="GH57" i="7"/>
  <c r="GI57" i="7"/>
  <c r="GJ57" i="7"/>
  <c r="GK57" i="7"/>
  <c r="GL57" i="7"/>
  <c r="GM57" i="7"/>
  <c r="GN57" i="7"/>
  <c r="GO57" i="7"/>
  <c r="GP57" i="7"/>
  <c r="GQ57" i="7"/>
  <c r="GR57" i="7"/>
  <c r="GS57" i="7"/>
  <c r="GT57" i="7"/>
  <c r="GU57" i="7"/>
  <c r="GV57" i="7"/>
  <c r="GW57" i="7"/>
  <c r="GX57" i="7"/>
  <c r="GY57" i="7"/>
  <c r="GZ57" i="7"/>
  <c r="HA57" i="7"/>
  <c r="HB57" i="7"/>
  <c r="HC57" i="7"/>
  <c r="HD57" i="7"/>
  <c r="HE57" i="7"/>
  <c r="HF57" i="7"/>
  <c r="HG57" i="7"/>
  <c r="HH57" i="7"/>
  <c r="HI57" i="7"/>
  <c r="HJ57" i="7"/>
  <c r="HK57" i="7"/>
  <c r="HL57" i="7"/>
  <c r="HM57" i="7"/>
  <c r="HN57" i="7"/>
  <c r="HO57" i="7"/>
  <c r="HP57" i="7"/>
  <c r="HQ57" i="7"/>
  <c r="HR57" i="7"/>
  <c r="HS57" i="7"/>
  <c r="HT57" i="7"/>
  <c r="HU57" i="7"/>
  <c r="HV57" i="7"/>
  <c r="HW57" i="7"/>
  <c r="HX57" i="7"/>
  <c r="HY57" i="7"/>
  <c r="HZ57" i="7"/>
  <c r="IA57" i="7"/>
  <c r="IB57" i="7"/>
  <c r="IC57" i="7"/>
  <c r="ID57" i="7"/>
  <c r="IE57" i="7"/>
  <c r="IF57" i="7"/>
  <c r="IG57" i="7"/>
  <c r="IH57" i="7"/>
  <c r="II57" i="7"/>
  <c r="IJ57" i="7"/>
  <c r="IK57" i="7"/>
  <c r="IL57" i="7"/>
  <c r="IM57" i="7"/>
  <c r="IN57" i="7"/>
  <c r="IO57" i="7"/>
  <c r="IP57" i="7"/>
  <c r="IQ57" i="7"/>
  <c r="IR57" i="7"/>
  <c r="IS57" i="7"/>
  <c r="IT57" i="7"/>
  <c r="IU57" i="7"/>
  <c r="IV57" i="7"/>
  <c r="A58" i="7"/>
  <c r="B58" i="7"/>
  <c r="C58" i="7"/>
  <c r="D58" i="7"/>
  <c r="E58" i="7"/>
  <c r="F58" i="7"/>
  <c r="G58" i="7"/>
  <c r="H58" i="7"/>
  <c r="I58" i="7"/>
  <c r="J58" i="7"/>
  <c r="K58" i="7"/>
  <c r="L58" i="7"/>
  <c r="M58" i="7"/>
  <c r="N58" i="7"/>
  <c r="O58" i="7"/>
  <c r="P58" i="7"/>
  <c r="Q58" i="7"/>
  <c r="R58" i="7"/>
  <c r="S58" i="7"/>
  <c r="T58" i="7"/>
  <c r="U58" i="7"/>
  <c r="V58" i="7"/>
  <c r="W58" i="7"/>
  <c r="X58" i="7"/>
  <c r="Y58" i="7"/>
  <c r="Z58" i="7"/>
  <c r="AA58" i="7"/>
  <c r="AB58" i="7"/>
  <c r="AC58" i="7"/>
  <c r="AD58" i="7"/>
  <c r="AE58" i="7"/>
  <c r="AF58" i="7"/>
  <c r="AG58" i="7"/>
  <c r="AH58" i="7"/>
  <c r="AI58" i="7"/>
  <c r="AJ58" i="7"/>
  <c r="AK58" i="7"/>
  <c r="AL58" i="7"/>
  <c r="AM58" i="7"/>
  <c r="AN58" i="7"/>
  <c r="AO58" i="7"/>
  <c r="AP58" i="7"/>
  <c r="AQ58" i="7"/>
  <c r="AR58" i="7"/>
  <c r="AS58" i="7"/>
  <c r="AT58" i="7"/>
  <c r="AU58" i="7"/>
  <c r="AV58" i="7"/>
  <c r="AW58" i="7"/>
  <c r="AX58" i="7"/>
  <c r="AY58" i="7"/>
  <c r="AZ58" i="7"/>
  <c r="BA58" i="7"/>
  <c r="BB58" i="7"/>
  <c r="BC58" i="7"/>
  <c r="BD58" i="7"/>
  <c r="BE58" i="7"/>
  <c r="BF58" i="7"/>
  <c r="BG58" i="7"/>
  <c r="BH58" i="7"/>
  <c r="BI58" i="7"/>
  <c r="BJ58" i="7"/>
  <c r="BK58" i="7"/>
  <c r="BL58" i="7"/>
  <c r="BM58" i="7"/>
  <c r="BN58" i="7"/>
  <c r="BO58" i="7"/>
  <c r="BP58" i="7"/>
  <c r="BQ58" i="7"/>
  <c r="BR58" i="7"/>
  <c r="BS58" i="7"/>
  <c r="BT58" i="7"/>
  <c r="BU58" i="7"/>
  <c r="BV58" i="7"/>
  <c r="BW58" i="7"/>
  <c r="BX58" i="7"/>
  <c r="BY58" i="7"/>
  <c r="BZ58" i="7"/>
  <c r="CA58" i="7"/>
  <c r="CB58" i="7"/>
  <c r="CC58" i="7"/>
  <c r="CD58" i="7"/>
  <c r="CE58" i="7"/>
  <c r="CF58" i="7"/>
  <c r="CG58" i="7"/>
  <c r="CH58" i="7"/>
  <c r="CI58" i="7"/>
  <c r="CJ58" i="7"/>
  <c r="CK58" i="7"/>
  <c r="CL58" i="7"/>
  <c r="CM58" i="7"/>
  <c r="CN58" i="7"/>
  <c r="CO58" i="7"/>
  <c r="CP58" i="7"/>
  <c r="CQ58" i="7"/>
  <c r="CR58" i="7"/>
  <c r="CS58" i="7"/>
  <c r="CT58" i="7"/>
  <c r="CU58" i="7"/>
  <c r="CV58" i="7"/>
  <c r="CW58" i="7"/>
  <c r="CX58" i="7"/>
  <c r="CY58" i="7"/>
  <c r="CZ58" i="7"/>
  <c r="DA58" i="7"/>
  <c r="DB58" i="7"/>
  <c r="DC58" i="7"/>
  <c r="DD58" i="7"/>
  <c r="DE58" i="7"/>
  <c r="DF58" i="7"/>
  <c r="DG58" i="7"/>
  <c r="DH58" i="7"/>
  <c r="DI58" i="7"/>
  <c r="DJ58" i="7"/>
  <c r="DK58" i="7"/>
  <c r="DL58" i="7"/>
  <c r="DM58" i="7"/>
  <c r="DN58" i="7"/>
  <c r="DO58" i="7"/>
  <c r="DP58" i="7"/>
  <c r="DQ58" i="7"/>
  <c r="DR58" i="7"/>
  <c r="DS58" i="7"/>
  <c r="DT58" i="7"/>
  <c r="DU58" i="7"/>
  <c r="DV58" i="7"/>
  <c r="DW58" i="7"/>
  <c r="DX58" i="7"/>
  <c r="DY58" i="7"/>
  <c r="DZ58" i="7"/>
  <c r="EA58" i="7"/>
  <c r="EB58" i="7"/>
  <c r="EC58" i="7"/>
  <c r="ED58" i="7"/>
  <c r="EE58" i="7"/>
  <c r="EF58" i="7"/>
  <c r="EG58" i="7"/>
  <c r="EH58" i="7"/>
  <c r="EI58" i="7"/>
  <c r="EJ58" i="7"/>
  <c r="EK58" i="7"/>
  <c r="EL58" i="7"/>
  <c r="EM58" i="7"/>
  <c r="EN58" i="7"/>
  <c r="EO58" i="7"/>
  <c r="EP58" i="7"/>
  <c r="EQ58" i="7"/>
  <c r="ER58" i="7"/>
  <c r="ES58" i="7"/>
  <c r="ET58" i="7"/>
  <c r="EU58" i="7"/>
  <c r="EV58" i="7"/>
  <c r="EW58" i="7"/>
  <c r="EX58" i="7"/>
  <c r="EY58" i="7"/>
  <c r="EZ58" i="7"/>
  <c r="FA58" i="7"/>
  <c r="FB58" i="7"/>
  <c r="FC58" i="7"/>
  <c r="FD58" i="7"/>
  <c r="FE58" i="7"/>
  <c r="FF58" i="7"/>
  <c r="FG58" i="7"/>
  <c r="FH58" i="7"/>
  <c r="FI58" i="7"/>
  <c r="FJ58" i="7"/>
  <c r="FK58" i="7"/>
  <c r="FL58" i="7"/>
  <c r="FM58" i="7"/>
  <c r="FN58" i="7"/>
  <c r="FO58" i="7"/>
  <c r="FP58" i="7"/>
  <c r="FQ58" i="7"/>
  <c r="FR58" i="7"/>
  <c r="FS58" i="7"/>
  <c r="FT58" i="7"/>
  <c r="FU58" i="7"/>
  <c r="FV58" i="7"/>
  <c r="FW58" i="7"/>
  <c r="FX58" i="7"/>
  <c r="FY58" i="7"/>
  <c r="FZ58" i="7"/>
  <c r="GA58" i="7"/>
  <c r="GB58" i="7"/>
  <c r="GC58" i="7"/>
  <c r="GD58" i="7"/>
  <c r="GE58" i="7"/>
  <c r="GF58" i="7"/>
  <c r="GG58" i="7"/>
  <c r="GH58" i="7"/>
  <c r="GI58" i="7"/>
  <c r="GJ58" i="7"/>
  <c r="GK58" i="7"/>
  <c r="GL58" i="7"/>
  <c r="GM58" i="7"/>
  <c r="GN58" i="7"/>
  <c r="GO58" i="7"/>
  <c r="GP58" i="7"/>
  <c r="GQ58" i="7"/>
  <c r="GR58" i="7"/>
  <c r="GS58" i="7"/>
  <c r="GT58" i="7"/>
  <c r="GU58" i="7"/>
  <c r="GV58" i="7"/>
  <c r="GW58" i="7"/>
  <c r="GX58" i="7"/>
  <c r="GY58" i="7"/>
  <c r="GZ58" i="7"/>
  <c r="HA58" i="7"/>
  <c r="HB58" i="7"/>
  <c r="HC58" i="7"/>
  <c r="HD58" i="7"/>
  <c r="HE58" i="7"/>
  <c r="HF58" i="7"/>
  <c r="HG58" i="7"/>
  <c r="HH58" i="7"/>
  <c r="HI58" i="7"/>
  <c r="HJ58" i="7"/>
  <c r="HK58" i="7"/>
  <c r="HL58" i="7"/>
  <c r="HM58" i="7"/>
  <c r="HN58" i="7"/>
  <c r="HO58" i="7"/>
  <c r="HP58" i="7"/>
  <c r="HQ58" i="7"/>
  <c r="HR58" i="7"/>
  <c r="HS58" i="7"/>
  <c r="HT58" i="7"/>
  <c r="HU58" i="7"/>
  <c r="HV58" i="7"/>
  <c r="HW58" i="7"/>
  <c r="HX58" i="7"/>
  <c r="HY58" i="7"/>
  <c r="HZ58" i="7"/>
  <c r="IA58" i="7"/>
  <c r="IB58" i="7"/>
  <c r="IC58" i="7"/>
  <c r="ID58" i="7"/>
  <c r="IE58" i="7"/>
  <c r="IF58" i="7"/>
  <c r="IG58" i="7"/>
  <c r="IH58" i="7"/>
  <c r="II58" i="7"/>
  <c r="IJ58" i="7"/>
  <c r="IK58" i="7"/>
  <c r="IL58" i="7"/>
  <c r="IM58" i="7"/>
  <c r="IN58" i="7"/>
  <c r="IO58" i="7"/>
  <c r="IP58" i="7"/>
  <c r="IQ58" i="7"/>
  <c r="IR58" i="7"/>
  <c r="IS58" i="7"/>
  <c r="IT58" i="7"/>
  <c r="IU58" i="7"/>
  <c r="IV58" i="7"/>
  <c r="A59" i="7"/>
  <c r="B59" i="7"/>
  <c r="C59" i="7"/>
  <c r="D59" i="7"/>
  <c r="E59" i="7"/>
  <c r="F59" i="7"/>
  <c r="G59" i="7"/>
  <c r="H59" i="7"/>
  <c r="I59" i="7"/>
  <c r="J59" i="7"/>
  <c r="K59" i="7"/>
  <c r="L59" i="7"/>
  <c r="M59" i="7"/>
  <c r="N59" i="7"/>
  <c r="O59" i="7"/>
  <c r="P59" i="7"/>
  <c r="Q59" i="7"/>
  <c r="R59" i="7"/>
  <c r="S59" i="7"/>
  <c r="T59" i="7"/>
  <c r="U59" i="7"/>
  <c r="V59" i="7"/>
  <c r="W59" i="7"/>
  <c r="X59" i="7"/>
  <c r="Y59" i="7"/>
  <c r="Z59" i="7"/>
  <c r="AA59" i="7"/>
  <c r="AB59" i="7"/>
  <c r="AC59" i="7"/>
  <c r="AD59" i="7"/>
  <c r="AE59" i="7"/>
  <c r="AF59" i="7"/>
  <c r="AG59" i="7"/>
  <c r="AH59" i="7"/>
  <c r="AI59" i="7"/>
  <c r="AJ59" i="7"/>
  <c r="AK59" i="7"/>
  <c r="AL59" i="7"/>
  <c r="AM59" i="7"/>
  <c r="AN59" i="7"/>
  <c r="AO59" i="7"/>
  <c r="AP59" i="7"/>
  <c r="AQ59" i="7"/>
  <c r="AR59" i="7"/>
  <c r="AS59" i="7"/>
  <c r="AT59" i="7"/>
  <c r="AU59" i="7"/>
  <c r="AV59" i="7"/>
  <c r="AW59" i="7"/>
  <c r="AX59" i="7"/>
  <c r="AY59" i="7"/>
  <c r="AZ59" i="7"/>
  <c r="BA59" i="7"/>
  <c r="BB59" i="7"/>
  <c r="BC59" i="7"/>
  <c r="BD59" i="7"/>
  <c r="BE59" i="7"/>
  <c r="BF59" i="7"/>
  <c r="BG59" i="7"/>
  <c r="BH59" i="7"/>
  <c r="BI59" i="7"/>
  <c r="BJ59" i="7"/>
  <c r="BK59" i="7"/>
  <c r="BL59" i="7"/>
  <c r="BM59" i="7"/>
  <c r="BN59" i="7"/>
  <c r="BO59" i="7"/>
  <c r="BP59" i="7"/>
  <c r="BQ59" i="7"/>
  <c r="BR59" i="7"/>
  <c r="BS59" i="7"/>
  <c r="BT59" i="7"/>
  <c r="BU59" i="7"/>
  <c r="BV59" i="7"/>
  <c r="BW59" i="7"/>
  <c r="BX59" i="7"/>
  <c r="BY59" i="7"/>
  <c r="BZ59" i="7"/>
  <c r="CA59" i="7"/>
  <c r="CB59" i="7"/>
  <c r="CC59" i="7"/>
  <c r="CD59" i="7"/>
  <c r="CE59" i="7"/>
  <c r="CF59" i="7"/>
  <c r="CG59" i="7"/>
  <c r="CH59" i="7"/>
  <c r="CI59" i="7"/>
  <c r="CJ59" i="7"/>
  <c r="CK59" i="7"/>
  <c r="CL59" i="7"/>
  <c r="CM59" i="7"/>
  <c r="CN59" i="7"/>
  <c r="CO59" i="7"/>
  <c r="CP59" i="7"/>
  <c r="CQ59" i="7"/>
  <c r="CR59" i="7"/>
  <c r="CS59" i="7"/>
  <c r="CT59" i="7"/>
  <c r="CU59" i="7"/>
  <c r="CV59" i="7"/>
  <c r="CW59" i="7"/>
  <c r="CX59" i="7"/>
  <c r="CY59" i="7"/>
  <c r="CZ59" i="7"/>
  <c r="DA59" i="7"/>
  <c r="DB59" i="7"/>
  <c r="DC59" i="7"/>
  <c r="DD59" i="7"/>
  <c r="DE59" i="7"/>
  <c r="DF59" i="7"/>
  <c r="DG59" i="7"/>
  <c r="DH59" i="7"/>
  <c r="DI59" i="7"/>
  <c r="DJ59" i="7"/>
  <c r="DK59" i="7"/>
  <c r="DL59" i="7"/>
  <c r="DM59" i="7"/>
  <c r="DN59" i="7"/>
  <c r="DO59" i="7"/>
  <c r="DP59" i="7"/>
  <c r="DQ59" i="7"/>
  <c r="DR59" i="7"/>
  <c r="DS59" i="7"/>
  <c r="DT59" i="7"/>
  <c r="DU59" i="7"/>
  <c r="DV59" i="7"/>
  <c r="DW59" i="7"/>
  <c r="DX59" i="7"/>
  <c r="DY59" i="7"/>
  <c r="DZ59" i="7"/>
  <c r="EA59" i="7"/>
  <c r="EB59" i="7"/>
  <c r="EC59" i="7"/>
  <c r="ED59" i="7"/>
  <c r="EE59" i="7"/>
  <c r="EF59" i="7"/>
  <c r="EG59" i="7"/>
  <c r="EH59" i="7"/>
  <c r="EI59" i="7"/>
  <c r="EJ59" i="7"/>
  <c r="EK59" i="7"/>
  <c r="EL59" i="7"/>
  <c r="EM59" i="7"/>
  <c r="EN59" i="7"/>
  <c r="EO59" i="7"/>
  <c r="EP59" i="7"/>
  <c r="EQ59" i="7"/>
  <c r="ER59" i="7"/>
  <c r="ES59" i="7"/>
  <c r="ET59" i="7"/>
  <c r="EU59" i="7"/>
  <c r="EV59" i="7"/>
  <c r="EW59" i="7"/>
  <c r="EX59" i="7"/>
  <c r="EY59" i="7"/>
  <c r="EZ59" i="7"/>
  <c r="FA59" i="7"/>
  <c r="FB59" i="7"/>
  <c r="FC59" i="7"/>
  <c r="FD59" i="7"/>
  <c r="FE59" i="7"/>
  <c r="FF59" i="7"/>
  <c r="FG59" i="7"/>
  <c r="FH59" i="7"/>
  <c r="FI59" i="7"/>
  <c r="FJ59" i="7"/>
  <c r="FK59" i="7"/>
  <c r="FL59" i="7"/>
  <c r="FM59" i="7"/>
  <c r="FN59" i="7"/>
  <c r="FO59" i="7"/>
  <c r="FP59" i="7"/>
  <c r="FQ59" i="7"/>
  <c r="FR59" i="7"/>
  <c r="FS59" i="7"/>
  <c r="FT59" i="7"/>
  <c r="FU59" i="7"/>
  <c r="FV59" i="7"/>
  <c r="FW59" i="7"/>
  <c r="FX59" i="7"/>
  <c r="FY59" i="7"/>
  <c r="FZ59" i="7"/>
  <c r="GA59" i="7"/>
  <c r="GB59" i="7"/>
  <c r="GC59" i="7"/>
  <c r="GD59" i="7"/>
  <c r="GE59" i="7"/>
  <c r="GF59" i="7"/>
  <c r="GG59" i="7"/>
  <c r="GH59" i="7"/>
  <c r="GI59" i="7"/>
  <c r="GJ59" i="7"/>
  <c r="GK59" i="7"/>
  <c r="GL59" i="7"/>
  <c r="GM59" i="7"/>
  <c r="GN59" i="7"/>
  <c r="GO59" i="7"/>
  <c r="GP59" i="7"/>
  <c r="GQ59" i="7"/>
  <c r="GR59" i="7"/>
  <c r="GS59" i="7"/>
  <c r="GT59" i="7"/>
  <c r="GU59" i="7"/>
  <c r="GV59" i="7"/>
  <c r="GW59" i="7"/>
  <c r="GX59" i="7"/>
  <c r="GY59" i="7"/>
  <c r="GZ59" i="7"/>
  <c r="HA59" i="7"/>
  <c r="HB59" i="7"/>
  <c r="HC59" i="7"/>
  <c r="HD59" i="7"/>
  <c r="HE59" i="7"/>
  <c r="HF59" i="7"/>
  <c r="HG59" i="7"/>
  <c r="HH59" i="7"/>
  <c r="HI59" i="7"/>
  <c r="HJ59" i="7"/>
  <c r="HK59" i="7"/>
  <c r="HL59" i="7"/>
  <c r="HM59" i="7"/>
  <c r="HN59" i="7"/>
  <c r="HO59" i="7"/>
  <c r="HP59" i="7"/>
  <c r="HQ59" i="7"/>
  <c r="HR59" i="7"/>
  <c r="HS59" i="7"/>
  <c r="HT59" i="7"/>
  <c r="HU59" i="7"/>
  <c r="HV59" i="7"/>
  <c r="HW59" i="7"/>
  <c r="HX59" i="7"/>
  <c r="HY59" i="7"/>
  <c r="HZ59" i="7"/>
  <c r="IA59" i="7"/>
  <c r="IB59" i="7"/>
  <c r="IC59" i="7"/>
  <c r="ID59" i="7"/>
  <c r="IE59" i="7"/>
  <c r="IF59" i="7"/>
  <c r="IG59" i="7"/>
  <c r="IH59" i="7"/>
  <c r="II59" i="7"/>
  <c r="IJ59" i="7"/>
  <c r="IK59" i="7"/>
  <c r="IL59" i="7"/>
  <c r="IM59" i="7"/>
  <c r="IN59" i="7"/>
  <c r="IO59" i="7"/>
  <c r="IP59" i="7"/>
  <c r="IQ59" i="7"/>
  <c r="IR59" i="7"/>
  <c r="IS59" i="7"/>
  <c r="IT59" i="7"/>
  <c r="IU59" i="7"/>
  <c r="IV59" i="7"/>
  <c r="A60" i="7"/>
  <c r="B60" i="7"/>
  <c r="C60" i="7"/>
  <c r="D60" i="7"/>
  <c r="E60" i="7"/>
  <c r="F60" i="7"/>
  <c r="G60" i="7"/>
  <c r="H60" i="7"/>
  <c r="I60" i="7"/>
  <c r="J60" i="7"/>
  <c r="K60" i="7"/>
  <c r="L60" i="7"/>
  <c r="M60" i="7"/>
  <c r="N60" i="7"/>
  <c r="O60" i="7"/>
  <c r="P60" i="7"/>
  <c r="Q60" i="7"/>
  <c r="R60" i="7"/>
  <c r="S60" i="7"/>
  <c r="T60" i="7"/>
  <c r="U60" i="7"/>
  <c r="V60" i="7"/>
  <c r="W60" i="7"/>
  <c r="X60" i="7"/>
  <c r="Y60" i="7"/>
  <c r="Z60" i="7"/>
  <c r="AA60" i="7"/>
  <c r="AB60" i="7"/>
  <c r="AC60" i="7"/>
  <c r="AD60" i="7"/>
  <c r="AE60" i="7"/>
  <c r="AF60" i="7"/>
  <c r="AG60" i="7"/>
  <c r="AH60" i="7"/>
  <c r="AI60" i="7"/>
  <c r="AJ60" i="7"/>
  <c r="AK60" i="7"/>
  <c r="AL60" i="7"/>
  <c r="AM60" i="7"/>
  <c r="AN60" i="7"/>
  <c r="AO60" i="7"/>
  <c r="AP60" i="7"/>
  <c r="AQ60" i="7"/>
  <c r="AR60" i="7"/>
  <c r="AS60" i="7"/>
  <c r="AT60" i="7"/>
  <c r="AU60" i="7"/>
  <c r="AV60" i="7"/>
  <c r="AW60" i="7"/>
  <c r="AX60" i="7"/>
  <c r="AY60" i="7"/>
  <c r="AZ60" i="7"/>
  <c r="BA60" i="7"/>
  <c r="BB60" i="7"/>
  <c r="BC60" i="7"/>
  <c r="BD60" i="7"/>
  <c r="BE60" i="7"/>
  <c r="BF60" i="7"/>
  <c r="BG60" i="7"/>
  <c r="BH60" i="7"/>
  <c r="BI60" i="7"/>
  <c r="BJ60" i="7"/>
  <c r="BK60" i="7"/>
  <c r="BL60" i="7"/>
  <c r="BM60" i="7"/>
  <c r="BN60" i="7"/>
  <c r="BO60" i="7"/>
  <c r="BP60" i="7"/>
  <c r="BQ60" i="7"/>
  <c r="BR60" i="7"/>
  <c r="BS60" i="7"/>
  <c r="BT60" i="7"/>
  <c r="BU60" i="7"/>
  <c r="BV60" i="7"/>
  <c r="BW60" i="7"/>
  <c r="BX60" i="7"/>
  <c r="BY60" i="7"/>
  <c r="BZ60" i="7"/>
  <c r="CA60" i="7"/>
  <c r="CB60" i="7"/>
  <c r="CC60" i="7"/>
  <c r="CD60" i="7"/>
  <c r="CE60" i="7"/>
  <c r="CF60" i="7"/>
  <c r="CG60" i="7"/>
  <c r="CH60" i="7"/>
  <c r="CI60" i="7"/>
  <c r="CJ60" i="7"/>
  <c r="CK60" i="7"/>
  <c r="CL60" i="7"/>
  <c r="CM60" i="7"/>
  <c r="CN60" i="7"/>
  <c r="CO60" i="7"/>
  <c r="CP60" i="7"/>
  <c r="CQ60" i="7"/>
  <c r="CR60" i="7"/>
  <c r="CS60" i="7"/>
  <c r="CT60" i="7"/>
  <c r="CU60" i="7"/>
  <c r="CV60" i="7"/>
  <c r="CW60" i="7"/>
  <c r="CX60" i="7"/>
  <c r="CY60" i="7"/>
  <c r="CZ60" i="7"/>
  <c r="DA60" i="7"/>
  <c r="DB60" i="7"/>
  <c r="DC60" i="7"/>
  <c r="DD60" i="7"/>
  <c r="DE60" i="7"/>
  <c r="DF60" i="7"/>
  <c r="DG60" i="7"/>
  <c r="DH60" i="7"/>
  <c r="DI60" i="7"/>
  <c r="DJ60" i="7"/>
  <c r="DK60" i="7"/>
  <c r="DL60" i="7"/>
  <c r="DM60" i="7"/>
  <c r="DN60" i="7"/>
  <c r="DO60" i="7"/>
  <c r="DP60" i="7"/>
  <c r="DQ60" i="7"/>
  <c r="DR60" i="7"/>
  <c r="DS60" i="7"/>
  <c r="DT60" i="7"/>
  <c r="DU60" i="7"/>
  <c r="DV60" i="7"/>
  <c r="DW60" i="7"/>
  <c r="DX60" i="7"/>
  <c r="DY60" i="7"/>
  <c r="DZ60" i="7"/>
  <c r="EA60" i="7"/>
  <c r="EB60" i="7"/>
  <c r="EC60" i="7"/>
  <c r="ED60" i="7"/>
  <c r="EE60" i="7"/>
  <c r="EF60" i="7"/>
  <c r="EG60" i="7"/>
  <c r="EH60" i="7"/>
  <c r="EI60" i="7"/>
  <c r="EJ60" i="7"/>
  <c r="EK60" i="7"/>
  <c r="EL60" i="7"/>
  <c r="EM60" i="7"/>
  <c r="EN60" i="7"/>
  <c r="EO60" i="7"/>
  <c r="EP60" i="7"/>
  <c r="EQ60" i="7"/>
  <c r="ER60" i="7"/>
  <c r="ES60" i="7"/>
  <c r="ET60" i="7"/>
  <c r="EU60" i="7"/>
  <c r="EV60" i="7"/>
  <c r="EW60" i="7"/>
  <c r="EX60" i="7"/>
  <c r="EY60" i="7"/>
  <c r="EZ60" i="7"/>
  <c r="FA60" i="7"/>
  <c r="FB60" i="7"/>
  <c r="FC60" i="7"/>
  <c r="FD60" i="7"/>
  <c r="FE60" i="7"/>
  <c r="FF60" i="7"/>
  <c r="FG60" i="7"/>
  <c r="FH60" i="7"/>
  <c r="FI60" i="7"/>
  <c r="FJ60" i="7"/>
  <c r="FK60" i="7"/>
  <c r="FL60" i="7"/>
  <c r="FM60" i="7"/>
  <c r="FN60" i="7"/>
  <c r="FO60" i="7"/>
  <c r="FP60" i="7"/>
  <c r="FQ60" i="7"/>
  <c r="FR60" i="7"/>
  <c r="FS60" i="7"/>
  <c r="FT60" i="7"/>
  <c r="FU60" i="7"/>
  <c r="FV60" i="7"/>
  <c r="FW60" i="7"/>
  <c r="FX60" i="7"/>
  <c r="FY60" i="7"/>
  <c r="FZ60" i="7"/>
  <c r="GA60" i="7"/>
  <c r="GB60" i="7"/>
  <c r="GC60" i="7"/>
  <c r="GD60" i="7"/>
  <c r="GE60" i="7"/>
  <c r="GF60" i="7"/>
  <c r="GG60" i="7"/>
  <c r="GH60" i="7"/>
  <c r="GI60" i="7"/>
  <c r="GJ60" i="7"/>
  <c r="GK60" i="7"/>
  <c r="GL60" i="7"/>
  <c r="GM60" i="7"/>
  <c r="GN60" i="7"/>
  <c r="GO60" i="7"/>
  <c r="GP60" i="7"/>
  <c r="GQ60" i="7"/>
  <c r="GR60" i="7"/>
  <c r="GS60" i="7"/>
  <c r="GT60" i="7"/>
  <c r="GU60" i="7"/>
  <c r="GV60" i="7"/>
  <c r="GW60" i="7"/>
  <c r="GX60" i="7"/>
  <c r="GY60" i="7"/>
  <c r="GZ60" i="7"/>
  <c r="HA60" i="7"/>
  <c r="HB60" i="7"/>
  <c r="HC60" i="7"/>
  <c r="HD60" i="7"/>
  <c r="HE60" i="7"/>
  <c r="HF60" i="7"/>
  <c r="HG60" i="7"/>
  <c r="HH60" i="7"/>
  <c r="HI60" i="7"/>
  <c r="HJ60" i="7"/>
  <c r="HK60" i="7"/>
  <c r="HL60" i="7"/>
  <c r="HM60" i="7"/>
  <c r="HN60" i="7"/>
  <c r="HO60" i="7"/>
  <c r="HP60" i="7"/>
  <c r="HQ60" i="7"/>
  <c r="HR60" i="7"/>
  <c r="HS60" i="7"/>
  <c r="HT60" i="7"/>
  <c r="HU60" i="7"/>
  <c r="HV60" i="7"/>
  <c r="HW60" i="7"/>
  <c r="HX60" i="7"/>
  <c r="HY60" i="7"/>
  <c r="HZ60" i="7"/>
  <c r="IA60" i="7"/>
  <c r="IB60" i="7"/>
  <c r="IC60" i="7"/>
  <c r="ID60" i="7"/>
  <c r="IE60" i="7"/>
  <c r="IF60" i="7"/>
  <c r="IG60" i="7"/>
  <c r="IH60" i="7"/>
  <c r="II60" i="7"/>
  <c r="IJ60" i="7"/>
  <c r="IK60" i="7"/>
  <c r="IL60" i="7"/>
  <c r="IM60" i="7"/>
  <c r="IN60" i="7"/>
  <c r="IO60" i="7"/>
  <c r="IP60" i="7"/>
  <c r="IQ60" i="7"/>
  <c r="IR60" i="7"/>
  <c r="IS60" i="7"/>
  <c r="IT60" i="7"/>
  <c r="IU60" i="7"/>
  <c r="IV60" i="7"/>
  <c r="A61" i="7"/>
  <c r="B61" i="7"/>
  <c r="C61" i="7"/>
  <c r="D61" i="7"/>
  <c r="E61" i="7"/>
  <c r="F61" i="7"/>
  <c r="G61" i="7"/>
  <c r="H61" i="7"/>
  <c r="I61" i="7"/>
  <c r="J61" i="7"/>
  <c r="K61" i="7"/>
  <c r="L61" i="7"/>
  <c r="M61" i="7"/>
  <c r="N61" i="7"/>
  <c r="O61" i="7"/>
  <c r="P61" i="7"/>
  <c r="Q61" i="7"/>
  <c r="R61" i="7"/>
  <c r="S61" i="7"/>
  <c r="T61" i="7"/>
  <c r="U61" i="7"/>
  <c r="V61" i="7"/>
  <c r="W61" i="7"/>
  <c r="X61" i="7"/>
  <c r="Y61" i="7"/>
  <c r="Z61" i="7"/>
  <c r="AA61" i="7"/>
  <c r="AB61" i="7"/>
  <c r="AC61" i="7"/>
  <c r="AD61" i="7"/>
  <c r="AE61" i="7"/>
  <c r="AF61" i="7"/>
  <c r="AG61" i="7"/>
  <c r="AH61" i="7"/>
  <c r="AI61" i="7"/>
  <c r="AJ61" i="7"/>
  <c r="AK61" i="7"/>
  <c r="AL61" i="7"/>
  <c r="AM61" i="7"/>
  <c r="AN61" i="7"/>
  <c r="AO61" i="7"/>
  <c r="AP61" i="7"/>
  <c r="AQ61" i="7"/>
  <c r="AR61" i="7"/>
  <c r="AS61" i="7"/>
  <c r="AT61" i="7"/>
  <c r="AU61" i="7"/>
  <c r="AV61" i="7"/>
  <c r="AW61" i="7"/>
  <c r="AX61" i="7"/>
  <c r="AY61" i="7"/>
  <c r="AZ61" i="7"/>
  <c r="BA61" i="7"/>
  <c r="BB61" i="7"/>
  <c r="BC61" i="7"/>
  <c r="BD61" i="7"/>
  <c r="BE61" i="7"/>
  <c r="BF61" i="7"/>
  <c r="BG61" i="7"/>
  <c r="BH61" i="7"/>
  <c r="BI61" i="7"/>
  <c r="BJ61" i="7"/>
  <c r="BK61" i="7"/>
  <c r="BL61" i="7"/>
  <c r="BM61" i="7"/>
  <c r="BN61" i="7"/>
  <c r="BO61" i="7"/>
  <c r="BP61" i="7"/>
  <c r="BQ61" i="7"/>
  <c r="BR61" i="7"/>
  <c r="BS61" i="7"/>
  <c r="BT61" i="7"/>
  <c r="BU61" i="7"/>
  <c r="BV61" i="7"/>
  <c r="BW61" i="7"/>
  <c r="BX61" i="7"/>
  <c r="BY61" i="7"/>
  <c r="BZ61" i="7"/>
  <c r="CA61" i="7"/>
  <c r="CB61" i="7"/>
  <c r="CC61" i="7"/>
  <c r="CD61" i="7"/>
  <c r="CE61" i="7"/>
  <c r="CF61" i="7"/>
  <c r="CG61" i="7"/>
  <c r="CH61" i="7"/>
  <c r="CI61" i="7"/>
  <c r="CJ61" i="7"/>
  <c r="CK61" i="7"/>
  <c r="CL61" i="7"/>
  <c r="CM61" i="7"/>
  <c r="CN61" i="7"/>
  <c r="CO61" i="7"/>
  <c r="CP61" i="7"/>
  <c r="CQ61" i="7"/>
  <c r="CR61" i="7"/>
  <c r="CS61" i="7"/>
  <c r="CT61" i="7"/>
  <c r="CU61" i="7"/>
  <c r="CV61" i="7"/>
  <c r="CW61" i="7"/>
  <c r="CX61" i="7"/>
  <c r="CY61" i="7"/>
  <c r="CZ61" i="7"/>
  <c r="DA61" i="7"/>
  <c r="DB61" i="7"/>
  <c r="DC61" i="7"/>
  <c r="DD61" i="7"/>
  <c r="DE61" i="7"/>
  <c r="DF61" i="7"/>
  <c r="DG61" i="7"/>
  <c r="DH61" i="7"/>
  <c r="DI61" i="7"/>
  <c r="DJ61" i="7"/>
  <c r="DK61" i="7"/>
  <c r="DL61" i="7"/>
  <c r="DM61" i="7"/>
  <c r="DN61" i="7"/>
  <c r="DO61" i="7"/>
  <c r="DP61" i="7"/>
  <c r="DQ61" i="7"/>
  <c r="DR61" i="7"/>
  <c r="DS61" i="7"/>
  <c r="DT61" i="7"/>
  <c r="DU61" i="7"/>
  <c r="DV61" i="7"/>
  <c r="DW61" i="7"/>
  <c r="DX61" i="7"/>
  <c r="DY61" i="7"/>
  <c r="DZ61" i="7"/>
  <c r="EA61" i="7"/>
  <c r="EB61" i="7"/>
  <c r="EC61" i="7"/>
  <c r="ED61" i="7"/>
  <c r="EE61" i="7"/>
  <c r="EF61" i="7"/>
  <c r="EG61" i="7"/>
  <c r="EH61" i="7"/>
  <c r="EI61" i="7"/>
  <c r="EJ61" i="7"/>
  <c r="EK61" i="7"/>
  <c r="EL61" i="7"/>
  <c r="EM61" i="7"/>
  <c r="EN61" i="7"/>
  <c r="EO61" i="7"/>
  <c r="EP61" i="7"/>
  <c r="EQ61" i="7"/>
  <c r="ER61" i="7"/>
  <c r="ES61" i="7"/>
  <c r="ET61" i="7"/>
  <c r="EU61" i="7"/>
  <c r="EV61" i="7"/>
  <c r="EW61" i="7"/>
  <c r="EX61" i="7"/>
  <c r="EY61" i="7"/>
  <c r="EZ61" i="7"/>
  <c r="FA61" i="7"/>
  <c r="FB61" i="7"/>
  <c r="FC61" i="7"/>
  <c r="FD61" i="7"/>
  <c r="FE61" i="7"/>
  <c r="FF61" i="7"/>
  <c r="FG61" i="7"/>
  <c r="FH61" i="7"/>
  <c r="FI61" i="7"/>
  <c r="FJ61" i="7"/>
  <c r="FK61" i="7"/>
  <c r="FL61" i="7"/>
  <c r="FM61" i="7"/>
  <c r="FN61" i="7"/>
  <c r="FO61" i="7"/>
  <c r="FP61" i="7"/>
  <c r="FQ61" i="7"/>
  <c r="FR61" i="7"/>
  <c r="FS61" i="7"/>
  <c r="FT61" i="7"/>
  <c r="FU61" i="7"/>
  <c r="FV61" i="7"/>
  <c r="FW61" i="7"/>
  <c r="FX61" i="7"/>
  <c r="FY61" i="7"/>
  <c r="FZ61" i="7"/>
  <c r="GA61" i="7"/>
  <c r="GB61" i="7"/>
  <c r="GC61" i="7"/>
  <c r="GD61" i="7"/>
  <c r="GE61" i="7"/>
  <c r="GF61" i="7"/>
  <c r="GG61" i="7"/>
  <c r="GH61" i="7"/>
  <c r="GI61" i="7"/>
  <c r="GJ61" i="7"/>
  <c r="GK61" i="7"/>
  <c r="GL61" i="7"/>
  <c r="GM61" i="7"/>
  <c r="GN61" i="7"/>
  <c r="GO61" i="7"/>
  <c r="GP61" i="7"/>
  <c r="GQ61" i="7"/>
  <c r="GR61" i="7"/>
  <c r="GS61" i="7"/>
  <c r="GT61" i="7"/>
  <c r="GU61" i="7"/>
  <c r="GV61" i="7"/>
  <c r="GW61" i="7"/>
  <c r="GX61" i="7"/>
  <c r="GY61" i="7"/>
  <c r="GZ61" i="7"/>
  <c r="HA61" i="7"/>
  <c r="HB61" i="7"/>
  <c r="HC61" i="7"/>
  <c r="HD61" i="7"/>
  <c r="HE61" i="7"/>
  <c r="HF61" i="7"/>
  <c r="HG61" i="7"/>
  <c r="HH61" i="7"/>
  <c r="HI61" i="7"/>
  <c r="HJ61" i="7"/>
  <c r="HK61" i="7"/>
  <c r="HL61" i="7"/>
  <c r="HM61" i="7"/>
  <c r="HN61" i="7"/>
  <c r="HO61" i="7"/>
  <c r="HP61" i="7"/>
  <c r="HQ61" i="7"/>
  <c r="HR61" i="7"/>
  <c r="HS61" i="7"/>
  <c r="HT61" i="7"/>
  <c r="HU61" i="7"/>
  <c r="HV61" i="7"/>
  <c r="HW61" i="7"/>
  <c r="HX61" i="7"/>
  <c r="HY61" i="7"/>
  <c r="HZ61" i="7"/>
  <c r="IA61" i="7"/>
  <c r="IB61" i="7"/>
  <c r="IC61" i="7"/>
  <c r="ID61" i="7"/>
  <c r="IE61" i="7"/>
  <c r="IF61" i="7"/>
  <c r="IG61" i="7"/>
  <c r="IH61" i="7"/>
  <c r="II61" i="7"/>
  <c r="IJ61" i="7"/>
  <c r="IK61" i="7"/>
  <c r="IL61" i="7"/>
  <c r="IM61" i="7"/>
  <c r="IN61" i="7"/>
  <c r="IO61" i="7"/>
  <c r="IP61" i="7"/>
  <c r="IQ61" i="7"/>
  <c r="IR61" i="7"/>
  <c r="IS61" i="7"/>
  <c r="IT61" i="7"/>
  <c r="IU61" i="7"/>
  <c r="IV61" i="7"/>
  <c r="A62" i="7"/>
  <c r="B62" i="7"/>
  <c r="C62" i="7"/>
  <c r="D62" i="7"/>
  <c r="E62" i="7"/>
  <c r="F62" i="7"/>
  <c r="G62" i="7"/>
  <c r="H62" i="7"/>
  <c r="I62" i="7"/>
  <c r="J62" i="7"/>
  <c r="K62" i="7"/>
  <c r="L62" i="7"/>
  <c r="M62" i="7"/>
  <c r="N62" i="7"/>
  <c r="O62" i="7"/>
  <c r="P62" i="7"/>
  <c r="Q62" i="7"/>
  <c r="R62" i="7"/>
  <c r="S62" i="7"/>
  <c r="T62" i="7"/>
  <c r="U62" i="7"/>
  <c r="V62" i="7"/>
  <c r="W62" i="7"/>
  <c r="X62" i="7"/>
  <c r="Y62" i="7"/>
  <c r="Z62" i="7"/>
  <c r="AA62" i="7"/>
  <c r="AB62" i="7"/>
  <c r="AC62" i="7"/>
  <c r="AD62" i="7"/>
  <c r="AE62" i="7"/>
  <c r="AF62" i="7"/>
  <c r="AG62" i="7"/>
  <c r="AH62" i="7"/>
  <c r="AI62" i="7"/>
  <c r="AJ62" i="7"/>
  <c r="AK62" i="7"/>
  <c r="AL62" i="7"/>
  <c r="AM62" i="7"/>
  <c r="AN62" i="7"/>
  <c r="AO62" i="7"/>
  <c r="AP62" i="7"/>
  <c r="AQ62" i="7"/>
  <c r="AR62" i="7"/>
  <c r="AS62" i="7"/>
  <c r="AT62" i="7"/>
  <c r="AU62" i="7"/>
  <c r="AV62" i="7"/>
  <c r="AW62" i="7"/>
  <c r="AX62" i="7"/>
  <c r="AY62" i="7"/>
  <c r="AZ62" i="7"/>
  <c r="BA62" i="7"/>
  <c r="BB62" i="7"/>
  <c r="BC62" i="7"/>
  <c r="BD62" i="7"/>
  <c r="BE62" i="7"/>
  <c r="BF62" i="7"/>
  <c r="BG62" i="7"/>
  <c r="BH62" i="7"/>
  <c r="BI62" i="7"/>
  <c r="BJ62" i="7"/>
  <c r="BK62" i="7"/>
  <c r="BL62" i="7"/>
  <c r="BM62" i="7"/>
  <c r="BN62" i="7"/>
  <c r="BO62" i="7"/>
  <c r="BP62" i="7"/>
  <c r="BQ62" i="7"/>
  <c r="BR62" i="7"/>
  <c r="BS62" i="7"/>
  <c r="BT62" i="7"/>
  <c r="BU62" i="7"/>
  <c r="BV62" i="7"/>
  <c r="BW62" i="7"/>
  <c r="BX62" i="7"/>
  <c r="BY62" i="7"/>
  <c r="BZ62" i="7"/>
  <c r="CA62" i="7"/>
  <c r="CB62" i="7"/>
  <c r="CC62" i="7"/>
  <c r="CD62" i="7"/>
  <c r="CE62" i="7"/>
  <c r="CF62" i="7"/>
  <c r="CG62" i="7"/>
  <c r="CH62" i="7"/>
  <c r="CI62" i="7"/>
  <c r="CJ62" i="7"/>
  <c r="CK62" i="7"/>
  <c r="CL62" i="7"/>
  <c r="CM62" i="7"/>
  <c r="CN62" i="7"/>
  <c r="CO62" i="7"/>
  <c r="CP62" i="7"/>
  <c r="CQ62" i="7"/>
  <c r="CR62" i="7"/>
  <c r="CS62" i="7"/>
  <c r="CT62" i="7"/>
  <c r="CU62" i="7"/>
  <c r="CV62" i="7"/>
  <c r="CW62" i="7"/>
  <c r="CX62" i="7"/>
  <c r="CY62" i="7"/>
  <c r="CZ62" i="7"/>
  <c r="DA62" i="7"/>
  <c r="DB62" i="7"/>
  <c r="DC62" i="7"/>
  <c r="DD62" i="7"/>
  <c r="DE62" i="7"/>
  <c r="DF62" i="7"/>
  <c r="DG62" i="7"/>
  <c r="DH62" i="7"/>
  <c r="DI62" i="7"/>
  <c r="DJ62" i="7"/>
  <c r="DK62" i="7"/>
  <c r="DL62" i="7"/>
  <c r="DM62" i="7"/>
  <c r="DN62" i="7"/>
  <c r="DO62" i="7"/>
  <c r="DP62" i="7"/>
  <c r="DQ62" i="7"/>
  <c r="DR62" i="7"/>
  <c r="DS62" i="7"/>
  <c r="DT62" i="7"/>
  <c r="DU62" i="7"/>
  <c r="DV62" i="7"/>
  <c r="DW62" i="7"/>
  <c r="DX62" i="7"/>
  <c r="DY62" i="7"/>
  <c r="DZ62" i="7"/>
  <c r="EA62" i="7"/>
  <c r="EB62" i="7"/>
  <c r="EC62" i="7"/>
  <c r="ED62" i="7"/>
  <c r="EE62" i="7"/>
  <c r="EF62" i="7"/>
  <c r="EG62" i="7"/>
  <c r="EH62" i="7"/>
  <c r="EI62" i="7"/>
  <c r="EJ62" i="7"/>
  <c r="EK62" i="7"/>
  <c r="EL62" i="7"/>
  <c r="EM62" i="7"/>
  <c r="EN62" i="7"/>
  <c r="EO62" i="7"/>
  <c r="EP62" i="7"/>
  <c r="EQ62" i="7"/>
  <c r="ER62" i="7"/>
  <c r="ES62" i="7"/>
  <c r="ET62" i="7"/>
  <c r="EU62" i="7"/>
  <c r="EV62" i="7"/>
  <c r="EW62" i="7"/>
  <c r="EX62" i="7"/>
  <c r="EY62" i="7"/>
  <c r="EZ62" i="7"/>
  <c r="FA62" i="7"/>
  <c r="FB62" i="7"/>
  <c r="FC62" i="7"/>
  <c r="FD62" i="7"/>
  <c r="FE62" i="7"/>
  <c r="FF62" i="7"/>
  <c r="FG62" i="7"/>
  <c r="FH62" i="7"/>
  <c r="FI62" i="7"/>
  <c r="FJ62" i="7"/>
  <c r="FK62" i="7"/>
  <c r="FL62" i="7"/>
  <c r="FM62" i="7"/>
  <c r="FN62" i="7"/>
  <c r="FO62" i="7"/>
  <c r="FP62" i="7"/>
  <c r="FQ62" i="7"/>
  <c r="FR62" i="7"/>
  <c r="FS62" i="7"/>
  <c r="FT62" i="7"/>
  <c r="FU62" i="7"/>
  <c r="FV62" i="7"/>
  <c r="FW62" i="7"/>
  <c r="FX62" i="7"/>
  <c r="FY62" i="7"/>
  <c r="FZ62" i="7"/>
  <c r="GA62" i="7"/>
  <c r="GB62" i="7"/>
  <c r="GC62" i="7"/>
  <c r="GD62" i="7"/>
  <c r="GE62" i="7"/>
  <c r="GF62" i="7"/>
  <c r="GG62" i="7"/>
  <c r="GH62" i="7"/>
  <c r="GI62" i="7"/>
  <c r="GJ62" i="7"/>
  <c r="GK62" i="7"/>
  <c r="GL62" i="7"/>
  <c r="GM62" i="7"/>
  <c r="GN62" i="7"/>
  <c r="GO62" i="7"/>
  <c r="GP62" i="7"/>
  <c r="GQ62" i="7"/>
  <c r="GR62" i="7"/>
  <c r="GS62" i="7"/>
  <c r="GT62" i="7"/>
  <c r="GU62" i="7"/>
  <c r="GV62" i="7"/>
  <c r="GW62" i="7"/>
  <c r="GX62" i="7"/>
  <c r="GY62" i="7"/>
  <c r="GZ62" i="7"/>
  <c r="HA62" i="7"/>
  <c r="HB62" i="7"/>
  <c r="HC62" i="7"/>
  <c r="HD62" i="7"/>
  <c r="HE62" i="7"/>
  <c r="HF62" i="7"/>
  <c r="HG62" i="7"/>
  <c r="HH62" i="7"/>
  <c r="HI62" i="7"/>
  <c r="HJ62" i="7"/>
  <c r="HK62" i="7"/>
  <c r="HL62" i="7"/>
  <c r="HM62" i="7"/>
  <c r="HN62" i="7"/>
  <c r="HO62" i="7"/>
  <c r="HP62" i="7"/>
  <c r="HQ62" i="7"/>
  <c r="HR62" i="7"/>
  <c r="HS62" i="7"/>
  <c r="HT62" i="7"/>
  <c r="HU62" i="7"/>
  <c r="HV62" i="7"/>
  <c r="HW62" i="7"/>
  <c r="HX62" i="7"/>
  <c r="HY62" i="7"/>
  <c r="HZ62" i="7"/>
  <c r="IA62" i="7"/>
  <c r="IB62" i="7"/>
  <c r="IC62" i="7"/>
  <c r="ID62" i="7"/>
  <c r="IE62" i="7"/>
  <c r="IF62" i="7"/>
  <c r="IG62" i="7"/>
  <c r="IH62" i="7"/>
  <c r="II62" i="7"/>
  <c r="IJ62" i="7"/>
  <c r="IK62" i="7"/>
  <c r="IL62" i="7"/>
  <c r="IM62" i="7"/>
  <c r="IN62" i="7"/>
  <c r="IO62" i="7"/>
  <c r="IP62" i="7"/>
  <c r="IQ62" i="7"/>
  <c r="IR62" i="7"/>
  <c r="IS62" i="7"/>
  <c r="IT62" i="7"/>
  <c r="IU62" i="7"/>
  <c r="IV62" i="7"/>
  <c r="A63" i="7"/>
  <c r="B63" i="7"/>
  <c r="C63" i="7"/>
  <c r="D63" i="7"/>
  <c r="E63" i="7"/>
  <c r="F63" i="7"/>
  <c r="G63" i="7"/>
  <c r="H63" i="7"/>
  <c r="I63" i="7"/>
  <c r="J63" i="7"/>
  <c r="K63" i="7"/>
  <c r="L63" i="7"/>
  <c r="M63" i="7"/>
  <c r="N63" i="7"/>
  <c r="O63" i="7"/>
  <c r="P63" i="7"/>
  <c r="Q63" i="7"/>
  <c r="R63" i="7"/>
  <c r="S63" i="7"/>
  <c r="T63" i="7"/>
  <c r="U63" i="7"/>
  <c r="V63" i="7"/>
  <c r="W63" i="7"/>
  <c r="X63" i="7"/>
  <c r="Y63" i="7"/>
  <c r="Z63" i="7"/>
  <c r="AA63" i="7"/>
  <c r="AB63" i="7"/>
  <c r="AC63" i="7"/>
  <c r="AD63" i="7"/>
  <c r="AE63" i="7"/>
  <c r="AF63" i="7"/>
  <c r="AG63" i="7"/>
  <c r="AH63" i="7"/>
  <c r="AI63" i="7"/>
  <c r="AJ63" i="7"/>
  <c r="AK63" i="7"/>
  <c r="AL63" i="7"/>
  <c r="AM63" i="7"/>
  <c r="AN63" i="7"/>
  <c r="AO63" i="7"/>
  <c r="AP63" i="7"/>
  <c r="AQ63" i="7"/>
  <c r="AR63" i="7"/>
  <c r="AS63" i="7"/>
  <c r="AT63" i="7"/>
  <c r="AU63" i="7"/>
  <c r="AV63" i="7"/>
  <c r="AW63" i="7"/>
  <c r="AX63" i="7"/>
  <c r="AY63" i="7"/>
  <c r="AZ63" i="7"/>
  <c r="BA63" i="7"/>
  <c r="BB63" i="7"/>
  <c r="BC63" i="7"/>
  <c r="BD63" i="7"/>
  <c r="BE63" i="7"/>
  <c r="BF63" i="7"/>
  <c r="BG63" i="7"/>
  <c r="BH63" i="7"/>
  <c r="BI63" i="7"/>
  <c r="BJ63" i="7"/>
  <c r="BK63" i="7"/>
  <c r="BL63" i="7"/>
  <c r="BM63" i="7"/>
  <c r="BN63" i="7"/>
  <c r="BO63" i="7"/>
  <c r="BP63" i="7"/>
  <c r="BQ63" i="7"/>
  <c r="BR63" i="7"/>
  <c r="BS63" i="7"/>
  <c r="BT63" i="7"/>
  <c r="BU63" i="7"/>
  <c r="BV63" i="7"/>
  <c r="BW63" i="7"/>
  <c r="BX63" i="7"/>
  <c r="BY63" i="7"/>
  <c r="BZ63" i="7"/>
  <c r="CA63" i="7"/>
  <c r="CB63" i="7"/>
  <c r="CC63" i="7"/>
  <c r="CD63" i="7"/>
  <c r="CE63" i="7"/>
  <c r="CF63" i="7"/>
  <c r="CG63" i="7"/>
  <c r="CH63" i="7"/>
  <c r="CI63" i="7"/>
  <c r="CJ63" i="7"/>
  <c r="CK63" i="7"/>
  <c r="CL63" i="7"/>
  <c r="CM63" i="7"/>
  <c r="CN63" i="7"/>
  <c r="CO63" i="7"/>
  <c r="CP63" i="7"/>
  <c r="CQ63" i="7"/>
  <c r="CR63" i="7"/>
  <c r="CS63" i="7"/>
  <c r="CT63" i="7"/>
  <c r="CU63" i="7"/>
  <c r="CV63" i="7"/>
  <c r="CW63" i="7"/>
  <c r="CX63" i="7"/>
  <c r="CY63" i="7"/>
  <c r="CZ63" i="7"/>
  <c r="DA63" i="7"/>
  <c r="DB63" i="7"/>
  <c r="DC63" i="7"/>
  <c r="DD63" i="7"/>
  <c r="DE63" i="7"/>
  <c r="DF63" i="7"/>
  <c r="DG63" i="7"/>
  <c r="DH63" i="7"/>
  <c r="DI63" i="7"/>
  <c r="DJ63" i="7"/>
  <c r="DK63" i="7"/>
  <c r="DL63" i="7"/>
  <c r="DM63" i="7"/>
  <c r="DN63" i="7"/>
  <c r="DO63" i="7"/>
  <c r="DP63" i="7"/>
  <c r="DQ63" i="7"/>
  <c r="DR63" i="7"/>
  <c r="DS63" i="7"/>
  <c r="DT63" i="7"/>
  <c r="DU63" i="7"/>
  <c r="DV63" i="7"/>
  <c r="DW63" i="7"/>
  <c r="DX63" i="7"/>
  <c r="DY63" i="7"/>
  <c r="DZ63" i="7"/>
  <c r="EA63" i="7"/>
  <c r="EB63" i="7"/>
  <c r="EC63" i="7"/>
  <c r="ED63" i="7"/>
  <c r="EE63" i="7"/>
  <c r="EF63" i="7"/>
  <c r="EG63" i="7"/>
  <c r="EH63" i="7"/>
  <c r="EI63" i="7"/>
  <c r="EJ63" i="7"/>
  <c r="EK63" i="7"/>
  <c r="EL63" i="7"/>
  <c r="EM63" i="7"/>
  <c r="EN63" i="7"/>
  <c r="EO63" i="7"/>
  <c r="EP63" i="7"/>
  <c r="EQ63" i="7"/>
  <c r="ER63" i="7"/>
  <c r="ES63" i="7"/>
  <c r="ET63" i="7"/>
  <c r="EU63" i="7"/>
  <c r="EV63" i="7"/>
  <c r="EW63" i="7"/>
  <c r="EX63" i="7"/>
  <c r="EY63" i="7"/>
  <c r="EZ63" i="7"/>
  <c r="FA63" i="7"/>
  <c r="FB63" i="7"/>
  <c r="FC63" i="7"/>
  <c r="FD63" i="7"/>
  <c r="FE63" i="7"/>
  <c r="FF63" i="7"/>
  <c r="FG63" i="7"/>
  <c r="FH63" i="7"/>
  <c r="FI63" i="7"/>
  <c r="FJ63" i="7"/>
  <c r="FK63" i="7"/>
  <c r="FL63" i="7"/>
  <c r="FM63" i="7"/>
  <c r="FN63" i="7"/>
  <c r="FO63" i="7"/>
  <c r="FP63" i="7"/>
  <c r="FQ63" i="7"/>
  <c r="FR63" i="7"/>
  <c r="FS63" i="7"/>
  <c r="FT63" i="7"/>
  <c r="FU63" i="7"/>
  <c r="FV63" i="7"/>
  <c r="FW63" i="7"/>
  <c r="FX63" i="7"/>
  <c r="FY63" i="7"/>
  <c r="FZ63" i="7"/>
  <c r="GA63" i="7"/>
  <c r="GB63" i="7"/>
  <c r="GC63" i="7"/>
  <c r="GD63" i="7"/>
  <c r="GE63" i="7"/>
  <c r="GF63" i="7"/>
  <c r="GG63" i="7"/>
  <c r="GH63" i="7"/>
  <c r="GI63" i="7"/>
  <c r="GJ63" i="7"/>
  <c r="GK63" i="7"/>
  <c r="GL63" i="7"/>
  <c r="GM63" i="7"/>
  <c r="GN63" i="7"/>
  <c r="GO63" i="7"/>
  <c r="GP63" i="7"/>
  <c r="GQ63" i="7"/>
  <c r="GR63" i="7"/>
  <c r="GS63" i="7"/>
  <c r="GT63" i="7"/>
  <c r="GU63" i="7"/>
  <c r="GV63" i="7"/>
  <c r="GW63" i="7"/>
  <c r="GX63" i="7"/>
  <c r="GY63" i="7"/>
  <c r="GZ63" i="7"/>
  <c r="HA63" i="7"/>
  <c r="HB63" i="7"/>
  <c r="HC63" i="7"/>
  <c r="HD63" i="7"/>
  <c r="HE63" i="7"/>
  <c r="HF63" i="7"/>
  <c r="HG63" i="7"/>
  <c r="HH63" i="7"/>
  <c r="HI63" i="7"/>
  <c r="HJ63" i="7"/>
  <c r="HK63" i="7"/>
  <c r="HL63" i="7"/>
  <c r="HM63" i="7"/>
  <c r="HN63" i="7"/>
  <c r="HO63" i="7"/>
  <c r="HP63" i="7"/>
  <c r="HQ63" i="7"/>
  <c r="HR63" i="7"/>
  <c r="HS63" i="7"/>
  <c r="HT63" i="7"/>
  <c r="HU63" i="7"/>
  <c r="HV63" i="7"/>
  <c r="HW63" i="7"/>
  <c r="HX63" i="7"/>
  <c r="HY63" i="7"/>
  <c r="HZ63" i="7"/>
  <c r="IA63" i="7"/>
  <c r="IB63" i="7"/>
  <c r="IC63" i="7"/>
  <c r="ID63" i="7"/>
  <c r="IE63" i="7"/>
  <c r="IF63" i="7"/>
  <c r="IG63" i="7"/>
  <c r="IH63" i="7"/>
  <c r="II63" i="7"/>
  <c r="IJ63" i="7"/>
  <c r="IK63" i="7"/>
  <c r="IL63" i="7"/>
  <c r="IM63" i="7"/>
  <c r="IN63" i="7"/>
  <c r="IO63" i="7"/>
  <c r="IP63" i="7"/>
  <c r="IQ63" i="7"/>
  <c r="IR63" i="7"/>
  <c r="IS63" i="7"/>
  <c r="IT63" i="7"/>
  <c r="IU63" i="7"/>
  <c r="IV63" i="7"/>
  <c r="A64" i="7"/>
  <c r="B64" i="7"/>
  <c r="C64" i="7"/>
  <c r="D64" i="7"/>
  <c r="E64" i="7"/>
  <c r="F64" i="7"/>
  <c r="G64" i="7"/>
  <c r="H64" i="7"/>
  <c r="I64" i="7"/>
  <c r="J64" i="7"/>
  <c r="K64" i="7"/>
  <c r="L64" i="7"/>
  <c r="M64" i="7"/>
  <c r="N64" i="7"/>
  <c r="O64" i="7"/>
  <c r="P64" i="7"/>
  <c r="Q64" i="7"/>
  <c r="R64" i="7"/>
  <c r="S64" i="7"/>
  <c r="T64" i="7"/>
  <c r="U64" i="7"/>
  <c r="V64" i="7"/>
  <c r="W64" i="7"/>
  <c r="X64" i="7"/>
  <c r="Y64" i="7"/>
  <c r="Z64" i="7"/>
  <c r="AA64" i="7"/>
  <c r="AB64" i="7"/>
  <c r="AC64" i="7"/>
  <c r="AD64" i="7"/>
  <c r="AE64" i="7"/>
  <c r="AF64" i="7"/>
  <c r="AG64" i="7"/>
  <c r="AH64" i="7"/>
  <c r="AI64" i="7"/>
  <c r="AJ64" i="7"/>
  <c r="AK64" i="7"/>
  <c r="AL64" i="7"/>
  <c r="AM64" i="7"/>
  <c r="AN64" i="7"/>
  <c r="AO64" i="7"/>
  <c r="AP64" i="7"/>
  <c r="AQ64" i="7"/>
  <c r="AR64" i="7"/>
  <c r="AS64" i="7"/>
  <c r="AT64" i="7"/>
  <c r="AU64" i="7"/>
  <c r="AV64" i="7"/>
  <c r="AW64" i="7"/>
  <c r="AX64" i="7"/>
  <c r="AY64" i="7"/>
  <c r="AZ64" i="7"/>
  <c r="BA64" i="7"/>
  <c r="BB64" i="7"/>
  <c r="BC64" i="7"/>
  <c r="BD64" i="7"/>
  <c r="BE64" i="7"/>
  <c r="BF64" i="7"/>
  <c r="BG64" i="7"/>
  <c r="BH64" i="7"/>
  <c r="BI64" i="7"/>
  <c r="BJ64" i="7"/>
  <c r="BK64" i="7"/>
  <c r="BL64" i="7"/>
  <c r="BM64" i="7"/>
  <c r="BN64" i="7"/>
  <c r="BO64" i="7"/>
  <c r="BP64" i="7"/>
  <c r="BQ64" i="7"/>
  <c r="BR64" i="7"/>
  <c r="BS64" i="7"/>
  <c r="BT64" i="7"/>
  <c r="BU64" i="7"/>
  <c r="BV64" i="7"/>
  <c r="BW64" i="7"/>
  <c r="BX64" i="7"/>
  <c r="BY64" i="7"/>
  <c r="BZ64" i="7"/>
  <c r="CA64" i="7"/>
  <c r="CB64" i="7"/>
  <c r="CC64" i="7"/>
  <c r="CD64" i="7"/>
  <c r="CE64" i="7"/>
  <c r="CF64" i="7"/>
  <c r="CG64" i="7"/>
  <c r="CH64" i="7"/>
  <c r="CI64" i="7"/>
  <c r="CJ64" i="7"/>
  <c r="CK64" i="7"/>
  <c r="CL64" i="7"/>
  <c r="CM64" i="7"/>
  <c r="CN64" i="7"/>
  <c r="CO64" i="7"/>
  <c r="CP64" i="7"/>
  <c r="CQ64" i="7"/>
  <c r="CR64" i="7"/>
  <c r="CS64" i="7"/>
  <c r="CT64" i="7"/>
  <c r="CU64" i="7"/>
  <c r="CV64" i="7"/>
  <c r="CW64" i="7"/>
  <c r="CX64" i="7"/>
  <c r="CY64" i="7"/>
  <c r="CZ64" i="7"/>
  <c r="DA64" i="7"/>
  <c r="DB64" i="7"/>
  <c r="DC64" i="7"/>
  <c r="DD64" i="7"/>
  <c r="DE64" i="7"/>
  <c r="DF64" i="7"/>
  <c r="DG64" i="7"/>
  <c r="DH64" i="7"/>
  <c r="DI64" i="7"/>
  <c r="DJ64" i="7"/>
  <c r="DK64" i="7"/>
  <c r="DL64" i="7"/>
  <c r="DM64" i="7"/>
  <c r="DN64" i="7"/>
  <c r="DO64" i="7"/>
  <c r="DP64" i="7"/>
  <c r="DQ64" i="7"/>
  <c r="DR64" i="7"/>
  <c r="DS64" i="7"/>
  <c r="DT64" i="7"/>
  <c r="DU64" i="7"/>
  <c r="DV64" i="7"/>
  <c r="DW64" i="7"/>
  <c r="DX64" i="7"/>
  <c r="DY64" i="7"/>
  <c r="DZ64" i="7"/>
  <c r="EA64" i="7"/>
  <c r="EB64" i="7"/>
  <c r="EC64" i="7"/>
  <c r="ED64" i="7"/>
  <c r="EE64" i="7"/>
  <c r="EF64" i="7"/>
  <c r="EG64" i="7"/>
  <c r="EH64" i="7"/>
  <c r="EI64" i="7"/>
  <c r="EJ64" i="7"/>
  <c r="EK64" i="7"/>
  <c r="EL64" i="7"/>
  <c r="EM64" i="7"/>
  <c r="EN64" i="7"/>
  <c r="EO64" i="7"/>
  <c r="EP64" i="7"/>
  <c r="EQ64" i="7"/>
  <c r="ER64" i="7"/>
  <c r="ES64" i="7"/>
  <c r="ET64" i="7"/>
  <c r="EU64" i="7"/>
  <c r="EV64" i="7"/>
  <c r="EW64" i="7"/>
  <c r="EX64" i="7"/>
  <c r="EY64" i="7"/>
  <c r="EZ64" i="7"/>
  <c r="FA64" i="7"/>
  <c r="FB64" i="7"/>
  <c r="FC64" i="7"/>
  <c r="FD64" i="7"/>
  <c r="FE64" i="7"/>
  <c r="FF64" i="7"/>
  <c r="FG64" i="7"/>
  <c r="FH64" i="7"/>
  <c r="FI64" i="7"/>
  <c r="FJ64" i="7"/>
  <c r="FK64" i="7"/>
  <c r="FL64" i="7"/>
  <c r="FM64" i="7"/>
  <c r="FN64" i="7"/>
  <c r="FO64" i="7"/>
  <c r="FP64" i="7"/>
  <c r="FQ64" i="7"/>
  <c r="FR64" i="7"/>
  <c r="FS64" i="7"/>
  <c r="FT64" i="7"/>
  <c r="FU64" i="7"/>
  <c r="FV64" i="7"/>
  <c r="FW64" i="7"/>
  <c r="FX64" i="7"/>
  <c r="FY64" i="7"/>
  <c r="FZ64" i="7"/>
  <c r="GA64" i="7"/>
  <c r="GB64" i="7"/>
  <c r="GC64" i="7"/>
  <c r="GD64" i="7"/>
  <c r="GE64" i="7"/>
  <c r="GF64" i="7"/>
  <c r="GG64" i="7"/>
  <c r="GH64" i="7"/>
  <c r="GI64" i="7"/>
  <c r="GJ64" i="7"/>
  <c r="GK64" i="7"/>
  <c r="GL64" i="7"/>
  <c r="GM64" i="7"/>
  <c r="GN64" i="7"/>
  <c r="GO64" i="7"/>
  <c r="GP64" i="7"/>
  <c r="GQ64" i="7"/>
  <c r="GR64" i="7"/>
  <c r="GS64" i="7"/>
  <c r="GT64" i="7"/>
  <c r="GU64" i="7"/>
  <c r="GV64" i="7"/>
  <c r="GW64" i="7"/>
  <c r="GX64" i="7"/>
  <c r="GY64" i="7"/>
  <c r="GZ64" i="7"/>
  <c r="HA64" i="7"/>
  <c r="HB64" i="7"/>
  <c r="HC64" i="7"/>
  <c r="HD64" i="7"/>
  <c r="HE64" i="7"/>
  <c r="HF64" i="7"/>
  <c r="HG64" i="7"/>
  <c r="HH64" i="7"/>
  <c r="HI64" i="7"/>
  <c r="HJ64" i="7"/>
  <c r="HK64" i="7"/>
  <c r="HL64" i="7"/>
  <c r="HM64" i="7"/>
  <c r="HN64" i="7"/>
  <c r="HO64" i="7"/>
  <c r="HP64" i="7"/>
  <c r="HQ64" i="7"/>
  <c r="HR64" i="7"/>
  <c r="HS64" i="7"/>
  <c r="HT64" i="7"/>
  <c r="HU64" i="7"/>
  <c r="HV64" i="7"/>
  <c r="HW64" i="7"/>
  <c r="HX64" i="7"/>
  <c r="HY64" i="7"/>
  <c r="HZ64" i="7"/>
  <c r="IA64" i="7"/>
  <c r="IB64" i="7"/>
  <c r="IC64" i="7"/>
  <c r="ID64" i="7"/>
  <c r="IE64" i="7"/>
  <c r="IF64" i="7"/>
  <c r="IG64" i="7"/>
  <c r="IH64" i="7"/>
  <c r="II64" i="7"/>
  <c r="IJ64" i="7"/>
  <c r="IK64" i="7"/>
  <c r="IL64" i="7"/>
  <c r="IM64" i="7"/>
  <c r="IN64" i="7"/>
  <c r="IO64" i="7"/>
  <c r="IP64" i="7"/>
  <c r="IQ64" i="7"/>
  <c r="IR64" i="7"/>
  <c r="IS64" i="7"/>
  <c r="IT64" i="7"/>
  <c r="IU64" i="7"/>
  <c r="IV64" i="7"/>
  <c r="A65" i="7"/>
  <c r="B65" i="7"/>
  <c r="C65" i="7"/>
  <c r="D65" i="7"/>
  <c r="E65" i="7"/>
  <c r="F65" i="7"/>
  <c r="G65" i="7"/>
  <c r="H65" i="7"/>
  <c r="I65" i="7"/>
  <c r="J65" i="7"/>
  <c r="K65" i="7"/>
  <c r="L65" i="7"/>
  <c r="M65" i="7"/>
  <c r="N65" i="7"/>
  <c r="O65" i="7"/>
  <c r="P65" i="7"/>
  <c r="Q65" i="7"/>
  <c r="R65" i="7"/>
  <c r="S65" i="7"/>
  <c r="T65" i="7"/>
  <c r="U65" i="7"/>
  <c r="V65" i="7"/>
  <c r="W65" i="7"/>
  <c r="X65" i="7"/>
  <c r="Y65" i="7"/>
  <c r="Z65" i="7"/>
  <c r="AA65" i="7"/>
  <c r="AB65" i="7"/>
  <c r="AC65" i="7"/>
  <c r="AD65" i="7"/>
  <c r="AE65" i="7"/>
  <c r="AF65" i="7"/>
  <c r="AG65" i="7"/>
  <c r="AH65" i="7"/>
  <c r="AI65" i="7"/>
  <c r="AJ65" i="7"/>
  <c r="AK65" i="7"/>
  <c r="AL65" i="7"/>
  <c r="AM65" i="7"/>
  <c r="AN65" i="7"/>
  <c r="AO65" i="7"/>
  <c r="AP65" i="7"/>
  <c r="AQ65" i="7"/>
  <c r="AR65" i="7"/>
  <c r="AS65" i="7"/>
  <c r="AT65" i="7"/>
  <c r="AU65" i="7"/>
  <c r="AV65" i="7"/>
  <c r="AW65" i="7"/>
  <c r="AX65" i="7"/>
  <c r="AY65" i="7"/>
  <c r="AZ65" i="7"/>
  <c r="BA65" i="7"/>
  <c r="BB65" i="7"/>
  <c r="BC65" i="7"/>
  <c r="BD65" i="7"/>
  <c r="BE65" i="7"/>
  <c r="BF65" i="7"/>
  <c r="BG65" i="7"/>
  <c r="BH65" i="7"/>
  <c r="BI65" i="7"/>
  <c r="BJ65" i="7"/>
  <c r="BK65" i="7"/>
  <c r="BL65" i="7"/>
  <c r="BM65" i="7"/>
  <c r="BN65" i="7"/>
  <c r="BO65" i="7"/>
  <c r="BP65" i="7"/>
  <c r="BQ65" i="7"/>
  <c r="BR65" i="7"/>
  <c r="BS65" i="7"/>
  <c r="BT65" i="7"/>
  <c r="BU65" i="7"/>
  <c r="BV65" i="7"/>
  <c r="BW65" i="7"/>
  <c r="BX65" i="7"/>
  <c r="BY65" i="7"/>
  <c r="BZ65" i="7"/>
  <c r="CA65" i="7"/>
  <c r="CB65" i="7"/>
  <c r="CC65" i="7"/>
  <c r="CD65" i="7"/>
  <c r="CE65" i="7"/>
  <c r="CF65" i="7"/>
  <c r="CG65" i="7"/>
  <c r="CH65" i="7"/>
  <c r="CI65" i="7"/>
  <c r="CJ65" i="7"/>
  <c r="CK65" i="7"/>
  <c r="CL65" i="7"/>
  <c r="CM65" i="7"/>
  <c r="CN65" i="7"/>
  <c r="CO65" i="7"/>
  <c r="CP65" i="7"/>
  <c r="CQ65" i="7"/>
  <c r="CR65" i="7"/>
  <c r="CS65" i="7"/>
  <c r="CT65" i="7"/>
  <c r="CU65" i="7"/>
  <c r="CV65" i="7"/>
  <c r="CW65" i="7"/>
  <c r="CX65" i="7"/>
  <c r="CY65" i="7"/>
  <c r="CZ65" i="7"/>
  <c r="DA65" i="7"/>
  <c r="DB65" i="7"/>
  <c r="DC65" i="7"/>
  <c r="DD65" i="7"/>
  <c r="DE65" i="7"/>
  <c r="DF65" i="7"/>
  <c r="DG65" i="7"/>
  <c r="DH65" i="7"/>
  <c r="DI65" i="7"/>
  <c r="DJ65" i="7"/>
  <c r="DK65" i="7"/>
  <c r="DL65" i="7"/>
  <c r="DM65" i="7"/>
  <c r="DN65" i="7"/>
  <c r="DO65" i="7"/>
  <c r="DP65" i="7"/>
  <c r="DQ65" i="7"/>
  <c r="DR65" i="7"/>
  <c r="DS65" i="7"/>
  <c r="DT65" i="7"/>
  <c r="DU65" i="7"/>
  <c r="DV65" i="7"/>
  <c r="DW65" i="7"/>
  <c r="DX65" i="7"/>
  <c r="DY65" i="7"/>
  <c r="DZ65" i="7"/>
  <c r="EA65" i="7"/>
  <c r="EB65" i="7"/>
  <c r="EC65" i="7"/>
  <c r="ED65" i="7"/>
  <c r="EE65" i="7"/>
  <c r="EF65" i="7"/>
  <c r="EG65" i="7"/>
  <c r="EH65" i="7"/>
  <c r="EI65" i="7"/>
  <c r="EJ65" i="7"/>
  <c r="EK65" i="7"/>
  <c r="EL65" i="7"/>
  <c r="EM65" i="7"/>
  <c r="EN65" i="7"/>
  <c r="EO65" i="7"/>
  <c r="EP65" i="7"/>
  <c r="EQ65" i="7"/>
  <c r="ER65" i="7"/>
  <c r="ES65" i="7"/>
  <c r="ET65" i="7"/>
  <c r="EU65" i="7"/>
  <c r="EV65" i="7"/>
  <c r="EW65" i="7"/>
  <c r="EX65" i="7"/>
  <c r="EY65" i="7"/>
  <c r="EZ65" i="7"/>
  <c r="FA65" i="7"/>
  <c r="FB65" i="7"/>
  <c r="FC65" i="7"/>
  <c r="FD65" i="7"/>
  <c r="FE65" i="7"/>
  <c r="FF65" i="7"/>
  <c r="FG65" i="7"/>
  <c r="FH65" i="7"/>
  <c r="FI65" i="7"/>
  <c r="FJ65" i="7"/>
  <c r="FK65" i="7"/>
  <c r="FL65" i="7"/>
  <c r="FM65" i="7"/>
  <c r="FN65" i="7"/>
  <c r="FO65" i="7"/>
  <c r="FP65" i="7"/>
  <c r="FQ65" i="7"/>
  <c r="FR65" i="7"/>
  <c r="FS65" i="7"/>
  <c r="FT65" i="7"/>
  <c r="FU65" i="7"/>
  <c r="FV65" i="7"/>
  <c r="FW65" i="7"/>
  <c r="FX65" i="7"/>
  <c r="FY65" i="7"/>
  <c r="FZ65" i="7"/>
  <c r="GA65" i="7"/>
  <c r="GB65" i="7"/>
  <c r="GC65" i="7"/>
  <c r="GD65" i="7"/>
  <c r="GE65" i="7"/>
  <c r="GF65" i="7"/>
  <c r="GG65" i="7"/>
  <c r="GH65" i="7"/>
  <c r="GI65" i="7"/>
  <c r="GJ65" i="7"/>
  <c r="GK65" i="7"/>
  <c r="GL65" i="7"/>
  <c r="GM65" i="7"/>
  <c r="GN65" i="7"/>
  <c r="GO65" i="7"/>
  <c r="GP65" i="7"/>
  <c r="GQ65" i="7"/>
  <c r="GR65" i="7"/>
  <c r="GS65" i="7"/>
  <c r="GT65" i="7"/>
  <c r="GU65" i="7"/>
  <c r="GV65" i="7"/>
  <c r="GW65" i="7"/>
  <c r="GX65" i="7"/>
  <c r="GY65" i="7"/>
  <c r="GZ65" i="7"/>
  <c r="HA65" i="7"/>
  <c r="HB65" i="7"/>
  <c r="HC65" i="7"/>
  <c r="HD65" i="7"/>
  <c r="HE65" i="7"/>
  <c r="HF65" i="7"/>
  <c r="HG65" i="7"/>
  <c r="HH65" i="7"/>
  <c r="HI65" i="7"/>
  <c r="HJ65" i="7"/>
  <c r="HK65" i="7"/>
  <c r="HL65" i="7"/>
  <c r="HM65" i="7"/>
  <c r="HN65" i="7"/>
  <c r="HO65" i="7"/>
  <c r="HP65" i="7"/>
  <c r="HQ65" i="7"/>
  <c r="HR65" i="7"/>
  <c r="HS65" i="7"/>
  <c r="HT65" i="7"/>
  <c r="HU65" i="7"/>
  <c r="HV65" i="7"/>
  <c r="HW65" i="7"/>
  <c r="HX65" i="7"/>
  <c r="HY65" i="7"/>
  <c r="HZ65" i="7"/>
  <c r="IA65" i="7"/>
  <c r="IB65" i="7"/>
  <c r="IC65" i="7"/>
  <c r="ID65" i="7"/>
  <c r="IE65" i="7"/>
  <c r="IF65" i="7"/>
  <c r="IG65" i="7"/>
  <c r="IH65" i="7"/>
  <c r="II65" i="7"/>
  <c r="IJ65" i="7"/>
  <c r="IK65" i="7"/>
  <c r="IL65" i="7"/>
  <c r="IM65" i="7"/>
  <c r="IN65" i="7"/>
  <c r="IO65" i="7"/>
  <c r="IP65" i="7"/>
  <c r="IQ65" i="7"/>
  <c r="IR65" i="7"/>
  <c r="IS65" i="7"/>
  <c r="IT65" i="7"/>
  <c r="IU65" i="7"/>
  <c r="IV65" i="7"/>
  <c r="A66" i="7"/>
  <c r="B66" i="7"/>
  <c r="C66" i="7"/>
  <c r="D66" i="7"/>
  <c r="E66" i="7"/>
  <c r="F66" i="7"/>
  <c r="G66" i="7"/>
  <c r="H66" i="7"/>
  <c r="I66" i="7"/>
  <c r="J66" i="7"/>
  <c r="K66" i="7"/>
  <c r="L66" i="7"/>
  <c r="M66" i="7"/>
  <c r="N66" i="7"/>
  <c r="O66" i="7"/>
  <c r="P66" i="7"/>
  <c r="Q66" i="7"/>
  <c r="R66" i="7"/>
  <c r="S66" i="7"/>
  <c r="T66" i="7"/>
  <c r="U66" i="7"/>
  <c r="V66" i="7"/>
  <c r="W66" i="7"/>
  <c r="X66" i="7"/>
  <c r="Y66" i="7"/>
  <c r="Z66" i="7"/>
  <c r="AA66" i="7"/>
  <c r="AB66" i="7"/>
  <c r="AC66" i="7"/>
  <c r="AD66" i="7"/>
  <c r="AE66" i="7"/>
  <c r="AF66" i="7"/>
  <c r="AG66" i="7"/>
  <c r="AH66" i="7"/>
  <c r="AI66" i="7"/>
  <c r="AJ66" i="7"/>
  <c r="AK66" i="7"/>
  <c r="AL66" i="7"/>
  <c r="AM66" i="7"/>
  <c r="AN66" i="7"/>
  <c r="AO66" i="7"/>
  <c r="AP66" i="7"/>
  <c r="AQ66" i="7"/>
  <c r="AR66" i="7"/>
  <c r="AS66" i="7"/>
  <c r="AT66" i="7"/>
  <c r="AU66" i="7"/>
  <c r="AV66" i="7"/>
  <c r="AW66" i="7"/>
  <c r="AX66" i="7"/>
  <c r="AY66" i="7"/>
  <c r="AZ66" i="7"/>
  <c r="BA66" i="7"/>
  <c r="BB66" i="7"/>
  <c r="BC66" i="7"/>
  <c r="BD66" i="7"/>
  <c r="BE66" i="7"/>
  <c r="BF66" i="7"/>
  <c r="BG66" i="7"/>
  <c r="BH66" i="7"/>
  <c r="BI66" i="7"/>
  <c r="BJ66" i="7"/>
  <c r="BK66" i="7"/>
  <c r="BL66" i="7"/>
  <c r="BM66" i="7"/>
  <c r="BN66" i="7"/>
  <c r="BO66" i="7"/>
  <c r="BP66" i="7"/>
  <c r="BQ66" i="7"/>
  <c r="BR66" i="7"/>
  <c r="BS66" i="7"/>
  <c r="BT66" i="7"/>
  <c r="BU66" i="7"/>
  <c r="BV66" i="7"/>
  <c r="BW66" i="7"/>
  <c r="BX66" i="7"/>
  <c r="BY66" i="7"/>
  <c r="BZ66" i="7"/>
  <c r="CA66" i="7"/>
  <c r="CB66" i="7"/>
  <c r="CC66" i="7"/>
  <c r="CD66" i="7"/>
  <c r="CE66" i="7"/>
  <c r="CF66" i="7"/>
  <c r="CG66" i="7"/>
  <c r="CH66" i="7"/>
  <c r="CI66" i="7"/>
  <c r="CJ66" i="7"/>
  <c r="CK66" i="7"/>
  <c r="CL66" i="7"/>
  <c r="CM66" i="7"/>
  <c r="CN66" i="7"/>
  <c r="CO66" i="7"/>
  <c r="CP66" i="7"/>
  <c r="CQ66" i="7"/>
  <c r="CR66" i="7"/>
  <c r="CS66" i="7"/>
  <c r="CT66" i="7"/>
  <c r="CU66" i="7"/>
  <c r="CV66" i="7"/>
  <c r="CW66" i="7"/>
  <c r="CX66" i="7"/>
  <c r="CY66" i="7"/>
  <c r="CZ66" i="7"/>
  <c r="DA66" i="7"/>
  <c r="DB66" i="7"/>
  <c r="DC66" i="7"/>
  <c r="DD66" i="7"/>
  <c r="DE66" i="7"/>
  <c r="DF66" i="7"/>
  <c r="DG66" i="7"/>
  <c r="DH66" i="7"/>
  <c r="DI66" i="7"/>
  <c r="DJ66" i="7"/>
  <c r="DK66" i="7"/>
  <c r="DL66" i="7"/>
  <c r="DM66" i="7"/>
  <c r="DN66" i="7"/>
  <c r="DO66" i="7"/>
  <c r="DP66" i="7"/>
  <c r="DQ66" i="7"/>
  <c r="DR66" i="7"/>
  <c r="DS66" i="7"/>
  <c r="DT66" i="7"/>
  <c r="DU66" i="7"/>
  <c r="DV66" i="7"/>
  <c r="DW66" i="7"/>
  <c r="DX66" i="7"/>
  <c r="DY66" i="7"/>
  <c r="DZ66" i="7"/>
  <c r="EA66" i="7"/>
  <c r="EB66" i="7"/>
  <c r="EC66" i="7"/>
  <c r="ED66" i="7"/>
  <c r="EE66" i="7"/>
  <c r="EF66" i="7"/>
  <c r="EG66" i="7"/>
  <c r="EH66" i="7"/>
  <c r="EI66" i="7"/>
  <c r="EJ66" i="7"/>
  <c r="EK66" i="7"/>
  <c r="EL66" i="7"/>
  <c r="EM66" i="7"/>
  <c r="EN66" i="7"/>
  <c r="EO66" i="7"/>
  <c r="EP66" i="7"/>
  <c r="EQ66" i="7"/>
  <c r="ER66" i="7"/>
  <c r="ES66" i="7"/>
  <c r="ET66" i="7"/>
  <c r="EU66" i="7"/>
  <c r="EV66" i="7"/>
  <c r="EW66" i="7"/>
  <c r="EX66" i="7"/>
  <c r="EY66" i="7"/>
  <c r="EZ66" i="7"/>
  <c r="FA66" i="7"/>
  <c r="FB66" i="7"/>
  <c r="FC66" i="7"/>
  <c r="FD66" i="7"/>
  <c r="FE66" i="7"/>
  <c r="FF66" i="7"/>
  <c r="FG66" i="7"/>
  <c r="FH66" i="7"/>
  <c r="FI66" i="7"/>
  <c r="FJ66" i="7"/>
  <c r="FK66" i="7"/>
  <c r="FL66" i="7"/>
  <c r="FM66" i="7"/>
  <c r="FN66" i="7"/>
  <c r="FO66" i="7"/>
  <c r="FP66" i="7"/>
  <c r="FQ66" i="7"/>
  <c r="FR66" i="7"/>
  <c r="FS66" i="7"/>
  <c r="FT66" i="7"/>
  <c r="FU66" i="7"/>
  <c r="FV66" i="7"/>
  <c r="FW66" i="7"/>
  <c r="FX66" i="7"/>
  <c r="FY66" i="7"/>
  <c r="FZ66" i="7"/>
  <c r="GA66" i="7"/>
  <c r="GB66" i="7"/>
  <c r="GC66" i="7"/>
  <c r="GD66" i="7"/>
  <c r="GE66" i="7"/>
  <c r="GF66" i="7"/>
  <c r="GG66" i="7"/>
  <c r="GH66" i="7"/>
  <c r="GI66" i="7"/>
  <c r="GJ66" i="7"/>
  <c r="GK66" i="7"/>
  <c r="GL66" i="7"/>
  <c r="GM66" i="7"/>
  <c r="GN66" i="7"/>
  <c r="GO66" i="7"/>
  <c r="GP66" i="7"/>
  <c r="GQ66" i="7"/>
  <c r="GR66" i="7"/>
  <c r="GS66" i="7"/>
  <c r="GT66" i="7"/>
  <c r="GU66" i="7"/>
  <c r="GV66" i="7"/>
  <c r="GW66" i="7"/>
  <c r="GX66" i="7"/>
  <c r="GY66" i="7"/>
  <c r="GZ66" i="7"/>
  <c r="HA66" i="7"/>
  <c r="HB66" i="7"/>
  <c r="HC66" i="7"/>
  <c r="HD66" i="7"/>
  <c r="HE66" i="7"/>
  <c r="HF66" i="7"/>
  <c r="HG66" i="7"/>
  <c r="HH66" i="7"/>
  <c r="HI66" i="7"/>
  <c r="HJ66" i="7"/>
  <c r="HK66" i="7"/>
  <c r="HL66" i="7"/>
  <c r="HM66" i="7"/>
  <c r="HN66" i="7"/>
  <c r="HO66" i="7"/>
  <c r="HP66" i="7"/>
  <c r="HQ66" i="7"/>
  <c r="HR66" i="7"/>
  <c r="HS66" i="7"/>
  <c r="HT66" i="7"/>
  <c r="HU66" i="7"/>
  <c r="HV66" i="7"/>
  <c r="HW66" i="7"/>
  <c r="HX66" i="7"/>
  <c r="HY66" i="7"/>
  <c r="HZ66" i="7"/>
  <c r="IA66" i="7"/>
  <c r="IB66" i="7"/>
  <c r="IC66" i="7"/>
  <c r="ID66" i="7"/>
  <c r="IE66" i="7"/>
  <c r="IF66" i="7"/>
  <c r="IG66" i="7"/>
  <c r="IH66" i="7"/>
  <c r="II66" i="7"/>
  <c r="IJ66" i="7"/>
  <c r="IK66" i="7"/>
  <c r="IL66" i="7"/>
  <c r="IM66" i="7"/>
  <c r="IN66" i="7"/>
  <c r="IO66" i="7"/>
  <c r="IP66" i="7"/>
  <c r="IQ66" i="7"/>
  <c r="IR66" i="7"/>
  <c r="IS66" i="7"/>
  <c r="IT66" i="7"/>
  <c r="IU66" i="7"/>
  <c r="IV66" i="7"/>
  <c r="A67" i="7"/>
  <c r="B67" i="7"/>
  <c r="C67" i="7"/>
  <c r="D67" i="7"/>
  <c r="E67" i="7"/>
  <c r="F67" i="7"/>
  <c r="G67" i="7"/>
  <c r="H67" i="7"/>
  <c r="I67" i="7"/>
  <c r="J67" i="7"/>
  <c r="K67" i="7"/>
  <c r="L67" i="7"/>
  <c r="M67" i="7"/>
  <c r="N67" i="7"/>
  <c r="O67" i="7"/>
  <c r="P67" i="7"/>
  <c r="Q67" i="7"/>
  <c r="R67" i="7"/>
  <c r="S67" i="7"/>
  <c r="T67" i="7"/>
  <c r="U67" i="7"/>
  <c r="V67" i="7"/>
  <c r="W67" i="7"/>
  <c r="X67" i="7"/>
  <c r="Y67" i="7"/>
  <c r="Z67" i="7"/>
  <c r="AA67" i="7"/>
  <c r="AB67" i="7"/>
  <c r="AC67" i="7"/>
  <c r="AD67" i="7"/>
  <c r="AE67" i="7"/>
  <c r="AF67" i="7"/>
  <c r="AG67" i="7"/>
  <c r="AH67" i="7"/>
  <c r="AI67" i="7"/>
  <c r="AJ67" i="7"/>
  <c r="AK67" i="7"/>
  <c r="AL67" i="7"/>
  <c r="AM67" i="7"/>
  <c r="AN67" i="7"/>
  <c r="AO67" i="7"/>
  <c r="AP67" i="7"/>
  <c r="AQ67" i="7"/>
  <c r="AR67" i="7"/>
  <c r="AS67" i="7"/>
  <c r="AT67" i="7"/>
  <c r="AU67" i="7"/>
  <c r="AV67" i="7"/>
  <c r="AW67" i="7"/>
  <c r="AX67" i="7"/>
  <c r="AY67" i="7"/>
  <c r="AZ67" i="7"/>
  <c r="BA67" i="7"/>
  <c r="BB67" i="7"/>
  <c r="BC67" i="7"/>
  <c r="BD67" i="7"/>
  <c r="BE67" i="7"/>
  <c r="BF67" i="7"/>
  <c r="BG67" i="7"/>
  <c r="BH67" i="7"/>
  <c r="BI67" i="7"/>
  <c r="BJ67" i="7"/>
  <c r="BK67" i="7"/>
  <c r="BL67" i="7"/>
  <c r="BM67" i="7"/>
  <c r="BN67" i="7"/>
  <c r="BO67" i="7"/>
  <c r="BP67" i="7"/>
  <c r="BQ67" i="7"/>
  <c r="BR67" i="7"/>
  <c r="BS67" i="7"/>
  <c r="BT67" i="7"/>
  <c r="BU67" i="7"/>
  <c r="BV67" i="7"/>
  <c r="BW67" i="7"/>
  <c r="BX67" i="7"/>
  <c r="BY67" i="7"/>
  <c r="BZ67" i="7"/>
  <c r="CA67" i="7"/>
  <c r="CB67" i="7"/>
  <c r="CC67" i="7"/>
  <c r="CD67" i="7"/>
  <c r="CE67" i="7"/>
  <c r="CF67" i="7"/>
  <c r="CG67" i="7"/>
  <c r="CH67" i="7"/>
  <c r="CI67" i="7"/>
  <c r="CJ67" i="7"/>
  <c r="CK67" i="7"/>
  <c r="CL67" i="7"/>
  <c r="CM67" i="7"/>
  <c r="CN67" i="7"/>
  <c r="CO67" i="7"/>
  <c r="CP67" i="7"/>
  <c r="CQ67" i="7"/>
  <c r="CR67" i="7"/>
  <c r="CS67" i="7"/>
  <c r="CT67" i="7"/>
  <c r="CU67" i="7"/>
  <c r="CV67" i="7"/>
  <c r="CW67" i="7"/>
  <c r="CX67" i="7"/>
  <c r="CY67" i="7"/>
  <c r="CZ67" i="7"/>
  <c r="DA67" i="7"/>
  <c r="DB67" i="7"/>
  <c r="DC67" i="7"/>
  <c r="DD67" i="7"/>
  <c r="DE67" i="7"/>
  <c r="DF67" i="7"/>
  <c r="DG67" i="7"/>
  <c r="DH67" i="7"/>
  <c r="DI67" i="7"/>
  <c r="DJ67" i="7"/>
  <c r="DK67" i="7"/>
  <c r="DL67" i="7"/>
  <c r="DM67" i="7"/>
  <c r="DN67" i="7"/>
  <c r="DO67" i="7"/>
  <c r="DP67" i="7"/>
  <c r="DQ67" i="7"/>
  <c r="DR67" i="7"/>
  <c r="DS67" i="7"/>
  <c r="DT67" i="7"/>
  <c r="DU67" i="7"/>
  <c r="DV67" i="7"/>
  <c r="DW67" i="7"/>
  <c r="DX67" i="7"/>
  <c r="DY67" i="7"/>
  <c r="DZ67" i="7"/>
  <c r="EA67" i="7"/>
  <c r="EB67" i="7"/>
  <c r="EC67" i="7"/>
  <c r="ED67" i="7"/>
  <c r="EE67" i="7"/>
  <c r="EF67" i="7"/>
  <c r="EG67" i="7"/>
  <c r="EH67" i="7"/>
  <c r="EI67" i="7"/>
  <c r="EJ67" i="7"/>
  <c r="EK67" i="7"/>
  <c r="EL67" i="7"/>
  <c r="EM67" i="7"/>
  <c r="EN67" i="7"/>
  <c r="EO67" i="7"/>
  <c r="EP67" i="7"/>
  <c r="EQ67" i="7"/>
  <c r="ER67" i="7"/>
  <c r="ES67" i="7"/>
  <c r="ET67" i="7"/>
  <c r="EU67" i="7"/>
  <c r="EV67" i="7"/>
  <c r="EW67" i="7"/>
  <c r="EX67" i="7"/>
  <c r="EY67" i="7"/>
  <c r="EZ67" i="7"/>
  <c r="FA67" i="7"/>
  <c r="FB67" i="7"/>
  <c r="FC67" i="7"/>
  <c r="FD67" i="7"/>
  <c r="FE67" i="7"/>
  <c r="FF67" i="7"/>
  <c r="FG67" i="7"/>
  <c r="FH67" i="7"/>
  <c r="FI67" i="7"/>
  <c r="FJ67" i="7"/>
  <c r="FK67" i="7"/>
  <c r="FL67" i="7"/>
  <c r="FM67" i="7"/>
  <c r="FN67" i="7"/>
  <c r="FO67" i="7"/>
  <c r="FP67" i="7"/>
  <c r="FQ67" i="7"/>
  <c r="FR67" i="7"/>
  <c r="FS67" i="7"/>
  <c r="FT67" i="7"/>
  <c r="FU67" i="7"/>
  <c r="FV67" i="7"/>
  <c r="FW67" i="7"/>
  <c r="FX67" i="7"/>
  <c r="FY67" i="7"/>
  <c r="FZ67" i="7"/>
  <c r="GA67" i="7"/>
  <c r="GB67" i="7"/>
  <c r="GC67" i="7"/>
  <c r="GD67" i="7"/>
  <c r="GE67" i="7"/>
  <c r="GF67" i="7"/>
  <c r="GG67" i="7"/>
  <c r="GH67" i="7"/>
  <c r="GI67" i="7"/>
  <c r="GJ67" i="7"/>
  <c r="GK67" i="7"/>
  <c r="GL67" i="7"/>
  <c r="GM67" i="7"/>
  <c r="GN67" i="7"/>
  <c r="GO67" i="7"/>
  <c r="GP67" i="7"/>
  <c r="GQ67" i="7"/>
  <c r="GR67" i="7"/>
  <c r="GS67" i="7"/>
  <c r="GT67" i="7"/>
  <c r="GU67" i="7"/>
  <c r="GV67" i="7"/>
  <c r="GW67" i="7"/>
  <c r="GX67" i="7"/>
  <c r="GY67" i="7"/>
  <c r="GZ67" i="7"/>
  <c r="HA67" i="7"/>
  <c r="HB67" i="7"/>
  <c r="HC67" i="7"/>
  <c r="HD67" i="7"/>
  <c r="HE67" i="7"/>
  <c r="HF67" i="7"/>
  <c r="HG67" i="7"/>
  <c r="HH67" i="7"/>
  <c r="HI67" i="7"/>
  <c r="HJ67" i="7"/>
  <c r="HK67" i="7"/>
  <c r="HL67" i="7"/>
  <c r="HM67" i="7"/>
  <c r="HN67" i="7"/>
  <c r="HO67" i="7"/>
  <c r="HP67" i="7"/>
  <c r="HQ67" i="7"/>
  <c r="HR67" i="7"/>
  <c r="HS67" i="7"/>
  <c r="HT67" i="7"/>
  <c r="HU67" i="7"/>
  <c r="HV67" i="7"/>
  <c r="HW67" i="7"/>
  <c r="HX67" i="7"/>
  <c r="HY67" i="7"/>
  <c r="HZ67" i="7"/>
  <c r="IA67" i="7"/>
  <c r="IB67" i="7"/>
  <c r="IC67" i="7"/>
  <c r="ID67" i="7"/>
  <c r="IE67" i="7"/>
  <c r="IF67" i="7"/>
  <c r="IG67" i="7"/>
  <c r="IH67" i="7"/>
  <c r="II67" i="7"/>
  <c r="IJ67" i="7"/>
  <c r="IK67" i="7"/>
  <c r="IL67" i="7"/>
  <c r="IM67" i="7"/>
  <c r="IN67" i="7"/>
  <c r="IO67" i="7"/>
  <c r="IP67" i="7"/>
  <c r="IQ67" i="7"/>
  <c r="IR67" i="7"/>
  <c r="IS67" i="7"/>
  <c r="IT67" i="7"/>
  <c r="IU67" i="7"/>
  <c r="IV67" i="7"/>
  <c r="A68" i="7"/>
  <c r="B68" i="7"/>
  <c r="C68" i="7"/>
  <c r="D68" i="7"/>
  <c r="E68" i="7"/>
  <c r="F68" i="7"/>
  <c r="G68" i="7"/>
  <c r="H68" i="7"/>
  <c r="I68" i="7"/>
  <c r="J68" i="7"/>
  <c r="K68" i="7"/>
  <c r="L68" i="7"/>
  <c r="M68" i="7"/>
  <c r="N68" i="7"/>
  <c r="O68" i="7"/>
  <c r="P68" i="7"/>
  <c r="Q68" i="7"/>
  <c r="R68" i="7"/>
  <c r="S68" i="7"/>
  <c r="T68" i="7"/>
  <c r="U68" i="7"/>
  <c r="V68" i="7"/>
  <c r="W68" i="7"/>
  <c r="X68" i="7"/>
  <c r="Y68" i="7"/>
  <c r="Z68" i="7"/>
  <c r="AA68" i="7"/>
  <c r="AB68" i="7"/>
  <c r="AC68" i="7"/>
  <c r="AD68" i="7"/>
  <c r="AE68" i="7"/>
  <c r="AF68" i="7"/>
  <c r="AG68" i="7"/>
  <c r="AH68" i="7"/>
  <c r="AI68" i="7"/>
  <c r="AJ68" i="7"/>
  <c r="AK68" i="7"/>
  <c r="AL68" i="7"/>
  <c r="AM68" i="7"/>
  <c r="AN68" i="7"/>
  <c r="AO68" i="7"/>
  <c r="AP68" i="7"/>
  <c r="AQ68" i="7"/>
  <c r="AR68" i="7"/>
  <c r="AS68" i="7"/>
  <c r="AT68" i="7"/>
  <c r="AU68" i="7"/>
  <c r="AV68" i="7"/>
  <c r="AW68" i="7"/>
  <c r="AX68" i="7"/>
  <c r="AY68" i="7"/>
  <c r="AZ68" i="7"/>
  <c r="BA68" i="7"/>
  <c r="BB68" i="7"/>
  <c r="BC68" i="7"/>
  <c r="BD68" i="7"/>
  <c r="BE68" i="7"/>
  <c r="BF68" i="7"/>
  <c r="BG68" i="7"/>
  <c r="BH68" i="7"/>
  <c r="BI68" i="7"/>
  <c r="BJ68" i="7"/>
  <c r="BK68" i="7"/>
  <c r="BL68" i="7"/>
  <c r="BM68" i="7"/>
  <c r="BN68" i="7"/>
  <c r="BO68" i="7"/>
  <c r="BP68" i="7"/>
  <c r="BQ68" i="7"/>
  <c r="BR68" i="7"/>
  <c r="BS68" i="7"/>
  <c r="BT68" i="7"/>
  <c r="BU68" i="7"/>
  <c r="BV68" i="7"/>
  <c r="BW68" i="7"/>
  <c r="BX68" i="7"/>
  <c r="BY68" i="7"/>
  <c r="BZ68" i="7"/>
  <c r="CA68" i="7"/>
  <c r="CB68" i="7"/>
  <c r="CC68" i="7"/>
  <c r="CD68" i="7"/>
  <c r="CE68" i="7"/>
  <c r="CF68" i="7"/>
  <c r="CG68" i="7"/>
  <c r="CH68" i="7"/>
  <c r="CI68" i="7"/>
  <c r="CJ68" i="7"/>
  <c r="CK68" i="7"/>
  <c r="CL68" i="7"/>
  <c r="CM68" i="7"/>
  <c r="CN68" i="7"/>
  <c r="CO68" i="7"/>
  <c r="CP68" i="7"/>
  <c r="CQ68" i="7"/>
  <c r="CR68" i="7"/>
  <c r="CS68" i="7"/>
  <c r="CT68" i="7"/>
  <c r="CU68" i="7"/>
  <c r="CV68" i="7"/>
  <c r="CW68" i="7"/>
  <c r="CX68" i="7"/>
  <c r="CY68" i="7"/>
  <c r="CZ68" i="7"/>
  <c r="DA68" i="7"/>
  <c r="DB68" i="7"/>
  <c r="DC68" i="7"/>
  <c r="DD68" i="7"/>
  <c r="DE68" i="7"/>
  <c r="DF68" i="7"/>
  <c r="DG68" i="7"/>
  <c r="DH68" i="7"/>
  <c r="DI68" i="7"/>
  <c r="DJ68" i="7"/>
  <c r="DK68" i="7"/>
  <c r="DL68" i="7"/>
  <c r="DM68" i="7"/>
  <c r="DN68" i="7"/>
  <c r="DO68" i="7"/>
  <c r="DP68" i="7"/>
  <c r="DQ68" i="7"/>
  <c r="DR68" i="7"/>
  <c r="DS68" i="7"/>
  <c r="DT68" i="7"/>
  <c r="DU68" i="7"/>
  <c r="DV68" i="7"/>
  <c r="DW68" i="7"/>
  <c r="DX68" i="7"/>
  <c r="DY68" i="7"/>
  <c r="DZ68" i="7"/>
  <c r="EA68" i="7"/>
  <c r="EB68" i="7"/>
  <c r="EC68" i="7"/>
  <c r="ED68" i="7"/>
  <c r="EE68" i="7"/>
  <c r="EF68" i="7"/>
  <c r="EG68" i="7"/>
  <c r="EH68" i="7"/>
  <c r="EI68" i="7"/>
  <c r="EJ68" i="7"/>
  <c r="EK68" i="7"/>
  <c r="EL68" i="7"/>
  <c r="EM68" i="7"/>
  <c r="EN68" i="7"/>
  <c r="EO68" i="7"/>
  <c r="EP68" i="7"/>
  <c r="EQ68" i="7"/>
  <c r="ER68" i="7"/>
  <c r="ES68" i="7"/>
  <c r="ET68" i="7"/>
  <c r="EU68" i="7"/>
  <c r="EV68" i="7"/>
  <c r="EW68" i="7"/>
  <c r="EX68" i="7"/>
  <c r="EY68" i="7"/>
  <c r="EZ68" i="7"/>
  <c r="FA68" i="7"/>
  <c r="FB68" i="7"/>
  <c r="FC68" i="7"/>
  <c r="FD68" i="7"/>
  <c r="FE68" i="7"/>
  <c r="FF68" i="7"/>
  <c r="FG68" i="7"/>
  <c r="FH68" i="7"/>
  <c r="FI68" i="7"/>
  <c r="FJ68" i="7"/>
  <c r="FK68" i="7"/>
  <c r="FL68" i="7"/>
  <c r="FM68" i="7"/>
  <c r="FN68" i="7"/>
  <c r="FO68" i="7"/>
  <c r="FP68" i="7"/>
  <c r="FQ68" i="7"/>
  <c r="FR68" i="7"/>
  <c r="FS68" i="7"/>
  <c r="FT68" i="7"/>
  <c r="FU68" i="7"/>
  <c r="FV68" i="7"/>
  <c r="FW68" i="7"/>
  <c r="FX68" i="7"/>
  <c r="FY68" i="7"/>
  <c r="FZ68" i="7"/>
  <c r="GA68" i="7"/>
  <c r="GB68" i="7"/>
  <c r="GC68" i="7"/>
  <c r="GD68" i="7"/>
  <c r="GE68" i="7"/>
  <c r="GF68" i="7"/>
  <c r="GG68" i="7"/>
  <c r="GH68" i="7"/>
  <c r="GI68" i="7"/>
  <c r="GJ68" i="7"/>
  <c r="GK68" i="7"/>
  <c r="GL68" i="7"/>
  <c r="GM68" i="7"/>
  <c r="GN68" i="7"/>
  <c r="GO68" i="7"/>
  <c r="GP68" i="7"/>
  <c r="GQ68" i="7"/>
  <c r="GR68" i="7"/>
  <c r="GS68" i="7"/>
  <c r="GT68" i="7"/>
  <c r="GU68" i="7"/>
  <c r="GV68" i="7"/>
  <c r="GW68" i="7"/>
  <c r="GX68" i="7"/>
  <c r="GY68" i="7"/>
  <c r="GZ68" i="7"/>
  <c r="HA68" i="7"/>
  <c r="HB68" i="7"/>
  <c r="HC68" i="7"/>
  <c r="HD68" i="7"/>
  <c r="HE68" i="7"/>
  <c r="HF68" i="7"/>
  <c r="HG68" i="7"/>
  <c r="HH68" i="7"/>
  <c r="HI68" i="7"/>
  <c r="HJ68" i="7"/>
  <c r="HK68" i="7"/>
  <c r="HL68" i="7"/>
  <c r="HM68" i="7"/>
  <c r="HN68" i="7"/>
  <c r="HO68" i="7"/>
  <c r="HP68" i="7"/>
  <c r="HQ68" i="7"/>
  <c r="HR68" i="7"/>
  <c r="HS68" i="7"/>
  <c r="HT68" i="7"/>
  <c r="HU68" i="7"/>
  <c r="HV68" i="7"/>
  <c r="HW68" i="7"/>
  <c r="HX68" i="7"/>
  <c r="HY68" i="7"/>
  <c r="HZ68" i="7"/>
  <c r="IA68" i="7"/>
  <c r="IB68" i="7"/>
  <c r="IC68" i="7"/>
  <c r="ID68" i="7"/>
  <c r="IE68" i="7"/>
  <c r="IF68" i="7"/>
  <c r="IG68" i="7"/>
  <c r="IH68" i="7"/>
  <c r="II68" i="7"/>
  <c r="IJ68" i="7"/>
  <c r="IK68" i="7"/>
  <c r="IL68" i="7"/>
  <c r="IM68" i="7"/>
  <c r="IN68" i="7"/>
  <c r="IO68" i="7"/>
  <c r="IP68" i="7"/>
  <c r="IQ68" i="7"/>
  <c r="IR68" i="7"/>
  <c r="IS68" i="7"/>
  <c r="IT68" i="7"/>
  <c r="IU68" i="7"/>
  <c r="IV68" i="7"/>
  <c r="A69" i="7"/>
  <c r="B69" i="7"/>
  <c r="C69" i="7"/>
  <c r="D69" i="7"/>
  <c r="E69" i="7"/>
  <c r="F69" i="7"/>
  <c r="G69" i="7"/>
  <c r="H69" i="7"/>
  <c r="I69" i="7"/>
  <c r="J69" i="7"/>
  <c r="K69" i="7"/>
  <c r="L69" i="7"/>
  <c r="M69" i="7"/>
  <c r="N69" i="7"/>
  <c r="O69" i="7"/>
  <c r="P69" i="7"/>
  <c r="Q69" i="7"/>
  <c r="R69" i="7"/>
  <c r="S69" i="7"/>
  <c r="T69" i="7"/>
  <c r="U69" i="7"/>
  <c r="V69" i="7"/>
  <c r="W69" i="7"/>
  <c r="X69" i="7"/>
  <c r="Y69" i="7"/>
  <c r="Z69" i="7"/>
  <c r="AA69" i="7"/>
  <c r="AB69" i="7"/>
  <c r="AC69" i="7"/>
  <c r="AD69" i="7"/>
  <c r="AE69" i="7"/>
  <c r="AF69" i="7"/>
  <c r="AG69" i="7"/>
  <c r="AH69" i="7"/>
  <c r="AI69" i="7"/>
  <c r="AJ69" i="7"/>
  <c r="AK69" i="7"/>
  <c r="AL69" i="7"/>
  <c r="AM69" i="7"/>
  <c r="AN69" i="7"/>
  <c r="AO69" i="7"/>
  <c r="AP69" i="7"/>
  <c r="AQ69" i="7"/>
  <c r="AR69" i="7"/>
  <c r="AS69" i="7"/>
  <c r="AT69" i="7"/>
  <c r="AU69" i="7"/>
  <c r="AV69" i="7"/>
  <c r="AW69" i="7"/>
  <c r="AX69" i="7"/>
  <c r="AY69" i="7"/>
  <c r="AZ69" i="7"/>
  <c r="BA69" i="7"/>
  <c r="BB69" i="7"/>
  <c r="BC69" i="7"/>
  <c r="BD69" i="7"/>
  <c r="BE69" i="7"/>
  <c r="BF69" i="7"/>
  <c r="BG69" i="7"/>
  <c r="BH69" i="7"/>
  <c r="BI69" i="7"/>
  <c r="BJ69" i="7"/>
  <c r="BK69" i="7"/>
  <c r="BL69" i="7"/>
  <c r="BM69" i="7"/>
  <c r="BN69" i="7"/>
  <c r="BO69" i="7"/>
  <c r="BP69" i="7"/>
  <c r="BQ69" i="7"/>
  <c r="BR69" i="7"/>
  <c r="BS69" i="7"/>
  <c r="BT69" i="7"/>
  <c r="BU69" i="7"/>
  <c r="BV69" i="7"/>
  <c r="BW69" i="7"/>
  <c r="BX69" i="7"/>
  <c r="BY69" i="7"/>
  <c r="BZ69" i="7"/>
  <c r="CA69" i="7"/>
  <c r="CB69" i="7"/>
  <c r="CC69" i="7"/>
  <c r="CD69" i="7"/>
  <c r="CE69" i="7"/>
  <c r="CF69" i="7"/>
  <c r="CG69" i="7"/>
  <c r="CH69" i="7"/>
  <c r="CI69" i="7"/>
  <c r="CJ69" i="7"/>
  <c r="CK69" i="7"/>
  <c r="CL69" i="7"/>
  <c r="CM69" i="7"/>
  <c r="CN69" i="7"/>
  <c r="CO69" i="7"/>
  <c r="CP69" i="7"/>
  <c r="CQ69" i="7"/>
  <c r="CR69" i="7"/>
  <c r="CS69" i="7"/>
  <c r="CT69" i="7"/>
  <c r="CU69" i="7"/>
  <c r="CV69" i="7"/>
  <c r="CW69" i="7"/>
  <c r="CX69" i="7"/>
  <c r="CY69" i="7"/>
  <c r="CZ69" i="7"/>
  <c r="DA69" i="7"/>
  <c r="DB69" i="7"/>
  <c r="DC69" i="7"/>
  <c r="DD69" i="7"/>
  <c r="DE69" i="7"/>
  <c r="DF69" i="7"/>
  <c r="DG69" i="7"/>
  <c r="DH69" i="7"/>
  <c r="DI69" i="7"/>
  <c r="DJ69" i="7"/>
  <c r="DK69" i="7"/>
  <c r="DL69" i="7"/>
  <c r="DM69" i="7"/>
  <c r="DN69" i="7"/>
  <c r="DO69" i="7"/>
  <c r="DP69" i="7"/>
  <c r="DQ69" i="7"/>
  <c r="DR69" i="7"/>
  <c r="DS69" i="7"/>
  <c r="DT69" i="7"/>
  <c r="DU69" i="7"/>
  <c r="DV69" i="7"/>
  <c r="DW69" i="7"/>
  <c r="DX69" i="7"/>
  <c r="DY69" i="7"/>
  <c r="DZ69" i="7"/>
  <c r="EA69" i="7"/>
  <c r="EB69" i="7"/>
  <c r="EC69" i="7"/>
  <c r="ED69" i="7"/>
  <c r="EE69" i="7"/>
  <c r="EF69" i="7"/>
  <c r="EG69" i="7"/>
  <c r="EH69" i="7"/>
  <c r="EI69" i="7"/>
  <c r="EJ69" i="7"/>
  <c r="EK69" i="7"/>
  <c r="EL69" i="7"/>
  <c r="EM69" i="7"/>
  <c r="EN69" i="7"/>
  <c r="EO69" i="7"/>
  <c r="EP69" i="7"/>
  <c r="EQ69" i="7"/>
  <c r="ER69" i="7"/>
  <c r="ES69" i="7"/>
  <c r="ET69" i="7"/>
  <c r="EU69" i="7"/>
  <c r="EV69" i="7"/>
  <c r="EW69" i="7"/>
  <c r="EX69" i="7"/>
  <c r="EY69" i="7"/>
  <c r="EZ69" i="7"/>
  <c r="FA69" i="7"/>
  <c r="FB69" i="7"/>
  <c r="FC69" i="7"/>
  <c r="FD69" i="7"/>
  <c r="FE69" i="7"/>
  <c r="FF69" i="7"/>
  <c r="FG69" i="7"/>
  <c r="FH69" i="7"/>
  <c r="FI69" i="7"/>
  <c r="FJ69" i="7"/>
  <c r="FK69" i="7"/>
  <c r="FL69" i="7"/>
  <c r="FM69" i="7"/>
  <c r="FN69" i="7"/>
  <c r="FO69" i="7"/>
  <c r="FP69" i="7"/>
  <c r="FQ69" i="7"/>
  <c r="FR69" i="7"/>
  <c r="FS69" i="7"/>
  <c r="FT69" i="7"/>
  <c r="FU69" i="7"/>
  <c r="FV69" i="7"/>
  <c r="FW69" i="7"/>
  <c r="FX69" i="7"/>
  <c r="FY69" i="7"/>
  <c r="FZ69" i="7"/>
  <c r="GA69" i="7"/>
  <c r="GB69" i="7"/>
  <c r="GC69" i="7"/>
  <c r="GD69" i="7"/>
  <c r="GE69" i="7"/>
  <c r="GF69" i="7"/>
  <c r="GG69" i="7"/>
  <c r="GH69" i="7"/>
  <c r="GI69" i="7"/>
  <c r="GJ69" i="7"/>
  <c r="GK69" i="7"/>
  <c r="GL69" i="7"/>
  <c r="GM69" i="7"/>
  <c r="GN69" i="7"/>
  <c r="GO69" i="7"/>
  <c r="GP69" i="7"/>
  <c r="GQ69" i="7"/>
  <c r="GR69" i="7"/>
  <c r="GS69" i="7"/>
  <c r="GT69" i="7"/>
  <c r="GU69" i="7"/>
  <c r="GV69" i="7"/>
  <c r="GW69" i="7"/>
  <c r="GX69" i="7"/>
  <c r="GY69" i="7"/>
  <c r="GZ69" i="7"/>
  <c r="HA69" i="7"/>
  <c r="HB69" i="7"/>
  <c r="HC69" i="7"/>
  <c r="HD69" i="7"/>
  <c r="HE69" i="7"/>
  <c r="HF69" i="7"/>
  <c r="HG69" i="7"/>
  <c r="HH69" i="7"/>
  <c r="HI69" i="7"/>
  <c r="HJ69" i="7"/>
  <c r="HK69" i="7"/>
  <c r="HL69" i="7"/>
  <c r="HM69" i="7"/>
  <c r="HN69" i="7"/>
  <c r="HO69" i="7"/>
  <c r="HP69" i="7"/>
  <c r="HQ69" i="7"/>
  <c r="HR69" i="7"/>
  <c r="HS69" i="7"/>
  <c r="HT69" i="7"/>
  <c r="HU69" i="7"/>
  <c r="HV69" i="7"/>
  <c r="HW69" i="7"/>
  <c r="HX69" i="7"/>
  <c r="HY69" i="7"/>
  <c r="HZ69" i="7"/>
  <c r="IA69" i="7"/>
  <c r="IB69" i="7"/>
  <c r="IC69" i="7"/>
  <c r="ID69" i="7"/>
  <c r="IE69" i="7"/>
  <c r="IF69" i="7"/>
  <c r="IG69" i="7"/>
  <c r="IH69" i="7"/>
  <c r="II69" i="7"/>
  <c r="IJ69" i="7"/>
  <c r="IK69" i="7"/>
  <c r="IL69" i="7"/>
  <c r="IM69" i="7"/>
  <c r="IN69" i="7"/>
  <c r="IO69" i="7"/>
  <c r="IP69" i="7"/>
  <c r="IQ69" i="7"/>
  <c r="IR69" i="7"/>
  <c r="IS69" i="7"/>
  <c r="IT69" i="7"/>
  <c r="IU69" i="7"/>
  <c r="IV69" i="7"/>
  <c r="A70" i="7"/>
  <c r="B70" i="7"/>
  <c r="C70" i="7"/>
  <c r="D70" i="7"/>
  <c r="E70" i="7"/>
  <c r="F70" i="7"/>
  <c r="G70" i="7"/>
  <c r="H70" i="7"/>
  <c r="I70" i="7"/>
  <c r="J70" i="7"/>
  <c r="K70" i="7"/>
  <c r="L70" i="7"/>
  <c r="M70" i="7"/>
  <c r="N70" i="7"/>
  <c r="O70" i="7"/>
  <c r="P70" i="7"/>
  <c r="Q70" i="7"/>
  <c r="R70" i="7"/>
  <c r="S70" i="7"/>
  <c r="T70" i="7"/>
  <c r="U70" i="7"/>
  <c r="V70" i="7"/>
  <c r="W70" i="7"/>
  <c r="X70" i="7"/>
  <c r="Y70" i="7"/>
  <c r="Z70" i="7"/>
  <c r="AA70" i="7"/>
  <c r="AB70" i="7"/>
  <c r="AC70" i="7"/>
  <c r="AD70" i="7"/>
  <c r="AE70" i="7"/>
  <c r="AF70" i="7"/>
  <c r="AG70" i="7"/>
  <c r="AH70" i="7"/>
  <c r="AI70" i="7"/>
  <c r="AJ70" i="7"/>
  <c r="AK70" i="7"/>
  <c r="AL70" i="7"/>
  <c r="AM70" i="7"/>
  <c r="AN70" i="7"/>
  <c r="AO70" i="7"/>
  <c r="AP70" i="7"/>
  <c r="AQ70" i="7"/>
  <c r="AR70" i="7"/>
  <c r="AS70" i="7"/>
  <c r="AT70" i="7"/>
  <c r="AU70" i="7"/>
  <c r="AV70" i="7"/>
  <c r="AW70" i="7"/>
  <c r="AX70" i="7"/>
  <c r="AY70" i="7"/>
  <c r="AZ70" i="7"/>
  <c r="BA70" i="7"/>
  <c r="BB70" i="7"/>
  <c r="BC70" i="7"/>
  <c r="BD70" i="7"/>
  <c r="BE70" i="7"/>
  <c r="BF70" i="7"/>
  <c r="BG70" i="7"/>
  <c r="BH70" i="7"/>
  <c r="BI70" i="7"/>
  <c r="BJ70" i="7"/>
  <c r="BK70" i="7"/>
  <c r="BL70" i="7"/>
  <c r="BM70" i="7"/>
  <c r="BN70" i="7"/>
  <c r="BO70" i="7"/>
  <c r="BP70" i="7"/>
  <c r="BQ70" i="7"/>
  <c r="BR70" i="7"/>
  <c r="BS70" i="7"/>
  <c r="BT70" i="7"/>
  <c r="BU70" i="7"/>
  <c r="BV70" i="7"/>
  <c r="BW70" i="7"/>
  <c r="BX70" i="7"/>
  <c r="BY70" i="7"/>
  <c r="BZ70" i="7"/>
  <c r="CA70" i="7"/>
  <c r="CB70" i="7"/>
  <c r="CC70" i="7"/>
  <c r="CD70" i="7"/>
  <c r="CE70" i="7"/>
  <c r="CF70" i="7"/>
  <c r="CG70" i="7"/>
  <c r="CH70" i="7"/>
  <c r="CI70" i="7"/>
  <c r="CJ70" i="7"/>
  <c r="CK70" i="7"/>
  <c r="CL70" i="7"/>
  <c r="CM70" i="7"/>
  <c r="CN70" i="7"/>
  <c r="CO70" i="7"/>
  <c r="CP70" i="7"/>
  <c r="CQ70" i="7"/>
  <c r="CR70" i="7"/>
  <c r="CS70" i="7"/>
  <c r="CT70" i="7"/>
  <c r="CU70" i="7"/>
  <c r="CV70" i="7"/>
  <c r="CW70" i="7"/>
  <c r="CX70" i="7"/>
  <c r="CY70" i="7"/>
  <c r="CZ70" i="7"/>
  <c r="DA70" i="7"/>
  <c r="DB70" i="7"/>
  <c r="DC70" i="7"/>
  <c r="DD70" i="7"/>
  <c r="DE70" i="7"/>
  <c r="DF70" i="7"/>
  <c r="DG70" i="7"/>
  <c r="DH70" i="7"/>
  <c r="DI70" i="7"/>
  <c r="DJ70" i="7"/>
  <c r="DK70" i="7"/>
  <c r="DL70" i="7"/>
  <c r="DM70" i="7"/>
  <c r="DN70" i="7"/>
  <c r="DO70" i="7"/>
  <c r="DP70" i="7"/>
  <c r="DQ70" i="7"/>
  <c r="DR70" i="7"/>
  <c r="DS70" i="7"/>
  <c r="DT70" i="7"/>
  <c r="DU70" i="7"/>
  <c r="DV70" i="7"/>
  <c r="DW70" i="7"/>
  <c r="DX70" i="7"/>
  <c r="DY70" i="7"/>
  <c r="DZ70" i="7"/>
  <c r="EA70" i="7"/>
  <c r="EB70" i="7"/>
  <c r="EC70" i="7"/>
  <c r="ED70" i="7"/>
  <c r="EE70" i="7"/>
  <c r="EF70" i="7"/>
  <c r="EG70" i="7"/>
  <c r="EH70" i="7"/>
  <c r="EI70" i="7"/>
  <c r="EJ70" i="7"/>
  <c r="EK70" i="7"/>
  <c r="EL70" i="7"/>
  <c r="EM70" i="7"/>
  <c r="EN70" i="7"/>
  <c r="EO70" i="7"/>
  <c r="EP70" i="7"/>
  <c r="EQ70" i="7"/>
  <c r="ER70" i="7"/>
  <c r="ES70" i="7"/>
  <c r="ET70" i="7"/>
  <c r="EU70" i="7"/>
  <c r="EV70" i="7"/>
  <c r="EW70" i="7"/>
  <c r="EX70" i="7"/>
  <c r="EY70" i="7"/>
  <c r="EZ70" i="7"/>
  <c r="FA70" i="7"/>
  <c r="FB70" i="7"/>
  <c r="FC70" i="7"/>
  <c r="FD70" i="7"/>
  <c r="FE70" i="7"/>
  <c r="FF70" i="7"/>
  <c r="FG70" i="7"/>
  <c r="FH70" i="7"/>
  <c r="FI70" i="7"/>
  <c r="FJ70" i="7"/>
  <c r="FK70" i="7"/>
  <c r="FL70" i="7"/>
  <c r="FM70" i="7"/>
  <c r="FN70" i="7"/>
  <c r="FO70" i="7"/>
  <c r="FP70" i="7"/>
  <c r="FQ70" i="7"/>
  <c r="FR70" i="7"/>
  <c r="FS70" i="7"/>
  <c r="FT70" i="7"/>
  <c r="FU70" i="7"/>
  <c r="FV70" i="7"/>
  <c r="FW70" i="7"/>
  <c r="FX70" i="7"/>
  <c r="FY70" i="7"/>
  <c r="FZ70" i="7"/>
  <c r="GA70" i="7"/>
  <c r="GB70" i="7"/>
  <c r="GC70" i="7"/>
  <c r="GD70" i="7"/>
  <c r="GE70" i="7"/>
  <c r="GF70" i="7"/>
  <c r="GG70" i="7"/>
  <c r="GH70" i="7"/>
  <c r="GI70" i="7"/>
  <c r="GJ70" i="7"/>
  <c r="GK70" i="7"/>
  <c r="GL70" i="7"/>
  <c r="GM70" i="7"/>
  <c r="GN70" i="7"/>
  <c r="GO70" i="7"/>
  <c r="GP70" i="7"/>
  <c r="GQ70" i="7"/>
  <c r="GR70" i="7"/>
  <c r="GS70" i="7"/>
  <c r="GT70" i="7"/>
  <c r="GU70" i="7"/>
  <c r="GV70" i="7"/>
  <c r="GW70" i="7"/>
  <c r="GX70" i="7"/>
  <c r="GY70" i="7"/>
  <c r="GZ70" i="7"/>
  <c r="HA70" i="7"/>
  <c r="HB70" i="7"/>
  <c r="HC70" i="7"/>
  <c r="HD70" i="7"/>
  <c r="HE70" i="7"/>
  <c r="HF70" i="7"/>
  <c r="HG70" i="7"/>
  <c r="HH70" i="7"/>
  <c r="HI70" i="7"/>
  <c r="HJ70" i="7"/>
  <c r="HK70" i="7"/>
  <c r="HL70" i="7"/>
  <c r="HM70" i="7"/>
  <c r="HN70" i="7"/>
  <c r="HO70" i="7"/>
  <c r="HP70" i="7"/>
  <c r="HQ70" i="7"/>
  <c r="HR70" i="7"/>
  <c r="HS70" i="7"/>
  <c r="HT70" i="7"/>
  <c r="HU70" i="7"/>
  <c r="HV70" i="7"/>
  <c r="HW70" i="7"/>
  <c r="HX70" i="7"/>
  <c r="HY70" i="7"/>
  <c r="HZ70" i="7"/>
  <c r="IA70" i="7"/>
  <c r="IB70" i="7"/>
  <c r="IC70" i="7"/>
  <c r="ID70" i="7"/>
  <c r="IE70" i="7"/>
  <c r="IF70" i="7"/>
  <c r="IG70" i="7"/>
  <c r="IH70" i="7"/>
  <c r="II70" i="7"/>
  <c r="IJ70" i="7"/>
  <c r="IK70" i="7"/>
  <c r="IL70" i="7"/>
  <c r="IM70" i="7"/>
  <c r="IN70" i="7"/>
  <c r="IO70" i="7"/>
  <c r="IP70" i="7"/>
  <c r="IQ70" i="7"/>
  <c r="IR70" i="7"/>
  <c r="IS70" i="7"/>
  <c r="IT70" i="7"/>
  <c r="IU70" i="7"/>
  <c r="IV70" i="7"/>
  <c r="A71" i="7"/>
  <c r="B71" i="7"/>
  <c r="C71" i="7"/>
  <c r="D71" i="7"/>
  <c r="E71" i="7"/>
  <c r="F71" i="7"/>
  <c r="G71" i="7"/>
  <c r="H71" i="7"/>
  <c r="I71" i="7"/>
  <c r="J71" i="7"/>
  <c r="K71" i="7"/>
  <c r="L71" i="7"/>
  <c r="M71" i="7"/>
  <c r="N71" i="7"/>
  <c r="O71" i="7"/>
  <c r="P71" i="7"/>
  <c r="Q71" i="7"/>
  <c r="R71" i="7"/>
  <c r="S71" i="7"/>
  <c r="T71" i="7"/>
  <c r="U71" i="7"/>
  <c r="V71" i="7"/>
  <c r="W71" i="7"/>
  <c r="X71" i="7"/>
  <c r="Y71" i="7"/>
  <c r="Z71" i="7"/>
  <c r="AA71" i="7"/>
  <c r="AB71" i="7"/>
  <c r="AC71" i="7"/>
  <c r="AD71" i="7"/>
  <c r="AE71" i="7"/>
  <c r="AF71" i="7"/>
  <c r="AG71" i="7"/>
  <c r="AH71" i="7"/>
  <c r="AI71" i="7"/>
  <c r="AJ71" i="7"/>
  <c r="AK71" i="7"/>
  <c r="AL71" i="7"/>
  <c r="AM71" i="7"/>
  <c r="AN71" i="7"/>
  <c r="AO71" i="7"/>
  <c r="AP71" i="7"/>
  <c r="AQ71" i="7"/>
  <c r="AR71" i="7"/>
  <c r="AS71" i="7"/>
  <c r="AT71" i="7"/>
  <c r="AU71" i="7"/>
  <c r="AV71" i="7"/>
  <c r="AW71" i="7"/>
  <c r="AX71" i="7"/>
  <c r="AY71" i="7"/>
  <c r="AZ71" i="7"/>
  <c r="BA71" i="7"/>
  <c r="BB71" i="7"/>
  <c r="BC71" i="7"/>
  <c r="BD71" i="7"/>
  <c r="BE71" i="7"/>
  <c r="BF71" i="7"/>
  <c r="BG71" i="7"/>
  <c r="BH71" i="7"/>
  <c r="BI71" i="7"/>
  <c r="BJ71" i="7"/>
  <c r="BK71" i="7"/>
  <c r="BL71" i="7"/>
  <c r="BM71" i="7"/>
  <c r="BN71" i="7"/>
  <c r="BO71" i="7"/>
  <c r="BP71" i="7"/>
  <c r="BQ71" i="7"/>
  <c r="BR71" i="7"/>
  <c r="BS71" i="7"/>
  <c r="BT71" i="7"/>
  <c r="BU71" i="7"/>
  <c r="BV71" i="7"/>
  <c r="BW71" i="7"/>
  <c r="BX71" i="7"/>
  <c r="BY71" i="7"/>
  <c r="BZ71" i="7"/>
  <c r="CA71" i="7"/>
  <c r="CB71" i="7"/>
  <c r="CC71" i="7"/>
  <c r="CD71" i="7"/>
  <c r="CE71" i="7"/>
  <c r="CF71" i="7"/>
  <c r="CG71" i="7"/>
  <c r="CH71" i="7"/>
  <c r="CI71" i="7"/>
  <c r="CJ71" i="7"/>
  <c r="CK71" i="7"/>
  <c r="CL71" i="7"/>
  <c r="CM71" i="7"/>
  <c r="CN71" i="7"/>
  <c r="CO71" i="7"/>
  <c r="CP71" i="7"/>
  <c r="CQ71" i="7"/>
  <c r="CR71" i="7"/>
  <c r="CS71" i="7"/>
  <c r="CT71" i="7"/>
  <c r="CU71" i="7"/>
  <c r="CV71" i="7"/>
  <c r="CW71" i="7"/>
  <c r="CX71" i="7"/>
  <c r="CY71" i="7"/>
  <c r="CZ71" i="7"/>
  <c r="DA71" i="7"/>
  <c r="DB71" i="7"/>
  <c r="DC71" i="7"/>
  <c r="DD71" i="7"/>
  <c r="DE71" i="7"/>
  <c r="DF71" i="7"/>
  <c r="DG71" i="7"/>
  <c r="DH71" i="7"/>
  <c r="DI71" i="7"/>
  <c r="DJ71" i="7"/>
  <c r="DK71" i="7"/>
  <c r="DL71" i="7"/>
  <c r="DM71" i="7"/>
  <c r="DN71" i="7"/>
  <c r="DO71" i="7"/>
  <c r="DP71" i="7"/>
  <c r="DQ71" i="7"/>
  <c r="DR71" i="7"/>
  <c r="DS71" i="7"/>
  <c r="DT71" i="7"/>
  <c r="DU71" i="7"/>
  <c r="DV71" i="7"/>
  <c r="DW71" i="7"/>
  <c r="DX71" i="7"/>
  <c r="DY71" i="7"/>
  <c r="DZ71" i="7"/>
  <c r="EA71" i="7"/>
  <c r="EB71" i="7"/>
  <c r="EC71" i="7"/>
  <c r="ED71" i="7"/>
  <c r="EE71" i="7"/>
  <c r="EF71" i="7"/>
  <c r="EG71" i="7"/>
  <c r="EH71" i="7"/>
  <c r="EI71" i="7"/>
  <c r="EJ71" i="7"/>
  <c r="EK71" i="7"/>
  <c r="EL71" i="7"/>
  <c r="EM71" i="7"/>
  <c r="EN71" i="7"/>
  <c r="EO71" i="7"/>
  <c r="EP71" i="7"/>
  <c r="EQ71" i="7"/>
  <c r="ER71" i="7"/>
  <c r="ES71" i="7"/>
  <c r="ET71" i="7"/>
  <c r="EU71" i="7"/>
  <c r="EV71" i="7"/>
  <c r="EW71" i="7"/>
  <c r="EX71" i="7"/>
  <c r="EY71" i="7"/>
  <c r="EZ71" i="7"/>
  <c r="FA71" i="7"/>
  <c r="FB71" i="7"/>
  <c r="FC71" i="7"/>
  <c r="FD71" i="7"/>
  <c r="FE71" i="7"/>
  <c r="FF71" i="7"/>
  <c r="FG71" i="7"/>
  <c r="FH71" i="7"/>
  <c r="FI71" i="7"/>
  <c r="FJ71" i="7"/>
  <c r="FK71" i="7"/>
  <c r="FL71" i="7"/>
  <c r="FM71" i="7"/>
  <c r="FN71" i="7"/>
  <c r="FO71" i="7"/>
  <c r="FP71" i="7"/>
  <c r="FQ71" i="7"/>
  <c r="FR71" i="7"/>
  <c r="FS71" i="7"/>
  <c r="FT71" i="7"/>
  <c r="FU71" i="7"/>
  <c r="FV71" i="7"/>
  <c r="FW71" i="7"/>
  <c r="FX71" i="7"/>
  <c r="FY71" i="7"/>
  <c r="FZ71" i="7"/>
  <c r="GA71" i="7"/>
  <c r="GB71" i="7"/>
  <c r="GC71" i="7"/>
  <c r="GD71" i="7"/>
  <c r="GE71" i="7"/>
  <c r="GF71" i="7"/>
  <c r="GG71" i="7"/>
  <c r="GH71" i="7"/>
  <c r="GI71" i="7"/>
  <c r="GJ71" i="7"/>
  <c r="GK71" i="7"/>
  <c r="GL71" i="7"/>
  <c r="GM71" i="7"/>
  <c r="GN71" i="7"/>
  <c r="GO71" i="7"/>
  <c r="GP71" i="7"/>
  <c r="GQ71" i="7"/>
  <c r="GR71" i="7"/>
  <c r="GS71" i="7"/>
  <c r="GT71" i="7"/>
  <c r="GU71" i="7"/>
  <c r="GV71" i="7"/>
  <c r="GW71" i="7"/>
  <c r="GX71" i="7"/>
  <c r="GY71" i="7"/>
  <c r="GZ71" i="7"/>
  <c r="HA71" i="7"/>
  <c r="HB71" i="7"/>
  <c r="HC71" i="7"/>
  <c r="HD71" i="7"/>
  <c r="HE71" i="7"/>
  <c r="HF71" i="7"/>
  <c r="HG71" i="7"/>
  <c r="HH71" i="7"/>
  <c r="HI71" i="7"/>
  <c r="HJ71" i="7"/>
  <c r="HK71" i="7"/>
  <c r="HL71" i="7"/>
  <c r="HM71" i="7"/>
  <c r="HN71" i="7"/>
  <c r="HO71" i="7"/>
  <c r="HP71" i="7"/>
  <c r="HQ71" i="7"/>
  <c r="HR71" i="7"/>
  <c r="HS71" i="7"/>
  <c r="HT71" i="7"/>
  <c r="HU71" i="7"/>
  <c r="HV71" i="7"/>
  <c r="HW71" i="7"/>
  <c r="HX71" i="7"/>
  <c r="HY71" i="7"/>
  <c r="HZ71" i="7"/>
  <c r="IA71" i="7"/>
  <c r="IB71" i="7"/>
  <c r="IC71" i="7"/>
  <c r="ID71" i="7"/>
  <c r="IE71" i="7"/>
  <c r="IF71" i="7"/>
  <c r="IG71" i="7"/>
  <c r="IH71" i="7"/>
  <c r="II71" i="7"/>
  <c r="IJ71" i="7"/>
  <c r="IK71" i="7"/>
  <c r="IL71" i="7"/>
  <c r="IM71" i="7"/>
  <c r="IN71" i="7"/>
  <c r="IO71" i="7"/>
  <c r="IP71" i="7"/>
  <c r="IQ71" i="7"/>
  <c r="IR71" i="7"/>
  <c r="IS71" i="7"/>
  <c r="IT71" i="7"/>
  <c r="IU71" i="7"/>
  <c r="IV71" i="7"/>
  <c r="A72" i="7"/>
  <c r="B72" i="7"/>
  <c r="C72" i="7"/>
  <c r="D72" i="7"/>
  <c r="E72" i="7"/>
  <c r="F72" i="7"/>
  <c r="G72" i="7"/>
  <c r="H72" i="7"/>
  <c r="I72" i="7"/>
  <c r="J72" i="7"/>
  <c r="K72" i="7"/>
  <c r="L72" i="7"/>
  <c r="M72" i="7"/>
  <c r="N72" i="7"/>
  <c r="O72" i="7"/>
  <c r="P72" i="7"/>
  <c r="Q72" i="7"/>
  <c r="R72" i="7"/>
  <c r="S72" i="7"/>
  <c r="T72" i="7"/>
  <c r="U72" i="7"/>
  <c r="V72" i="7"/>
  <c r="W72" i="7"/>
  <c r="X72" i="7"/>
  <c r="Y72" i="7"/>
  <c r="Z72" i="7"/>
  <c r="AA72" i="7"/>
  <c r="AB72" i="7"/>
  <c r="AC72" i="7"/>
  <c r="AD72" i="7"/>
  <c r="AE72" i="7"/>
  <c r="AF72" i="7"/>
  <c r="AG72" i="7"/>
  <c r="AH72" i="7"/>
  <c r="AI72" i="7"/>
  <c r="AJ72" i="7"/>
  <c r="AK72" i="7"/>
  <c r="AL72" i="7"/>
  <c r="AM72" i="7"/>
  <c r="AN72" i="7"/>
  <c r="AO72" i="7"/>
  <c r="AP72" i="7"/>
  <c r="AQ72" i="7"/>
  <c r="AR72" i="7"/>
  <c r="AS72" i="7"/>
  <c r="AT72" i="7"/>
  <c r="AU72" i="7"/>
  <c r="AV72" i="7"/>
  <c r="AW72" i="7"/>
  <c r="AX72" i="7"/>
  <c r="AY72" i="7"/>
  <c r="AZ72" i="7"/>
  <c r="BA72" i="7"/>
  <c r="BB72" i="7"/>
  <c r="BC72" i="7"/>
  <c r="BD72" i="7"/>
  <c r="BE72" i="7"/>
  <c r="BF72" i="7"/>
  <c r="BG72" i="7"/>
  <c r="BH72" i="7"/>
  <c r="BI72" i="7"/>
  <c r="BJ72" i="7"/>
  <c r="BK72" i="7"/>
  <c r="BL72" i="7"/>
  <c r="BM72" i="7"/>
  <c r="BN72" i="7"/>
  <c r="BO72" i="7"/>
  <c r="BP72" i="7"/>
  <c r="BQ72" i="7"/>
  <c r="BR72" i="7"/>
  <c r="BS72" i="7"/>
  <c r="BT72" i="7"/>
  <c r="BU72" i="7"/>
  <c r="BV72" i="7"/>
  <c r="BW72" i="7"/>
  <c r="BX72" i="7"/>
  <c r="BY72" i="7"/>
  <c r="BZ72" i="7"/>
  <c r="CA72" i="7"/>
  <c r="CB72" i="7"/>
  <c r="CC72" i="7"/>
  <c r="CD72" i="7"/>
  <c r="CE72" i="7"/>
  <c r="CF72" i="7"/>
  <c r="CG72" i="7"/>
  <c r="CH72" i="7"/>
  <c r="CI72" i="7"/>
  <c r="CJ72" i="7"/>
  <c r="CK72" i="7"/>
  <c r="CL72" i="7"/>
  <c r="CM72" i="7"/>
  <c r="CN72" i="7"/>
  <c r="CO72" i="7"/>
  <c r="CP72" i="7"/>
  <c r="CQ72" i="7"/>
  <c r="CR72" i="7"/>
  <c r="CS72" i="7"/>
  <c r="CT72" i="7"/>
  <c r="CU72" i="7"/>
  <c r="CV72" i="7"/>
  <c r="CW72" i="7"/>
  <c r="CX72" i="7"/>
  <c r="CY72" i="7"/>
  <c r="CZ72" i="7"/>
  <c r="DA72" i="7"/>
  <c r="DB72" i="7"/>
  <c r="DC72" i="7"/>
  <c r="DD72" i="7"/>
  <c r="DE72" i="7"/>
  <c r="DF72" i="7"/>
  <c r="DG72" i="7"/>
  <c r="DH72" i="7"/>
  <c r="DI72" i="7"/>
  <c r="DJ72" i="7"/>
  <c r="DK72" i="7"/>
  <c r="DL72" i="7"/>
  <c r="DM72" i="7"/>
  <c r="DN72" i="7"/>
  <c r="DO72" i="7"/>
  <c r="DP72" i="7"/>
  <c r="DQ72" i="7"/>
  <c r="DR72" i="7"/>
  <c r="DS72" i="7"/>
  <c r="DT72" i="7"/>
  <c r="DU72" i="7"/>
  <c r="DV72" i="7"/>
  <c r="DW72" i="7"/>
  <c r="DX72" i="7"/>
  <c r="DY72" i="7"/>
  <c r="DZ72" i="7"/>
  <c r="EA72" i="7"/>
  <c r="EB72" i="7"/>
  <c r="EC72" i="7"/>
  <c r="ED72" i="7"/>
  <c r="EE72" i="7"/>
  <c r="EF72" i="7"/>
  <c r="EG72" i="7"/>
  <c r="EH72" i="7"/>
  <c r="EI72" i="7"/>
  <c r="EJ72" i="7"/>
  <c r="EK72" i="7"/>
  <c r="EL72" i="7"/>
  <c r="EM72" i="7"/>
  <c r="EN72" i="7"/>
  <c r="EO72" i="7"/>
  <c r="EP72" i="7"/>
  <c r="EQ72" i="7"/>
  <c r="ER72" i="7"/>
  <c r="ES72" i="7"/>
  <c r="ET72" i="7"/>
  <c r="EU72" i="7"/>
  <c r="EV72" i="7"/>
  <c r="EW72" i="7"/>
  <c r="EX72" i="7"/>
  <c r="EY72" i="7"/>
  <c r="EZ72" i="7"/>
  <c r="FA72" i="7"/>
  <c r="FB72" i="7"/>
  <c r="FC72" i="7"/>
  <c r="FD72" i="7"/>
  <c r="FE72" i="7"/>
  <c r="FF72" i="7"/>
  <c r="FG72" i="7"/>
  <c r="FH72" i="7"/>
  <c r="FI72" i="7"/>
  <c r="FJ72" i="7"/>
  <c r="FK72" i="7"/>
  <c r="FL72" i="7"/>
  <c r="FM72" i="7"/>
  <c r="FN72" i="7"/>
  <c r="FO72" i="7"/>
  <c r="FP72" i="7"/>
  <c r="FQ72" i="7"/>
  <c r="FR72" i="7"/>
  <c r="FS72" i="7"/>
  <c r="FT72" i="7"/>
  <c r="FU72" i="7"/>
  <c r="FV72" i="7"/>
  <c r="FW72" i="7"/>
  <c r="FX72" i="7"/>
  <c r="FY72" i="7"/>
  <c r="FZ72" i="7"/>
  <c r="GA72" i="7"/>
  <c r="GB72" i="7"/>
  <c r="GC72" i="7"/>
  <c r="GD72" i="7"/>
  <c r="GE72" i="7"/>
  <c r="GF72" i="7"/>
  <c r="GG72" i="7"/>
  <c r="GH72" i="7"/>
  <c r="GI72" i="7"/>
  <c r="GJ72" i="7"/>
  <c r="GK72" i="7"/>
  <c r="GL72" i="7"/>
  <c r="GM72" i="7"/>
  <c r="GN72" i="7"/>
  <c r="GO72" i="7"/>
  <c r="GP72" i="7"/>
  <c r="GQ72" i="7"/>
  <c r="GR72" i="7"/>
  <c r="GS72" i="7"/>
  <c r="GT72" i="7"/>
  <c r="GU72" i="7"/>
  <c r="GV72" i="7"/>
  <c r="GW72" i="7"/>
  <c r="GX72" i="7"/>
  <c r="GY72" i="7"/>
  <c r="GZ72" i="7"/>
  <c r="HA72" i="7"/>
  <c r="HB72" i="7"/>
  <c r="HC72" i="7"/>
  <c r="HD72" i="7"/>
  <c r="HE72" i="7"/>
  <c r="HF72" i="7"/>
  <c r="HG72" i="7"/>
  <c r="HH72" i="7"/>
  <c r="HI72" i="7"/>
  <c r="HJ72" i="7"/>
  <c r="HK72" i="7"/>
  <c r="HL72" i="7"/>
  <c r="HM72" i="7"/>
  <c r="HN72" i="7"/>
  <c r="HO72" i="7"/>
  <c r="HP72" i="7"/>
  <c r="HQ72" i="7"/>
  <c r="HR72" i="7"/>
  <c r="HS72" i="7"/>
  <c r="HT72" i="7"/>
  <c r="HU72" i="7"/>
  <c r="HV72" i="7"/>
  <c r="HW72" i="7"/>
  <c r="HX72" i="7"/>
  <c r="HY72" i="7"/>
  <c r="HZ72" i="7"/>
  <c r="IA72" i="7"/>
  <c r="IB72" i="7"/>
  <c r="IC72" i="7"/>
  <c r="ID72" i="7"/>
  <c r="IE72" i="7"/>
  <c r="IF72" i="7"/>
  <c r="IG72" i="7"/>
  <c r="IH72" i="7"/>
  <c r="II72" i="7"/>
  <c r="IJ72" i="7"/>
  <c r="IK72" i="7"/>
  <c r="IL72" i="7"/>
  <c r="IM72" i="7"/>
  <c r="IN72" i="7"/>
  <c r="IO72" i="7"/>
  <c r="IP72" i="7"/>
  <c r="IQ72" i="7"/>
  <c r="IR72" i="7"/>
  <c r="IS72" i="7"/>
  <c r="IT72" i="7"/>
  <c r="IU72" i="7"/>
  <c r="IV72" i="7"/>
  <c r="A73" i="7"/>
  <c r="B73" i="7"/>
  <c r="C73" i="7"/>
  <c r="D73" i="7"/>
  <c r="E73" i="7"/>
  <c r="F73" i="7"/>
  <c r="G73" i="7"/>
  <c r="H73" i="7"/>
  <c r="I73" i="7"/>
  <c r="J73" i="7"/>
  <c r="K73" i="7"/>
  <c r="L73" i="7"/>
  <c r="M73" i="7"/>
  <c r="N73" i="7"/>
  <c r="O73" i="7"/>
  <c r="P73" i="7"/>
  <c r="Q73" i="7"/>
  <c r="R73" i="7"/>
  <c r="S73" i="7"/>
  <c r="T73" i="7"/>
  <c r="U73" i="7"/>
  <c r="V73" i="7"/>
  <c r="W73" i="7"/>
  <c r="X73" i="7"/>
  <c r="Y73" i="7"/>
  <c r="Z73" i="7"/>
  <c r="AA73" i="7"/>
  <c r="AB73" i="7"/>
  <c r="AC73" i="7"/>
  <c r="AD73" i="7"/>
  <c r="AE73" i="7"/>
  <c r="AF73" i="7"/>
  <c r="AG73" i="7"/>
  <c r="AH73" i="7"/>
  <c r="AI73" i="7"/>
  <c r="AJ73" i="7"/>
  <c r="AK73" i="7"/>
  <c r="AL73" i="7"/>
  <c r="AM73" i="7"/>
  <c r="AN73" i="7"/>
  <c r="AO73" i="7"/>
  <c r="AP73" i="7"/>
  <c r="AQ73" i="7"/>
  <c r="AR73" i="7"/>
  <c r="AS73" i="7"/>
  <c r="AT73" i="7"/>
  <c r="AU73" i="7"/>
  <c r="AV73" i="7"/>
  <c r="AW73" i="7"/>
  <c r="AX73" i="7"/>
  <c r="AY73" i="7"/>
  <c r="AZ73" i="7"/>
  <c r="BA73" i="7"/>
  <c r="BB73" i="7"/>
  <c r="BC73" i="7"/>
  <c r="BD73" i="7"/>
  <c r="BE73" i="7"/>
  <c r="BF73" i="7"/>
  <c r="BG73" i="7"/>
  <c r="BH73" i="7"/>
  <c r="BI73" i="7"/>
  <c r="BJ73" i="7"/>
  <c r="BK73" i="7"/>
  <c r="BL73" i="7"/>
  <c r="BM73" i="7"/>
  <c r="BN73" i="7"/>
  <c r="BO73" i="7"/>
  <c r="BP73" i="7"/>
  <c r="BQ73" i="7"/>
  <c r="BR73" i="7"/>
  <c r="BS73" i="7"/>
  <c r="BT73" i="7"/>
  <c r="BU73" i="7"/>
  <c r="BV73" i="7"/>
  <c r="BW73" i="7"/>
  <c r="BX73" i="7"/>
  <c r="BY73" i="7"/>
  <c r="BZ73" i="7"/>
  <c r="CA73" i="7"/>
  <c r="CB73" i="7"/>
  <c r="CC73" i="7"/>
  <c r="CD73" i="7"/>
  <c r="CE73" i="7"/>
  <c r="CF73" i="7"/>
  <c r="CG73" i="7"/>
  <c r="CH73" i="7"/>
  <c r="CI73" i="7"/>
  <c r="CJ73" i="7"/>
  <c r="CK73" i="7"/>
  <c r="CL73" i="7"/>
  <c r="CM73" i="7"/>
  <c r="CN73" i="7"/>
  <c r="CO73" i="7"/>
  <c r="CP73" i="7"/>
  <c r="CQ73" i="7"/>
  <c r="CR73" i="7"/>
  <c r="CS73" i="7"/>
  <c r="CT73" i="7"/>
  <c r="CU73" i="7"/>
  <c r="CV73" i="7"/>
  <c r="CW73" i="7"/>
  <c r="CX73" i="7"/>
  <c r="CY73" i="7"/>
  <c r="CZ73" i="7"/>
  <c r="DA73" i="7"/>
  <c r="DB73" i="7"/>
  <c r="DC73" i="7"/>
  <c r="DD73" i="7"/>
  <c r="DE73" i="7"/>
  <c r="DF73" i="7"/>
  <c r="DG73" i="7"/>
  <c r="DH73" i="7"/>
  <c r="DI73" i="7"/>
  <c r="DJ73" i="7"/>
  <c r="DK73" i="7"/>
  <c r="DL73" i="7"/>
  <c r="DM73" i="7"/>
  <c r="DN73" i="7"/>
  <c r="DO73" i="7"/>
  <c r="DP73" i="7"/>
  <c r="DQ73" i="7"/>
  <c r="DR73" i="7"/>
  <c r="DS73" i="7"/>
  <c r="DT73" i="7"/>
  <c r="DU73" i="7"/>
  <c r="DV73" i="7"/>
  <c r="DW73" i="7"/>
  <c r="DX73" i="7"/>
  <c r="DY73" i="7"/>
  <c r="DZ73" i="7"/>
  <c r="EA73" i="7"/>
  <c r="EB73" i="7"/>
  <c r="EC73" i="7"/>
  <c r="ED73" i="7"/>
  <c r="EE73" i="7"/>
  <c r="EF73" i="7"/>
  <c r="EG73" i="7"/>
  <c r="EH73" i="7"/>
  <c r="EI73" i="7"/>
  <c r="EJ73" i="7"/>
  <c r="EK73" i="7"/>
  <c r="EL73" i="7"/>
  <c r="EM73" i="7"/>
  <c r="EN73" i="7"/>
  <c r="EO73" i="7"/>
  <c r="EP73" i="7"/>
  <c r="EQ73" i="7"/>
  <c r="ER73" i="7"/>
  <c r="ES73" i="7"/>
  <c r="ET73" i="7"/>
  <c r="EU73" i="7"/>
  <c r="EV73" i="7"/>
  <c r="EW73" i="7"/>
  <c r="EX73" i="7"/>
  <c r="EY73" i="7"/>
  <c r="EZ73" i="7"/>
  <c r="FA73" i="7"/>
  <c r="FB73" i="7"/>
  <c r="FC73" i="7"/>
  <c r="FD73" i="7"/>
  <c r="FE73" i="7"/>
  <c r="FF73" i="7"/>
  <c r="FG73" i="7"/>
  <c r="FH73" i="7"/>
  <c r="FI73" i="7"/>
  <c r="FJ73" i="7"/>
  <c r="FK73" i="7"/>
  <c r="FL73" i="7"/>
  <c r="FM73" i="7"/>
  <c r="FN73" i="7"/>
  <c r="FO73" i="7"/>
  <c r="FP73" i="7"/>
  <c r="FQ73" i="7"/>
  <c r="FR73" i="7"/>
  <c r="FS73" i="7"/>
  <c r="FT73" i="7"/>
  <c r="FU73" i="7"/>
  <c r="FV73" i="7"/>
  <c r="FW73" i="7"/>
  <c r="FX73" i="7"/>
  <c r="FY73" i="7"/>
  <c r="FZ73" i="7"/>
  <c r="GA73" i="7"/>
  <c r="GB73" i="7"/>
  <c r="GC73" i="7"/>
  <c r="GD73" i="7"/>
  <c r="GE73" i="7"/>
  <c r="GF73" i="7"/>
  <c r="GG73" i="7"/>
  <c r="GH73" i="7"/>
  <c r="GI73" i="7"/>
  <c r="GJ73" i="7"/>
  <c r="GK73" i="7"/>
  <c r="GL73" i="7"/>
  <c r="GM73" i="7"/>
  <c r="GN73" i="7"/>
  <c r="GO73" i="7"/>
  <c r="GP73" i="7"/>
  <c r="GQ73" i="7"/>
  <c r="GR73" i="7"/>
  <c r="GS73" i="7"/>
  <c r="GT73" i="7"/>
  <c r="GU73" i="7"/>
  <c r="GV73" i="7"/>
  <c r="GW73" i="7"/>
  <c r="GX73" i="7"/>
  <c r="GY73" i="7"/>
  <c r="GZ73" i="7"/>
  <c r="HA73" i="7"/>
  <c r="HB73" i="7"/>
  <c r="HC73" i="7"/>
  <c r="HD73" i="7"/>
  <c r="HE73" i="7"/>
  <c r="HF73" i="7"/>
  <c r="HG73" i="7"/>
  <c r="HH73" i="7"/>
  <c r="HI73" i="7"/>
  <c r="HJ73" i="7"/>
  <c r="HK73" i="7"/>
  <c r="HL73" i="7"/>
  <c r="HM73" i="7"/>
  <c r="HN73" i="7"/>
  <c r="HO73" i="7"/>
  <c r="HP73" i="7"/>
  <c r="HQ73" i="7"/>
  <c r="HR73" i="7"/>
  <c r="HS73" i="7"/>
  <c r="HT73" i="7"/>
  <c r="HU73" i="7"/>
  <c r="HV73" i="7"/>
  <c r="HW73" i="7"/>
  <c r="HX73" i="7"/>
  <c r="HY73" i="7"/>
  <c r="HZ73" i="7"/>
  <c r="IA73" i="7"/>
  <c r="IB73" i="7"/>
  <c r="IC73" i="7"/>
  <c r="ID73" i="7"/>
  <c r="IE73" i="7"/>
  <c r="IF73" i="7"/>
  <c r="IG73" i="7"/>
  <c r="IH73" i="7"/>
  <c r="II73" i="7"/>
  <c r="IJ73" i="7"/>
  <c r="IK73" i="7"/>
  <c r="IL73" i="7"/>
  <c r="IM73" i="7"/>
  <c r="IN73" i="7"/>
  <c r="IO73" i="7"/>
  <c r="IP73" i="7"/>
  <c r="IQ73" i="7"/>
  <c r="IR73" i="7"/>
  <c r="IS73" i="7"/>
  <c r="IT73" i="7"/>
  <c r="IU73" i="7"/>
  <c r="IV73" i="7"/>
  <c r="A74" i="7"/>
  <c r="B74" i="7"/>
  <c r="C74" i="7"/>
  <c r="D74" i="7"/>
  <c r="E74" i="7"/>
  <c r="F74" i="7"/>
  <c r="G74" i="7"/>
  <c r="H74" i="7"/>
  <c r="I74" i="7"/>
  <c r="J74" i="7"/>
  <c r="K74" i="7"/>
  <c r="L74" i="7"/>
  <c r="M74" i="7"/>
  <c r="N74" i="7"/>
  <c r="O74" i="7"/>
  <c r="P74" i="7"/>
  <c r="Q74" i="7"/>
  <c r="R74" i="7"/>
  <c r="S74" i="7"/>
  <c r="T74" i="7"/>
  <c r="U74" i="7"/>
  <c r="V74" i="7"/>
  <c r="W74" i="7"/>
  <c r="X74" i="7"/>
  <c r="Y74" i="7"/>
  <c r="Z74" i="7"/>
  <c r="AA74" i="7"/>
  <c r="AB74" i="7"/>
  <c r="AC74" i="7"/>
  <c r="AD74" i="7"/>
  <c r="AE74" i="7"/>
  <c r="AF74" i="7"/>
  <c r="AG74" i="7"/>
  <c r="AH74" i="7"/>
  <c r="AI74" i="7"/>
  <c r="AJ74" i="7"/>
  <c r="AK74" i="7"/>
  <c r="AL74" i="7"/>
  <c r="AM74" i="7"/>
  <c r="AN74" i="7"/>
  <c r="AO74" i="7"/>
  <c r="AP74" i="7"/>
  <c r="AQ74" i="7"/>
  <c r="AR74" i="7"/>
  <c r="AS74" i="7"/>
  <c r="AT74" i="7"/>
  <c r="AU74" i="7"/>
  <c r="AV74" i="7"/>
  <c r="AW74" i="7"/>
  <c r="AX74" i="7"/>
  <c r="AY74" i="7"/>
  <c r="AZ74" i="7"/>
  <c r="BA74" i="7"/>
  <c r="BB74" i="7"/>
  <c r="BC74" i="7"/>
  <c r="BD74" i="7"/>
  <c r="BE74" i="7"/>
  <c r="BF74" i="7"/>
  <c r="BG74" i="7"/>
  <c r="BH74" i="7"/>
  <c r="BI74" i="7"/>
  <c r="BJ74" i="7"/>
  <c r="BK74" i="7"/>
  <c r="BL74" i="7"/>
  <c r="BM74" i="7"/>
  <c r="BN74" i="7"/>
  <c r="BO74" i="7"/>
  <c r="BP74" i="7"/>
  <c r="BQ74" i="7"/>
  <c r="BR74" i="7"/>
  <c r="BS74" i="7"/>
  <c r="BT74" i="7"/>
  <c r="BU74" i="7"/>
  <c r="BV74" i="7"/>
  <c r="BW74" i="7"/>
  <c r="BX74" i="7"/>
  <c r="BY74" i="7"/>
  <c r="BZ74" i="7"/>
  <c r="CA74" i="7"/>
  <c r="CB74" i="7"/>
  <c r="CC74" i="7"/>
  <c r="CD74" i="7"/>
  <c r="CE74" i="7"/>
  <c r="CF74" i="7"/>
  <c r="CG74" i="7"/>
  <c r="CH74" i="7"/>
  <c r="CI74" i="7"/>
  <c r="CJ74" i="7"/>
  <c r="CK74" i="7"/>
  <c r="CL74" i="7"/>
  <c r="CM74" i="7"/>
  <c r="CN74" i="7"/>
  <c r="CO74" i="7"/>
  <c r="CP74" i="7"/>
  <c r="CQ74" i="7"/>
  <c r="CR74" i="7"/>
  <c r="CS74" i="7"/>
  <c r="CT74" i="7"/>
  <c r="CU74" i="7"/>
  <c r="CV74" i="7"/>
  <c r="CW74" i="7"/>
  <c r="CX74" i="7"/>
  <c r="CY74" i="7"/>
  <c r="CZ74" i="7"/>
  <c r="DA74" i="7"/>
  <c r="DB74" i="7"/>
  <c r="DC74" i="7"/>
  <c r="DD74" i="7"/>
  <c r="DE74" i="7"/>
  <c r="DF74" i="7"/>
  <c r="DG74" i="7"/>
  <c r="DH74" i="7"/>
  <c r="DI74" i="7"/>
  <c r="DJ74" i="7"/>
  <c r="DK74" i="7"/>
  <c r="DL74" i="7"/>
  <c r="DM74" i="7"/>
  <c r="DN74" i="7"/>
  <c r="DO74" i="7"/>
  <c r="DP74" i="7"/>
  <c r="DQ74" i="7"/>
  <c r="DR74" i="7"/>
  <c r="DS74" i="7"/>
  <c r="DT74" i="7"/>
  <c r="DU74" i="7"/>
  <c r="DV74" i="7"/>
  <c r="DW74" i="7"/>
  <c r="DX74" i="7"/>
  <c r="DY74" i="7"/>
  <c r="DZ74" i="7"/>
  <c r="EA74" i="7"/>
  <c r="EB74" i="7"/>
  <c r="EC74" i="7"/>
  <c r="ED74" i="7"/>
  <c r="EE74" i="7"/>
  <c r="EF74" i="7"/>
  <c r="EG74" i="7"/>
  <c r="EH74" i="7"/>
  <c r="EI74" i="7"/>
  <c r="EJ74" i="7"/>
  <c r="EK74" i="7"/>
  <c r="EL74" i="7"/>
  <c r="EM74" i="7"/>
  <c r="EN74" i="7"/>
  <c r="EO74" i="7"/>
  <c r="EP74" i="7"/>
  <c r="EQ74" i="7"/>
  <c r="ER74" i="7"/>
  <c r="ES74" i="7"/>
  <c r="ET74" i="7"/>
  <c r="EU74" i="7"/>
  <c r="EV74" i="7"/>
  <c r="EW74" i="7"/>
  <c r="EX74" i="7"/>
  <c r="EY74" i="7"/>
  <c r="EZ74" i="7"/>
  <c r="FA74" i="7"/>
  <c r="FB74" i="7"/>
  <c r="FC74" i="7"/>
  <c r="FD74" i="7"/>
  <c r="FE74" i="7"/>
  <c r="FF74" i="7"/>
  <c r="FG74" i="7"/>
  <c r="FH74" i="7"/>
  <c r="FI74" i="7"/>
  <c r="FJ74" i="7"/>
  <c r="FK74" i="7"/>
  <c r="FL74" i="7"/>
  <c r="FM74" i="7"/>
  <c r="FN74" i="7"/>
  <c r="FO74" i="7"/>
  <c r="FP74" i="7"/>
  <c r="FQ74" i="7"/>
  <c r="FR74" i="7"/>
  <c r="FS74" i="7"/>
  <c r="FT74" i="7"/>
  <c r="FU74" i="7"/>
  <c r="FV74" i="7"/>
  <c r="FW74" i="7"/>
  <c r="FX74" i="7"/>
  <c r="FY74" i="7"/>
  <c r="FZ74" i="7"/>
  <c r="GA74" i="7"/>
  <c r="GB74" i="7"/>
  <c r="GC74" i="7"/>
  <c r="GD74" i="7"/>
  <c r="GE74" i="7"/>
  <c r="GF74" i="7"/>
  <c r="GG74" i="7"/>
  <c r="GH74" i="7"/>
  <c r="GI74" i="7"/>
  <c r="GJ74" i="7"/>
  <c r="GK74" i="7"/>
  <c r="GL74" i="7"/>
  <c r="GM74" i="7"/>
  <c r="GN74" i="7"/>
  <c r="GO74" i="7"/>
  <c r="GP74" i="7"/>
  <c r="GQ74" i="7"/>
  <c r="GR74" i="7"/>
  <c r="GS74" i="7"/>
  <c r="GT74" i="7"/>
  <c r="GU74" i="7"/>
  <c r="GV74" i="7"/>
  <c r="GW74" i="7"/>
  <c r="GX74" i="7"/>
  <c r="GY74" i="7"/>
  <c r="GZ74" i="7"/>
  <c r="HA74" i="7"/>
  <c r="HB74" i="7"/>
  <c r="HC74" i="7"/>
  <c r="HD74" i="7"/>
  <c r="HE74" i="7"/>
  <c r="HF74" i="7"/>
  <c r="HG74" i="7"/>
  <c r="HH74" i="7"/>
  <c r="HI74" i="7"/>
  <c r="HJ74" i="7"/>
  <c r="HK74" i="7"/>
  <c r="HL74" i="7"/>
  <c r="HM74" i="7"/>
  <c r="HN74" i="7"/>
  <c r="HO74" i="7"/>
  <c r="HP74" i="7"/>
  <c r="HQ74" i="7"/>
  <c r="HR74" i="7"/>
  <c r="HS74" i="7"/>
  <c r="HT74" i="7"/>
  <c r="HU74" i="7"/>
  <c r="HV74" i="7"/>
  <c r="HW74" i="7"/>
  <c r="HX74" i="7"/>
  <c r="HY74" i="7"/>
  <c r="HZ74" i="7"/>
  <c r="IA74" i="7"/>
  <c r="IB74" i="7"/>
  <c r="IC74" i="7"/>
  <c r="ID74" i="7"/>
  <c r="IE74" i="7"/>
  <c r="IF74" i="7"/>
  <c r="IG74" i="7"/>
  <c r="IH74" i="7"/>
  <c r="II74" i="7"/>
  <c r="IJ74" i="7"/>
  <c r="IK74" i="7"/>
  <c r="IL74" i="7"/>
  <c r="IM74" i="7"/>
  <c r="IN74" i="7"/>
  <c r="IO74" i="7"/>
  <c r="IP74" i="7"/>
  <c r="IQ74" i="7"/>
  <c r="IR74" i="7"/>
  <c r="IS74" i="7"/>
  <c r="IT74" i="7"/>
  <c r="IU74" i="7"/>
  <c r="IV74" i="7"/>
  <c r="A75" i="7"/>
  <c r="B75" i="7"/>
  <c r="C75" i="7"/>
  <c r="D75" i="7"/>
  <c r="E75" i="7"/>
  <c r="F75" i="7"/>
  <c r="G75" i="7"/>
  <c r="H75" i="7"/>
  <c r="I75" i="7"/>
  <c r="J75" i="7"/>
  <c r="K75" i="7"/>
  <c r="L75" i="7"/>
  <c r="M75" i="7"/>
  <c r="N75" i="7"/>
  <c r="O75" i="7"/>
  <c r="P75" i="7"/>
  <c r="Q75" i="7"/>
  <c r="R75" i="7"/>
  <c r="S75" i="7"/>
  <c r="T75" i="7"/>
  <c r="U75" i="7"/>
  <c r="V75" i="7"/>
  <c r="W75" i="7"/>
  <c r="X75" i="7"/>
  <c r="Y75" i="7"/>
  <c r="Z75" i="7"/>
  <c r="AA75" i="7"/>
  <c r="AB75" i="7"/>
  <c r="AC75" i="7"/>
  <c r="AD75" i="7"/>
  <c r="AE75" i="7"/>
  <c r="AF75" i="7"/>
  <c r="AG75" i="7"/>
  <c r="AH75" i="7"/>
  <c r="AI75" i="7"/>
  <c r="AJ75" i="7"/>
  <c r="AK75" i="7"/>
  <c r="AL75" i="7"/>
  <c r="AM75" i="7"/>
  <c r="AN75" i="7"/>
  <c r="AO75" i="7"/>
  <c r="AP75" i="7"/>
  <c r="AQ75" i="7"/>
  <c r="AR75" i="7"/>
  <c r="AS75" i="7"/>
  <c r="AT75" i="7"/>
  <c r="AU75" i="7"/>
  <c r="AV75" i="7"/>
  <c r="AW75" i="7"/>
  <c r="AX75" i="7"/>
  <c r="AY75" i="7"/>
  <c r="AZ75" i="7"/>
  <c r="BA75" i="7"/>
  <c r="BB75" i="7"/>
  <c r="BC75" i="7"/>
  <c r="BD75" i="7"/>
  <c r="BE75" i="7"/>
  <c r="BF75" i="7"/>
  <c r="BG75" i="7"/>
  <c r="BH75" i="7"/>
  <c r="BI75" i="7"/>
  <c r="BJ75" i="7"/>
  <c r="BK75" i="7"/>
  <c r="BL75" i="7"/>
  <c r="BM75" i="7"/>
  <c r="BN75" i="7"/>
  <c r="BO75" i="7"/>
  <c r="BP75" i="7"/>
  <c r="BQ75" i="7"/>
  <c r="BR75" i="7"/>
  <c r="BS75" i="7"/>
  <c r="BT75" i="7"/>
  <c r="BU75" i="7"/>
  <c r="BV75" i="7"/>
  <c r="BW75" i="7"/>
  <c r="BX75" i="7"/>
  <c r="BY75" i="7"/>
  <c r="BZ75" i="7"/>
  <c r="CA75" i="7"/>
  <c r="CB75" i="7"/>
  <c r="CC75" i="7"/>
  <c r="CD75" i="7"/>
  <c r="CE75" i="7"/>
  <c r="CF75" i="7"/>
  <c r="CG75" i="7"/>
  <c r="CH75" i="7"/>
  <c r="CI75" i="7"/>
  <c r="CJ75" i="7"/>
  <c r="CK75" i="7"/>
  <c r="CL75" i="7"/>
  <c r="CM75" i="7"/>
  <c r="CN75" i="7"/>
  <c r="CO75" i="7"/>
  <c r="CP75" i="7"/>
  <c r="CQ75" i="7"/>
  <c r="CR75" i="7"/>
  <c r="CS75" i="7"/>
  <c r="CT75" i="7"/>
  <c r="CU75" i="7"/>
  <c r="CV75" i="7"/>
  <c r="CW75" i="7"/>
  <c r="CX75" i="7"/>
  <c r="CY75" i="7"/>
  <c r="CZ75" i="7"/>
  <c r="DA75" i="7"/>
  <c r="DB75" i="7"/>
  <c r="DC75" i="7"/>
  <c r="DD75" i="7"/>
  <c r="DE75" i="7"/>
  <c r="DF75" i="7"/>
  <c r="DG75" i="7"/>
  <c r="DH75" i="7"/>
  <c r="DI75" i="7"/>
  <c r="DJ75" i="7"/>
  <c r="DK75" i="7"/>
  <c r="DL75" i="7"/>
  <c r="DM75" i="7"/>
  <c r="DN75" i="7"/>
  <c r="DO75" i="7"/>
  <c r="DP75" i="7"/>
  <c r="DQ75" i="7"/>
  <c r="DR75" i="7"/>
  <c r="DS75" i="7"/>
  <c r="DT75" i="7"/>
  <c r="DU75" i="7"/>
  <c r="DV75" i="7"/>
  <c r="DW75" i="7"/>
  <c r="DX75" i="7"/>
  <c r="DY75" i="7"/>
  <c r="DZ75" i="7"/>
  <c r="EA75" i="7"/>
  <c r="EB75" i="7"/>
  <c r="EC75" i="7"/>
  <c r="ED75" i="7"/>
  <c r="EE75" i="7"/>
  <c r="EF75" i="7"/>
  <c r="EG75" i="7"/>
  <c r="EH75" i="7"/>
  <c r="EI75" i="7"/>
  <c r="EJ75" i="7"/>
  <c r="EK75" i="7"/>
  <c r="EL75" i="7"/>
  <c r="EM75" i="7"/>
  <c r="EN75" i="7"/>
  <c r="EO75" i="7"/>
  <c r="EP75" i="7"/>
  <c r="EQ75" i="7"/>
  <c r="ER75" i="7"/>
  <c r="ES75" i="7"/>
  <c r="ET75" i="7"/>
  <c r="EU75" i="7"/>
  <c r="EV75" i="7"/>
  <c r="EW75" i="7"/>
  <c r="EX75" i="7"/>
  <c r="EY75" i="7"/>
  <c r="EZ75" i="7"/>
  <c r="FA75" i="7"/>
  <c r="FB75" i="7"/>
  <c r="FC75" i="7"/>
  <c r="FD75" i="7"/>
  <c r="FE75" i="7"/>
  <c r="FF75" i="7"/>
  <c r="FG75" i="7"/>
  <c r="FH75" i="7"/>
  <c r="FI75" i="7"/>
  <c r="FJ75" i="7"/>
  <c r="FK75" i="7"/>
  <c r="FL75" i="7"/>
  <c r="FM75" i="7"/>
  <c r="FN75" i="7"/>
  <c r="FO75" i="7"/>
  <c r="FP75" i="7"/>
  <c r="FQ75" i="7"/>
  <c r="FR75" i="7"/>
  <c r="FS75" i="7"/>
  <c r="FT75" i="7"/>
  <c r="FU75" i="7"/>
  <c r="FV75" i="7"/>
  <c r="FW75" i="7"/>
  <c r="FX75" i="7"/>
  <c r="FY75" i="7"/>
  <c r="FZ75" i="7"/>
  <c r="GA75" i="7"/>
  <c r="GB75" i="7"/>
  <c r="GC75" i="7"/>
  <c r="GD75" i="7"/>
  <c r="GE75" i="7"/>
  <c r="GF75" i="7"/>
  <c r="GG75" i="7"/>
  <c r="GH75" i="7"/>
  <c r="GI75" i="7"/>
  <c r="GJ75" i="7"/>
  <c r="GK75" i="7"/>
  <c r="GL75" i="7"/>
  <c r="GM75" i="7"/>
  <c r="GN75" i="7"/>
  <c r="GO75" i="7"/>
  <c r="GP75" i="7"/>
  <c r="GQ75" i="7"/>
  <c r="GR75" i="7"/>
  <c r="GS75" i="7"/>
  <c r="GT75" i="7"/>
  <c r="GU75" i="7"/>
  <c r="GV75" i="7"/>
  <c r="GW75" i="7"/>
  <c r="GX75" i="7"/>
  <c r="GY75" i="7"/>
  <c r="GZ75" i="7"/>
  <c r="HA75" i="7"/>
  <c r="HB75" i="7"/>
  <c r="HC75" i="7"/>
  <c r="HD75" i="7"/>
  <c r="HE75" i="7"/>
  <c r="HF75" i="7"/>
  <c r="HG75" i="7"/>
  <c r="HH75" i="7"/>
  <c r="HI75" i="7"/>
  <c r="HJ75" i="7"/>
  <c r="HK75" i="7"/>
  <c r="HL75" i="7"/>
  <c r="HM75" i="7"/>
  <c r="HN75" i="7"/>
  <c r="HO75" i="7"/>
  <c r="HP75" i="7"/>
  <c r="HQ75" i="7"/>
  <c r="HR75" i="7"/>
  <c r="HS75" i="7"/>
  <c r="HT75" i="7"/>
  <c r="HU75" i="7"/>
  <c r="HV75" i="7"/>
  <c r="HW75" i="7"/>
  <c r="HX75" i="7"/>
  <c r="HY75" i="7"/>
  <c r="HZ75" i="7"/>
  <c r="IA75" i="7"/>
  <c r="IB75" i="7"/>
  <c r="IC75" i="7"/>
  <c r="ID75" i="7"/>
  <c r="IE75" i="7"/>
  <c r="IF75" i="7"/>
  <c r="IG75" i="7"/>
  <c r="IH75" i="7"/>
  <c r="II75" i="7"/>
  <c r="IJ75" i="7"/>
  <c r="IK75" i="7"/>
  <c r="IL75" i="7"/>
  <c r="IM75" i="7"/>
  <c r="IN75" i="7"/>
  <c r="IO75" i="7"/>
  <c r="IP75" i="7"/>
  <c r="IQ75" i="7"/>
  <c r="IR75" i="7"/>
  <c r="IS75" i="7"/>
  <c r="IT75" i="7"/>
  <c r="IU75" i="7"/>
  <c r="IV75" i="7"/>
  <c r="A76" i="7"/>
  <c r="B76" i="7"/>
  <c r="C76" i="7"/>
  <c r="D76" i="7"/>
  <c r="E76" i="7"/>
  <c r="F76" i="7"/>
  <c r="G76" i="7"/>
  <c r="H76" i="7"/>
  <c r="I76" i="7"/>
  <c r="J76" i="7"/>
  <c r="K76" i="7"/>
  <c r="L76" i="7"/>
  <c r="M76" i="7"/>
  <c r="N76" i="7"/>
  <c r="O76" i="7"/>
  <c r="P76" i="7"/>
  <c r="Q76" i="7"/>
  <c r="R76" i="7"/>
  <c r="S76" i="7"/>
  <c r="T76" i="7"/>
  <c r="U76" i="7"/>
  <c r="V76" i="7"/>
  <c r="W76" i="7"/>
  <c r="X76" i="7"/>
  <c r="Y76" i="7"/>
  <c r="Z76" i="7"/>
  <c r="AA76" i="7"/>
  <c r="AB76" i="7"/>
  <c r="AC76" i="7"/>
  <c r="AD76" i="7"/>
  <c r="AE76" i="7"/>
  <c r="AF76" i="7"/>
  <c r="AG76" i="7"/>
  <c r="AH76" i="7"/>
  <c r="AI76" i="7"/>
  <c r="AJ76" i="7"/>
  <c r="AK76" i="7"/>
  <c r="AL76" i="7"/>
  <c r="AM76" i="7"/>
  <c r="AN76" i="7"/>
  <c r="AO76" i="7"/>
  <c r="AP76" i="7"/>
  <c r="AQ76" i="7"/>
  <c r="AR76" i="7"/>
  <c r="AS76" i="7"/>
  <c r="AT76" i="7"/>
  <c r="AU76" i="7"/>
  <c r="AV76" i="7"/>
  <c r="AW76" i="7"/>
  <c r="AX76" i="7"/>
  <c r="AY76" i="7"/>
  <c r="AZ76" i="7"/>
  <c r="BA76" i="7"/>
  <c r="BB76" i="7"/>
  <c r="BC76" i="7"/>
  <c r="BD76" i="7"/>
  <c r="BE76" i="7"/>
  <c r="BF76" i="7"/>
  <c r="BG76" i="7"/>
  <c r="BH76" i="7"/>
  <c r="BI76" i="7"/>
  <c r="BJ76" i="7"/>
  <c r="BK76" i="7"/>
  <c r="BL76" i="7"/>
  <c r="BM76" i="7"/>
  <c r="BN76" i="7"/>
  <c r="BO76" i="7"/>
  <c r="BP76" i="7"/>
  <c r="BQ76" i="7"/>
  <c r="BR76" i="7"/>
  <c r="BS76" i="7"/>
  <c r="BT76" i="7"/>
  <c r="BU76" i="7"/>
  <c r="BV76" i="7"/>
  <c r="BW76" i="7"/>
  <c r="BX76" i="7"/>
  <c r="BY76" i="7"/>
  <c r="BZ76" i="7"/>
  <c r="CA76" i="7"/>
  <c r="CB76" i="7"/>
  <c r="CC76" i="7"/>
  <c r="CD76" i="7"/>
  <c r="CE76" i="7"/>
  <c r="CF76" i="7"/>
  <c r="CG76" i="7"/>
  <c r="CH76" i="7"/>
  <c r="CI76" i="7"/>
  <c r="CJ76" i="7"/>
  <c r="CK76" i="7"/>
  <c r="CL76" i="7"/>
  <c r="CM76" i="7"/>
  <c r="CN76" i="7"/>
  <c r="CO76" i="7"/>
  <c r="CP76" i="7"/>
  <c r="CQ76" i="7"/>
  <c r="CR76" i="7"/>
  <c r="CS76" i="7"/>
  <c r="CT76" i="7"/>
  <c r="CU76" i="7"/>
  <c r="CV76" i="7"/>
  <c r="CW76" i="7"/>
  <c r="CX76" i="7"/>
  <c r="CY76" i="7"/>
  <c r="CZ76" i="7"/>
  <c r="DA76" i="7"/>
  <c r="DB76" i="7"/>
  <c r="DC76" i="7"/>
  <c r="DD76" i="7"/>
  <c r="DE76" i="7"/>
  <c r="DF76" i="7"/>
  <c r="DG76" i="7"/>
  <c r="DH76" i="7"/>
  <c r="DI76" i="7"/>
  <c r="DJ76" i="7"/>
  <c r="DK76" i="7"/>
  <c r="DL76" i="7"/>
  <c r="DM76" i="7"/>
  <c r="DN76" i="7"/>
  <c r="DO76" i="7"/>
  <c r="DP76" i="7"/>
  <c r="DQ76" i="7"/>
  <c r="DR76" i="7"/>
  <c r="DS76" i="7"/>
  <c r="DT76" i="7"/>
  <c r="DU76" i="7"/>
  <c r="DV76" i="7"/>
  <c r="DW76" i="7"/>
  <c r="DX76" i="7"/>
  <c r="DY76" i="7"/>
  <c r="DZ76" i="7"/>
  <c r="EA76" i="7"/>
  <c r="EB76" i="7"/>
  <c r="EC76" i="7"/>
  <c r="ED76" i="7"/>
  <c r="EE76" i="7"/>
  <c r="EF76" i="7"/>
  <c r="EG76" i="7"/>
  <c r="EH76" i="7"/>
  <c r="EI76" i="7"/>
  <c r="EJ76" i="7"/>
  <c r="EK76" i="7"/>
  <c r="EL76" i="7"/>
  <c r="EM76" i="7"/>
  <c r="EN76" i="7"/>
  <c r="EO76" i="7"/>
  <c r="EP76" i="7"/>
  <c r="EQ76" i="7"/>
  <c r="ER76" i="7"/>
  <c r="ES76" i="7"/>
  <c r="ET76" i="7"/>
  <c r="EU76" i="7"/>
  <c r="EV76" i="7"/>
  <c r="EW76" i="7"/>
  <c r="EX76" i="7"/>
  <c r="EY76" i="7"/>
  <c r="EZ76" i="7"/>
  <c r="FA76" i="7"/>
  <c r="FB76" i="7"/>
  <c r="FC76" i="7"/>
  <c r="FD76" i="7"/>
  <c r="FE76" i="7"/>
  <c r="FF76" i="7"/>
  <c r="FG76" i="7"/>
  <c r="FH76" i="7"/>
  <c r="FI76" i="7"/>
  <c r="FJ76" i="7"/>
  <c r="FK76" i="7"/>
  <c r="FL76" i="7"/>
  <c r="FM76" i="7"/>
  <c r="FN76" i="7"/>
  <c r="FO76" i="7"/>
  <c r="FP76" i="7"/>
  <c r="FQ76" i="7"/>
  <c r="FR76" i="7"/>
  <c r="FS76" i="7"/>
  <c r="FT76" i="7"/>
  <c r="FU76" i="7"/>
  <c r="FV76" i="7"/>
  <c r="FW76" i="7"/>
  <c r="FX76" i="7"/>
  <c r="FY76" i="7"/>
  <c r="FZ76" i="7"/>
  <c r="GA76" i="7"/>
  <c r="GB76" i="7"/>
  <c r="GC76" i="7"/>
  <c r="GD76" i="7"/>
  <c r="GE76" i="7"/>
  <c r="GF76" i="7"/>
  <c r="GG76" i="7"/>
  <c r="GH76" i="7"/>
  <c r="GI76" i="7"/>
  <c r="GJ76" i="7"/>
  <c r="GK76" i="7"/>
  <c r="GL76" i="7"/>
  <c r="GM76" i="7"/>
  <c r="GN76" i="7"/>
  <c r="GO76" i="7"/>
  <c r="GP76" i="7"/>
  <c r="GQ76" i="7"/>
  <c r="GR76" i="7"/>
  <c r="GS76" i="7"/>
  <c r="GT76" i="7"/>
  <c r="GU76" i="7"/>
  <c r="GV76" i="7"/>
  <c r="GW76" i="7"/>
  <c r="GX76" i="7"/>
  <c r="GY76" i="7"/>
  <c r="GZ76" i="7"/>
  <c r="HA76" i="7"/>
  <c r="HB76" i="7"/>
  <c r="HC76" i="7"/>
  <c r="HD76" i="7"/>
  <c r="HE76" i="7"/>
  <c r="HF76" i="7"/>
  <c r="HG76" i="7"/>
  <c r="HH76" i="7"/>
  <c r="HI76" i="7"/>
  <c r="HJ76" i="7"/>
  <c r="HK76" i="7"/>
  <c r="HL76" i="7"/>
  <c r="HM76" i="7"/>
  <c r="HN76" i="7"/>
  <c r="HO76" i="7"/>
  <c r="HP76" i="7"/>
  <c r="HQ76" i="7"/>
  <c r="HR76" i="7"/>
  <c r="HS76" i="7"/>
  <c r="HT76" i="7"/>
  <c r="HU76" i="7"/>
  <c r="HV76" i="7"/>
  <c r="HW76" i="7"/>
  <c r="HX76" i="7"/>
  <c r="HY76" i="7"/>
  <c r="HZ76" i="7"/>
  <c r="IA76" i="7"/>
  <c r="IB76" i="7"/>
  <c r="IC76" i="7"/>
  <c r="ID76" i="7"/>
  <c r="IE76" i="7"/>
  <c r="IF76" i="7"/>
  <c r="IG76" i="7"/>
  <c r="IH76" i="7"/>
  <c r="II76" i="7"/>
  <c r="IJ76" i="7"/>
  <c r="IK76" i="7"/>
  <c r="IL76" i="7"/>
  <c r="IM76" i="7"/>
  <c r="IN76" i="7"/>
  <c r="IO76" i="7"/>
  <c r="IP76" i="7"/>
  <c r="IQ76" i="7"/>
  <c r="IR76" i="7"/>
  <c r="IS76" i="7"/>
  <c r="IT76" i="7"/>
  <c r="IU76" i="7"/>
  <c r="IV76" i="7"/>
  <c r="A77" i="7"/>
  <c r="B77" i="7"/>
  <c r="C77" i="7"/>
  <c r="D77" i="7"/>
  <c r="E77" i="7"/>
  <c r="F77" i="7"/>
  <c r="G77" i="7"/>
  <c r="H77" i="7"/>
  <c r="I77" i="7"/>
  <c r="J77" i="7"/>
  <c r="K77" i="7"/>
  <c r="L77" i="7"/>
  <c r="M77" i="7"/>
  <c r="N77" i="7"/>
  <c r="O77" i="7"/>
  <c r="P77" i="7"/>
  <c r="Q77" i="7"/>
  <c r="R77" i="7"/>
  <c r="S77" i="7"/>
  <c r="T77" i="7"/>
  <c r="U77" i="7"/>
  <c r="V77" i="7"/>
  <c r="W77" i="7"/>
  <c r="X77" i="7"/>
  <c r="Y77" i="7"/>
  <c r="Z77" i="7"/>
  <c r="AA77" i="7"/>
  <c r="AB77" i="7"/>
  <c r="AC77" i="7"/>
  <c r="AD77" i="7"/>
  <c r="AE77" i="7"/>
  <c r="AF77" i="7"/>
  <c r="AG77" i="7"/>
  <c r="AH77" i="7"/>
  <c r="AI77" i="7"/>
  <c r="AJ77" i="7"/>
  <c r="AK77" i="7"/>
  <c r="AL77" i="7"/>
  <c r="AM77" i="7"/>
  <c r="AN77" i="7"/>
  <c r="AO77" i="7"/>
  <c r="AP77" i="7"/>
  <c r="AQ77" i="7"/>
  <c r="AR77" i="7"/>
  <c r="AS77" i="7"/>
  <c r="AT77" i="7"/>
  <c r="AU77" i="7"/>
  <c r="AV77" i="7"/>
  <c r="AW77" i="7"/>
  <c r="AX77" i="7"/>
  <c r="AY77" i="7"/>
  <c r="AZ77" i="7"/>
  <c r="BA77" i="7"/>
  <c r="BB77" i="7"/>
  <c r="BC77" i="7"/>
  <c r="BD77" i="7"/>
  <c r="BE77" i="7"/>
  <c r="BF77" i="7"/>
  <c r="BG77" i="7"/>
  <c r="BH77" i="7"/>
  <c r="BI77" i="7"/>
  <c r="BJ77" i="7"/>
  <c r="BK77" i="7"/>
  <c r="BL77" i="7"/>
  <c r="BM77" i="7"/>
  <c r="BN77" i="7"/>
  <c r="BO77" i="7"/>
  <c r="BP77" i="7"/>
  <c r="BQ77" i="7"/>
  <c r="BR77" i="7"/>
  <c r="BS77" i="7"/>
  <c r="BT77" i="7"/>
  <c r="BU77" i="7"/>
  <c r="BV77" i="7"/>
  <c r="BW77" i="7"/>
  <c r="BX77" i="7"/>
  <c r="BY77" i="7"/>
  <c r="BZ77" i="7"/>
  <c r="CA77" i="7"/>
  <c r="CB77" i="7"/>
  <c r="CC77" i="7"/>
  <c r="CD77" i="7"/>
  <c r="CE77" i="7"/>
  <c r="CF77" i="7"/>
  <c r="CG77" i="7"/>
  <c r="CH77" i="7"/>
  <c r="CI77" i="7"/>
  <c r="CJ77" i="7"/>
  <c r="CK77" i="7"/>
  <c r="CL77" i="7"/>
  <c r="CM77" i="7"/>
  <c r="CN77" i="7"/>
  <c r="CO77" i="7"/>
  <c r="CP77" i="7"/>
  <c r="CQ77" i="7"/>
  <c r="CR77" i="7"/>
  <c r="CS77" i="7"/>
  <c r="CT77" i="7"/>
  <c r="CU77" i="7"/>
  <c r="CV77" i="7"/>
  <c r="CW77" i="7"/>
  <c r="CX77" i="7"/>
  <c r="CY77" i="7"/>
  <c r="CZ77" i="7"/>
  <c r="DA77" i="7"/>
  <c r="DB77" i="7"/>
  <c r="DC77" i="7"/>
  <c r="DD77" i="7"/>
  <c r="DE77" i="7"/>
  <c r="DF77" i="7"/>
  <c r="DG77" i="7"/>
  <c r="DH77" i="7"/>
  <c r="DI77" i="7"/>
  <c r="DJ77" i="7"/>
  <c r="DK77" i="7"/>
  <c r="DL77" i="7"/>
  <c r="DM77" i="7"/>
  <c r="DN77" i="7"/>
  <c r="DO77" i="7"/>
  <c r="DP77" i="7"/>
  <c r="DQ77" i="7"/>
  <c r="DR77" i="7"/>
  <c r="DS77" i="7"/>
  <c r="DT77" i="7"/>
  <c r="DU77" i="7"/>
  <c r="DV77" i="7"/>
  <c r="DW77" i="7"/>
  <c r="DX77" i="7"/>
  <c r="DY77" i="7"/>
  <c r="DZ77" i="7"/>
  <c r="EA77" i="7"/>
  <c r="EB77" i="7"/>
  <c r="EC77" i="7"/>
  <c r="ED77" i="7"/>
  <c r="EE77" i="7"/>
  <c r="EF77" i="7"/>
  <c r="EG77" i="7"/>
  <c r="EH77" i="7"/>
  <c r="EI77" i="7"/>
  <c r="EJ77" i="7"/>
  <c r="EK77" i="7"/>
  <c r="EL77" i="7"/>
  <c r="EM77" i="7"/>
  <c r="EN77" i="7"/>
  <c r="EO77" i="7"/>
  <c r="EP77" i="7"/>
  <c r="EQ77" i="7"/>
  <c r="ER77" i="7"/>
  <c r="ES77" i="7"/>
  <c r="ET77" i="7"/>
  <c r="EU77" i="7"/>
  <c r="EV77" i="7"/>
  <c r="EW77" i="7"/>
  <c r="EX77" i="7"/>
  <c r="EY77" i="7"/>
  <c r="EZ77" i="7"/>
  <c r="FA77" i="7"/>
  <c r="FB77" i="7"/>
  <c r="FC77" i="7"/>
  <c r="FD77" i="7"/>
  <c r="FE77" i="7"/>
  <c r="FF77" i="7"/>
  <c r="FG77" i="7"/>
  <c r="FH77" i="7"/>
  <c r="FI77" i="7"/>
  <c r="FJ77" i="7"/>
  <c r="FK77" i="7"/>
  <c r="FL77" i="7"/>
  <c r="FM77" i="7"/>
  <c r="FN77" i="7"/>
  <c r="FO77" i="7"/>
  <c r="FP77" i="7"/>
  <c r="FQ77" i="7"/>
  <c r="FR77" i="7"/>
  <c r="FS77" i="7"/>
  <c r="FT77" i="7"/>
  <c r="FU77" i="7"/>
  <c r="FV77" i="7"/>
  <c r="FW77" i="7"/>
  <c r="FX77" i="7"/>
  <c r="FY77" i="7"/>
  <c r="FZ77" i="7"/>
  <c r="GA77" i="7"/>
  <c r="GB77" i="7"/>
  <c r="GC77" i="7"/>
  <c r="GD77" i="7"/>
  <c r="GE77" i="7"/>
  <c r="GF77" i="7"/>
  <c r="GG77" i="7"/>
  <c r="GH77" i="7"/>
  <c r="GI77" i="7"/>
  <c r="GJ77" i="7"/>
  <c r="GK77" i="7"/>
  <c r="GL77" i="7"/>
  <c r="GM77" i="7"/>
  <c r="GN77" i="7"/>
  <c r="GO77" i="7"/>
  <c r="GP77" i="7"/>
  <c r="GQ77" i="7"/>
  <c r="GR77" i="7"/>
  <c r="GS77" i="7"/>
  <c r="GT77" i="7"/>
  <c r="GU77" i="7"/>
  <c r="GV77" i="7"/>
  <c r="GW77" i="7"/>
  <c r="GX77" i="7"/>
  <c r="GY77" i="7"/>
  <c r="GZ77" i="7"/>
  <c r="HA77" i="7"/>
  <c r="HB77" i="7"/>
  <c r="HC77" i="7"/>
  <c r="HD77" i="7"/>
  <c r="HE77" i="7"/>
  <c r="HF77" i="7"/>
  <c r="HG77" i="7"/>
  <c r="HH77" i="7"/>
  <c r="HI77" i="7"/>
  <c r="HJ77" i="7"/>
  <c r="HK77" i="7"/>
  <c r="HL77" i="7"/>
  <c r="HM77" i="7"/>
  <c r="HN77" i="7"/>
  <c r="HO77" i="7"/>
  <c r="HP77" i="7"/>
  <c r="HQ77" i="7"/>
  <c r="HR77" i="7"/>
  <c r="HS77" i="7"/>
  <c r="HT77" i="7"/>
  <c r="HU77" i="7"/>
  <c r="HV77" i="7"/>
  <c r="HW77" i="7"/>
  <c r="HX77" i="7"/>
  <c r="HY77" i="7"/>
  <c r="HZ77" i="7"/>
  <c r="IA77" i="7"/>
  <c r="IB77" i="7"/>
  <c r="IC77" i="7"/>
  <c r="ID77" i="7"/>
  <c r="IE77" i="7"/>
  <c r="IF77" i="7"/>
  <c r="IG77" i="7"/>
  <c r="IH77" i="7"/>
  <c r="II77" i="7"/>
  <c r="IJ77" i="7"/>
  <c r="IK77" i="7"/>
  <c r="IL77" i="7"/>
  <c r="IM77" i="7"/>
  <c r="IN77" i="7"/>
  <c r="IO77" i="7"/>
  <c r="IP77" i="7"/>
  <c r="IQ77" i="7"/>
  <c r="IR77" i="7"/>
  <c r="IS77" i="7"/>
  <c r="IT77" i="7"/>
  <c r="IU77" i="7"/>
  <c r="IV77" i="7"/>
  <c r="A78" i="7"/>
  <c r="B78" i="7"/>
  <c r="C78" i="7"/>
  <c r="D78" i="7"/>
  <c r="E78" i="7"/>
  <c r="F78" i="7"/>
  <c r="G78" i="7"/>
  <c r="H78" i="7"/>
  <c r="I78" i="7"/>
  <c r="J78" i="7"/>
  <c r="K78" i="7"/>
  <c r="L78" i="7"/>
  <c r="M78" i="7"/>
  <c r="N78" i="7"/>
  <c r="O78" i="7"/>
  <c r="P78" i="7"/>
  <c r="Q78" i="7"/>
  <c r="R78" i="7"/>
  <c r="S78" i="7"/>
  <c r="T78" i="7"/>
  <c r="U78" i="7"/>
  <c r="V78" i="7"/>
  <c r="W78" i="7"/>
  <c r="X78" i="7"/>
  <c r="Y78" i="7"/>
  <c r="Z78" i="7"/>
  <c r="AA78" i="7"/>
  <c r="AB78" i="7"/>
  <c r="AC78" i="7"/>
  <c r="AD78" i="7"/>
  <c r="AE78" i="7"/>
  <c r="AF78" i="7"/>
  <c r="AG78" i="7"/>
  <c r="AH78" i="7"/>
  <c r="AI78" i="7"/>
  <c r="AJ78" i="7"/>
  <c r="AK78" i="7"/>
  <c r="AL78" i="7"/>
  <c r="AM78" i="7"/>
  <c r="AN78" i="7"/>
  <c r="AO78" i="7"/>
  <c r="AP78" i="7"/>
  <c r="AQ78" i="7"/>
  <c r="AR78" i="7"/>
  <c r="AS78" i="7"/>
  <c r="AT78" i="7"/>
  <c r="AU78" i="7"/>
  <c r="AV78" i="7"/>
  <c r="AW78" i="7"/>
  <c r="AX78" i="7"/>
  <c r="AY78" i="7"/>
  <c r="AZ78" i="7"/>
  <c r="BA78" i="7"/>
  <c r="BB78" i="7"/>
  <c r="BC78" i="7"/>
  <c r="BD78" i="7"/>
  <c r="BE78" i="7"/>
  <c r="BF78" i="7"/>
  <c r="BG78" i="7"/>
  <c r="BH78" i="7"/>
  <c r="BI78" i="7"/>
  <c r="BJ78" i="7"/>
  <c r="BK78" i="7"/>
  <c r="BL78" i="7"/>
  <c r="BM78" i="7"/>
  <c r="BN78" i="7"/>
  <c r="BO78" i="7"/>
  <c r="BP78" i="7"/>
  <c r="BQ78" i="7"/>
  <c r="BR78" i="7"/>
  <c r="BS78" i="7"/>
  <c r="BT78" i="7"/>
  <c r="BU78" i="7"/>
  <c r="BV78" i="7"/>
  <c r="BW78" i="7"/>
  <c r="BX78" i="7"/>
  <c r="BY78" i="7"/>
  <c r="BZ78" i="7"/>
  <c r="CA78" i="7"/>
  <c r="CB78" i="7"/>
  <c r="CC78" i="7"/>
  <c r="CD78" i="7"/>
  <c r="CE78" i="7"/>
  <c r="CF78" i="7"/>
  <c r="CG78" i="7"/>
  <c r="CH78" i="7"/>
  <c r="CI78" i="7"/>
  <c r="CJ78" i="7"/>
  <c r="CK78" i="7"/>
  <c r="CL78" i="7"/>
  <c r="CM78" i="7"/>
  <c r="CN78" i="7"/>
  <c r="CO78" i="7"/>
  <c r="CP78" i="7"/>
  <c r="CQ78" i="7"/>
  <c r="CR78" i="7"/>
  <c r="CS78" i="7"/>
  <c r="CT78" i="7"/>
  <c r="CU78" i="7"/>
  <c r="CV78" i="7"/>
  <c r="CW78" i="7"/>
  <c r="CX78" i="7"/>
  <c r="CY78" i="7"/>
  <c r="CZ78" i="7"/>
  <c r="DA78" i="7"/>
  <c r="DB78" i="7"/>
  <c r="DC78" i="7"/>
  <c r="DD78" i="7"/>
  <c r="DE78" i="7"/>
  <c r="DF78" i="7"/>
  <c r="DG78" i="7"/>
  <c r="DH78" i="7"/>
  <c r="DI78" i="7"/>
  <c r="DJ78" i="7"/>
  <c r="DK78" i="7"/>
  <c r="DL78" i="7"/>
  <c r="DM78" i="7"/>
  <c r="DN78" i="7"/>
  <c r="DO78" i="7"/>
  <c r="DP78" i="7"/>
  <c r="DQ78" i="7"/>
  <c r="DR78" i="7"/>
  <c r="DS78" i="7"/>
  <c r="DT78" i="7"/>
  <c r="DU78" i="7"/>
  <c r="DV78" i="7"/>
  <c r="DW78" i="7"/>
  <c r="DX78" i="7"/>
  <c r="DY78" i="7"/>
  <c r="DZ78" i="7"/>
  <c r="EA78" i="7"/>
  <c r="EB78" i="7"/>
  <c r="EC78" i="7"/>
  <c r="ED78" i="7"/>
  <c r="EE78" i="7"/>
  <c r="EF78" i="7"/>
  <c r="EG78" i="7"/>
  <c r="EH78" i="7"/>
  <c r="EI78" i="7"/>
  <c r="EJ78" i="7"/>
  <c r="EK78" i="7"/>
  <c r="EL78" i="7"/>
  <c r="EM78" i="7"/>
  <c r="EN78" i="7"/>
  <c r="EO78" i="7"/>
  <c r="EP78" i="7"/>
  <c r="EQ78" i="7"/>
  <c r="ER78" i="7"/>
  <c r="ES78" i="7"/>
  <c r="ET78" i="7"/>
  <c r="EU78" i="7"/>
  <c r="EV78" i="7"/>
  <c r="EW78" i="7"/>
  <c r="EX78" i="7"/>
  <c r="EY78" i="7"/>
  <c r="EZ78" i="7"/>
  <c r="FA78" i="7"/>
  <c r="FB78" i="7"/>
  <c r="FC78" i="7"/>
  <c r="FD78" i="7"/>
  <c r="FE78" i="7"/>
  <c r="FF78" i="7"/>
  <c r="FG78" i="7"/>
  <c r="FH78" i="7"/>
  <c r="FI78" i="7"/>
  <c r="FJ78" i="7"/>
  <c r="FK78" i="7"/>
  <c r="FL78" i="7"/>
  <c r="FM78" i="7"/>
  <c r="FN78" i="7"/>
  <c r="FO78" i="7"/>
  <c r="FP78" i="7"/>
  <c r="FQ78" i="7"/>
  <c r="FR78" i="7"/>
  <c r="FS78" i="7"/>
  <c r="FT78" i="7"/>
  <c r="FU78" i="7"/>
  <c r="FV78" i="7"/>
  <c r="FW78" i="7"/>
  <c r="FX78" i="7"/>
  <c r="FY78" i="7"/>
  <c r="FZ78" i="7"/>
  <c r="GA78" i="7"/>
  <c r="GB78" i="7"/>
  <c r="GC78" i="7"/>
  <c r="GD78" i="7"/>
  <c r="GE78" i="7"/>
  <c r="GF78" i="7"/>
  <c r="GG78" i="7"/>
  <c r="GH78" i="7"/>
  <c r="GI78" i="7"/>
  <c r="GJ78" i="7"/>
  <c r="GK78" i="7"/>
  <c r="GL78" i="7"/>
  <c r="GM78" i="7"/>
  <c r="GN78" i="7"/>
  <c r="GO78" i="7"/>
  <c r="GP78" i="7"/>
  <c r="GQ78" i="7"/>
  <c r="GR78" i="7"/>
  <c r="GS78" i="7"/>
  <c r="GT78" i="7"/>
  <c r="GU78" i="7"/>
  <c r="GV78" i="7"/>
  <c r="GW78" i="7"/>
  <c r="GX78" i="7"/>
  <c r="GY78" i="7"/>
  <c r="GZ78" i="7"/>
  <c r="HA78" i="7"/>
  <c r="HB78" i="7"/>
  <c r="HC78" i="7"/>
  <c r="HD78" i="7"/>
  <c r="HE78" i="7"/>
  <c r="HF78" i="7"/>
  <c r="HG78" i="7"/>
  <c r="HH78" i="7"/>
  <c r="HI78" i="7"/>
  <c r="HJ78" i="7"/>
  <c r="HK78" i="7"/>
  <c r="HL78" i="7"/>
  <c r="HM78" i="7"/>
  <c r="HN78" i="7"/>
  <c r="HO78" i="7"/>
  <c r="HP78" i="7"/>
  <c r="HQ78" i="7"/>
  <c r="HR78" i="7"/>
  <c r="HS78" i="7"/>
  <c r="HT78" i="7"/>
  <c r="HU78" i="7"/>
  <c r="HV78" i="7"/>
  <c r="HW78" i="7"/>
  <c r="HX78" i="7"/>
  <c r="HY78" i="7"/>
  <c r="HZ78" i="7"/>
  <c r="IA78" i="7"/>
  <c r="IB78" i="7"/>
  <c r="IC78" i="7"/>
  <c r="ID78" i="7"/>
  <c r="IE78" i="7"/>
  <c r="IF78" i="7"/>
  <c r="IG78" i="7"/>
  <c r="IH78" i="7"/>
  <c r="II78" i="7"/>
  <c r="IJ78" i="7"/>
  <c r="IK78" i="7"/>
  <c r="IL78" i="7"/>
  <c r="IM78" i="7"/>
  <c r="IN78" i="7"/>
  <c r="IO78" i="7"/>
  <c r="IP78" i="7"/>
  <c r="IQ78" i="7"/>
  <c r="IR78" i="7"/>
  <c r="IS78" i="7"/>
  <c r="IT78" i="7"/>
  <c r="IU78" i="7"/>
  <c r="IV78" i="7"/>
  <c r="A79" i="7"/>
  <c r="B79" i="7"/>
  <c r="C79" i="7"/>
  <c r="D79" i="7"/>
  <c r="E79" i="7"/>
  <c r="F79" i="7"/>
  <c r="G79" i="7"/>
  <c r="H79" i="7"/>
  <c r="I79" i="7"/>
  <c r="J79" i="7"/>
  <c r="K79" i="7"/>
  <c r="L79" i="7"/>
  <c r="M79" i="7"/>
  <c r="N79" i="7"/>
  <c r="O79" i="7"/>
  <c r="P79" i="7"/>
  <c r="Q79" i="7"/>
  <c r="R79" i="7"/>
  <c r="S79" i="7"/>
  <c r="T79" i="7"/>
  <c r="U79" i="7"/>
  <c r="V79" i="7"/>
  <c r="W79" i="7"/>
  <c r="X79" i="7"/>
  <c r="Y79" i="7"/>
  <c r="Z79" i="7"/>
  <c r="AA79" i="7"/>
  <c r="AB79" i="7"/>
  <c r="AC79" i="7"/>
  <c r="AD79" i="7"/>
  <c r="AE79" i="7"/>
  <c r="AF79" i="7"/>
  <c r="AG79" i="7"/>
  <c r="AH79" i="7"/>
  <c r="AI79" i="7"/>
  <c r="AJ79" i="7"/>
  <c r="AK79" i="7"/>
  <c r="AL79" i="7"/>
  <c r="AM79" i="7"/>
  <c r="AN79" i="7"/>
  <c r="AO79" i="7"/>
  <c r="AP79" i="7"/>
  <c r="AQ79" i="7"/>
  <c r="AR79" i="7"/>
  <c r="AS79" i="7"/>
  <c r="AT79" i="7"/>
  <c r="AU79" i="7"/>
  <c r="AV79" i="7"/>
  <c r="AW79" i="7"/>
  <c r="AX79" i="7"/>
  <c r="EG46" i="7"/>
  <c r="B1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Ata Khan</author>
  </authors>
  <commentList>
    <comment ref="A7" authorId="0" shapeId="0" xr:uid="{00000000-0006-0000-0100-000001000000}">
      <text>
        <r>
          <rPr>
            <b/>
            <sz val="8"/>
            <color indexed="81"/>
            <rFont val="Tahoma"/>
            <family val="2"/>
          </rPr>
          <t xml:space="preserve">Ata Khan:
.. And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Ata Khan</author>
  </authors>
  <commentList>
    <comment ref="K118" authorId="0" shapeId="0" xr:uid="{934FF0B9-C7E0-46B8-85D1-DFB3FF912A9F}">
      <text>
        <r>
          <rPr>
            <b/>
            <sz val="8"/>
            <color indexed="81"/>
            <rFont val="Tahoma"/>
            <family val="2"/>
          </rPr>
          <t>Ata Khan:</t>
        </r>
        <r>
          <rPr>
            <sz val="8"/>
            <color indexed="81"/>
            <rFont val="Tahoma"/>
            <family val="2"/>
          </rPr>
          <t xml:space="preserve">
CDT 256219</t>
        </r>
      </text>
    </comment>
    <comment ref="I120" authorId="0" shapeId="0" xr:uid="{46210664-5F30-4714-A604-9E96937585FD}">
      <text>
        <r>
          <rPr>
            <b/>
            <sz val="8"/>
            <color indexed="81"/>
            <rFont val="Tahoma"/>
            <family val="2"/>
          </rPr>
          <t>Ata Khan:</t>
        </r>
        <r>
          <rPr>
            <sz val="8"/>
            <color indexed="81"/>
            <rFont val="Tahoma"/>
            <family val="2"/>
          </rPr>
          <t xml:space="preserve">
Changed to 35 per BROS</t>
        </r>
      </text>
    </comment>
    <comment ref="G123" authorId="0" shapeId="0" xr:uid="{7AE35480-5FC7-464A-8FE1-E1589DE70A1D}">
      <text>
        <r>
          <rPr>
            <b/>
            <sz val="8"/>
            <color indexed="81"/>
            <rFont val="Tahoma"/>
            <family val="2"/>
          </rPr>
          <t>Ata Khan:</t>
        </r>
        <r>
          <rPr>
            <sz val="8"/>
            <color indexed="81"/>
            <rFont val="Tahoma"/>
            <family val="2"/>
          </rPr>
          <t xml:space="preserve">
added 0 on 3/2012
</t>
        </r>
      </text>
    </comment>
    <comment ref="G124" authorId="0" shapeId="0" xr:uid="{4C03C393-0BBE-43E2-8FC8-6A808E113C84}">
      <text>
        <r>
          <rPr>
            <b/>
            <sz val="8"/>
            <color indexed="81"/>
            <rFont val="Tahoma"/>
            <family val="2"/>
          </rPr>
          <t>Ata Khan:</t>
        </r>
        <r>
          <rPr>
            <sz val="8"/>
            <color indexed="81"/>
            <rFont val="Tahoma"/>
            <family val="2"/>
          </rPr>
          <t xml:space="preserve">
Added 0. 3/20/12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Ata Khan</author>
  </authors>
  <commentList>
    <comment ref="D24" authorId="0" shapeId="0" xr:uid="{78BFCBEE-6832-484D-8415-ADE6C5C574B1}">
      <text>
        <r>
          <rPr>
            <b/>
            <sz val="8"/>
            <color indexed="81"/>
            <rFont val="Tahoma"/>
            <family val="2"/>
          </rPr>
          <t>Ata Khan:</t>
        </r>
        <r>
          <rPr>
            <sz val="8"/>
            <color indexed="81"/>
            <rFont val="Tahoma"/>
            <family val="2"/>
          </rPr>
          <t xml:space="preserve">
changed per input from YYC</t>
        </r>
      </text>
    </comment>
    <comment ref="C149" authorId="0" shapeId="0" xr:uid="{90D8EC15-456A-431B-B6C7-91D8521A0D1D}">
      <text>
        <r>
          <rPr>
            <b/>
            <sz val="8"/>
            <color indexed="81"/>
            <rFont val="Tahoma"/>
            <family val="2"/>
          </rPr>
          <t>Ata Khan:</t>
        </r>
        <r>
          <rPr>
            <sz val="8"/>
            <color indexed="81"/>
            <rFont val="Tahoma"/>
            <family val="2"/>
          </rPr>
          <t xml:space="preserve">
Wakeup time from power on. Section 2.1 SAS.</t>
        </r>
      </text>
    </comment>
    <comment ref="D198" authorId="0" shapeId="0" xr:uid="{3E0884D0-16CD-4999-BCAF-FBCF2B72E658}">
      <text>
        <r>
          <rPr>
            <b/>
            <sz val="8"/>
            <color indexed="81"/>
            <rFont val="Tahoma"/>
            <family val="2"/>
          </rPr>
          <t>Ata Khan:</t>
        </r>
        <r>
          <rPr>
            <sz val="8"/>
            <color indexed="81"/>
            <rFont val="Tahoma"/>
            <family val="2"/>
          </rPr>
          <t xml:space="preserve">
Changed from YES to NO. 6/6/14.</t>
        </r>
      </text>
    </comment>
    <comment ref="D204" authorId="0" shapeId="0" xr:uid="{1311F6F1-E636-415F-AB69-BB751F8FD34E}">
      <text>
        <r>
          <rPr>
            <b/>
            <sz val="8"/>
            <color indexed="81"/>
            <rFont val="Tahoma"/>
            <family val="2"/>
          </rPr>
          <t>Ata Khan:</t>
        </r>
        <r>
          <rPr>
            <sz val="8"/>
            <color indexed="81"/>
            <rFont val="Tahoma"/>
            <family val="2"/>
          </rPr>
          <t xml:space="preserve">
Changed from 4 to 6.</t>
        </r>
      </text>
    </comment>
    <comment ref="I217" authorId="0" shapeId="0" xr:uid="{FC22625B-8544-4EFB-88F7-D9BC8F352BF8}">
      <text>
        <r>
          <rPr>
            <b/>
            <sz val="8"/>
            <color indexed="81"/>
            <rFont val="Tahoma"/>
            <family val="2"/>
          </rPr>
          <t>Ata Khan:</t>
        </r>
        <r>
          <rPr>
            <sz val="8"/>
            <color indexed="81"/>
            <rFont val="Tahoma"/>
            <family val="2"/>
          </rPr>
          <t xml:space="preserve">
removed reference to PDMEROS. 6/13/14</t>
        </r>
      </text>
    </comment>
    <comment ref="I218" authorId="0" shapeId="0" xr:uid="{7D79467B-A0B8-4836-AF2A-A7654C082215}">
      <text>
        <r>
          <rPr>
            <b/>
            <sz val="8"/>
            <color indexed="81"/>
            <rFont val="Tahoma"/>
            <family val="2"/>
          </rPr>
          <t>Ata Khan:</t>
        </r>
        <r>
          <rPr>
            <sz val="8"/>
            <color indexed="81"/>
            <rFont val="Tahoma"/>
            <family val="2"/>
          </rPr>
          <t xml:space="preserve">
6/13/14</t>
        </r>
      </text>
    </comment>
    <comment ref="D226" authorId="0" shapeId="0" xr:uid="{B2697A2A-0DC0-4A83-8943-B87E17B9F62D}">
      <text>
        <r>
          <rPr>
            <b/>
            <sz val="8"/>
            <color indexed="81"/>
            <rFont val="Tahoma"/>
            <family val="2"/>
          </rPr>
          <t>Ata Khan:</t>
        </r>
        <r>
          <rPr>
            <sz val="8"/>
            <color indexed="81"/>
            <rFont val="Tahoma"/>
            <family val="2"/>
          </rPr>
          <t xml:space="preserve">
Removed reference to 001-22639, P3VMON spec. Irrelevant.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Ata Khan</author>
  </authors>
  <commentList>
    <comment ref="E173" authorId="0" shapeId="0" xr:uid="{00000000-0006-0000-0400-000001000000}">
      <text>
        <r>
          <rPr>
            <b/>
            <sz val="8"/>
            <color indexed="81"/>
            <rFont val="Tahoma"/>
            <family val="2"/>
          </rPr>
          <t>Ata Khan:</t>
        </r>
        <r>
          <rPr>
            <sz val="8"/>
            <color indexed="81"/>
            <rFont val="Tahoma"/>
            <family val="2"/>
          </rPr>
          <t xml:space="preserve">
corrected 07/15/14</t>
        </r>
      </text>
    </comment>
    <comment ref="C322" authorId="0" shapeId="0" xr:uid="{00000000-0006-0000-0400-000002000000}">
      <text>
        <r>
          <rPr>
            <b/>
            <sz val="8"/>
            <color indexed="81"/>
            <rFont val="Tahoma"/>
            <family val="2"/>
          </rPr>
          <t>Ata Khan:</t>
        </r>
        <r>
          <rPr>
            <sz val="8"/>
            <color indexed="81"/>
            <rFont val="Tahoma"/>
            <family val="2"/>
          </rPr>
          <t xml:space="preserve">
Changed 6/20/16 per YYC input</t>
        </r>
      </text>
    </comment>
  </commentList>
</comments>
</file>

<file path=xl/sharedStrings.xml><?xml version="1.0" encoding="utf-8"?>
<sst xmlns="http://schemas.openxmlformats.org/spreadsheetml/2006/main" count="8850" uniqueCount="2117">
  <si>
    <t>6. Make copies of the "Datasheet Template" tab for each datasheet specification table required for the datasheets that support this EROS.  Build the datasheet tables:</t>
  </si>
  <si>
    <t>Company</t>
  </si>
  <si>
    <t>Family Name</t>
  </si>
  <si>
    <t xml:space="preserve">Core </t>
  </si>
  <si>
    <t>Max Freq (MHz)</t>
  </si>
  <si>
    <t>Flash (KB)</t>
  </si>
  <si>
    <t>SRAM (KB)</t>
  </si>
  <si>
    <t>Voltage Range(V)</t>
  </si>
  <si>
    <t># of UARTs</t>
  </si>
  <si>
    <t># of I2C</t>
  </si>
  <si>
    <t># of SPI</t>
  </si>
  <si>
    <t>ADC Architecture</t>
  </si>
  <si>
    <t>SAR</t>
  </si>
  <si>
    <t xml:space="preserve">ADC Max 
Resolution </t>
  </si>
  <si>
    <t>ADC Sample 
speed (Ksps)</t>
  </si>
  <si>
    <t>Comparator Instances</t>
  </si>
  <si>
    <t># of Op Amps</t>
  </si>
  <si>
    <t>DACs</t>
  </si>
  <si>
    <t>Max # of I/O</t>
  </si>
  <si>
    <t>Package Options</t>
  </si>
  <si>
    <t>Analog</t>
  </si>
  <si>
    <t>GPIO</t>
  </si>
  <si>
    <t>Packages</t>
  </si>
  <si>
    <t>Fixed-function Digital</t>
  </si>
  <si>
    <t>CPU &amp; Memory Sub-system</t>
  </si>
  <si>
    <t>ECO</t>
  </si>
  <si>
    <t>TI</t>
  </si>
  <si>
    <t>-40 to 85</t>
  </si>
  <si>
    <t>-40 to 105</t>
  </si>
  <si>
    <t xml:space="preserve">Block Power Modes </t>
  </si>
  <si>
    <t>Active</t>
  </si>
  <si>
    <t>Sleep</t>
  </si>
  <si>
    <t>Deep Sleep</t>
  </si>
  <si>
    <t>Hibernate</t>
  </si>
  <si>
    <t>Block</t>
  </si>
  <si>
    <t>CPUSS</t>
  </si>
  <si>
    <t>SRAM</t>
  </si>
  <si>
    <t>FLASH</t>
  </si>
  <si>
    <t>CPU</t>
  </si>
  <si>
    <t>NVIC</t>
  </si>
  <si>
    <t>WIC</t>
  </si>
  <si>
    <t>PROG DIGITAL</t>
  </si>
  <si>
    <t>FF DIGITAL</t>
  </si>
  <si>
    <t>TCPWM</t>
  </si>
  <si>
    <t>SCB</t>
  </si>
  <si>
    <t>SPECIAL FN</t>
  </si>
  <si>
    <t>PROG ANALOG</t>
  </si>
  <si>
    <t>LPC</t>
  </si>
  <si>
    <t>IO</t>
  </si>
  <si>
    <t>Power Mode</t>
  </si>
  <si>
    <t>BID1</t>
  </si>
  <si>
    <t>BID2</t>
  </si>
  <si>
    <t>BID3</t>
  </si>
  <si>
    <t>BID5</t>
  </si>
  <si>
    <t>BID6</t>
  </si>
  <si>
    <t>PRGE</t>
  </si>
  <si>
    <t>Endurance at 55 C average ambient temperature</t>
  </si>
  <si>
    <t>100K</t>
  </si>
  <si>
    <t>BID8</t>
  </si>
  <si>
    <t>BID9</t>
  </si>
  <si>
    <t>BID10</t>
  </si>
  <si>
    <t>BID11</t>
  </si>
  <si>
    <t>BID12</t>
  </si>
  <si>
    <t>BID13</t>
  </si>
  <si>
    <t>BID14</t>
  </si>
  <si>
    <t>BID15</t>
  </si>
  <si>
    <t>BID16</t>
  </si>
  <si>
    <t>BID17</t>
  </si>
  <si>
    <t>BID18</t>
  </si>
  <si>
    <t>BID19</t>
  </si>
  <si>
    <t>BID46</t>
  </si>
  <si>
    <t>BID47</t>
  </si>
  <si>
    <t>BID47A</t>
  </si>
  <si>
    <t>BID48</t>
  </si>
  <si>
    <t>BID49</t>
  </si>
  <si>
    <t>BID50</t>
  </si>
  <si>
    <t>BID51</t>
  </si>
  <si>
    <t>Twupo</t>
  </si>
  <si>
    <t>BID52</t>
  </si>
  <si>
    <t>TVddspec</t>
  </si>
  <si>
    <t>BID53</t>
  </si>
  <si>
    <t>BID54</t>
  </si>
  <si>
    <t>BID55</t>
  </si>
  <si>
    <t>Svdd</t>
  </si>
  <si>
    <t>BID56</t>
  </si>
  <si>
    <t>BID62</t>
  </si>
  <si>
    <t>BID57</t>
  </si>
  <si>
    <t>BID58</t>
  </si>
  <si>
    <t>BID59</t>
  </si>
  <si>
    <t>BID63</t>
  </si>
  <si>
    <t>BID60</t>
  </si>
  <si>
    <t>Vbod</t>
  </si>
  <si>
    <t>BID64</t>
  </si>
  <si>
    <t>Maximum ramp rate</t>
  </si>
  <si>
    <t>kV/sec</t>
  </si>
  <si>
    <t>Program granularity for write protection</t>
  </si>
  <si>
    <t>Program granularity for read protection</t>
  </si>
  <si>
    <t>Yes</t>
  </si>
  <si>
    <t>BID61</t>
  </si>
  <si>
    <t>No</t>
  </si>
  <si>
    <t>S8 Programming spec compliance</t>
  </si>
  <si>
    <t>Max. programming cycles for the module</t>
  </si>
  <si>
    <t>Analysis to be completed</t>
  </si>
  <si>
    <t>GPIO must go to Hi-Z state during POR initialization</t>
  </si>
  <si>
    <t>Absolute Maximum Ratings</t>
  </si>
  <si>
    <t>SID1</t>
  </si>
  <si>
    <t>VDD_ABS</t>
  </si>
  <si>
    <t>Analog or Digital Supply relative to Vss (Vssd=Vssa)</t>
  </si>
  <si>
    <t xml:space="preserve">- </t>
  </si>
  <si>
    <t>Absolute Maximum</t>
  </si>
  <si>
    <t>SID2</t>
  </si>
  <si>
    <t>VCCD_ABS</t>
  </si>
  <si>
    <t>Direct digital core voltage input relative to Vssd</t>
  </si>
  <si>
    <t>SID3</t>
  </si>
  <si>
    <t>VGPIO_ABS</t>
  </si>
  <si>
    <t>GPIO voltage ; VDDD or VDDA</t>
  </si>
  <si>
    <t>VDD+0.5</t>
  </si>
  <si>
    <t>SID4</t>
  </si>
  <si>
    <t>IGPIO_ABS</t>
  </si>
  <si>
    <t>Current per GPIO</t>
  </si>
  <si>
    <t>-25</t>
  </si>
  <si>
    <t>25</t>
  </si>
  <si>
    <t>SID5</t>
  </si>
  <si>
    <t>IGPIO_injection</t>
  </si>
  <si>
    <t>GPIO injection current per pin</t>
  </si>
  <si>
    <t>-0.5</t>
  </si>
  <si>
    <t>0.5</t>
  </si>
  <si>
    <t>DC Specifications</t>
  </si>
  <si>
    <t>CEFC</t>
  </si>
  <si>
    <t>X5R ceramic or better</t>
  </si>
  <si>
    <t>CEXC</t>
  </si>
  <si>
    <t>Power supply decoupling capacitor</t>
  </si>
  <si>
    <t>SID6</t>
  </si>
  <si>
    <t>SID8</t>
  </si>
  <si>
    <t>SID10</t>
  </si>
  <si>
    <t>SID11</t>
  </si>
  <si>
    <t>SID14</t>
  </si>
  <si>
    <t>SID15</t>
  </si>
  <si>
    <t>SID16</t>
  </si>
  <si>
    <t>SID17</t>
  </si>
  <si>
    <t>-</t>
  </si>
  <si>
    <t>IDD34</t>
  </si>
  <si>
    <t>µs</t>
  </si>
  <si>
    <t>GPIO DC Specifications</t>
  </si>
  <si>
    <t>SID57</t>
  </si>
  <si>
    <t>VIH</t>
  </si>
  <si>
    <t>Input Voltage high threshold</t>
  </si>
  <si>
    <t>0.7*VDD</t>
  </si>
  <si>
    <t>CMOS Input</t>
  </si>
  <si>
    <t>SID58</t>
  </si>
  <si>
    <t>VIL</t>
  </si>
  <si>
    <t>Input Voltage low threshold</t>
  </si>
  <si>
    <t>0.3*VDD</t>
  </si>
  <si>
    <t>SID243</t>
  </si>
  <si>
    <t>LVTTL input, VDD &gt;= 2.7V</t>
  </si>
  <si>
    <t>SID244</t>
  </si>
  <si>
    <t>SID59</t>
  </si>
  <si>
    <t>VOH</t>
  </si>
  <si>
    <t>Output Voltage high level</t>
  </si>
  <si>
    <t>VDD-0.5</t>
  </si>
  <si>
    <t>VOL</t>
  </si>
  <si>
    <t>Output Voltage low level</t>
  </si>
  <si>
    <t>SID62A</t>
  </si>
  <si>
    <t>SID63</t>
  </si>
  <si>
    <t>RPULLUP</t>
  </si>
  <si>
    <t>Pull-up resistor</t>
  </si>
  <si>
    <t>SID64</t>
  </si>
  <si>
    <t>RPULLDOWN</t>
  </si>
  <si>
    <t>Pull-down resistor</t>
  </si>
  <si>
    <t>SID65</t>
  </si>
  <si>
    <t>IIL</t>
  </si>
  <si>
    <t>Input leakage current(absolute value)</t>
  </si>
  <si>
    <t>25° C, VDD = 3.0V</t>
  </si>
  <si>
    <t>SID66</t>
  </si>
  <si>
    <t>CIN</t>
  </si>
  <si>
    <t>Input Capacitance</t>
  </si>
  <si>
    <t>SID67</t>
  </si>
  <si>
    <t>VHYSTTL</t>
  </si>
  <si>
    <t>Input hysteresis LVTTL VDD &gt; 2.7V</t>
  </si>
  <si>
    <t>SID68</t>
  </si>
  <si>
    <t>VHYSCMOS</t>
  </si>
  <si>
    <t>Input hysteresis CMOS</t>
  </si>
  <si>
    <t>0.05*VDD</t>
  </si>
  <si>
    <t>SID69</t>
  </si>
  <si>
    <t>IDIODE</t>
  </si>
  <si>
    <t>Current through protection diode to VDD/VSS</t>
  </si>
  <si>
    <t>SID69A</t>
  </si>
  <si>
    <t>ITOT_GPIO</t>
  </si>
  <si>
    <t>Maximum Total Source or Sink Chip Current</t>
  </si>
  <si>
    <t>GPIO AC Specifications</t>
  </si>
  <si>
    <t>SID70</t>
  </si>
  <si>
    <t>TRISEF</t>
  </si>
  <si>
    <t>SID71</t>
  </si>
  <si>
    <t>TFALLF</t>
  </si>
  <si>
    <t>SID72</t>
  </si>
  <si>
    <t>SID73</t>
  </si>
  <si>
    <t>SID74</t>
  </si>
  <si>
    <t>FGPIOUT1</t>
  </si>
  <si>
    <t>90/10%, 25 pF load, 60/40 duty cycle</t>
  </si>
  <si>
    <t>SID75</t>
  </si>
  <si>
    <t>FGPIOUT2</t>
  </si>
  <si>
    <t>SID76</t>
  </si>
  <si>
    <t>FGPIOUT3</t>
  </si>
  <si>
    <t>SID245</t>
  </si>
  <si>
    <t>FGPIOUT4</t>
  </si>
  <si>
    <t>SID246</t>
  </si>
  <si>
    <t>FGPIOIN</t>
  </si>
  <si>
    <t>90/10% Vio</t>
  </si>
  <si>
    <t>XRES DC Specifications</t>
  </si>
  <si>
    <t>SID77</t>
  </si>
  <si>
    <t>SID78</t>
  </si>
  <si>
    <t>SID80</t>
  </si>
  <si>
    <t>SID81</t>
  </si>
  <si>
    <t>VHYSXRES</t>
  </si>
  <si>
    <t>Input voltage hysteresis</t>
  </si>
  <si>
    <t>SID82</t>
  </si>
  <si>
    <t>Current through protection diode to VDD/Vss</t>
  </si>
  <si>
    <t>XRES AC Specifications</t>
  </si>
  <si>
    <t>Analog Peripherals</t>
  </si>
  <si>
    <t>uA</t>
  </si>
  <si>
    <t>CMRR</t>
  </si>
  <si>
    <t>SID84</t>
  </si>
  <si>
    <t>VOFFSET1</t>
  </si>
  <si>
    <t>VOFFSET2</t>
  </si>
  <si>
    <t>SID86</t>
  </si>
  <si>
    <t>SID87</t>
  </si>
  <si>
    <t>VICM1</t>
  </si>
  <si>
    <t>SID247</t>
  </si>
  <si>
    <t>VICM2</t>
  </si>
  <si>
    <t>SID247A</t>
  </si>
  <si>
    <t>VICM3</t>
  </si>
  <si>
    <t>SID88</t>
  </si>
  <si>
    <t>SID89</t>
  </si>
  <si>
    <t>ICMP1</t>
  </si>
  <si>
    <t>SID248</t>
  </si>
  <si>
    <t>ICMP2</t>
  </si>
  <si>
    <t>SID259</t>
  </si>
  <si>
    <t>ICMP3</t>
  </si>
  <si>
    <t>SID90</t>
  </si>
  <si>
    <t>ZCMP</t>
  </si>
  <si>
    <t>DC Input impedance of comparator</t>
  </si>
  <si>
    <t>MΩ</t>
  </si>
  <si>
    <t>SID91</t>
  </si>
  <si>
    <t>TRESP1</t>
  </si>
  <si>
    <t>SID258</t>
  </si>
  <si>
    <t>TRESP2</t>
  </si>
  <si>
    <t>SID92</t>
  </si>
  <si>
    <t>TRESP3</t>
  </si>
  <si>
    <t>Temperature Sensor Specifications</t>
  </si>
  <si>
    <t>SID93</t>
  </si>
  <si>
    <t>TSENSACC</t>
  </si>
  <si>
    <t>Temperature sensor accuracy</t>
  </si>
  <si>
    <t>-5</t>
  </si>
  <si>
    <t>±1</t>
  </si>
  <si>
    <t>5</t>
  </si>
  <si>
    <t>A_VINS</t>
  </si>
  <si>
    <t>KHz</t>
  </si>
  <si>
    <t>A_INL</t>
  </si>
  <si>
    <t>LSB</t>
  </si>
  <si>
    <t>A_DNL</t>
  </si>
  <si>
    <t>Digital Peripherals</t>
  </si>
  <si>
    <t>TPWMEXT</t>
  </si>
  <si>
    <t>TPWMENEXT</t>
  </si>
  <si>
    <t xml:space="preserve">Fixed I2C DC Specifications </t>
  </si>
  <si>
    <t>SID149</t>
  </si>
  <si>
    <t>II2C1</t>
  </si>
  <si>
    <t>Block current consumption at 100 KHz</t>
  </si>
  <si>
    <t>SID150</t>
  </si>
  <si>
    <t>II2C2</t>
  </si>
  <si>
    <t>Block current consumption at 400 KHz</t>
  </si>
  <si>
    <t>SID151</t>
  </si>
  <si>
    <t>II2C3</t>
  </si>
  <si>
    <t>Block current consumption at 1 Mbps</t>
  </si>
  <si>
    <t>SID152</t>
  </si>
  <si>
    <t>II2C4</t>
  </si>
  <si>
    <t>I2C enabled in Deep Sleep mode</t>
  </si>
  <si>
    <t xml:space="preserve">Fixed I2C AC Specifications </t>
  </si>
  <si>
    <t>SID153</t>
  </si>
  <si>
    <t>FI2C1</t>
  </si>
  <si>
    <t>Bit Rate</t>
  </si>
  <si>
    <t>Mbps</t>
  </si>
  <si>
    <t>Fixed UART DC Specifications</t>
  </si>
  <si>
    <t>SID160</t>
  </si>
  <si>
    <t>IUART1</t>
  </si>
  <si>
    <t>Block current consumption at 100 Kbits/sec</t>
  </si>
  <si>
    <t>SID161</t>
  </si>
  <si>
    <t>IUART2</t>
  </si>
  <si>
    <t>Block current consumption at 1000 Kbits/sec</t>
  </si>
  <si>
    <t>Fixed UART AC Specifications</t>
  </si>
  <si>
    <t>Fixed SPI DC Specifications</t>
  </si>
  <si>
    <t>SID163</t>
  </si>
  <si>
    <t>ISPI1</t>
  </si>
  <si>
    <t>Block current consumption at 1Mbits/sec</t>
  </si>
  <si>
    <t>SID164</t>
  </si>
  <si>
    <t>ISPI2</t>
  </si>
  <si>
    <t>Block current consumption at 4 Mbits/sec</t>
  </si>
  <si>
    <t>SID165</t>
  </si>
  <si>
    <t>ISPI3</t>
  </si>
  <si>
    <t>Block current consumption at 8 Mbits/sec</t>
  </si>
  <si>
    <t>SID166</t>
  </si>
  <si>
    <t>FSPI</t>
  </si>
  <si>
    <t>SID167</t>
  </si>
  <si>
    <t>TDMO</t>
  </si>
  <si>
    <t>MOSI Valid after SClock driving edge</t>
  </si>
  <si>
    <t>SID168</t>
  </si>
  <si>
    <t>TDSI</t>
  </si>
  <si>
    <t>MISO Valid before SClock capturing edge</t>
  </si>
  <si>
    <t>SID169</t>
  </si>
  <si>
    <t>THMO</t>
  </si>
  <si>
    <t>SID170</t>
  </si>
  <si>
    <t>TDMI</t>
  </si>
  <si>
    <t>MOSI Valid before Sclock Capturing edge</t>
  </si>
  <si>
    <t>SID171</t>
  </si>
  <si>
    <t>TDSO</t>
  </si>
  <si>
    <t>SID171A</t>
  </si>
  <si>
    <t>TDSO_EXT</t>
  </si>
  <si>
    <t>MISO Valid after Sclock driving edge in Ext. Clk. mode</t>
  </si>
  <si>
    <t>SID172</t>
  </si>
  <si>
    <t>THSO</t>
  </si>
  <si>
    <t>SID172A</t>
  </si>
  <si>
    <t>SSEL Valid to first SCK Valid edge</t>
  </si>
  <si>
    <t>Memory</t>
  </si>
  <si>
    <t>Flash DC Specifications</t>
  </si>
  <si>
    <t>SID173</t>
  </si>
  <si>
    <t>VPE</t>
  </si>
  <si>
    <t>Flash AC Specifications</t>
  </si>
  <si>
    <t>SID174</t>
  </si>
  <si>
    <t>TROWWRITE</t>
  </si>
  <si>
    <t>Row(Block) write time (erase &amp; program)</t>
  </si>
  <si>
    <t>SID175</t>
  </si>
  <si>
    <t>TROWERASE</t>
  </si>
  <si>
    <t>Row erase time</t>
  </si>
  <si>
    <t>SID176</t>
  </si>
  <si>
    <t>TROWPROGRAM</t>
  </si>
  <si>
    <t>Row program time after erase</t>
  </si>
  <si>
    <t>SID178</t>
  </si>
  <si>
    <t>TBULKERASE</t>
  </si>
  <si>
    <t>SID179</t>
  </si>
  <si>
    <t>TSECTORERASE</t>
  </si>
  <si>
    <t>SID180</t>
  </si>
  <si>
    <t>TDEVPROG</t>
  </si>
  <si>
    <t>Total Device Program time</t>
  </si>
  <si>
    <t>seconds</t>
  </si>
  <si>
    <t>SID181</t>
  </si>
  <si>
    <t>FEND</t>
  </si>
  <si>
    <t>Flash Endurance</t>
  </si>
  <si>
    <t>SID182</t>
  </si>
  <si>
    <t>Power-On-Reset with Brown-out DC Specifications</t>
  </si>
  <si>
    <t>Precise POR(PPOR)</t>
  </si>
  <si>
    <t>SID190</t>
  </si>
  <si>
    <t>VFALLPPOR</t>
  </si>
  <si>
    <t>SID192</t>
  </si>
  <si>
    <t>VFALLDPSLP</t>
  </si>
  <si>
    <t>POR with Brown-out AC Specification</t>
  </si>
  <si>
    <t>Voltage Monitors DC Specifications</t>
  </si>
  <si>
    <t>SID195</t>
  </si>
  <si>
    <t>SID196</t>
  </si>
  <si>
    <t>SID197</t>
  </si>
  <si>
    <t>SID198</t>
  </si>
  <si>
    <t>SID199</t>
  </si>
  <si>
    <t>SID200</t>
  </si>
  <si>
    <t>SID201</t>
  </si>
  <si>
    <t>SID202</t>
  </si>
  <si>
    <t>SID203</t>
  </si>
  <si>
    <t>SID204</t>
  </si>
  <si>
    <t>SID205</t>
  </si>
  <si>
    <t>SID206</t>
  </si>
  <si>
    <t>SID207</t>
  </si>
  <si>
    <t>SID208</t>
  </si>
  <si>
    <t>SID209</t>
  </si>
  <si>
    <t>SID211</t>
  </si>
  <si>
    <t>LVI_IDD</t>
  </si>
  <si>
    <t xml:space="preserve">Block current </t>
  </si>
  <si>
    <t>Voltage Monitors AC Specification</t>
  </si>
  <si>
    <t>SID212</t>
  </si>
  <si>
    <t>TMONTRIP</t>
  </si>
  <si>
    <t>SID214</t>
  </si>
  <si>
    <t>F_SWDCLK2</t>
  </si>
  <si>
    <t>SID215</t>
  </si>
  <si>
    <t>T = 1/f SWDCLK</t>
  </si>
  <si>
    <t>0.25*T</t>
  </si>
  <si>
    <t>SID216</t>
  </si>
  <si>
    <t>SID217</t>
  </si>
  <si>
    <t>0.5*T</t>
  </si>
  <si>
    <t>SID217A</t>
  </si>
  <si>
    <t>IMO DC Specifications</t>
  </si>
  <si>
    <t>SID218</t>
  </si>
  <si>
    <t>IIMO1</t>
  </si>
  <si>
    <t>IMO AC Specifications</t>
  </si>
  <si>
    <t xml:space="preserve"> </t>
  </si>
  <si>
    <t>SID223</t>
  </si>
  <si>
    <t>FIMOTOL1</t>
  </si>
  <si>
    <t>SID227</t>
  </si>
  <si>
    <t>ILO DC Specifications</t>
  </si>
  <si>
    <t>SID231</t>
  </si>
  <si>
    <t>IILO2</t>
  </si>
  <si>
    <t>ILO Operating current at 32 KHz</t>
  </si>
  <si>
    <t>ILO AC Specifications</t>
  </si>
  <si>
    <t>SID234</t>
  </si>
  <si>
    <t>TSTARTILO1</t>
  </si>
  <si>
    <t>ILO Start-up time</t>
  </si>
  <si>
    <t>SID236</t>
  </si>
  <si>
    <t>TLIODUTY</t>
  </si>
  <si>
    <t>ILO Duty cycle</t>
  </si>
  <si>
    <t>SID237</t>
  </si>
  <si>
    <t>FILOTRIM1</t>
  </si>
  <si>
    <t>32 KHz trimmed frequency</t>
  </si>
  <si>
    <t>SID256</t>
  </si>
  <si>
    <t>Internal Oscillator, Crystal Oscillator, and External Clock Specifications</t>
  </si>
  <si>
    <t>SID316</t>
  </si>
  <si>
    <t>SID317</t>
  </si>
  <si>
    <t>SID319</t>
  </si>
  <si>
    <t>Idd_MHz</t>
  </si>
  <si>
    <t>F_MHz</t>
  </si>
  <si>
    <t>Crystal frequency range</t>
  </si>
  <si>
    <t>Idd_kHz</t>
  </si>
  <si>
    <t>Block operating current with 32 kHz crystal</t>
  </si>
  <si>
    <t>F_kHz</t>
  </si>
  <si>
    <t>Ton_kHz</t>
  </si>
  <si>
    <t>VDDD = 3.3V</t>
  </si>
  <si>
    <t>EROS Section</t>
  </si>
  <si>
    <t>Functional Requirement</t>
  </si>
  <si>
    <t>Min/Max ranges of crystal motional resistance (R1) for a given crystal frequency.  Interdependency of parameters must be noted, e.g. R1 value is inversely related to Cs.</t>
  </si>
  <si>
    <t>Min/Max ranges of crystal motional capacitance (C1) for a given crystal frequency.  Interdependency of parameters must be noted, e.g. R1 value is inversely related to Cs.</t>
  </si>
  <si>
    <t>Min/Max ranges of crystal motional inductance (L1) for a given crystal frequency.  Interdependency of parameters must be noted, e.g. R1 value is inversely related to Cs.</t>
  </si>
  <si>
    <t>Min/Max ranges of crystal shunt capacitance (Cs) for a given crystal frequency.  Interdependency of parameters must be noted, e.g. R1 value is inversely related to Cs.</t>
  </si>
  <si>
    <t xml:space="preserve">Yes/No.  If "Yes", spec body detail is required.  For a specified number of inputs to allow programming of XO gain, drive level, etc.  </t>
  </si>
  <si>
    <t xml:space="preserve">Yes/No.   If "Yes", spec body detail is required.  For internal signal to indicate successful startup of oscillator </t>
  </si>
  <si>
    <t xml:space="preserve">Yes/No.  If "Yes", spec body detail is required. </t>
  </si>
  <si>
    <t xml:space="preserve">Yes/No.   If "Yes", spec body detail is required. </t>
  </si>
  <si>
    <t>SPEC ID#</t>
  </si>
  <si>
    <t xml:space="preserve">SPEC ID#: Provide a unique specification ID number that fingerprints this requirement.  This will enable a reference to this requirement using a Traceability / Requirements capture methodology. </t>
  </si>
  <si>
    <t>Document Control Tab</t>
  </si>
  <si>
    <t>Document Number</t>
  </si>
  <si>
    <t>Document Revision</t>
  </si>
  <si>
    <t>as part of the EROS that it was used to help create.  Both the .doc and .xls files must be submitted to document control.</t>
  </si>
  <si>
    <t>Soft Error Rate</t>
  </si>
  <si>
    <t>Is the part either a SRAM or have embedded SRAM blocks?</t>
  </si>
  <si>
    <t>PARAMETER</t>
  </si>
  <si>
    <t>PARAMETER: Provide a symbolic name for the spec (you can leave this blank if appropriate).  For example: tHD, tSD</t>
  </si>
  <si>
    <t>Are there any external active components needed for device operation</t>
  </si>
  <si>
    <t>Are there any external passive components needed for device operation</t>
  </si>
  <si>
    <t>TYP</t>
  </si>
  <si>
    <t>Automotive applications</t>
  </si>
  <si>
    <t>(duplicate as needed for multi-range devices)</t>
  </si>
  <si>
    <t>Is the clock in this device used for UART applications?</t>
  </si>
  <si>
    <t>ns</t>
  </si>
  <si>
    <t>V/ns</t>
  </si>
  <si>
    <t>bits</t>
  </si>
  <si>
    <t>ps</t>
  </si>
  <si>
    <t>ps / ns</t>
  </si>
  <si>
    <t>V/s</t>
  </si>
  <si>
    <t>dI/dt</t>
  </si>
  <si>
    <t>ohms</t>
  </si>
  <si>
    <t>Supply variations of +[percent or volt] at frequencies up to [ripple frequency defined by power supply regulators]</t>
  </si>
  <si>
    <t>Supply variations of +[percent or volt] at frequencies between [lowest significant disturber] and [maximum edge rate for I/O buffers on the board]</t>
  </si>
  <si>
    <t>ps, UI, or V/S through a threshold.</t>
  </si>
  <si>
    <t>ms/V</t>
  </si>
  <si>
    <t>dF/dt</t>
  </si>
  <si>
    <t>Device is programmable</t>
  </si>
  <si>
    <t>Programming granularity</t>
  </si>
  <si>
    <t>bytes</t>
  </si>
  <si>
    <t>Device program may be read protected for security</t>
  </si>
  <si>
    <t>Device program may be write protected for security</t>
  </si>
  <si>
    <t>Automotive programming</t>
  </si>
  <si>
    <t>cycles</t>
  </si>
  <si>
    <t>DESCRIPTION</t>
  </si>
  <si>
    <t>MIN</t>
  </si>
  <si>
    <t>UNITS</t>
  </si>
  <si>
    <t>MAX</t>
  </si>
  <si>
    <t>CAT</t>
  </si>
  <si>
    <t>SYS &amp; ENV</t>
  </si>
  <si>
    <t>Storage Temperature</t>
  </si>
  <si>
    <t>N/A?</t>
  </si>
  <si>
    <t>NO</t>
  </si>
  <si>
    <t>V</t>
  </si>
  <si>
    <t>mA</t>
  </si>
  <si>
    <t>mm</t>
  </si>
  <si>
    <t>pF</t>
  </si>
  <si>
    <t>Multiply Ratio (REFCLK to VCO ratio)</t>
  </si>
  <si>
    <t>VCO Operating Range</t>
  </si>
  <si>
    <t>Choices of Frequency for REFCLK</t>
  </si>
  <si>
    <t>Cycle to Cycle Jitter Generation</t>
  </si>
  <si>
    <t>Long Term Jitter Generation</t>
  </si>
  <si>
    <t>Jitter Transfer (PLL Bandwidth)</t>
  </si>
  <si>
    <t>Lock time from Cold Start</t>
  </si>
  <si>
    <t>Re-Lock time from REFCLK change</t>
  </si>
  <si>
    <t>Maximum Frequency Excursion during lock/re-lock event</t>
  </si>
  <si>
    <t>Output Duty Cycle Distortion</t>
  </si>
  <si>
    <t>CLK MULT PLL</t>
  </si>
  <si>
    <t>CLK RECOV PLL</t>
  </si>
  <si>
    <t>Nominal Data Rate(s)</t>
  </si>
  <si>
    <t>Allowable frequency variability (ppm offset from nominal)</t>
  </si>
  <si>
    <t>CDR Ready to Lock from Cold Start</t>
  </si>
  <si>
    <t>Lock time from application of “good DATA”</t>
  </si>
  <si>
    <t>Re-Lock time after DATA-rate change</t>
  </si>
  <si>
    <t>Re-Lock time after REFCLK-frequency change</t>
  </si>
  <si>
    <t>Transition Density - Average over 100 bits</t>
  </si>
  <si>
    <t>Transition Density - Long Term Average</t>
  </si>
  <si>
    <t>Transition Density - Worst Case</t>
  </si>
  <si>
    <t>Max Run Length</t>
  </si>
  <si>
    <t>Worst Case Duty Cycle</t>
  </si>
  <si>
    <t>Minimum Eye-Opening (Voltage)</t>
  </si>
  <si>
    <t>Minimum Eye-Opening (Time)</t>
  </si>
  <si>
    <t>Adjacent-Pulse Amplitude Difference</t>
  </si>
  <si>
    <t>PLL-Jitter contribution to Jitter Budget</t>
  </si>
  <si>
    <t>For repeater functions</t>
  </si>
  <si>
    <t>Jitter Tolerance (RJ)</t>
  </si>
  <si>
    <t>Jitter Tolerance (DJ)</t>
  </si>
  <si>
    <t>Range control limit</t>
  </si>
  <si>
    <t xml:space="preserve">Spread Spectrum tracking, fMOD and profile </t>
  </si>
  <si>
    <t>Smooth switching between required frequencies (df/dt)</t>
  </si>
  <si>
    <t>DLL</t>
  </si>
  <si>
    <t>Input/Output frequency range</t>
  </si>
  <si>
    <t>Delay range</t>
  </si>
  <si>
    <t>Phase-to-phase error (when multiple taps are used)</t>
  </si>
  <si>
    <t>Jitter Generation (Loop Noise)</t>
  </si>
  <si>
    <t>Jitter Generation (Supply Noise)</t>
  </si>
  <si>
    <t>DLL tracking BW (min-max)</t>
  </si>
  <si>
    <t>Maximum acquisition excursion, or alternately loop stability.</t>
  </si>
  <si>
    <t>Minimum input pulse width</t>
  </si>
  <si>
    <t>Input/Output signal swings</t>
  </si>
  <si>
    <t>Input/Output edge rates</t>
  </si>
  <si>
    <t>Lock time (Cold Start power-up)</t>
  </si>
  <si>
    <t>Is a lock indicator required?</t>
  </si>
  <si>
    <t>Is an internal auto-ranging or external range-select expected for large delay spreads?  (&gt;3:1)</t>
  </si>
  <si>
    <t>Is internal/external delay range-control allowable to prevent locking to incorrect edges?</t>
  </si>
  <si>
    <t>Are external components allowed for the loop filter?</t>
  </si>
  <si>
    <t>Will separate/quiet supply pins be available for the DLL?</t>
  </si>
  <si>
    <t>MHz</t>
  </si>
  <si>
    <t>%</t>
  </si>
  <si>
    <t>HS SERIAL DIFF INPUT</t>
  </si>
  <si>
    <t>Input Sensitivity</t>
  </si>
  <si>
    <t>Differential minimum signal swing</t>
  </si>
  <si>
    <t>Differential maximum signal swing</t>
  </si>
  <si>
    <t>Maximum difference between sequential Differential-input amplitudes</t>
  </si>
  <si>
    <t>Input Common Mode Range</t>
  </si>
  <si>
    <t>Termination Requirement</t>
  </si>
  <si>
    <t>Input impedance</t>
  </si>
  <si>
    <t>Input Level Equalization</t>
  </si>
  <si>
    <t>Input-Level Alarms or indicators</t>
  </si>
  <si>
    <t>Current into the pins with power OFF</t>
  </si>
  <si>
    <t>Current out of the pins when connected to powered down system</t>
  </si>
  <si>
    <t>Initialization after power-ON</t>
  </si>
  <si>
    <t>HS SERIAL OUTPUT</t>
  </si>
  <si>
    <t>Expected output application</t>
  </si>
  <si>
    <t>Expected transmission line type and length</t>
  </si>
  <si>
    <t>Edge Rate</t>
  </si>
  <si>
    <t>Output level adjustability</t>
  </si>
  <si>
    <t>Output impedance</t>
  </si>
  <si>
    <t>Output level pre-compensation</t>
  </si>
  <si>
    <t>Current out of the pins when driving a powered down system</t>
  </si>
  <si>
    <t>CRYSTAL OSC</t>
  </si>
  <si>
    <t>XO Jitter contribution to jitter budget</t>
  </si>
  <si>
    <t>Crystal Frequency Range</t>
  </si>
  <si>
    <t>Crystal Mode</t>
  </si>
  <si>
    <t>Negative Resistance</t>
  </si>
  <si>
    <t xml:space="preserve">Load capacitance </t>
  </si>
  <si>
    <t>Frequency pulling (VCXO applications)</t>
  </si>
  <si>
    <t>Startup time</t>
  </si>
  <si>
    <t>Drive Level (for specific crystal parameters)</t>
  </si>
  <si>
    <t>Operating Power</t>
  </si>
  <si>
    <t>Standby power</t>
  </si>
  <si>
    <t>Output load</t>
  </si>
  <si>
    <t>Output Duty Cycle</t>
  </si>
  <si>
    <t>Output rise/fall time</t>
  </si>
  <si>
    <t>Xin/Xout Amplitude of Oscillation</t>
  </si>
  <si>
    <t>Is by-pass mode required?</t>
  </si>
  <si>
    <t>Is programming allowed?</t>
  </si>
  <si>
    <t>Are external load capacitors allowed?</t>
  </si>
  <si>
    <t>Will separate/quiet supply pins be available for XO?</t>
  </si>
  <si>
    <t>Max ps (3-sigma cycle-to-cycle)</t>
  </si>
  <si>
    <t>Min/Max frequency of crystals in MHz</t>
  </si>
  <si>
    <t>Fundamental or Overtone</t>
  </si>
  <si>
    <t>Min/Max ohms over specified Cs range</t>
  </si>
  <si>
    <t>Min/Max pF value and tolerance of load caps</t>
  </si>
  <si>
    <t>Min/Max ppm change in frequency as load capacitance varies.</t>
  </si>
  <si>
    <t>Max ms for specific crystal and load capacitance parameters</t>
  </si>
  <si>
    <t>Max uW</t>
  </si>
  <si>
    <t>Max mA or mW</t>
  </si>
  <si>
    <t>Max uA or uW</t>
  </si>
  <si>
    <t>Max pF</t>
  </si>
  <si>
    <t>Min/Max % of period</t>
  </si>
  <si>
    <t>Min/Max ps for specified Vol/Voh</t>
  </si>
  <si>
    <t>Min/Max V</t>
  </si>
  <si>
    <t>Package parasitics on Xin/Xout (L)</t>
  </si>
  <si>
    <t>Package parasitics on Xin/Xout (R)</t>
  </si>
  <si>
    <t>Package parasitics on Xin/Xout (C)</t>
  </si>
  <si>
    <t>Junction Temperature</t>
  </si>
  <si>
    <t>OP CONDITIONS</t>
  </si>
  <si>
    <t>DETAILS / CONDITIONS</t>
  </si>
  <si>
    <t>°C</t>
  </si>
  <si>
    <t>This Excel template is provide with the EROS template spec 01-02002 as a tool to provide a centralized and standardized location</t>
  </si>
  <si>
    <t>for quantifiable and hard requirements for the EROS document.</t>
  </si>
  <si>
    <t>Avoid putting quantifiable and hard requirements in the verbiage sections of the document.  They should be placed in this Excel</t>
  </si>
  <si>
    <t>file and pasted into tables in the document:</t>
  </si>
  <si>
    <t>Instructions:</t>
  </si>
  <si>
    <t>DESCRIPTION: Concise description of the spec (Minimum VDD supply)</t>
  </si>
  <si>
    <t>MIN: Enter the minimum spec value (If the spec is binary - leave blank).  For example: The device operate in DDR mode.</t>
  </si>
  <si>
    <t>MAX: Enter the minimum spec value (If the spec is binary - leave blank).  For example: The device operate in DDR mode.</t>
  </si>
  <si>
    <t>UNITS: Enter the units (If the spec is binary - leave blank).  For example: The device operate in DDR mode.</t>
  </si>
  <si>
    <t xml:space="preserve">DETAILS / CONDITIONS: Enter any applicable info (temperature range for example).  Some of the pre-loaded boilerplate items contain </t>
  </si>
  <si>
    <t>INIT / RESET</t>
  </si>
  <si>
    <t>SINGLE PS</t>
  </si>
  <si>
    <t>MULTIPLE PS</t>
  </si>
  <si>
    <t>Operating Temperature</t>
  </si>
  <si>
    <t>Internal System Ambient Temperature</t>
  </si>
  <si>
    <t>Forced Air Flow</t>
  </si>
  <si>
    <t>Still Air Flow</t>
  </si>
  <si>
    <t>Number of PCB Board Layers</t>
  </si>
  <si>
    <t>Are there matching requirements for similar components?</t>
  </si>
  <si>
    <t>Pin termination resistance</t>
  </si>
  <si>
    <t>Equivalent coupling to XTAL Xin/Xout</t>
  </si>
  <si>
    <t>Can power be dissipated at customer's board location?</t>
  </si>
  <si>
    <t>Are there parallel bus routing requirements?</t>
  </si>
  <si>
    <t>Are there random routing requirements?</t>
  </si>
  <si>
    <t>Are there daisy-chain routing requirements?</t>
  </si>
  <si>
    <t>Are there tree routing requirements?</t>
  </si>
  <si>
    <t>Single trace length</t>
  </si>
  <si>
    <t>Total interconnect length</t>
  </si>
  <si>
    <t>Stub length</t>
  </si>
  <si>
    <t>Signal skew</t>
  </si>
  <si>
    <t>Signal/Clock skew</t>
  </si>
  <si>
    <t>Is a model needed for a lumped interconnect load?</t>
  </si>
  <si>
    <t>Is a model needed for a distributed interconnect load?</t>
  </si>
  <si>
    <t>Is a model needed for a combined interconnect and package load?</t>
  </si>
  <si>
    <t>Is a model needed for a package load?</t>
  </si>
  <si>
    <t>Is a model needed for the termination circuits?</t>
  </si>
  <si>
    <t>Bus signal cross-talk</t>
  </si>
  <si>
    <t>Signal and external source cross-talk</t>
  </si>
  <si>
    <t>PCB layer cross talk (above/below)</t>
  </si>
  <si>
    <t>Ground structure cross-talk</t>
  </si>
  <si>
    <t>Signal edge rate at the load</t>
  </si>
  <si>
    <t>Can the signals be non-monotonic at the load?</t>
  </si>
  <si>
    <t>Signal overshoot at the load</t>
  </si>
  <si>
    <t>Signal undershoot at the load</t>
  </si>
  <si>
    <t>Signal amplitude at the load</t>
  </si>
  <si>
    <t>Signal threshold level at the load</t>
  </si>
  <si>
    <t>Ground/power reference at the load</t>
  </si>
  <si>
    <t>Is a model needed for the source of REFCLK in External System?</t>
  </si>
  <si>
    <t>Is a model needed for any external components that are allowed or expected?</t>
  </si>
  <si>
    <t>Are any Alarms/Status-Indicators required for PLL monitoring by system functions</t>
  </si>
  <si>
    <t>Do any down stream paths include PLLs</t>
  </si>
  <si>
    <t>Is the serial data encoded?</t>
  </si>
  <si>
    <t>Is the serial data srambled?</t>
  </si>
  <si>
    <t>Serial-Data run length</t>
  </si>
  <si>
    <t>Nominal Signaling-Rate(s)</t>
  </si>
  <si>
    <t>Have the Frequency/Phase hops</t>
  </si>
  <si>
    <t>Are any Alarms/Status-Indicators required for PLL monitoring by system functions?</t>
  </si>
  <si>
    <t>fMOD</t>
  </si>
  <si>
    <t>%fDelta</t>
  </si>
  <si>
    <t>Output Duty-Cycle Distortion</t>
  </si>
  <si>
    <t>Lock time after Enable asserted</t>
  </si>
  <si>
    <t>Lock time after input frequency step</t>
  </si>
  <si>
    <t>Drift rate</t>
  </si>
  <si>
    <t>Power consumption</t>
  </si>
  <si>
    <t>Frequency multiplication ratio</t>
  </si>
  <si>
    <t>Are there any Hot-Plug requirements for this product?</t>
  </si>
  <si>
    <t>Output swing</t>
  </si>
  <si>
    <t>External termination requirement (impedance)</t>
  </si>
  <si>
    <t>External termination requirement (termination voltage)</t>
  </si>
  <si>
    <t>Power-on: Logic initialization time</t>
  </si>
  <si>
    <t>Power-on: Reset signal active</t>
  </si>
  <si>
    <t>Power-on: Will Clocks be absent during Power-up and Reset conditioning?</t>
  </si>
  <si>
    <t>Power-on: PLL initialization time</t>
  </si>
  <si>
    <t>Power-on: Does the system RESET have an effect on PLL initialization?</t>
  </si>
  <si>
    <t>Power-on: I/O initialization time</t>
  </si>
  <si>
    <t>Power-on: Are there special requirements for Program initialization?</t>
  </si>
  <si>
    <t>Power-on: Are there any initialization resources assumed or required by the user?</t>
  </si>
  <si>
    <t>Power-on: Delay from VDDmin to spec value</t>
  </si>
  <si>
    <t>Power-on: Delay from reference signal(s) present to spec</t>
  </si>
  <si>
    <t>Power-on: XTAL oscillator startup time</t>
  </si>
  <si>
    <t>Upset recovery: Logic initialization time</t>
  </si>
  <si>
    <t>Upset recovery: PLL initialization time</t>
  </si>
  <si>
    <t>Upset recovery: Does the system RESET have an effect on PLL initialization?</t>
  </si>
  <si>
    <t>Upset recovery: I/O initialization time</t>
  </si>
  <si>
    <t>Upset recovery: Are there any Fail-Safe requirements for this product?</t>
  </si>
  <si>
    <t>Upset recovery: Soft error rates</t>
  </si>
  <si>
    <t>Power down: Delay from final signal to non-operating state</t>
  </si>
  <si>
    <t>Power down: Is there a requirement for a specific power down input sequence/state?</t>
  </si>
  <si>
    <t>Power down: Is there a requirement for the output pin(s) state in power down?</t>
  </si>
  <si>
    <t>Power down: Are the circuits/signals in power down needed for power-up?</t>
  </si>
  <si>
    <t>Can this part power-up without RESET?</t>
  </si>
  <si>
    <t>Can this part indicate a Brown-out without RESET?</t>
  </si>
  <si>
    <t>Can this product have Clocks before power-on or no Clocks at power-on?</t>
  </si>
  <si>
    <t>Does this part have requirements for Initialization prior to external RESET?</t>
  </si>
  <si>
    <t>Are there any restrictions for Clock  operation before programming/configuration is complete?</t>
  </si>
  <si>
    <t>Are there any requirements for the BIST being initiated but interrogated before completion?</t>
  </si>
  <si>
    <t xml:space="preserve">Are there requirements for the BIST being completed but not interrogated prior to mode change? </t>
  </si>
  <si>
    <t>Are there any requirements for EXTERNAL I/O response during BIST or LOOP-BACK testing?</t>
  </si>
  <si>
    <t>Are there any requirements for EXTERNAL I/O response during configuration/initialization?</t>
  </si>
  <si>
    <t>Are there any requirements for EXTERNAL I/O response during JTAG or I2C [MDIO] operation?</t>
  </si>
  <si>
    <t>Are there any requirements for JTAG or I2C response during EXTERNAL Initialization?</t>
  </si>
  <si>
    <t>Are there any “STATIC” inputs that change while system is “operating”?</t>
  </si>
  <si>
    <t>Are there any “Wired” inputs that are driven by logic gates (voltage levels)?</t>
  </si>
  <si>
    <t>Are there any non-logic inputs (e.g., 3-level select) driven by logic gates?</t>
  </si>
  <si>
    <t>Are there any power supplies outside of nominal range (too low)?</t>
  </si>
  <si>
    <t>Are there any power supplies outside of nominal range (too high)?</t>
  </si>
  <si>
    <t>Are there any power supplies outside of nominal range (transient)?</t>
  </si>
  <si>
    <t>Are there any power supplies outside of nominal range (destructive)?</t>
  </si>
  <si>
    <t>Power supply noise expectations (amplitude)</t>
  </si>
  <si>
    <t>Power supply noise expectations (frequency-spectrum)</t>
  </si>
  <si>
    <t>Power supply noise expectations (system tolerance)</t>
  </si>
  <si>
    <t>Power supply power-on profile edge rate (dv/dt)</t>
  </si>
  <si>
    <t>Power supply power-on profile edge rate (over-shoot)</t>
  </si>
  <si>
    <t>Power supply power-on profile edge rate (ringing)</t>
  </si>
  <si>
    <t>Power supply power-on profile edge rate (inrush current)</t>
  </si>
  <si>
    <t>Are there any limitations for Power Supply application orders?</t>
  </si>
  <si>
    <t>Can the Power Supply be non-monotonic?</t>
  </si>
  <si>
    <t>Does this product have any Alarms?</t>
  </si>
  <si>
    <t>Are there mechanisms to intentionally test the alarms?</t>
  </si>
  <si>
    <t>Is there a default alarm response to Unusual Behavior?</t>
  </si>
  <si>
    <t>Are there any specific alarm behavior requirements at INITIALIZATION?</t>
  </si>
  <si>
    <t>Number of Power Domains   (External perspective)</t>
  </si>
  <si>
    <t>Supply Impedance</t>
  </si>
  <si>
    <t>Power Supply Voltage Ramp Rate</t>
  </si>
  <si>
    <t>Power Supply low frequency ripple</t>
  </si>
  <si>
    <t>Power Supply high Frequency noise (environment)</t>
  </si>
  <si>
    <t>Power Supply high Frequency noise (generation)</t>
  </si>
  <si>
    <t>Power Supply hot-plug considerations (inrush current)</t>
  </si>
  <si>
    <t>Current Min/Max for Each Pin: (loaded operating current)</t>
  </si>
  <si>
    <t>Current Min/Max for Each Pin: (unloaded operating current)</t>
  </si>
  <si>
    <t>Current Min/Max for Each Pin: (standby current)</t>
  </si>
  <si>
    <t>Current Min/Max for Each Pin: (power-up surge current)</t>
  </si>
  <si>
    <t>Core Logic Power Supply</t>
  </si>
  <si>
    <t>I/O Power Supply</t>
  </si>
  <si>
    <t>Quiet Power Supply</t>
  </si>
  <si>
    <t>Are there any requirements for Initialization behavior?</t>
  </si>
  <si>
    <t>System Reset or POR level</t>
  </si>
  <si>
    <t>System Reset or POR rise time</t>
  </si>
  <si>
    <t>System Reset or POR fall time</t>
  </si>
  <si>
    <t>Are there any circuits under the Power Supply that do not have a POR?</t>
  </si>
  <si>
    <t>IO Bus State: During power-up or brown-out conditions</t>
  </si>
  <si>
    <t>IO Bus State: when one or more of the “other” power supplies fail</t>
  </si>
  <si>
    <t>Are there any limitations to the multiple Power Supply sequencing?</t>
  </si>
  <si>
    <t>Clock and Reset Input levels</t>
  </si>
  <si>
    <t>Clock and Reset Input setup time (external Clock and Reset Input signals)</t>
  </si>
  <si>
    <t>Clock and Reset Input hold time (external Clock and Reset Input signals)</t>
  </si>
  <si>
    <t>Clock and Reset Output levels</t>
  </si>
  <si>
    <t>Clock and Reset Output setup time</t>
  </si>
  <si>
    <t>Clock and Reset Output hold time</t>
  </si>
  <si>
    <t>Power Supply Noise Profile (Frequency)</t>
  </si>
  <si>
    <t>Power Supply Noise Profile (Magnitude)</t>
  </si>
  <si>
    <t>Crystal Electrical Models (R1)</t>
  </si>
  <si>
    <t>Crystal Electrical Models (C1)</t>
  </si>
  <si>
    <t>Crystal Electrical Models (L1)</t>
  </si>
  <si>
    <t>Crystal Electrical Models (Cs)</t>
  </si>
  <si>
    <t>Is an ‘Oscillator Ready’ signal required?</t>
  </si>
  <si>
    <t>LFM</t>
  </si>
  <si>
    <t>Layers</t>
  </si>
  <si>
    <t>---</t>
  </si>
  <si>
    <t>dB</t>
  </si>
  <si>
    <t>(Number)</t>
  </si>
  <si>
    <t>UI</t>
  </si>
  <si>
    <t>ppm</t>
  </si>
  <si>
    <t>Baud</t>
  </si>
  <si>
    <t>Transitions/UI</t>
  </si>
  <si>
    <t>Degrees</t>
  </si>
  <si>
    <t>V/V</t>
  </si>
  <si>
    <t>mA or V</t>
  </si>
  <si>
    <t>FIT</t>
  </si>
  <si>
    <t>mA @ MHz</t>
  </si>
  <si>
    <t>H</t>
  </si>
  <si>
    <t>uW</t>
  </si>
  <si>
    <t>mW</t>
  </si>
  <si>
    <t>Ambient temp inside system enclosure</t>
  </si>
  <si>
    <t>Yes/No.  If "Yes", spec body detail is required.</t>
  </si>
  <si>
    <t>Board layout</t>
  </si>
  <si>
    <t>Effect (significance) of board connection length</t>
  </si>
  <si>
    <t>User must specify external system source (ie, XTAL or PLL)</t>
  </si>
  <si>
    <t>Yes/No.  If "Yes", spec body detail is required.  PHY devices only</t>
  </si>
  <si>
    <t>Yes/No.  If "Yes", spec body detail is required.  Need bandwidth characteristics of downstream PLL.</t>
  </si>
  <si>
    <t>Offset from nominal</t>
  </si>
  <si>
    <t>Pathological conditions</t>
  </si>
  <si>
    <t>Yes/No.  If "Yes", spec body detail is required. List alarms and operation.</t>
  </si>
  <si>
    <t>Yes/No.  If "Yes", spec body detail is required.  Only for repeater functions.</t>
  </si>
  <si>
    <t>Max relative error in degrees to meet phase matching requirements.</t>
  </si>
  <si>
    <t>% of period to meet DCD or Setup/Hold requirements.</t>
  </si>
  <si>
    <t>% of period to meet Jgen or Setup/Hold requirements.</t>
  </si>
  <si>
    <t>MHz to indicate acquisition rate and noise sensitivity.</t>
  </si>
  <si>
    <t>Time for delay excursion or degrees of Phase Margin for stability.</t>
  </si>
  <si>
    <t>To ensure circuit speed.</t>
  </si>
  <si>
    <t>To ensure leakage is low enough.  During absence of input transitions.</t>
  </si>
  <si>
    <t>For power-speed-performance evaluation.</t>
  </si>
  <si>
    <t>Yes/No for system requirements.  If "Yes", spec body detail is required.</t>
  </si>
  <si>
    <t>Yes/No for large system delay ranges or to include the need to tune out variations in delay components.   If "Yes", spec body detail is required.</t>
  </si>
  <si>
    <t>Yes/No for system requirements or to prevent locking to incorrect edges when delay cell range might otherwise allow.  If "Yes", spec body detail is required.</t>
  </si>
  <si>
    <t>Yes/No for large value components needed by the DLL.  If "Yes", spec body detail is required.</t>
  </si>
  <si>
    <t>Yes/No for jitter generation and noise coupling considerations of the DLL.  If "Yes", spec body detail is required.</t>
  </si>
  <si>
    <t>M for system requirements.  If used as edge multiplier.</t>
  </si>
  <si>
    <t>Spec body detail is required.  State if differential, complimentary, dual single ended, single ended.</t>
  </si>
  <si>
    <t>Spec body detail is required.  List impedance, dielectric type, connectors, distance, attenuation characteristics, etc.</t>
  </si>
  <si>
    <t>Swing can be expressed as I or V.  High and low levels (min/nom/max).  Differential swing (min/nom/max).</t>
  </si>
  <si>
    <t>Single ended and/or differential.</t>
  </si>
  <si>
    <t>Logic must initialize and assume “nominal” operation within [time or number clock cycles] after Power has reached “nominal” conditions.</t>
  </si>
  <si>
    <t>The System provides [active-HIGH/LOW Level] RESET signal that will remain true until [time] after power is applied.</t>
  </si>
  <si>
    <t xml:space="preserve">Internal PLL clocks will initialize and assume “nominal” operation within [time or number of external clocks] after Power has reached “nominal” conditions and external REFCLK has stabilized.  </t>
  </si>
  <si>
    <t>Time the output drivers must remain in the High-Impedance state after Power has reached “nominal” conditions and the initialization signal has been applied.</t>
  </si>
  <si>
    <t>Yes/No.  If "Yes", spec body detail is required.  Must indicate the presence of a system “reset” and describe its expected behavior.  Must indicate the system requirement for a Power-On-Reset (POR) function and describe its expected behavior.  Include logical, temporal and electrical requirements.</t>
  </si>
  <si>
    <t>Logic must recover and resume “nominal” operation within [time, number of clock-cycles or other system “events”] after an unexpected logic-upset event.  There shall be NO requirement for the system to provide any stimulus to guarantee re-initialization.  RESET may be used by the system to force initialization of [registers] from any logical state.</t>
  </si>
  <si>
    <t>Internal clock generators must recover to the appropriate “nominal” operating frequency within [time, number of clock-cycles or other system “events”] after an unexpected upset.  There shall be NO requirement for the system to provide any stimulus to guarantee re-initialization.</t>
  </si>
  <si>
    <t xml:space="preserve">Time the output drivers must return to the High-Impedance state after a logic upset until [insert signal] has been applied. </t>
  </si>
  <si>
    <t>Yes/No.  If "Yes", spec body detail is required.  Spec must state assumptions for recovery of program for devices which must be externally programmed to resume normal operation.</t>
  </si>
  <si>
    <t>Yes/No.  If "Yes", spec body detail is required.  Parameter degradation, functional effects, etc.</t>
  </si>
  <si>
    <t>Yes/No.  If "Yes", spec body detail is required.  Destruction limits, chip degradation, etc</t>
  </si>
  <si>
    <t>Yes/No.  If "Yes", spec body detail is required.  Transient Over-Max because of power-supply ordering.</t>
  </si>
  <si>
    <t>Yes/No.  If "Yes", spec body detail is required.  Destructive limits due to sequence order of supplies.</t>
  </si>
  <si>
    <t>Frequency-spectrum of AC riding on DC.</t>
  </si>
  <si>
    <t>External power system tolerance to di/dt from DU.</t>
  </si>
  <si>
    <t>Yes/No.  If "Yes", spec body detail is required.  Example: LFI must indicate missing REFCLK, TXERR must indicate  misaligned input data, etc.</t>
  </si>
  <si>
    <t>Yes/No.  If "Yes", spec body detail is required.  Alarm behavior at INITIALIZATION (i.e., ALL ALARMS ON at RESET, or ALL ALARMS CLEARED at RESET, etc.)</t>
  </si>
  <si>
    <t>Important for battery operated systems</t>
  </si>
  <si>
    <t>Yes/No.  If "Yes", spec body detail is required.  External power supply will offer no guarantee of Monotonicity during application of power.</t>
  </si>
  <si>
    <t>Yes/No.  If "Yes", spec body detail is required.  External supplies can be applied in any order with any duration between supply activation.</t>
  </si>
  <si>
    <t>The [product IC] will deliver less than [di/dt max] as a result of internal logical transitions.</t>
  </si>
  <si>
    <t>Must specify the measurement frequency</t>
  </si>
  <si>
    <t>Must specify state diagram</t>
  </si>
  <si>
    <t>For each power supply pin</t>
  </si>
  <si>
    <t xml:space="preserve"> Please refer to the PDMEROS (01-06XXX) for details.</t>
  </si>
  <si>
    <t xml:space="preserve">State system requirements for each power supply and inter-dependencies.  </t>
  </si>
  <si>
    <t>This defines the requirement for the level shifter initialization.</t>
  </si>
  <si>
    <t>Power up</t>
  </si>
  <si>
    <t>Power down</t>
  </si>
  <si>
    <t>During logic upset</t>
  </si>
  <si>
    <t>Indicate power supply requirements: expected behavior at loss of power  expected power supply levels.  Power supply of the driver chip needs to be same as chip power supply on board which is supplying to Reset and Clock inputs. If not: (1) Analyze power loss situations, which can cause unintentional reset state, (2) Analyze voltage level compatibility issues (e.g, 3.3v output to a 5v input)</t>
  </si>
  <si>
    <t>Frequency(s) of noise that will be on supply to XO</t>
  </si>
  <si>
    <t>Magnitude of noise that will be on supply to XO</t>
  </si>
  <si>
    <t>AAAAAHnP/zI=</t>
  </si>
  <si>
    <t>ES10 Values if differenct from latest spec</t>
  </si>
  <si>
    <t>VDDA</t>
  </si>
  <si>
    <t>VCCTX</t>
  </si>
  <si>
    <t>mV</t>
  </si>
  <si>
    <t>nA</t>
  </si>
  <si>
    <t>years</t>
  </si>
  <si>
    <t>ms</t>
  </si>
  <si>
    <t>T_SWDI_SETUP</t>
  </si>
  <si>
    <t>T_SWDI_HOLD</t>
  </si>
  <si>
    <t>T_SWDO_VALID</t>
  </si>
  <si>
    <t>T_SWDO_HOLD</t>
  </si>
  <si>
    <t>μs</t>
  </si>
  <si>
    <t>0.3 * VDDD</t>
  </si>
  <si>
    <t>YES</t>
  </si>
  <si>
    <t>SYS.PWR#1</t>
  </si>
  <si>
    <t>SYS.PWR#2</t>
  </si>
  <si>
    <t>SYS.PWR#3</t>
  </si>
  <si>
    <t>SYS.PWR#4</t>
  </si>
  <si>
    <t>SYS.PWR#5</t>
  </si>
  <si>
    <t>SYS.PWR#6</t>
  </si>
  <si>
    <t>SYS.PWR#7</t>
  </si>
  <si>
    <t>µA</t>
  </si>
  <si>
    <t>TSTG_AMAX</t>
  </si>
  <si>
    <t>TO</t>
  </si>
  <si>
    <t>A_APPS</t>
  </si>
  <si>
    <t>A_PRG</t>
  </si>
  <si>
    <t>PRG</t>
  </si>
  <si>
    <t>PRG_GR</t>
  </si>
  <si>
    <t>PRG_WRTP</t>
  </si>
  <si>
    <t>PRG_WRTPGR</t>
  </si>
  <si>
    <t>RD_PRT</t>
  </si>
  <si>
    <t>PRG_RD_GR</t>
  </si>
  <si>
    <t>TA</t>
  </si>
  <si>
    <t>FAF</t>
  </si>
  <si>
    <t>SAF</t>
  </si>
  <si>
    <t>TJ</t>
  </si>
  <si>
    <t>N_LAYERS</t>
  </si>
  <si>
    <t>I_LU</t>
  </si>
  <si>
    <t>Latch-Up Current limits</t>
  </si>
  <si>
    <t>Max/min current into any input or output, pin-to-pin, pin-to-supply</t>
  </si>
  <si>
    <t>C_IN</t>
  </si>
  <si>
    <t>I/O Capacitance - Input</t>
  </si>
  <si>
    <t>C_OUT</t>
  </si>
  <si>
    <t>I/O Capacitance - output</t>
  </si>
  <si>
    <t>PASSIVES</t>
  </si>
  <si>
    <t>I2C_LEN</t>
  </si>
  <si>
    <t>ITO_MOD</t>
  </si>
  <si>
    <t>POR2RDY</t>
  </si>
  <si>
    <t>POR_L</t>
  </si>
  <si>
    <r>
      <t>μ</t>
    </r>
    <r>
      <rPr>
        <sz val="9"/>
        <color indexed="8"/>
        <rFont val="Arial"/>
        <family val="2"/>
      </rPr>
      <t>s</t>
    </r>
  </si>
  <si>
    <t>POR_CLKS</t>
  </si>
  <si>
    <t>POR_HIZ_T</t>
  </si>
  <si>
    <t>RES_PRES</t>
  </si>
  <si>
    <t>POR_INIT</t>
  </si>
  <si>
    <t>WDT_PRES</t>
  </si>
  <si>
    <t>NO_LOAD_COM</t>
  </si>
  <si>
    <t>PWR_NXRES</t>
  </si>
  <si>
    <t>PWR_BRND</t>
  </si>
  <si>
    <t>PWR_CLKS</t>
  </si>
  <si>
    <t>POR_HIZ</t>
  </si>
  <si>
    <t>Does this part have Initialization requirements during external RESET?</t>
  </si>
  <si>
    <t>POR_PRES</t>
  </si>
  <si>
    <t>ISSP_INIT1</t>
  </si>
  <si>
    <t>ISSP_INIT2</t>
  </si>
  <si>
    <t>ISSP_INIT3</t>
  </si>
  <si>
    <t>HV_SUPPLY</t>
  </si>
  <si>
    <t>AC_RIPPLE_V</t>
  </si>
  <si>
    <t>Amplitude of AC riding on DC (pp)</t>
  </si>
  <si>
    <t>AC_RIPPLE_F</t>
  </si>
  <si>
    <t>PWR_DOM</t>
  </si>
  <si>
    <t>PS_TRAMP</t>
  </si>
  <si>
    <t>External power supply will have a ramp rate from GND to [nominal] .</t>
  </si>
  <si>
    <t>PS_MON</t>
  </si>
  <si>
    <t>PS_ORDER</t>
  </si>
  <si>
    <t>PS_LFNOISE</t>
  </si>
  <si>
    <t>PS_HFNOISE</t>
  </si>
  <si>
    <t>PS_IPEAK</t>
  </si>
  <si>
    <t>Inrush current will be limited to less than [mA] at application of power.  Charging VCCD bulk cap.</t>
  </si>
  <si>
    <t xml:space="preserve"> VCCD</t>
  </si>
  <si>
    <t xml:space="preserve"> VDDD</t>
  </si>
  <si>
    <t>HV TX Power Supply</t>
  </si>
  <si>
    <t>ISSP_INIT4</t>
  </si>
  <si>
    <t>POR_RISE</t>
  </si>
  <si>
    <t>XRES or internal POR monitor</t>
  </si>
  <si>
    <t>POR_FALL</t>
  </si>
  <si>
    <t>State system requirements for each power supply and inter-dependencies.  2% accuracy</t>
  </si>
  <si>
    <t>Brown -out or Low Voltage Detection levels (VDDD monitor step size)</t>
  </si>
  <si>
    <t>Brown -out or Low Voltage Detection levels (001-22639, VDDA low monitor)</t>
  </si>
  <si>
    <t>Brown -out or Low Voltage Detection levels (VDDA monitor step size)</t>
  </si>
  <si>
    <t>Brown -out or Low Voltage Detection levels (001-22639, VDDA high monitor)</t>
  </si>
  <si>
    <t>Brown -out or Low Voltage Detection levels</t>
  </si>
  <si>
    <t>PS_SEQ</t>
  </si>
  <si>
    <t>CR_LVLS</t>
  </si>
  <si>
    <t>0.7 * VDDD</t>
  </si>
  <si>
    <t>Indicate power levels and power-down requirements for external clock and reset signals.  Power supply of the driver chip needs to be same as chip power supply on board which is supplying to Reset and Clock inputs. If not: (1) Analyze power loss situations, which can cause unintentional reset state, (2) Analyze voltage level compatibility issues (e.g., 5V input to 3V clock input), (3) NV memory protection when external clock loss.</t>
  </si>
  <si>
    <t>BID#10</t>
  </si>
  <si>
    <t>Parameter</t>
  </si>
  <si>
    <t>Description</t>
  </si>
  <si>
    <t>Test Conditions</t>
  </si>
  <si>
    <t>Min</t>
  </si>
  <si>
    <t>Typ</t>
  </si>
  <si>
    <t>Max</t>
  </si>
  <si>
    <t>Unit</t>
  </si>
  <si>
    <t>Cypress</t>
  </si>
  <si>
    <t>Consortium</t>
  </si>
  <si>
    <t>N</t>
  </si>
  <si>
    <t>Y</t>
  </si>
  <si>
    <t># of Dimensions</t>
  </si>
  <si>
    <t>Multi Parameter?</t>
  </si>
  <si>
    <t>Table Configuration</t>
  </si>
  <si>
    <t>Typical Column?</t>
  </si>
  <si>
    <t>Conditions Column?</t>
  </si>
  <si>
    <t>EROS
Spec ID# (D1)</t>
  </si>
  <si>
    <t>&lt;Dimension 2&gt;</t>
  </si>
  <si>
    <t>&lt;Dimension 5&gt;</t>
  </si>
  <si>
    <t>&lt;Dimension 1&gt;</t>
  </si>
  <si>
    <t>&lt;Dimension 3&gt;</t>
  </si>
  <si>
    <t>&lt;Dimension 4&gt;</t>
  </si>
  <si>
    <t>EROS
Spec ID# (D2)</t>
  </si>
  <si>
    <t>EROS
Spec ID# (D3)</t>
  </si>
  <si>
    <t>EROS
Spec ID# (D4)</t>
  </si>
  <si>
    <t>EROS
Spec ID# (D5)</t>
  </si>
  <si>
    <t>DATASHEET VALUES IF DIFFERENT FROM EROS</t>
  </si>
  <si>
    <t>DATASHEET</t>
  </si>
  <si>
    <t>&lt;DATASHEET XYZ TABLE ABC&gt;</t>
  </si>
  <si>
    <t>DATASHEET VALUES/TEXT IF DIFFERENT FROM EROS</t>
  </si>
  <si>
    <t>Engineers like to get requirements in tables - easier to read, communicates more clearly, and can be tracked across documents.</t>
  </si>
  <si>
    <t>Tables provide the ability to enumerate all requirements for higher quality EROS / IROS / BROS / Datasheet alignment.</t>
  </si>
  <si>
    <t>1. Put all specs (except the boilerplate specs) into the "specifications" tab.</t>
  </si>
  <si>
    <t>These items represent a historical list of important specs from past projects that need to be reviewed and considered on new EROS specs.</t>
  </si>
  <si>
    <t>TYP: Entries should only be present when they assist in conveying a market requirement.  Note that all instances of TYP specifications must have associated environment and conditions.</t>
  </si>
  <si>
    <t xml:space="preserve">           a lot of instruction text in this column.  Replace this with concise information for your product.</t>
  </si>
  <si>
    <t>DATASHEET COLUMNS: Fill in the datasheet columns only if the figures, parameter name or test conditions need to be different for this spec in the datasheet.</t>
  </si>
  <si>
    <t>EROS (**) Values if differenct from latest spec</t>
  </si>
  <si>
    <t>EROS ** COLUMNS: If specs are changed after the EROS **, the ** values should be stored in these columns to help with history tracking</t>
  </si>
  <si>
    <t>ES10 COLUMNS: If specs are changed after ES10, the ES10 values should be stored in these columns to help with history tracking</t>
  </si>
  <si>
    <t xml:space="preserve">2. Go through the "boilerplate specs" tab and either mark as N/A or fill in each row in the table the same way as the specifications tab. </t>
  </si>
  <si>
    <t>3. Click the "REFRESH" button at the top of the specifications tab. This will generate the table for the word document in the tab: specs_for_word.</t>
  </si>
  <si>
    <t>To categorize, insert rows that are empty except for the far left column which should contain a short descriptor of the category.</t>
  </si>
  <si>
    <t>This table is extracted automatically into the word document by pressing CTRL+E+R in the word document with macros enabled and MS Word 2007.</t>
  </si>
  <si>
    <t>Make selections in the section in column B to set the format of the datasheet table</t>
  </si>
  <si>
    <t>Refer to RYW-536 for details on datasheet table generation in the EROS.</t>
  </si>
  <si>
    <t>Multi Parameter: Choose Y to include a second parameter column.</t>
  </si>
  <si>
    <t>Conditions Column: Choose Y if you want to display the Test Conditions column.</t>
  </si>
  <si>
    <t># of Dimensions: Select from 1 to 5 to set the number of MIN/TYP/MAX columns to display horizontally.</t>
  </si>
  <si>
    <t>Typical Column: Choose Y if you want to display the Typical column(s)</t>
  </si>
  <si>
    <t>Map spec ID's from the specifications and boilerplate specs tabs into columns E to I to build the datasheet tables</t>
  </si>
  <si>
    <t>4. Fill in the FUNCTIONAL tab.  There are no macros controlling this tab.  All functional requirements should be tabulated with a short summary description,</t>
  </si>
  <si>
    <t xml:space="preserve">conditions and a spec ID#.  The requirement should be explained fully in the verbiage of the spec and should be referred to in the verbiage of the spec by the </t>
  </si>
  <si>
    <t>spec ID#.  All functional requirements described in the verbiage of the spec need to be associated with an item in this table.</t>
  </si>
  <si>
    <t>5. Update the dcon tab to reflect the correct document number and revision to ensure this excel file can be tracked</t>
  </si>
  <si>
    <t>SID318</t>
  </si>
  <si>
    <t>QSPI</t>
  </si>
  <si>
    <t>TCPWM Specifications</t>
  </si>
  <si>
    <t>All modes (Timer/Counter/PWM)</t>
  </si>
  <si>
    <t>SID.TCPWM.3</t>
  </si>
  <si>
    <t>TCPWMFREQ</t>
  </si>
  <si>
    <t>SID.TCPWM.4</t>
  </si>
  <si>
    <t>Input Trigger Pulse Width for all Trigger Events</t>
  </si>
  <si>
    <t>2/Fc</t>
  </si>
  <si>
    <t>Trigger Events can be Stop, Start, Reload, Count, Capture, or Kill depending on which mode of operation is selected.</t>
  </si>
  <si>
    <t>SID.TCPWM.5</t>
  </si>
  <si>
    <t>Output Trigger Pulse widths</t>
  </si>
  <si>
    <t>Minimum possible width of Overflow, Underflow, and CC (Counter equals Compare value) trigger outputs</t>
  </si>
  <si>
    <t>SID.TCPWM.5A</t>
  </si>
  <si>
    <t>TCRES</t>
  </si>
  <si>
    <t>Resolution of Counter</t>
  </si>
  <si>
    <t>1/Fc</t>
  </si>
  <si>
    <t xml:space="preserve">Minimum time between successive counts </t>
  </si>
  <si>
    <t>SID.TCPWM.5B</t>
  </si>
  <si>
    <t>PWMRES</t>
  </si>
  <si>
    <t>PWM Resolution</t>
  </si>
  <si>
    <t>Minimum pulse width of PWM Output</t>
  </si>
  <si>
    <t>SID.TCPWM.5C</t>
  </si>
  <si>
    <t>QRES</t>
  </si>
  <si>
    <t>Quadrature inputs resolution</t>
  </si>
  <si>
    <t>Specified in SAS</t>
  </si>
  <si>
    <t>A_SAMP_1</t>
  </si>
  <si>
    <t>SID57A</t>
  </si>
  <si>
    <t>Iihs</t>
  </si>
  <si>
    <t>per I2C Spec</t>
  </si>
  <si>
    <t>Input current when Pad &gt; VDDIO for OVT inputs</t>
  </si>
  <si>
    <t>SID85A</t>
  </si>
  <si>
    <t>Input offset voltage. Ultra low-power mode.</t>
  </si>
  <si>
    <t>+/-12</t>
  </si>
  <si>
    <t>Time to start running user code</t>
  </si>
  <si>
    <t>SER</t>
  </si>
  <si>
    <t>FITs/Mb</t>
  </si>
  <si>
    <t>As per Cypress Spec 25-00055</t>
  </si>
  <si>
    <t>Brown -out voltage levels</t>
  </si>
  <si>
    <t>MHz ECO AC Specification</t>
  </si>
  <si>
    <t>Output voltage (for core logic bypass)</t>
  </si>
  <si>
    <t>High-speed mode</t>
  </si>
  <si>
    <t>Deep Sleep Mode</t>
  </si>
  <si>
    <t>Hibernate Mode</t>
  </si>
  <si>
    <t>Power Mode Transition Times</t>
  </si>
  <si>
    <t>THIB_ACT</t>
  </si>
  <si>
    <t>TXRES_ACT</t>
  </si>
  <si>
    <t>XRES (Active Low) Specifications</t>
  </si>
  <si>
    <t>TXRES_PW</t>
  </si>
  <si>
    <t>TXRES_IDD</t>
  </si>
  <si>
    <t>SIDDS1</t>
  </si>
  <si>
    <t>SIDHIB1</t>
  </si>
  <si>
    <t>Hibernate to Active transition time</t>
  </si>
  <si>
    <t>XRES Pulse width</t>
  </si>
  <si>
    <t>IDD when XRES asserted</t>
  </si>
  <si>
    <t>Including PLL lock time</t>
  </si>
  <si>
    <t>GPIO Fout. Fast Strong mode.</t>
  </si>
  <si>
    <t>90/10%, 15 pF load, 60/40 duty cycle</t>
  </si>
  <si>
    <t>GPIO Fout; Slow Strong mode.</t>
  </si>
  <si>
    <t>GPIO Fout; Fast Strong mode.</t>
  </si>
  <si>
    <t>GPIO Fout;Slow Strong mode.</t>
  </si>
  <si>
    <t>A_ISAR_1</t>
  </si>
  <si>
    <t>TBD</t>
  </si>
  <si>
    <t>IMO Operating current at 8 MHz</t>
  </si>
  <si>
    <t>Internal Reference Specifications</t>
  </si>
  <si>
    <t>LPComparator DC Specifications</t>
  </si>
  <si>
    <t>LPComparator AC Specifications</t>
  </si>
  <si>
    <t>Row (Block) = 512 Bytes</t>
  </si>
  <si>
    <t>SID179S</t>
  </si>
  <si>
    <t>SID178S</t>
  </si>
  <si>
    <t>TSSERIAE</t>
  </si>
  <si>
    <t>Sub-Sector erase time</t>
  </si>
  <si>
    <t>8 Rows per sub-sector</t>
  </si>
  <si>
    <t>TSSWRITE</t>
  </si>
  <si>
    <t>Sub-Sector write time; 1 erase plus 8 program times</t>
  </si>
  <si>
    <t>SID180S</t>
  </si>
  <si>
    <t>TSWRITE</t>
  </si>
  <si>
    <t>TWS100</t>
  </si>
  <si>
    <t>PLL_OUT</t>
  </si>
  <si>
    <t>Output frequency from PLL Block</t>
  </si>
  <si>
    <t>µS</t>
  </si>
  <si>
    <t>PLL_IDD</t>
  </si>
  <si>
    <t>PLL Current</t>
  </si>
  <si>
    <t>12-bit SAR ADC DC Specifications</t>
  </si>
  <si>
    <t>12-bit SAR ADC AC Specifications</t>
  </si>
  <si>
    <t>SID93R</t>
  </si>
  <si>
    <t>VREFBG</t>
  </si>
  <si>
    <t>Block current consumption at 100 MHz</t>
  </si>
  <si>
    <t>SID.TCPWM.2B</t>
  </si>
  <si>
    <t>SID165A</t>
  </si>
  <si>
    <t>ISP14</t>
  </si>
  <si>
    <t>MOSI data hold time</t>
  </si>
  <si>
    <t>SID172B</t>
  </si>
  <si>
    <t>TSSELSCK1</t>
  </si>
  <si>
    <t>TSSELSCK2</t>
  </si>
  <si>
    <t>SSEL Hold after Last SCK Valid edge</t>
  </si>
  <si>
    <t>pS</t>
  </si>
  <si>
    <t>SID320E</t>
  </si>
  <si>
    <t>FTOL32K</t>
  </si>
  <si>
    <t xml:space="preserve">Frequency tolerance </t>
  </si>
  <si>
    <t>SID321E</t>
  </si>
  <si>
    <t>ESR32K</t>
  </si>
  <si>
    <t>Equivalent Series Resistance</t>
  </si>
  <si>
    <t>SID322E</t>
  </si>
  <si>
    <t>PD32K</t>
  </si>
  <si>
    <t>Drive Level</t>
  </si>
  <si>
    <t>ST</t>
  </si>
  <si>
    <t>Cortex M4</t>
  </si>
  <si>
    <t>Dialog</t>
  </si>
  <si>
    <t>CRYPTO</t>
  </si>
  <si>
    <t>Cortex M0</t>
  </si>
  <si>
    <t>NA</t>
  </si>
  <si>
    <t>nS</t>
  </si>
  <si>
    <t>kΩ</t>
  </si>
  <si>
    <t>µW</t>
  </si>
  <si>
    <t>Smart IO</t>
  </si>
  <si>
    <t>Block current consumption at 25 Mbits/sec</t>
  </si>
  <si>
    <t>MSP432</t>
  </si>
  <si>
    <t>256 + 16</t>
  </si>
  <si>
    <t xml:space="preserve">VDDD </t>
  </si>
  <si>
    <t>IDD33A</t>
  </si>
  <si>
    <t>1.7V &lt;= VDDD &lt;= 3.6V</t>
  </si>
  <si>
    <t>MHz ECO DC Specification</t>
  </si>
  <si>
    <t>Rise time in Fast Strong Mode. 10% to 90% of VDD</t>
  </si>
  <si>
    <t>Fall time in Fast Strong Mode. 10% to 90% of VDD.</t>
  </si>
  <si>
    <t>SID6B</t>
  </si>
  <si>
    <t>VBACKUP</t>
  </si>
  <si>
    <t>BOD trip voltage in Active and Sleep modes. VDDD.</t>
  </si>
  <si>
    <t>BOD trip voltage in Deep Sleep. VDDD</t>
  </si>
  <si>
    <t>TJITR</t>
  </si>
  <si>
    <t>Startup time to 95% of final frequency</t>
  </si>
  <si>
    <t>uS</t>
  </si>
  <si>
    <t>May be calibrated to sub-10 ppm levels</t>
  </si>
  <si>
    <t>Frequency Locked Loop (FLL) Specifications</t>
  </si>
  <si>
    <t>SID195R</t>
  </si>
  <si>
    <t>VHVD0</t>
  </si>
  <si>
    <t>VHVDI1</t>
  </si>
  <si>
    <t>VHVDI2</t>
  </si>
  <si>
    <t>VHVDI3</t>
  </si>
  <si>
    <t>VHVDI4</t>
  </si>
  <si>
    <t>VHVDI5</t>
  </si>
  <si>
    <t>VHVDI6</t>
  </si>
  <si>
    <t>VHVDI7</t>
  </si>
  <si>
    <t>VHVDI8</t>
  </si>
  <si>
    <t>VHVDI9</t>
  </si>
  <si>
    <t>VHVDI10</t>
  </si>
  <si>
    <t>VHVDI11</t>
  </si>
  <si>
    <t>VHVDI12</t>
  </si>
  <si>
    <t>VHVDI13</t>
  </si>
  <si>
    <t>VHVDI14</t>
  </si>
  <si>
    <t>VHVDI15</t>
  </si>
  <si>
    <t>SID450</t>
  </si>
  <si>
    <t>SID451</t>
  </si>
  <si>
    <t>SID452</t>
  </si>
  <si>
    <t>SID454</t>
  </si>
  <si>
    <t>SID455</t>
  </si>
  <si>
    <t>SID456</t>
  </si>
  <si>
    <t>FLL_RANGE</t>
  </si>
  <si>
    <t>FLL_OUT_DIV2</t>
  </si>
  <si>
    <t>FLL_DUTY_DIV2</t>
  </si>
  <si>
    <t>FLL_CURRENT</t>
  </si>
  <si>
    <t xml:space="preserve">Input frequency range. </t>
  </si>
  <si>
    <t>Output range of FLL divided-by-2 output</t>
  </si>
  <si>
    <t>Divided-by-2 output; High or Low</t>
  </si>
  <si>
    <t>uA/MHz</t>
  </si>
  <si>
    <t>CCO + Logic current</t>
  </si>
  <si>
    <t>Non-operating temperature without impacting data retention</t>
  </si>
  <si>
    <t>µF</t>
  </si>
  <si>
    <t>kΩ</t>
  </si>
  <si>
    <t>ITCPWM4</t>
  </si>
  <si>
    <t>Boilerplate Specs</t>
  </si>
  <si>
    <t>Cycle-to-Cycle and Period jitter</t>
  </si>
  <si>
    <t>SID320K</t>
  </si>
  <si>
    <t>SID73G</t>
  </si>
  <si>
    <t>TFALL_I2C</t>
  </si>
  <si>
    <t>Cload = 15 pF, 8mA drive strength</t>
  </si>
  <si>
    <t>Cload = 15 pF, 8 mA drive strength</t>
  </si>
  <si>
    <t>Cload = 10pF to 400pF, 8mA drive strength</t>
  </si>
  <si>
    <t>Fall time (30% to 70% of VDD) in Slow Strong mode</t>
  </si>
  <si>
    <t>20*Vddio/5.5</t>
  </si>
  <si>
    <t>Rise time in Slow Strong Mode. 10% to 90% of VDD</t>
  </si>
  <si>
    <t>Fall time in Slow Strong Mode. 10% to 90% of VDD</t>
  </si>
  <si>
    <t>SID92E</t>
  </si>
  <si>
    <t>SID92F</t>
  </si>
  <si>
    <t>T_CMP_EN2</t>
  </si>
  <si>
    <t>T_CMP_EN1</t>
  </si>
  <si>
    <t>Normal and Low-power modes</t>
  </si>
  <si>
    <t xml:space="preserve">Time from Enabling to operation </t>
  </si>
  <si>
    <t>Ultra low-power mode</t>
  </si>
  <si>
    <t>SID214L</t>
  </si>
  <si>
    <t>F_SWDCLK2L</t>
  </si>
  <si>
    <t>LP Mode; VCCD = 1.1V</t>
  </si>
  <si>
    <t>ULP Mode. VCCD = 0.9V.</t>
  </si>
  <si>
    <t>SID192A</t>
  </si>
  <si>
    <t>VDDRAMP</t>
  </si>
  <si>
    <t>mV/uSec</t>
  </si>
  <si>
    <t>SID194A</t>
  </si>
  <si>
    <t>VDDRAMP_DS</t>
  </si>
  <si>
    <t xml:space="preserve">BOD operation guaranteed </t>
  </si>
  <si>
    <t>Maximum power supply ramp rate (any supply) in Deep Sleep</t>
  </si>
  <si>
    <t>SID166A</t>
  </si>
  <si>
    <t>FSPI_IC</t>
  </si>
  <si>
    <t>SPI Slave Internally Clocked</t>
  </si>
  <si>
    <t>SPI Operating frequency Master and Externally Clocked Slave</t>
  </si>
  <si>
    <t>MISO Valid after Sclock driving edge in Internally Clk. Mode</t>
  </si>
  <si>
    <t>External Regulator voltage (VCCD) bypass</t>
  </si>
  <si>
    <t>Max at 33 MHz. Typ at 16 MHz.</t>
  </si>
  <si>
    <t>Block operating current with Cload up to 18 pF.</t>
  </si>
  <si>
    <t>Maximum power supply ramp rate (any supply)</t>
  </si>
  <si>
    <t>Fixed SPI AC Specifications for LP Mode (1.1V) unless noted otherwise</t>
  </si>
  <si>
    <t>Fixed SPI Slave mode AC Specifications for LP Mode (1.1V) unless noted otherwise</t>
  </si>
  <si>
    <t>SID7B</t>
  </si>
  <si>
    <t>SID7C</t>
  </si>
  <si>
    <t>Min. is 1.4V in Backup mode</t>
  </si>
  <si>
    <t>1.5/Fc</t>
  </si>
  <si>
    <t>XRES resistor removed</t>
  </si>
  <si>
    <t>Active Mode</t>
  </si>
  <si>
    <t>Frequency variation centered on 8 MHz</t>
  </si>
  <si>
    <t>SID451A</t>
  </si>
  <si>
    <t>Output frequency range. VCCD = 1.1V</t>
  </si>
  <si>
    <t>Output frequency range. VCCD = 0.9V</t>
  </si>
  <si>
    <t>Minimum pulse width between Quadrature phase inputs. Delays from pins should be similar.</t>
  </si>
  <si>
    <t>SID85B</t>
  </si>
  <si>
    <t>Input offset voltage. Low-power mode.</t>
  </si>
  <si>
    <t>VOFFSET3</t>
  </si>
  <si>
    <t>SID86A</t>
  </si>
  <si>
    <t>VHYST1</t>
  </si>
  <si>
    <t>VHYST2</t>
  </si>
  <si>
    <t>Hysteresis when enabled in Normal mode</t>
  </si>
  <si>
    <t>Hysteresis when enabled in Low-power mode</t>
  </si>
  <si>
    <t>VDDIO1-0.1</t>
  </si>
  <si>
    <t>Common mode rejection ratio in Normal power mode</t>
  </si>
  <si>
    <t>Input common mode voltage in Normal mode</t>
  </si>
  <si>
    <t>Input common mode voltage in Low power mode</t>
  </si>
  <si>
    <t>Input common mode voltage in Ultra low power mode</t>
  </si>
  <si>
    <t>Block Current, Normal mode</t>
  </si>
  <si>
    <t>Block Current, Low power mode</t>
  </si>
  <si>
    <t>Block Current in Ultra low-power mode</t>
  </si>
  <si>
    <t>Response time, Normal mode, 100 mV overdrive</t>
  </si>
  <si>
    <t>Response time, Low power mode, 100 mV overdrive</t>
  </si>
  <si>
    <t>Response time, Ultra-low power mode, 100 mV overdrive</t>
  </si>
  <si>
    <t>SID72A</t>
  </si>
  <si>
    <t>SID73A</t>
  </si>
  <si>
    <t>TRISES_1</t>
  </si>
  <si>
    <t>TRISES_2</t>
  </si>
  <si>
    <t>TFALLS_1</t>
  </si>
  <si>
    <t>TFALLS_2</t>
  </si>
  <si>
    <t>Cload = 15 pF, 8 mA drive strength, VDD &lt;= 2.7V</t>
  </si>
  <si>
    <t>Cload = 15 pF, 8 mA drive strength, 2.7V &lt; VDD &lt;= 3.6</t>
  </si>
  <si>
    <t>SID5A</t>
  </si>
  <si>
    <t>SID3A</t>
  </si>
  <si>
    <t>SID4A</t>
  </si>
  <si>
    <t>ESD_HBM</t>
  </si>
  <si>
    <t>ESD_CDM</t>
  </si>
  <si>
    <t>LU</t>
  </si>
  <si>
    <t>Pin current for latchup free operation</t>
  </si>
  <si>
    <t>SWD and Trace Interface</t>
  </si>
  <si>
    <t>SID214T</t>
  </si>
  <si>
    <t>SID215T</t>
  </si>
  <si>
    <t>SID216T</t>
  </si>
  <si>
    <t>LP Mode. VDD = 1.1V</t>
  </si>
  <si>
    <t>F_TRCLK_ULP</t>
  </si>
  <si>
    <t>ULP Mode. VDD = 0.9V</t>
  </si>
  <si>
    <t>F_TRCLK_LP1</t>
  </si>
  <si>
    <t>F_TRCLK_LP2</t>
  </si>
  <si>
    <t>With Trace Data setup/hold times of 2/1 ns respectively</t>
  </si>
  <si>
    <t>Electrostatic discharge Human Body Model</t>
  </si>
  <si>
    <t>Electrostatic discharge Charged Device Model</t>
  </si>
  <si>
    <t>SID171B</t>
  </si>
  <si>
    <t>TDSO_EXT + 4*Tscb</t>
  </si>
  <si>
    <t xml:space="preserve">Tscb is Serial Comm Block clock period. </t>
  </si>
  <si>
    <t>SIDDS1_B</t>
  </si>
  <si>
    <t>IDD33A_B</t>
  </si>
  <si>
    <t>+/-10% variation</t>
  </si>
  <si>
    <t>MISO Valid after Sclock driving edge in Internally Clk. Mode with Median filter enabled.</t>
  </si>
  <si>
    <t>Input offset voltage for COMP1. Normal power mode.</t>
  </si>
  <si>
    <t>±2</t>
  </si>
  <si>
    <t>At 60 C</t>
  </si>
  <si>
    <t>Flash Retention. Ta&lt;= 25 C, 100K P/E cycles</t>
  </si>
  <si>
    <t>SID182A</t>
  </si>
  <si>
    <t>SID182B</t>
  </si>
  <si>
    <t>FRET1</t>
  </si>
  <si>
    <t>FRET2</t>
  </si>
  <si>
    <t>FRET3</t>
  </si>
  <si>
    <t>POR or XRES release to Active transition time</t>
  </si>
  <si>
    <t>BOD Reset guaranteed for levels below 1.54V</t>
  </si>
  <si>
    <t>FLL_WAKEUP</t>
  </si>
  <si>
    <t>Time from stable input clock to 1% of final value on deep sleep wakeup</t>
  </si>
  <si>
    <t>FLL_JITTER</t>
  </si>
  <si>
    <t>50 ps at 48 MHz, 35 pS at 100 MHz</t>
  </si>
  <si>
    <t>SID162A</t>
  </si>
  <si>
    <t>FUART1</t>
  </si>
  <si>
    <t>ULP Mode</t>
  </si>
  <si>
    <t>SID162B</t>
  </si>
  <si>
    <t>FUART2</t>
  </si>
  <si>
    <t>LP Mode</t>
  </si>
  <si>
    <t>SIDHIB2</t>
  </si>
  <si>
    <t>IDD34A</t>
  </si>
  <si>
    <t>VDDD = 1.8V</t>
  </si>
  <si>
    <t>SID17A</t>
  </si>
  <si>
    <t>TXRES_IDD_1</t>
  </si>
  <si>
    <t xml:space="preserve">IDD when XRES asserted </t>
  </si>
  <si>
    <t>Period jitter</t>
  </si>
  <si>
    <t>Period jitter (1 sigma) at 100 MHz</t>
  </si>
  <si>
    <t>GPIO input operating frequency;1.71V&lt;=VDD&lt;=3.6V</t>
  </si>
  <si>
    <t>With IMO input, for &lt; 10 C change in temperature while in Deep Sleep and Fout ≥ 50 Mhz</t>
  </si>
  <si>
    <t>JTAG Boundary Scan specifications</t>
  </si>
  <si>
    <t>TCK low</t>
  </si>
  <si>
    <t>TCK high</t>
  </si>
  <si>
    <t>TDO clock-to-out (max) from falling TCK</t>
  </si>
  <si>
    <t>TDI, TMS Setup time before rising TCK.</t>
  </si>
  <si>
    <t>TDI, TMS Hold time after rising TCK.</t>
  </si>
  <si>
    <t>TCK to TDO Data Valid (high-Z to active).</t>
  </si>
  <si>
    <t>TCK to TDO Data Valid (active to high-Z).</t>
  </si>
  <si>
    <t>TCK falling edge to output valid</t>
  </si>
  <si>
    <t>Input valid to TCK rising edge</t>
  </si>
  <si>
    <t>Input hold time to TCK rising edge</t>
  </si>
  <si>
    <t>TCK falling edge to output valid (high-Z to active).</t>
  </si>
  <si>
    <t>TCK falling edge to output valid (active to high-Z ).</t>
  </si>
  <si>
    <t>SID460</t>
  </si>
  <si>
    <t>SID461</t>
  </si>
  <si>
    <t>SID462</t>
  </si>
  <si>
    <t>SID463</t>
  </si>
  <si>
    <t>SID464</t>
  </si>
  <si>
    <t>SID465</t>
  </si>
  <si>
    <t>SID466</t>
  </si>
  <si>
    <t>SID468</t>
  </si>
  <si>
    <t>SID469</t>
  </si>
  <si>
    <t>SID470</t>
  </si>
  <si>
    <t>SID471</t>
  </si>
  <si>
    <t>SID472</t>
  </si>
  <si>
    <t>SID473</t>
  </si>
  <si>
    <t>SID474</t>
  </si>
  <si>
    <t>TCKLOW</t>
  </si>
  <si>
    <t>TCKHIGH</t>
  </si>
  <si>
    <t>TSU_TCK</t>
  </si>
  <si>
    <t>TCk_THD</t>
  </si>
  <si>
    <t>TCK_TDO</t>
  </si>
  <si>
    <t>TCK_TDOV</t>
  </si>
  <si>
    <t>TCK_TDOZ</t>
  </si>
  <si>
    <t>TCK low Mmnimum</t>
  </si>
  <si>
    <t>JTAG Boundary Scan Parameters for 1.1V (LP) mode operation:</t>
  </si>
  <si>
    <t>JTAG Boundary Scan Parameters for 0.9V (ULP) mode operation:</t>
  </si>
  <si>
    <t>SID469A</t>
  </si>
  <si>
    <t>SID474A</t>
  </si>
  <si>
    <t>X5R ceramic or better. Value for 0.8 10 1.2V.</t>
  </si>
  <si>
    <t>NXP</t>
  </si>
  <si>
    <t>Cortex M4F</t>
  </si>
  <si>
    <t>Microchip</t>
  </si>
  <si>
    <t>Cache (B)</t>
  </si>
  <si>
    <t>16K I-Cache</t>
  </si>
  <si>
    <t>SID169A</t>
  </si>
  <si>
    <t>TSSELMSCK1</t>
  </si>
  <si>
    <t>SID169B</t>
  </si>
  <si>
    <t>TSSELMCK2</t>
  </si>
  <si>
    <t>SID166B</t>
  </si>
  <si>
    <t>FSPI_EXT</t>
  </si>
  <si>
    <t>SWD</t>
  </si>
  <si>
    <t>LPC55S6x</t>
  </si>
  <si>
    <t>VCCD (LP)</t>
  </si>
  <si>
    <t>VCCD (ULP)</t>
  </si>
  <si>
    <t>SID7A</t>
  </si>
  <si>
    <t>Internal Regulator</t>
  </si>
  <si>
    <t>SID173A</t>
  </si>
  <si>
    <t>IPE</t>
  </si>
  <si>
    <t>Erase and Program voltage</t>
  </si>
  <si>
    <t>Erase and Program current</t>
  </si>
  <si>
    <t>SSEL Hold after last SCK Valid edge</t>
  </si>
  <si>
    <t>Ioh = 6 mA</t>
  </si>
  <si>
    <t>Iol = 6 mA</t>
  </si>
  <si>
    <t>Msps</t>
  </si>
  <si>
    <t>SID7EP</t>
  </si>
  <si>
    <t>EFUSETIME</t>
  </si>
  <si>
    <t>E-Fuse Programming time</t>
  </si>
  <si>
    <t> LP Mode (1.1V)</t>
  </si>
  <si>
    <t>tbd</t>
  </si>
  <si>
    <t xml:space="preserve">Integral Non Linearity. 
</t>
  </si>
  <si>
    <t xml:space="preserve">Number of Wait states at 150 MHz </t>
  </si>
  <si>
    <t>IHO DC Specifications</t>
  </si>
  <si>
    <t>IHO AC Specifications</t>
  </si>
  <si>
    <t>SID218A</t>
  </si>
  <si>
    <t>IIHO1</t>
  </si>
  <si>
    <t>IHO Operating current at 48 MHz</t>
  </si>
  <si>
    <t>SID223A</t>
  </si>
  <si>
    <t>SID227A</t>
  </si>
  <si>
    <t>FIHOTOL1</t>
  </si>
  <si>
    <t>With internal LDO enabled and 64K SRAM retention</t>
  </si>
  <si>
    <t>-40 to +125 C</t>
  </si>
  <si>
    <t>Sample rate</t>
  </si>
  <si>
    <t xml:space="preserve">Differential Non Linearity. </t>
  </si>
  <si>
    <t>Frequency variation centered on 48 MHz</t>
  </si>
  <si>
    <t>CAN FD</t>
  </si>
  <si>
    <t>CORDIC</t>
  </si>
  <si>
    <t>STM32G473x</t>
  </si>
  <si>
    <t>KV31F512</t>
  </si>
  <si>
    <t>dsPIC33CK256MP508</t>
  </si>
  <si>
    <t>Renesas</t>
  </si>
  <si>
    <t>R7FA6T1AD3CFx</t>
  </si>
  <si>
    <t>IFX</t>
  </si>
  <si>
    <t>Boy II</t>
  </si>
  <si>
    <t>1.71 to 3.6</t>
  </si>
  <si>
    <t>Ta</t>
  </si>
  <si>
    <t>up to 512</t>
  </si>
  <si>
    <t>up to128</t>
  </si>
  <si>
    <t>Y (ART)</t>
  </si>
  <si>
    <t>16K</t>
  </si>
  <si>
    <t>DMA (ch /engine)</t>
  </si>
  <si>
    <t>16/2</t>
  </si>
  <si>
    <t>18/3</t>
  </si>
  <si>
    <t>up to 5</t>
  </si>
  <si>
    <t>up to 4</t>
  </si>
  <si>
    <t>CANFD</t>
  </si>
  <si>
    <t>up to 3</t>
  </si>
  <si>
    <t>UART</t>
  </si>
  <si>
    <t>I2C, SPI, UART</t>
  </si>
  <si>
    <t>Timer (32-bit)</t>
  </si>
  <si>
    <t>Timer (16-bit)</t>
  </si>
  <si>
    <t>up to 28</t>
  </si>
  <si>
    <t>12-bit</t>
  </si>
  <si>
    <t># analog ch</t>
  </si>
  <si>
    <t>up to 42</t>
  </si>
  <si>
    <t>4000 (exc Ts)</t>
  </si>
  <si>
    <t>up to 16</t>
  </si>
  <si>
    <t>up to 7</t>
  </si>
  <si>
    <t>LP comparator</t>
  </si>
  <si>
    <t>up to 6</t>
  </si>
  <si>
    <t>0 ( gain embedded in ADC)</t>
  </si>
  <si>
    <t xml:space="preserve">up to 7 </t>
  </si>
  <si>
    <t>TRNG, AES</t>
  </si>
  <si>
    <t>TRNG, AES, SHA, VU</t>
  </si>
  <si>
    <t>Int Osc</t>
  </si>
  <si>
    <t>16 MHz +-1%</t>
  </si>
  <si>
    <t>48 MHz +-1%</t>
  </si>
  <si>
    <t>up to 48</t>
  </si>
  <si>
    <t>LQFP48, 64, 80, 100, 128, BGA 100, 121, WLCSP81, QFPN48</t>
  </si>
  <si>
    <t>QFN 40,48, 64 QFP 48</t>
  </si>
  <si>
    <t>Cortex M33F TZ</t>
  </si>
  <si>
    <t>HW accelarator</t>
  </si>
  <si>
    <t>CORDIC, Filter acc</t>
  </si>
  <si>
    <t>CORDIC, accumulator, filter in PASS</t>
  </si>
  <si>
    <t>USB I/F</t>
  </si>
  <si>
    <t>16/1</t>
  </si>
  <si>
    <t>LQFP 64, LQFP 100</t>
  </si>
  <si>
    <t>up to 100</t>
  </si>
  <si>
    <t>16-bit/12-bit</t>
  </si>
  <si>
    <t>1 x 12-bit, 2x6-bit</t>
  </si>
  <si>
    <t>6x 6-bit PRB</t>
  </si>
  <si>
    <t>TRNG</t>
  </si>
  <si>
    <t>48 MHz +-1.5%</t>
  </si>
  <si>
    <t>up to 36</t>
  </si>
  <si>
    <t>461/1200</t>
  </si>
  <si>
    <t>Dual Core M33F TZ</t>
  </si>
  <si>
    <t>150 / 150</t>
  </si>
  <si>
    <t>32 / 2</t>
  </si>
  <si>
    <t>SID.TCPWM.2C</t>
  </si>
  <si>
    <t>SID256A</t>
  </si>
  <si>
    <t xml:space="preserve">Number of Wait states at 180 MHz </t>
  </si>
  <si>
    <t> OD Mode (1.2V)</t>
  </si>
  <si>
    <t>DSP HW acc (IoT; Motion, Voice, NN, Biometrics)</t>
  </si>
  <si>
    <t>up to 9</t>
  </si>
  <si>
    <t>up to 64</t>
  </si>
  <si>
    <t>Crypto / FFT engine, TRNG, AES, SHA2</t>
  </si>
  <si>
    <t>16-bit</t>
  </si>
  <si>
    <t>up to 10</t>
  </si>
  <si>
    <t>96 MHz +-2%</t>
  </si>
  <si>
    <t>LQFP100, QFP64, BGA 98</t>
  </si>
  <si>
    <t>no</t>
  </si>
  <si>
    <t>up to 70</t>
  </si>
  <si>
    <t>1.8 to 3.6</t>
  </si>
  <si>
    <t>3.0 to 3.6</t>
  </si>
  <si>
    <t>32 - 256</t>
  </si>
  <si>
    <t>up to 640</t>
  </si>
  <si>
    <t>up to 320</t>
  </si>
  <si>
    <t>8 - 24</t>
  </si>
  <si>
    <t>12 -bit</t>
  </si>
  <si>
    <t>up to 24</t>
  </si>
  <si>
    <t xml:space="preserve">8 / 250 </t>
  </si>
  <si>
    <t>HRPWM #ch / res (ps)</t>
  </si>
  <si>
    <t>FuSa</t>
  </si>
  <si>
    <t>Security</t>
  </si>
  <si>
    <t>Class B, ASIL B, FMEDA spreadsheet, Safety Manua, Fun Safety Diagn Suite</t>
  </si>
  <si>
    <t>Class-B / SIL-2 safety package (STL, documentation)</t>
  </si>
  <si>
    <t>Class-B / SIL-2 certified STL, App note</t>
  </si>
  <si>
    <t>PSA L2</t>
  </si>
  <si>
    <t>No certification</t>
  </si>
  <si>
    <t>No Certification</t>
  </si>
  <si>
    <t>low power support with comm I/F</t>
  </si>
  <si>
    <t>TSSOP 28, QFN 28 /36/48/64, QFP 48/64/80</t>
  </si>
  <si>
    <t>up to 60</t>
  </si>
  <si>
    <t>-40 to 125</t>
  </si>
  <si>
    <t>2.7 to 3.6</t>
  </si>
  <si>
    <t>up to 76</t>
  </si>
  <si>
    <t>QFP 64/100</t>
  </si>
  <si>
    <t>AES256, SHA256, GHASH, ECC, TRNG, ARC4</t>
  </si>
  <si>
    <t>up to 2500</t>
  </si>
  <si>
    <t>16MHz +-2%</t>
  </si>
  <si>
    <t xml:space="preserve">Class - B STL, </t>
  </si>
  <si>
    <t>I2C</t>
  </si>
  <si>
    <t>dsPIC33CK CPU (16-bit)</t>
  </si>
  <si>
    <t>4 / ?</t>
  </si>
  <si>
    <t>4000 - 12000 (incl Ts)</t>
  </si>
  <si>
    <t>Erase and program not supported at ULP levels (0.9V)</t>
  </si>
  <si>
    <t>256 Rows per sector</t>
  </si>
  <si>
    <t>VDDIO_0</t>
  </si>
  <si>
    <t>VCCD (OD)</t>
  </si>
  <si>
    <t>Over drive mode</t>
  </si>
  <si>
    <t>SID8A</t>
  </si>
  <si>
    <t>SID8B</t>
  </si>
  <si>
    <t>SIDWA8</t>
  </si>
  <si>
    <t xml:space="preserve">Vundershoot </t>
  </si>
  <si>
    <t>Maximum undershoot voltage for I/O</t>
  </si>
  <si>
    <t xml:space="preserve">V </t>
  </si>
  <si>
    <t>Duration not to exceed 25% of the duty cycle</t>
  </si>
  <si>
    <t>SIDWA9</t>
  </si>
  <si>
    <t xml:space="preserve">Vovershoot </t>
  </si>
  <si>
    <t>Maximum overshoot voltage for I/O</t>
  </si>
  <si>
    <t>VDDIO + 0.5</t>
  </si>
  <si>
    <t>SIDWA10</t>
  </si>
  <si>
    <t xml:space="preserve">Tj </t>
  </si>
  <si>
    <t xml:space="preserve">Maximum junction temperature </t>
  </si>
  <si>
    <t xml:space="preserve">°C </t>
  </si>
  <si>
    <t>SID13A</t>
  </si>
  <si>
    <t>TDS_ACT</t>
  </si>
  <si>
    <t>Deep Sleep to Active transition time.</t>
  </si>
  <si>
    <t>SID13B</t>
  </si>
  <si>
    <t>TDS_ACTLP</t>
  </si>
  <si>
    <t>Deep Sleep to Active LP transition time</t>
  </si>
  <si>
    <t>SID13C</t>
  </si>
  <si>
    <t>TDSR_ACT</t>
  </si>
  <si>
    <t>Deep Sleep-RAM to Active transition time</t>
  </si>
  <si>
    <t>SID13D</t>
  </si>
  <si>
    <t>TDSR_ACTULP</t>
  </si>
  <si>
    <t>Deep Sleep-RAM to Active LP transition time</t>
  </si>
  <si>
    <t>DS-RAM to Active LP with 1.0V operation</t>
  </si>
  <si>
    <t>SIDHIB3</t>
  </si>
  <si>
    <t>IDD35</t>
  </si>
  <si>
    <t>SIDHIB4</t>
  </si>
  <si>
    <t>IDD35A</t>
  </si>
  <si>
    <t>kHz WCO DC Specification</t>
  </si>
  <si>
    <t>kHz WCO AC Specification</t>
  </si>
  <si>
    <t xml:space="preserve">Cortex M33. Active Mode </t>
  </si>
  <si>
    <t>SIDC2</t>
  </si>
  <si>
    <t>IDD4</t>
  </si>
  <si>
    <t>SIDC3</t>
  </si>
  <si>
    <t>IDD5</t>
  </si>
  <si>
    <t>SIDC4</t>
  </si>
  <si>
    <t>IDD6</t>
  </si>
  <si>
    <t>Cortex M33. Sleep Mode</t>
  </si>
  <si>
    <t>SIDS1</t>
  </si>
  <si>
    <t>IDD11</t>
  </si>
  <si>
    <t>SIDS2</t>
  </si>
  <si>
    <t>IDD12</t>
  </si>
  <si>
    <t>SIDS3</t>
  </si>
  <si>
    <t>IDD13</t>
  </si>
  <si>
    <t>VDDD=3.3V, Max at 125 C</t>
  </si>
  <si>
    <t>VDDD=1.8V, Max at 125 C</t>
  </si>
  <si>
    <t>VDDD=3.3V, Max at 105 C</t>
  </si>
  <si>
    <t>VDDD=1.8V, Max at 105 C</t>
  </si>
  <si>
    <t>For ULP mode</t>
  </si>
  <si>
    <t>For LP, OD mode</t>
  </si>
  <si>
    <t>ULP mode</t>
  </si>
  <si>
    <t>LP, OD mode</t>
  </si>
  <si>
    <t>Source File: C:\IFX\EROS\002-35693\002-35693_Specifications.xlsm</t>
  </si>
  <si>
    <t>GPIO Supply for Ports 1, 2, 3, 4, 5, 6, 7</t>
  </si>
  <si>
    <t>VDDIO_1</t>
  </si>
  <si>
    <t>GPIO Supply for Ports 8 and 9</t>
  </si>
  <si>
    <t>Analog power supply for ADC and Comparator</t>
  </si>
  <si>
    <t>Backup Power; normally shorted to VDDD (supply PORT 0)</t>
  </si>
  <si>
    <t>DAC_REF</t>
  </si>
  <si>
    <t>Reference voltage for DAC</t>
  </si>
  <si>
    <t>VOFFSET</t>
  </si>
  <si>
    <t>Input referred residual offset for comparator</t>
  </si>
  <si>
    <t>VCMR</t>
  </si>
  <si>
    <t>IVDDA</t>
  </si>
  <si>
    <t>IVCCD</t>
  </si>
  <si>
    <t>INL</t>
  </si>
  <si>
    <t>DAC INL</t>
  </si>
  <si>
    <t>DNL</t>
  </si>
  <si>
    <t>DAC DNL</t>
  </si>
  <si>
    <t>INPNOISE</t>
  </si>
  <si>
    <t>Comparatror Input referred comparator noise</t>
  </si>
  <si>
    <t>uV</t>
  </si>
  <si>
    <t>DACSET</t>
  </si>
  <si>
    <t>DACSETA</t>
  </si>
  <si>
    <t>SIDADC</t>
  </si>
  <si>
    <t>VAREF_EXT</t>
  </si>
  <si>
    <t xml:space="preserve">External Reference </t>
  </si>
  <si>
    <t>SIDADC.0</t>
  </si>
  <si>
    <t>RES</t>
  </si>
  <si>
    <t>SIDADC.3</t>
  </si>
  <si>
    <t>Gain error at gain =1 after calibration</t>
  </si>
  <si>
    <t>Offset Error without calibration</t>
  </si>
  <si>
    <t>SIDADC.4A</t>
  </si>
  <si>
    <t>SIDADC.6</t>
  </si>
  <si>
    <t>SIDADC.7</t>
  </si>
  <si>
    <t>SIDADC.8</t>
  </si>
  <si>
    <t xml:space="preserve">Current consumption </t>
  </si>
  <si>
    <t>SIDADC.9</t>
  </si>
  <si>
    <t>SIDADC.13</t>
  </si>
  <si>
    <t>CROSSTALK</t>
  </si>
  <si>
    <t xml:space="preserve">LSB </t>
  </si>
  <si>
    <t>SIDADC.14</t>
  </si>
  <si>
    <t>SIDADC.16</t>
  </si>
  <si>
    <t>SIDADC.17</t>
  </si>
  <si>
    <t>T_STARTUP</t>
  </si>
  <si>
    <t>Start Up time after stable supply</t>
  </si>
  <si>
    <t>SIDADC.18</t>
  </si>
  <si>
    <t>T_CAL</t>
  </si>
  <si>
    <t>Maximum calibratiom time</t>
  </si>
  <si>
    <t>Cycles</t>
  </si>
  <si>
    <t>HRPWM Specifications</t>
  </si>
  <si>
    <t>SIDHRPWM.1</t>
  </si>
  <si>
    <t>HR_RES</t>
  </si>
  <si>
    <t>HRPWM Resolution</t>
  </si>
  <si>
    <t>(1)/(Fc*64)</t>
  </si>
  <si>
    <t>SIDHRPWM.2</t>
  </si>
  <si>
    <t>MONOTONIC</t>
  </si>
  <si>
    <t>HRPWM is monotonic</t>
  </si>
  <si>
    <t>HRPWM Monotonicity is guranteed by BIST</t>
  </si>
  <si>
    <t>DPLL Specifications</t>
  </si>
  <si>
    <t>SIDPLL.0</t>
  </si>
  <si>
    <t>PLL_LOCK_4M</t>
  </si>
  <si>
    <t>Time to achieve PLL Lock at 4 MHz reference</t>
  </si>
  <si>
    <t>SIDPLL.1</t>
  </si>
  <si>
    <t>PLL_LOCK_8M</t>
  </si>
  <si>
    <t>Time to achieve PLL Lock at 8 MHz reference</t>
  </si>
  <si>
    <t>SIDPLL.2</t>
  </si>
  <si>
    <t>SIDPLL.3</t>
  </si>
  <si>
    <t>SIDPLL.4</t>
  </si>
  <si>
    <t>PLL_PJTR_100</t>
  </si>
  <si>
    <t>for PLL_OUT = 100MHz</t>
  </si>
  <si>
    <t>SIDPLL.4A</t>
  </si>
  <si>
    <t>PLL_PJTR_200</t>
  </si>
  <si>
    <t>for PLL_OUT = 200MHz</t>
  </si>
  <si>
    <t>SIDPLL.7</t>
  </si>
  <si>
    <t>PLL_DC</t>
  </si>
  <si>
    <t>Duty Cycle</t>
  </si>
  <si>
    <t>for PLL_OUT = Fdco/N , N &gt;1 and integer</t>
  </si>
  <si>
    <t>Bypass Capacitors required for power supplies and analog reference</t>
  </si>
  <si>
    <t xml:space="preserve">It shall be possible to bypass crystal osc. </t>
  </si>
  <si>
    <t>MCPASS</t>
  </si>
  <si>
    <t>DW</t>
  </si>
  <si>
    <t>Category</t>
  </si>
  <si>
    <t>Owner</t>
  </si>
  <si>
    <t>Comments (ICW internal)</t>
  </si>
  <si>
    <t>I</t>
  </si>
  <si>
    <t>Not for DS</t>
  </si>
  <si>
    <t>Used for CST</t>
  </si>
  <si>
    <r>
      <t>ITCPWM4</t>
    </r>
    <r>
      <rPr>
        <sz val="11"/>
        <color theme="1"/>
        <rFont val="Calibri"/>
        <family val="2"/>
        <scheme val="minor"/>
      </rPr>
      <t/>
    </r>
  </si>
  <si>
    <t xml:space="preserve">I2C DC Specifications </t>
  </si>
  <si>
    <t xml:space="preserve">I2C AC Specifications </t>
  </si>
  <si>
    <t>UART DC Specifications</t>
  </si>
  <si>
    <t>UART AC Specifications</t>
  </si>
  <si>
    <t>SPI DC Specifications</t>
  </si>
  <si>
    <t>SPI AC Specifications for LP Mode</t>
  </si>
  <si>
    <t>SPI Master mode AC Specifications for LP Mode</t>
  </si>
  <si>
    <t>SPI Slave mode AC Specifications for LP Mode</t>
  </si>
  <si>
    <t>ECO DC Specification</t>
  </si>
  <si>
    <t>ECO AC Specification</t>
  </si>
  <si>
    <t>WCO DC Specification</t>
  </si>
  <si>
    <t>WCO AC Specification</t>
  </si>
  <si>
    <t>Valid for Product [1]</t>
  </si>
  <si>
    <t>IP</t>
  </si>
  <si>
    <t>BOY1</t>
  </si>
  <si>
    <t>BOY2</t>
  </si>
  <si>
    <t>BOY3</t>
  </si>
  <si>
    <t>BOY4</t>
  </si>
  <si>
    <t>SRSS</t>
  </si>
  <si>
    <t>IOSS</t>
  </si>
  <si>
    <t>EFUSE</t>
  </si>
  <si>
    <t>LPCOMP</t>
  </si>
  <si>
    <t>ADC</t>
  </si>
  <si>
    <t>SPI</t>
  </si>
  <si>
    <t>Flash</t>
  </si>
  <si>
    <t>DEBUG600</t>
  </si>
  <si>
    <t>DEBUG601</t>
  </si>
  <si>
    <t>DEBUG602</t>
  </si>
  <si>
    <t>DEBUG603</t>
  </si>
  <si>
    <t>DEBUG604</t>
  </si>
  <si>
    <t>DEBUG605</t>
  </si>
  <si>
    <t>DEBUG606</t>
  </si>
  <si>
    <t>DEBUG607</t>
  </si>
  <si>
    <t>DFT</t>
  </si>
  <si>
    <t>OFFSETERR</t>
  </si>
  <si>
    <t xml:space="preserve">Offset Error after calibration </t>
  </si>
  <si>
    <t>1.1</t>
  </si>
  <si>
    <t>SPI AC Specification for LP Mode</t>
  </si>
  <si>
    <t>SPI Operating frequency Master and Externally Clocked Slave for fast SCB</t>
  </si>
  <si>
    <t>Flash Retention. Ta&lt;= 85 C, 10K P/E cycles</t>
  </si>
  <si>
    <t>Flash Retention. Ta&lt;= 55 C, 20K P/E cycles</t>
  </si>
  <si>
    <t>Switch on time of 0.5us included</t>
  </si>
  <si>
    <t>DS to Active with 1.1V operation, with upper inrush current limit</t>
  </si>
  <si>
    <t>DS to Active LP with 1.0V operation</t>
  </si>
  <si>
    <t xml:space="preserve">Input voltage range </t>
  </si>
  <si>
    <t>No clocks running (not including analog leakage on VDDA and VAREF_EXT)</t>
  </si>
  <si>
    <t>WCO is running, lpcomp active (not including analog leakage on VDDA and VAREF_EXT)</t>
  </si>
  <si>
    <t>IDDA</t>
  </si>
  <si>
    <t>Leakage on analog supply and analog reference in deep sleep mode</t>
  </si>
  <si>
    <t>SIDDS2</t>
  </si>
  <si>
    <t>SIDHIB5</t>
  </si>
  <si>
    <t>Leakage on analog supply and analog reference in hibernate mode</t>
  </si>
  <si>
    <t>Analog Subsystem</t>
  </si>
  <si>
    <t>SIDAS1</t>
  </si>
  <si>
    <t>AIN DC Specification</t>
  </si>
  <si>
    <t>AIN_LEAK</t>
  </si>
  <si>
    <t>Leakage on single analog input pin</t>
  </si>
  <si>
    <t>Maximum leakage at 125C</t>
  </si>
  <si>
    <t>SIDADC.9A</t>
  </si>
  <si>
    <t>SIDCSG.9</t>
  </si>
  <si>
    <t>Execute from Cache;CM33 Active 180 MHz. PLL. Dhrystone. OD mode</t>
  </si>
  <si>
    <t>Execute from Cache;CM33 Active 150 MHz. PLL. Dhrystone. LP Mode</t>
  </si>
  <si>
    <t xml:space="preserve">Max value is at 85 C </t>
  </si>
  <si>
    <t>Critical Parameters</t>
  </si>
  <si>
    <t>BOY1_cp</t>
  </si>
  <si>
    <t>BOY2_cp</t>
  </si>
  <si>
    <t>BOY3_cp</t>
  </si>
  <si>
    <t>BOY4_cp</t>
  </si>
  <si>
    <t>ES10</t>
  </si>
  <si>
    <t>o.c.</t>
  </si>
  <si>
    <t>PR4</t>
  </si>
  <si>
    <t>ES100</t>
  </si>
  <si>
    <t>OD Mode. VDD = 1.2V</t>
  </si>
  <si>
    <t>SID217T</t>
  </si>
  <si>
    <t>MF Mode. VDD = 1.0V</t>
  </si>
  <si>
    <t>TCKPERIOD</t>
  </si>
  <si>
    <t>CLK_JTAG_PERIOD, 30pF Load</t>
  </si>
  <si>
    <t>TCK_TDOH</t>
  </si>
  <si>
    <t>JTAG_BSCAN_TDO_HOLD</t>
  </si>
  <si>
    <t>SID467</t>
  </si>
  <si>
    <t>JTAG_TDO_HOLD</t>
  </si>
  <si>
    <t>JTAG TDO Hold Time</t>
  </si>
  <si>
    <t>SID467A</t>
  </si>
  <si>
    <t>JTAG_INPUT_TRANSITION_TIME</t>
  </si>
  <si>
    <t>JTAG Input Transition Time</t>
  </si>
  <si>
    <t>JTAG: Parameters for 1.1 V (LP) mode operations</t>
  </si>
  <si>
    <t>SID475</t>
  </si>
  <si>
    <t>SID476</t>
  </si>
  <si>
    <t>SID478</t>
  </si>
  <si>
    <t>SID479</t>
  </si>
  <si>
    <t>SID480</t>
  </si>
  <si>
    <t>SID481</t>
  </si>
  <si>
    <t>SID482</t>
  </si>
  <si>
    <t>SID483</t>
  </si>
  <si>
    <t>JTAG: Parameters for 0.9 V (ULP) mode operations</t>
  </si>
  <si>
    <t>SID461A</t>
  </si>
  <si>
    <t>TCK_PERIOD</t>
  </si>
  <si>
    <t>Clock Period , 30 pF Load</t>
  </si>
  <si>
    <t>SID476A</t>
  </si>
  <si>
    <t>SID484</t>
  </si>
  <si>
    <t>SID485</t>
  </si>
  <si>
    <t>SID486</t>
  </si>
  <si>
    <t>SID487</t>
  </si>
  <si>
    <t>SID488</t>
  </si>
  <si>
    <t>SID489</t>
  </si>
  <si>
    <t>SID490</t>
  </si>
  <si>
    <t>SID491</t>
  </si>
  <si>
    <t>SID492</t>
  </si>
  <si>
    <t>SIDAS2</t>
  </si>
  <si>
    <t>AIN_CAP_CSG</t>
  </si>
  <si>
    <t>SIDAS2A</t>
  </si>
  <si>
    <t>AIN_CAP_ADC</t>
  </si>
  <si>
    <t>Input Capactiance of ADC</t>
  </si>
  <si>
    <t>SIDAS3</t>
  </si>
  <si>
    <t>AIN_RES_CSGS</t>
  </si>
  <si>
    <t>Ω</t>
  </si>
  <si>
    <t>SIDAS3A</t>
  </si>
  <si>
    <t>AIN_RES_CSGP</t>
  </si>
  <si>
    <t>SIDAS4</t>
  </si>
  <si>
    <t>AIN_RES_ADC</t>
  </si>
  <si>
    <t>Total resistance of analog channel directly connected to S/H</t>
  </si>
  <si>
    <t>SIDAS4A</t>
  </si>
  <si>
    <t>Total resistance of analog channel  connected to S/H through AMUX</t>
  </si>
  <si>
    <t>SID166C</t>
  </si>
  <si>
    <t>SID166U</t>
  </si>
  <si>
    <t>SPI AC Specifications for ULP Mode</t>
  </si>
  <si>
    <t>SID166AU</t>
  </si>
  <si>
    <t>SPI AC Specification for ULP Mode</t>
  </si>
  <si>
    <t>SID166BU</t>
  </si>
  <si>
    <t>FSPIUL</t>
  </si>
  <si>
    <t>FSPI_EXT_UL</t>
  </si>
  <si>
    <t>FSPI_IC_UL</t>
  </si>
  <si>
    <t>Fixed SPI Master mode AC Specifications for LP  Mode (1.1V) unless noted otherwise</t>
  </si>
  <si>
    <t>SID167UL</t>
  </si>
  <si>
    <t>SPI Master mode AC Specifications for ULP Mode</t>
  </si>
  <si>
    <t>TDMO_UL</t>
  </si>
  <si>
    <t>SID167HS</t>
  </si>
  <si>
    <t>TDMO_HS</t>
  </si>
  <si>
    <t>LP Mode, for 50 MHz operation</t>
  </si>
  <si>
    <t>TDSO_EXT_UL</t>
  </si>
  <si>
    <t>SPI Slave mode AC Specifications for ULP Mode</t>
  </si>
  <si>
    <t>SID171A_UL</t>
  </si>
  <si>
    <t>SID171A_HS</t>
  </si>
  <si>
    <t>TDSO_EXT_HS</t>
  </si>
  <si>
    <t>LP, OD mode, for 50 MHz operation</t>
  </si>
  <si>
    <t>MOSI and  MISO data hold time</t>
  </si>
  <si>
    <t>FSCB/4</t>
  </si>
  <si>
    <t>LP, OD mode, FSCB = 100MHz</t>
  </si>
  <si>
    <t>ULP mode, FSCB = 25 MHz</t>
  </si>
  <si>
    <t>SID168HS</t>
  </si>
  <si>
    <t>TDSI_HS</t>
  </si>
  <si>
    <t>SID166BHS</t>
  </si>
  <si>
    <t>FSPI_EXT_HS</t>
  </si>
  <si>
    <t>FSPI_HS</t>
  </si>
  <si>
    <t>FSPI_HS_UL</t>
  </si>
  <si>
    <t xml:space="preserve">SPI Operating frequency Master in LP and OD mode </t>
  </si>
  <si>
    <t>SPI Operating frequency Master in ULP mode</t>
  </si>
  <si>
    <t>SPI Operating frequency Master in high speed mode in LP and OD</t>
  </si>
  <si>
    <t>SID166BHS_UL</t>
  </si>
  <si>
    <t>FSPI_EXT_HS_UL</t>
  </si>
  <si>
    <t>SPI Operating frequency Master in high speed mode in ULP</t>
  </si>
  <si>
    <t>ULP mode, FSCB = 50 MHz</t>
  </si>
  <si>
    <t>SID166CUL</t>
  </si>
  <si>
    <t>LP, OD mode, also valid for high speed SPI</t>
  </si>
  <si>
    <t>SID167HS_UL</t>
  </si>
  <si>
    <t>TDMO_HS_UL</t>
  </si>
  <si>
    <t>ULP Mode, for 50 MHz operation</t>
  </si>
  <si>
    <t>TDSI_ULP</t>
  </si>
  <si>
    <t>LP, OD Full clock, late MISO sampling</t>
  </si>
  <si>
    <t>ULP, Full clock, late MISO sampling</t>
  </si>
  <si>
    <t>LP,OD Mode, for 50 MHz operation</t>
  </si>
  <si>
    <t>SID168_ULP</t>
  </si>
  <si>
    <t>SID168HS_ULP</t>
  </si>
  <si>
    <t>SID169HS</t>
  </si>
  <si>
    <t>THMO_HS</t>
  </si>
  <si>
    <t>MOSI data hold time in HS mode</t>
  </si>
  <si>
    <t>TDSI_HS_UL</t>
  </si>
  <si>
    <t>SID170_UL</t>
  </si>
  <si>
    <t>TDMI_UL</t>
  </si>
  <si>
    <t>TDSO_EXT + 3*Tscb</t>
  </si>
  <si>
    <t>IDD4A</t>
  </si>
  <si>
    <t>SIDC2A</t>
  </si>
  <si>
    <t>IDD5A</t>
  </si>
  <si>
    <t>SIDC3A</t>
  </si>
  <si>
    <t>SIDC4A</t>
  </si>
  <si>
    <t>IDD6A</t>
  </si>
  <si>
    <t>Execute from Cache;CM33 Active 50 MHz. PLL. Dhrystone. ULP Mode</t>
  </si>
  <si>
    <t>IDD7</t>
  </si>
  <si>
    <t>IDD7A</t>
  </si>
  <si>
    <t>SIDS1A</t>
  </si>
  <si>
    <t>SIDS2A</t>
  </si>
  <si>
    <t>SIDS3A</t>
  </si>
  <si>
    <t>SIDS4</t>
  </si>
  <si>
    <t>SIDS4A</t>
  </si>
  <si>
    <t>IDD14</t>
  </si>
  <si>
    <t>IDD14A</t>
  </si>
  <si>
    <t>IDD11A</t>
  </si>
  <si>
    <t>IDD12A</t>
  </si>
  <si>
    <t>IDD13A</t>
  </si>
  <si>
    <t>SIDC5</t>
  </si>
  <si>
    <t>SIDC5A</t>
  </si>
  <si>
    <t>CM33 Sleep 180 MHz. PLL., OD Mode</t>
  </si>
  <si>
    <t>CM33 Sleep 150 MHz. PLL., LP Mode</t>
  </si>
  <si>
    <t>CM33 Sleep 50 MHz. PLL., ULP Mode</t>
  </si>
  <si>
    <t>GPIO Specifications</t>
  </si>
  <si>
    <t>Boot Time</t>
  </si>
  <si>
    <t>SIDBT1</t>
  </si>
  <si>
    <t>BOOT ROM</t>
  </si>
  <si>
    <t>BTIME</t>
  </si>
  <si>
    <t>Boot time after reset</t>
  </si>
  <si>
    <t>Refer to CPU clock cycles</t>
  </si>
  <si>
    <t>Referred to Slave capturing edge in LP and OD mode</t>
  </si>
  <si>
    <t>SID169_UL</t>
  </si>
  <si>
    <t>THMO_UL</t>
  </si>
  <si>
    <t>Referred to Slave capturing edge in ULP and MF mode</t>
  </si>
  <si>
    <t>SID169HS_UL</t>
  </si>
  <si>
    <t>THMO_HS_UL</t>
  </si>
  <si>
    <t>Referred to Slave capturing edge for HS SPI  in ULP and MF mode</t>
  </si>
  <si>
    <t>Referred to Slave capturing edge for HS SPI in LP and OD mode</t>
  </si>
  <si>
    <t>SID170_HS</t>
  </si>
  <si>
    <t>SID170_HS_UL</t>
  </si>
  <si>
    <t>TDMI_HS</t>
  </si>
  <si>
    <t>TDMI_HS_UL</t>
  </si>
  <si>
    <t>LP , OD Mode, for 50 MHz operation</t>
  </si>
  <si>
    <t>ULP, MF Mode, for 50 MHz operation</t>
  </si>
  <si>
    <t>SID171A_HS_UL</t>
  </si>
  <si>
    <t>TDSO_EXT_HS_UL</t>
  </si>
  <si>
    <t>ULP , MF mode, for 50 MHz operation</t>
  </si>
  <si>
    <t>Referred to Master clock edge for all modes and SPI and HS SPI</t>
  </si>
  <si>
    <t xml:space="preserve">For MF mode , 40 shall be used. </t>
  </si>
  <si>
    <t>SIDADC.19</t>
  </si>
  <si>
    <t>SIDADC.19B</t>
  </si>
  <si>
    <t>T_SAMPLE_AROUTE</t>
  </si>
  <si>
    <t>SIDADC.19C</t>
  </si>
  <si>
    <t>T_SAMPLE_GPIO</t>
  </si>
  <si>
    <t xml:space="preserve">Minimum sampling time for analog input through analog pad connected to S/H via AROUTE (AMUX)  </t>
  </si>
  <si>
    <t xml:space="preserve">Minimum sampling time for analog input through GPIO or ADFT connected to S/H via  AROUTE (AMUX)  </t>
  </si>
  <si>
    <t>Minimum sampling time for analog input through analog pad direct connection to S/H</t>
  </si>
  <si>
    <t>T_SAMPLE</t>
  </si>
  <si>
    <t>ATOP</t>
  </si>
  <si>
    <t>SIDDS1_A</t>
  </si>
  <si>
    <t>IDD33</t>
  </si>
  <si>
    <t>With internal LDO enabled and no SRAM retention</t>
  </si>
  <si>
    <t>With internal LDO enabled and 128K SRAM retention</t>
  </si>
  <si>
    <t>Max value is at 85 C (not including analog leakage on VDDA and VAREF_EXT)</t>
  </si>
  <si>
    <t>CM33 Sleep 70 MHz. PLL., MF Mode</t>
  </si>
  <si>
    <t>Execute from Cache;CM33 Active 70 MHz. PLL. Dhrystone. MF Mode</t>
  </si>
  <si>
    <t>Input Capactiance of DCSG</t>
  </si>
  <si>
    <t>Total series resistance on channel reaching DCSG</t>
  </si>
  <si>
    <t>Total parallel resistance on channel reaching DCSG</t>
  </si>
  <si>
    <t>DCSG DC Specifications</t>
  </si>
  <si>
    <t>DCSG AC Specifications</t>
  </si>
  <si>
    <t>Block current consumption at 200 MHz</t>
  </si>
  <si>
    <t>Fc max = 200 MHz</t>
  </si>
  <si>
    <t>Operating frequency (Fc)</t>
  </si>
  <si>
    <t>Bulk erase time (512K Bytes)</t>
  </si>
  <si>
    <t>Sector erase time (256K bytes)</t>
  </si>
  <si>
    <t>Sector write time; 1 erase plus 512 program times</t>
  </si>
  <si>
    <t>Boy IV System Resources</t>
  </si>
  <si>
    <t>002-38103</t>
  </si>
  <si>
    <t>**</t>
  </si>
  <si>
    <t>SIDDCSG</t>
  </si>
  <si>
    <t>DCSG</t>
  </si>
  <si>
    <t xml:space="preserve">Internal 1.2 V reference or VAREF_EXT </t>
  </si>
  <si>
    <t>SIDDCSG.0</t>
  </si>
  <si>
    <t>SIDDCSG.1</t>
  </si>
  <si>
    <t>Input common mode voltage for differential input</t>
  </si>
  <si>
    <t>Input common mode voltage for single ended input</t>
  </si>
  <si>
    <t>SIDDCSG.2</t>
  </si>
  <si>
    <t>Includes comparator, DAC on VDDA and all internal blocks. Only one instance of DCSG</t>
  </si>
  <si>
    <t>SIDDCSG.2A</t>
  </si>
  <si>
    <t>Only for one instance of DCSG</t>
  </si>
  <si>
    <t>SIDDCSG.3</t>
  </si>
  <si>
    <t>OD100M</t>
  </si>
  <si>
    <t>minimum overdrive voltage at 100 MHz</t>
  </si>
  <si>
    <t>Referred to 12-bit DAC with full scale LSB at 1.2V</t>
  </si>
  <si>
    <t>SIDDCSG.3A</t>
  </si>
  <si>
    <t>OD50M</t>
  </si>
  <si>
    <t>SIDDCSG.3B</t>
  </si>
  <si>
    <t>RESP_LP</t>
  </si>
  <si>
    <t>Comparator response time for low performance range VDDA &lt; 2.6V</t>
  </si>
  <si>
    <t>for over drive = 1 LSB 12</t>
  </si>
  <si>
    <t>SIDDCSG.4</t>
  </si>
  <si>
    <t>Referred to 10-bit DAC with full scale LSB at 1.2V</t>
  </si>
  <si>
    <t>SIDDCSG.5</t>
  </si>
  <si>
    <t>SIDDCSG.6</t>
  </si>
  <si>
    <t>STARTTIME</t>
  </si>
  <si>
    <t>us</t>
  </si>
  <si>
    <t>REFTIME</t>
  </si>
  <si>
    <t>Auto refresh time if DAC code does not change</t>
  </si>
  <si>
    <t>auto refresh could be done by DCSG or can be triggered by the user</t>
  </si>
  <si>
    <t>SIDDCSG.7</t>
  </si>
  <si>
    <t>Resolution</t>
  </si>
  <si>
    <t>DAC resolution</t>
  </si>
  <si>
    <t>SIDDCSG.8</t>
  </si>
  <si>
    <t>DAC monotonicity</t>
  </si>
  <si>
    <t>Operating current on VDDA at 200 MHz</t>
  </si>
  <si>
    <t>Operating current on VCCD at 200 MHz</t>
  </si>
  <si>
    <t>minimum overdrive voltage at 200 MHz</t>
  </si>
  <si>
    <t>SIDCSG.10</t>
  </si>
  <si>
    <t>SIDCSG.10A</t>
  </si>
  <si>
    <t>12-bit ADC DC Specifications</t>
  </si>
  <si>
    <t>ADC Resolution</t>
  </si>
  <si>
    <t>GAINERR</t>
  </si>
  <si>
    <t>VAREF = 1.2V</t>
  </si>
  <si>
    <t>Max current consumption for  ADC with AFE in max BW mode</t>
  </si>
  <si>
    <t>Max input allowed on the pin</t>
  </si>
  <si>
    <t>A_VINS_DIF</t>
  </si>
  <si>
    <t>Input voltage range for differential input</t>
  </si>
  <si>
    <t>-VDDA</t>
  </si>
  <si>
    <t>SIDADC.9B</t>
  </si>
  <si>
    <t>A_VINS_SE</t>
  </si>
  <si>
    <t>Input voltage range  for single ended input</t>
  </si>
  <si>
    <t>SIDADC.10</t>
  </si>
  <si>
    <t>A_INRES</t>
  </si>
  <si>
    <t>Input resistance</t>
  </si>
  <si>
    <t>KΩ</t>
  </si>
  <si>
    <t>SIDADC.11</t>
  </si>
  <si>
    <t>A_INCAP</t>
  </si>
  <si>
    <t>Input capacitance</t>
  </si>
  <si>
    <t>12-bit ADC AC Specifications</t>
  </si>
  <si>
    <t>Interchannel crosstalk for ADC</t>
  </si>
  <si>
    <t>Includes min 1 clock cyle sampling + 3 cycle conversion at 100MHz</t>
  </si>
  <si>
    <t>at ADC clock = 100 MHz</t>
  </si>
  <si>
    <t xml:space="preserve">AFE Specification </t>
  </si>
  <si>
    <t>SIDAFE.1</t>
  </si>
  <si>
    <t>AFE AC Specification</t>
  </si>
  <si>
    <t>AFE</t>
  </si>
  <si>
    <t>AIN_FREQ_LBW</t>
  </si>
  <si>
    <t>Curren Comsumption of AFE = 1mA</t>
  </si>
  <si>
    <t>SIDAFE.1A</t>
  </si>
  <si>
    <t>AIN_FREQ_HBWA</t>
  </si>
  <si>
    <t>Curren Comsumption of AFE = 9mA</t>
  </si>
  <si>
    <t>SIDAFE.1B</t>
  </si>
  <si>
    <t>AIN_FREQ_HBWB</t>
  </si>
  <si>
    <t>Curren Comsumption of AFE = 3mA</t>
  </si>
  <si>
    <t>SIDAFE.1C</t>
  </si>
  <si>
    <t>AIN_FREQ_HBWC</t>
  </si>
  <si>
    <t>Curren Comsumption of AFE = 1.5mA</t>
  </si>
  <si>
    <t>SIDAFE.2</t>
  </si>
  <si>
    <t>AFE_SAMP_LBW</t>
  </si>
  <si>
    <t>MSPS</t>
  </si>
  <si>
    <t>SIDAFE.2A</t>
  </si>
  <si>
    <t>AFE_SAMP_HBWA</t>
  </si>
  <si>
    <t>SIDAFE.2B</t>
  </si>
  <si>
    <t>AFE_SAMP_HBWB</t>
  </si>
  <si>
    <t>SIDAFE.2C</t>
  </si>
  <si>
    <t>AFE_SAMP_HBWC</t>
  </si>
  <si>
    <t>SIDAFE.3</t>
  </si>
  <si>
    <t>SIDAFE.4</t>
  </si>
  <si>
    <t>SIDAFE.5</t>
  </si>
  <si>
    <t>AFE DC Specification</t>
  </si>
  <si>
    <t>AFE_GAINERR</t>
  </si>
  <si>
    <t>Gaine error</t>
  </si>
  <si>
    <t>SIDAFE.6</t>
  </si>
  <si>
    <t>AFE_GAINERR_DC</t>
  </si>
  <si>
    <t>Gain Error for DC input</t>
  </si>
  <si>
    <t>For DC input</t>
  </si>
  <si>
    <t xml:space="preserve">R2R DAC Specification </t>
  </si>
  <si>
    <t>SIDR2R.1</t>
  </si>
  <si>
    <t>R2R DC Specification</t>
  </si>
  <si>
    <t>R2RDAC</t>
  </si>
  <si>
    <t>DAC Resolution</t>
  </si>
  <si>
    <t>SIDR2R.2</t>
  </si>
  <si>
    <t>SIDR2R.3</t>
  </si>
  <si>
    <t>SIDR2R.4</t>
  </si>
  <si>
    <t>Gain error</t>
  </si>
  <si>
    <t>R_DNL</t>
  </si>
  <si>
    <t>DNL of R2R DAC</t>
  </si>
  <si>
    <t>LSB referred to 10-bit</t>
  </si>
  <si>
    <t>R_INL</t>
  </si>
  <si>
    <t>INL of R2R DAC</t>
  </si>
  <si>
    <t>SIDR2R.5</t>
  </si>
  <si>
    <t>R_FULLSCALE</t>
  </si>
  <si>
    <t>Full Scale Range of R2R DAC</t>
  </si>
  <si>
    <t>VSSA</t>
  </si>
  <si>
    <t>SIDR2R.5A</t>
  </si>
  <si>
    <t>R_FULLSCALEA</t>
  </si>
  <si>
    <t>This refers to internal or external reference (VAREF_EXT)</t>
  </si>
  <si>
    <t>SIDR2R.5B</t>
  </si>
  <si>
    <t>SIDR2R.5C</t>
  </si>
  <si>
    <t>R_FULLSCALEB</t>
  </si>
  <si>
    <t>R_FULLSCALEC</t>
  </si>
  <si>
    <t>SIDR2R.5D</t>
  </si>
  <si>
    <t>R_FULLSCALED</t>
  </si>
  <si>
    <t>0.5*VDDA</t>
  </si>
  <si>
    <t>Max Fc = 200 MHz, resulting in typical resolution = 78.1ps. When HRPWM feature is enabled, prescalar is not allowed to be used in PERI as well as in TCPWM Counter</t>
  </si>
  <si>
    <t>SIDR2R.6</t>
  </si>
  <si>
    <t>R2R AC Specification</t>
  </si>
  <si>
    <t>RDAC_SET</t>
  </si>
  <si>
    <t>DAC Setlling time for transition between minimum code to maximum or vice-versa</t>
  </si>
  <si>
    <t>SIDR2R.7</t>
  </si>
  <si>
    <t>R_IDAC</t>
  </si>
  <si>
    <t>Maximum current at 125C temperature</t>
  </si>
  <si>
    <t>Post Calibration</t>
  </si>
  <si>
    <t xml:space="preserve">R2R DAC Buffer Specification </t>
  </si>
  <si>
    <t>SIDR2RB.1</t>
  </si>
  <si>
    <t>Buffer DC Specification</t>
  </si>
  <si>
    <t>BUFFER</t>
  </si>
  <si>
    <t>INPUT_RANGE</t>
  </si>
  <si>
    <t>Input range supported by Buffer</t>
  </si>
  <si>
    <t>SIDR2RB.1A</t>
  </si>
  <si>
    <t>INPUT_RANGEA</t>
  </si>
  <si>
    <t>Input range is a function of selection on R2R DAC</t>
  </si>
  <si>
    <t>SIDR2RB.2</t>
  </si>
  <si>
    <t>SIDR2RB.2A</t>
  </si>
  <si>
    <t>OUTPUT_RANGE</t>
  </si>
  <si>
    <t>OUTPUT_RANGEA</t>
  </si>
  <si>
    <t>Output range supported by Buffer</t>
  </si>
  <si>
    <t>SIDR2RB.3</t>
  </si>
  <si>
    <t>Buffer AC Specification</t>
  </si>
  <si>
    <t>BUF_SET</t>
  </si>
  <si>
    <t>Buffer settling from 0.1V to VDDA/2</t>
  </si>
  <si>
    <t>SIDR2RB.4</t>
  </si>
  <si>
    <t>OFFSET_NOCAL</t>
  </si>
  <si>
    <t>SIDR2RB.5</t>
  </si>
  <si>
    <t>OFFSET</t>
  </si>
  <si>
    <t>Offset Error after calibration</t>
  </si>
  <si>
    <t>SIDR2RB.6</t>
  </si>
  <si>
    <t>IBUF</t>
  </si>
  <si>
    <t>Referred to fADC, max fADC = 100 MHz</t>
  </si>
  <si>
    <t>SID8C</t>
  </si>
  <si>
    <t>VCCD (MF)</t>
  </si>
  <si>
    <t>ULP mode. Valid for -40 to  125 C.</t>
  </si>
  <si>
    <t>MF mode. Valid for -40 to  125 C.</t>
  </si>
  <si>
    <t>Max at VDDA = 2.97V</t>
  </si>
  <si>
    <t>SIDAFE.7</t>
  </si>
  <si>
    <t>AFE_SFDR</t>
  </si>
  <si>
    <t>Spurious Free Dynamic Range ( all gain settings), only AFE</t>
  </si>
  <si>
    <t>A_ENOB</t>
  </si>
  <si>
    <t xml:space="preserve">Effective number of bits </t>
  </si>
  <si>
    <t>bit</t>
  </si>
  <si>
    <t>Calculated out of SNR</t>
  </si>
  <si>
    <t>SIDCSG.10B</t>
  </si>
  <si>
    <t>DACSETB</t>
  </si>
  <si>
    <t>VCMRA</t>
  </si>
  <si>
    <t>SIDDCSG.1A</t>
  </si>
  <si>
    <t>DAC_BLANKING</t>
  </si>
  <si>
    <t>DAC blanking time if the DAC word is not changed for 50us</t>
  </si>
  <si>
    <t>DAC refresh to the programmed word is needed if DCSG DAC word does not change in 50us</t>
  </si>
  <si>
    <t>SIDCSG.11</t>
  </si>
  <si>
    <t>SIDCSG.12</t>
  </si>
  <si>
    <t>DAC_REFRESH</t>
  </si>
  <si>
    <t>Maximum time DCSG DAC word can be kept constant without a refresh</t>
  </si>
  <si>
    <t>Refresh can be triggered by user within this time or automatically by DCSG after expire by specified time</t>
  </si>
  <si>
    <t>Input referred offset referred to full scale LSB at 3.3V</t>
  </si>
  <si>
    <t>VDDA+0.25</t>
  </si>
  <si>
    <t>LSB referred to full-sclae input at 3.3V for fADC = 100 MHz</t>
  </si>
  <si>
    <t>AFE_VINS_DIF32</t>
  </si>
  <si>
    <t>AFE_VINS_DIF64</t>
  </si>
  <si>
    <t>Unitrimmed for AIN_FREQ&lt;= Max Frequency and full scale output voltage</t>
  </si>
  <si>
    <t>-3.3</t>
  </si>
  <si>
    <r>
      <t>For VDDA</t>
    </r>
    <r>
      <rPr>
        <sz val="9"/>
        <color indexed="8"/>
        <rFont val="Calibri"/>
        <family val="2"/>
      </rPr>
      <t>≥ 3.3 V output sa</t>
    </r>
    <r>
      <rPr>
        <sz val="9"/>
        <color indexed="8"/>
        <rFont val="Arial"/>
        <family val="2"/>
      </rPr>
      <t>turates at input = 3.3V</t>
    </r>
  </si>
  <si>
    <t xml:space="preserve">IDAC Specification </t>
  </si>
  <si>
    <t>IDAC.1</t>
  </si>
  <si>
    <t>IDAC DC Specification</t>
  </si>
  <si>
    <t>IDAC</t>
  </si>
  <si>
    <t>IIDAC</t>
  </si>
  <si>
    <t>IDAC Output Current</t>
  </si>
  <si>
    <t>For VDDA≥ 3.3 V output saturates at input = 3.3V</t>
  </si>
  <si>
    <t>Input Signal frequency for Gain = 33 and 66 setting</t>
  </si>
  <si>
    <t>Input Signal frequency for Gain = 8.25 and 16.5 setting, high power</t>
  </si>
  <si>
    <t>Input Signal frequency for Gain = 8.25 and 16.5 setting, medium power</t>
  </si>
  <si>
    <t>Input Signal frequency for Gain = 8.25 and 16.5 setting, low power</t>
  </si>
  <si>
    <t>Sample rate for Low Bandwdith for gain =33 and 66</t>
  </si>
  <si>
    <t>Sample rate for High Bandwdith (10MHz) for gain =8.25 and 16.5</t>
  </si>
  <si>
    <t>Sample rate for High Bandwdith (5MHz) for gain =8.25 and 16.5</t>
  </si>
  <si>
    <t>Sample rate for High Bandwdith (2.5 MHz) for gain =8.25 and 16.5</t>
  </si>
  <si>
    <t>Differential input voltage for Gain = 66</t>
  </si>
  <si>
    <t>Differential input voltage for Gain = 33</t>
  </si>
  <si>
    <r>
      <t xml:space="preserve">User shall make sure VDDA is power up before or same time as VDDD to avoid any cross current flowing from VDDD. If </t>
    </r>
    <r>
      <rPr>
        <sz val="11"/>
        <color theme="1"/>
        <rFont val="Calibri"/>
        <family val="2"/>
        <scheme val="minor"/>
      </rPr>
      <t xml:space="preserve">VDDA is not power up it while VDDD is available, VDDA shall be grounded. </t>
    </r>
  </si>
  <si>
    <t xml:space="preserve">User shall make sure VDDA is power up before or same time as VDDD to avoid any cross current flowing from VDDD. If VDDA is not power up it while VDDD is available, VDDA shall be grounded. </t>
  </si>
  <si>
    <t>External reference shall be supplied with +-0.5% precision</t>
  </si>
  <si>
    <t>SIDADC.12</t>
  </si>
  <si>
    <t>After calibration, with internal reference. LSB refer to 1.2V</t>
  </si>
  <si>
    <t>TUE_VAREF_INT</t>
  </si>
  <si>
    <t>SIDADC.12A</t>
  </si>
  <si>
    <t>TUE_VAREF_EXT</t>
  </si>
  <si>
    <t>Total Unadjusted Error with ADC on internal reference</t>
  </si>
  <si>
    <t>Total Unadjusted Error with ADC on external reference</t>
  </si>
  <si>
    <t>After calibration, with external reference. LSB refer to 1.2V VAREF_EXT and +-0.5% precision</t>
  </si>
  <si>
    <t>DAC settling within +-8LSB 12 for 400 LSB change</t>
  </si>
  <si>
    <t>DAC settling within +-8LSB 12 for full sclae change</t>
  </si>
  <si>
    <t>DAC settling time for 1 LSB change</t>
  </si>
  <si>
    <r>
      <t xml:space="preserve">User shall make sure VDDA is power up before or same time as VDDD to avoid any cross current flowing from VDDD. If </t>
    </r>
    <r>
      <rPr>
        <sz val="11"/>
        <color theme="1"/>
        <rFont val="Calibri"/>
        <family val="2"/>
        <scheme val="minor"/>
      </rPr>
      <t xml:space="preserve">VDDA is not power up while VDDD is available, VDDA shall be grounded. </t>
    </r>
  </si>
  <si>
    <t>For LP mode = 37.5 MHz, OD mode = 45 MHz.</t>
  </si>
  <si>
    <t>LP /OD mode, FSCB = 150 / 180 MHz</t>
  </si>
  <si>
    <t xml:space="preserve"> For PLL_OUT = 200 MHz</t>
  </si>
  <si>
    <t xml:space="preserve">User shall make sure VDDA is power up before or same time as VDDD to avoid any cross current flowing from VDDD. If VDDA is not power up while VDDD is available, VDDA shall be grounded.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</si>
</sst>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34" x14ac:knownFonts="1">
    <font>
      <sz val="11"/>
      <color theme="1"/>
      <name val="Calibri"/>
      <family val="2"/>
      <scheme val="minor"/>
    </font>
    <font>
      <sz val="11"/>
      <color indexed="8"/>
      <name val="Calibri"/>
      <family val="2"/>
    </font>
    <font>
      <sz val="9"/>
      <color indexed="8"/>
      <name val="Arial"/>
      <family val="2"/>
    </font>
    <font>
      <sz val="9"/>
      <name val="Arial"/>
      <family val="2"/>
    </font>
    <font>
      <b/>
      <sz val="9"/>
      <color indexed="8"/>
      <name val="Arial"/>
      <family val="2"/>
    </font>
    <font>
      <b/>
      <sz val="11"/>
      <color indexed="8"/>
      <name val="Arial"/>
      <family val="2"/>
    </font>
    <font>
      <b/>
      <sz val="8"/>
      <color indexed="8"/>
      <name val="Arial"/>
      <family val="2"/>
    </font>
    <font>
      <sz val="8"/>
      <color indexed="8"/>
      <name val="Arial"/>
      <family val="2"/>
    </font>
    <font>
      <sz val="11"/>
      <color indexed="8"/>
      <name val="Arial"/>
      <family val="2"/>
    </font>
    <font>
      <sz val="10"/>
      <name val="Arial"/>
      <family val="2"/>
    </font>
    <font>
      <b/>
      <sz val="10"/>
      <name val="Arial"/>
      <family val="2"/>
    </font>
    <font>
      <sz val="10"/>
      <color indexed="8"/>
      <name val="Arial"/>
      <family val="2"/>
    </font>
    <font>
      <b/>
      <sz val="10"/>
      <color indexed="8"/>
      <name val="Arial"/>
      <family val="2"/>
    </font>
    <font>
      <sz val="11"/>
      <color indexed="8"/>
      <name val="Calibri"/>
      <family val="2"/>
    </font>
    <font>
      <b/>
      <sz val="11"/>
      <color indexed="8"/>
      <name val="Calibri"/>
      <family val="2"/>
    </font>
    <font>
      <sz val="11"/>
      <color indexed="8"/>
      <name val="Arial"/>
      <family val="2"/>
    </font>
    <font>
      <sz val="8"/>
      <color indexed="8"/>
      <name val="Arial"/>
      <family val="2"/>
    </font>
    <font>
      <sz val="11"/>
      <name val="Arial"/>
      <family val="2"/>
    </font>
    <font>
      <sz val="8"/>
      <color indexed="81"/>
      <name val="Tahoma"/>
      <family val="2"/>
    </font>
    <font>
      <b/>
      <sz val="8"/>
      <color indexed="81"/>
      <name val="Tahoma"/>
      <family val="2"/>
    </font>
    <font>
      <b/>
      <sz val="9"/>
      <name val="Arial"/>
      <family val="2"/>
    </font>
    <font>
      <sz val="11"/>
      <color rgb="FF006100"/>
      <name val="Calibri"/>
      <family val="2"/>
      <scheme val="minor"/>
    </font>
    <font>
      <sz val="11"/>
      <color rgb="FF9C6500"/>
      <name val="Calibri"/>
      <family val="2"/>
      <scheme val="minor"/>
    </font>
    <font>
      <sz val="9"/>
      <color theme="1"/>
      <name val="Arial"/>
      <family val="2"/>
    </font>
    <font>
      <sz val="8"/>
      <color rgb="FF000000"/>
      <name val="Arial"/>
      <family val="2"/>
    </font>
    <font>
      <b/>
      <sz val="9"/>
      <color rgb="FFFF0000"/>
      <name val="Arial"/>
      <family val="2"/>
    </font>
    <font>
      <sz val="9"/>
      <color rgb="FFFF0000"/>
      <name val="Arial"/>
      <family val="2"/>
    </font>
    <font>
      <b/>
      <sz val="9"/>
      <color theme="1"/>
      <name val="Arial"/>
      <family val="2"/>
    </font>
    <font>
      <sz val="11"/>
      <name val="Calibri"/>
      <family val="2"/>
      <scheme val="minor"/>
    </font>
    <font>
      <sz val="10"/>
      <name val="Verdana"/>
      <family val="2"/>
    </font>
    <font>
      <b/>
      <sz val="8"/>
      <color rgb="FF000000"/>
      <name val="Arial"/>
      <family val="2"/>
    </font>
    <font>
      <sz val="9"/>
      <color rgb="FF000000"/>
      <name val="Arial"/>
      <family val="2"/>
    </font>
    <font>
      <sz val="11"/>
      <color theme="1"/>
      <name val="Arial"/>
      <family val="2"/>
    </font>
    <font>
      <sz val="9"/>
      <color indexed="8"/>
      <name val="Calibri"/>
      <family val="2"/>
    </font>
  </fonts>
  <fills count="16">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26"/>
        <bgColor indexed="64"/>
      </patternFill>
    </fill>
    <fill>
      <patternFill patternType="solid">
        <fgColor indexed="43"/>
        <bgColor indexed="64"/>
      </patternFill>
    </fill>
    <fill>
      <patternFill patternType="solid">
        <fgColor indexed="45"/>
        <bgColor indexed="64"/>
      </patternFill>
    </fill>
    <fill>
      <patternFill patternType="solid">
        <fgColor indexed="44"/>
        <bgColor indexed="64"/>
      </patternFill>
    </fill>
    <fill>
      <patternFill patternType="solid">
        <fgColor indexed="11"/>
        <bgColor indexed="64"/>
      </patternFill>
    </fill>
    <fill>
      <patternFill patternType="solid">
        <fgColor indexed="13"/>
        <bgColor indexed="64"/>
      </patternFill>
    </fill>
    <fill>
      <patternFill patternType="solid">
        <fgColor rgb="FFC6EFCE"/>
      </patternFill>
    </fill>
    <fill>
      <patternFill patternType="solid">
        <fgColor rgb="FFFFEB9C"/>
      </patternFill>
    </fill>
    <fill>
      <patternFill patternType="solid">
        <fgColor rgb="FFFFC000"/>
        <bgColor indexed="64"/>
      </patternFill>
    </fill>
    <fill>
      <patternFill patternType="solid">
        <fgColor rgb="FFFFFF00"/>
        <bgColor indexed="64"/>
      </patternFill>
    </fill>
    <fill>
      <patternFill patternType="solid">
        <fgColor rgb="FFFFFFFF"/>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s>
  <cellStyleXfs count="7">
    <xf numFmtId="0" fontId="0" fillId="0" borderId="0"/>
    <xf numFmtId="0" fontId="21" fillId="10" borderId="0" applyNumberFormat="0" applyBorder="0" applyAlignment="0" applyProtection="0"/>
    <xf numFmtId="0" fontId="22" fillId="11" borderId="0" applyNumberFormat="0" applyBorder="0" applyAlignment="0" applyProtection="0"/>
    <xf numFmtId="0" fontId="9" fillId="0" borderId="0"/>
    <xf numFmtId="0" fontId="9" fillId="0" borderId="0"/>
    <xf numFmtId="0" fontId="29" fillId="0" borderId="0"/>
    <xf numFmtId="0" fontId="32" fillId="0" borderId="0"/>
  </cellStyleXfs>
  <cellXfs count="418">
    <xf numFmtId="0" fontId="0" fillId="0" borderId="0" xfId="0"/>
    <xf numFmtId="0" fontId="2" fillId="0" borderId="1" xfId="0" applyFont="1" applyBorder="1" applyAlignment="1">
      <alignment horizontal="center" vertical="center" wrapText="1"/>
    </xf>
    <xf numFmtId="0" fontId="2" fillId="0" borderId="1" xfId="0" applyFont="1" applyFill="1" applyBorder="1" applyAlignment="1">
      <alignment vertical="center" wrapText="1"/>
    </xf>
    <xf numFmtId="0" fontId="3" fillId="0" borderId="1" xfId="0" applyFont="1" applyFill="1" applyBorder="1" applyAlignment="1">
      <alignment vertical="center" wrapText="1"/>
    </xf>
    <xf numFmtId="0" fontId="2" fillId="0" borderId="1" xfId="0" quotePrefix="1" applyFont="1" applyBorder="1" applyAlignment="1">
      <alignment horizontal="center" vertical="center" wrapText="1"/>
    </xf>
    <xf numFmtId="0" fontId="2" fillId="0" borderId="1" xfId="0" applyFont="1" applyBorder="1" applyAlignment="1">
      <alignment vertical="top" wrapText="1"/>
    </xf>
    <xf numFmtId="0" fontId="2" fillId="0" borderId="1" xfId="0" applyFont="1" applyBorder="1" applyAlignment="1">
      <alignment wrapText="1"/>
    </xf>
    <xf numFmtId="0" fontId="2" fillId="0" borderId="1" xfId="0" applyFont="1" applyBorder="1" applyAlignment="1">
      <alignment vertical="center" wrapText="1"/>
    </xf>
    <xf numFmtId="0" fontId="3" fillId="0" borderId="1" xfId="0" applyFont="1" applyBorder="1" applyAlignment="1">
      <alignment vertical="center" wrapText="1"/>
    </xf>
    <xf numFmtId="0" fontId="2" fillId="0" borderId="1" xfId="0" applyFont="1" applyBorder="1" applyAlignment="1">
      <alignment horizontal="left" vertical="center" wrapText="1"/>
    </xf>
    <xf numFmtId="0" fontId="2" fillId="0" borderId="1" xfId="0" applyFont="1" applyBorder="1"/>
    <xf numFmtId="0" fontId="3" fillId="0" borderId="1" xfId="0" applyFont="1" applyBorder="1" applyAlignment="1">
      <alignment vertical="top" wrapText="1"/>
    </xf>
    <xf numFmtId="11" fontId="4" fillId="2" borderId="1" xfId="0" applyNumberFormat="1" applyFont="1" applyFill="1" applyBorder="1" applyAlignment="1">
      <alignment horizontal="center" vertical="center"/>
    </xf>
    <xf numFmtId="0" fontId="4" fillId="2" borderId="1" xfId="0" applyFont="1" applyFill="1" applyBorder="1" applyAlignment="1">
      <alignment horizontal="center" vertical="center"/>
    </xf>
    <xf numFmtId="0" fontId="15" fillId="0" borderId="0" xfId="0" applyFont="1"/>
    <xf numFmtId="0" fontId="2" fillId="0" borderId="1" xfId="0" applyFont="1" applyBorder="1" applyAlignment="1">
      <alignment horizontal="center"/>
    </xf>
    <xf numFmtId="0" fontId="5" fillId="0" borderId="0" xfId="0" applyFont="1"/>
    <xf numFmtId="0" fontId="2" fillId="0" borderId="0" xfId="0" applyFont="1"/>
    <xf numFmtId="0" fontId="2" fillId="0" borderId="1" xfId="0" applyFont="1" applyBorder="1" applyAlignment="1">
      <alignment horizontal="center" vertical="center"/>
    </xf>
    <xf numFmtId="0" fontId="2" fillId="0" borderId="1" xfId="0" applyFont="1" applyBorder="1" applyAlignment="1">
      <alignment vertical="center"/>
    </xf>
    <xf numFmtId="11" fontId="4" fillId="2" borderId="1" xfId="0" applyNumberFormat="1" applyFont="1" applyFill="1" applyBorder="1" applyAlignment="1">
      <alignment horizontal="center"/>
    </xf>
    <xf numFmtId="11" fontId="4" fillId="2" borderId="1" xfId="0" applyNumberFormat="1" applyFont="1" applyFill="1" applyBorder="1"/>
    <xf numFmtId="0" fontId="2" fillId="0" borderId="1" xfId="0" applyFont="1" applyBorder="1" applyAlignment="1">
      <alignment horizontal="right"/>
    </xf>
    <xf numFmtId="0" fontId="16" fillId="0" borderId="0" xfId="0" applyFont="1"/>
    <xf numFmtId="0" fontId="2" fillId="0" borderId="1" xfId="0" quotePrefix="1" applyFont="1" applyBorder="1" applyAlignment="1">
      <alignment horizontal="center"/>
    </xf>
    <xf numFmtId="0" fontId="2" fillId="0" borderId="0" xfId="0" applyFont="1" applyAlignment="1">
      <alignment horizontal="center"/>
    </xf>
    <xf numFmtId="0" fontId="2" fillId="0" borderId="0" xfId="0" applyNumberFormat="1" applyFont="1" applyAlignment="1">
      <alignment horizontal="center"/>
    </xf>
    <xf numFmtId="11" fontId="6" fillId="2" borderId="2" xfId="0" applyNumberFormat="1" applyFont="1" applyFill="1" applyBorder="1" applyAlignment="1">
      <alignment horizontal="center"/>
    </xf>
    <xf numFmtId="11" fontId="6" fillId="2" borderId="2" xfId="0" applyNumberFormat="1" applyFont="1" applyFill="1" applyBorder="1"/>
    <xf numFmtId="0" fontId="7" fillId="0" borderId="1" xfId="0" applyFont="1" applyFill="1" applyBorder="1" applyAlignment="1">
      <alignment horizontal="center"/>
    </xf>
    <xf numFmtId="0" fontId="7" fillId="0" borderId="1" xfId="0" applyFont="1" applyFill="1" applyBorder="1"/>
    <xf numFmtId="0" fontId="7" fillId="0" borderId="1" xfId="0" applyFont="1" applyFill="1" applyBorder="1" applyAlignment="1">
      <alignment horizontal="right"/>
    </xf>
    <xf numFmtId="0" fontId="7" fillId="0" borderId="1" xfId="0" applyFont="1" applyFill="1" applyBorder="1" applyAlignment="1">
      <alignment horizontal="left"/>
    </xf>
    <xf numFmtId="0" fontId="7" fillId="0" borderId="1" xfId="0" applyFont="1" applyFill="1" applyBorder="1" applyAlignment="1">
      <alignment wrapText="1"/>
    </xf>
    <xf numFmtId="0" fontId="16" fillId="0" borderId="0" xfId="0" applyFont="1" applyAlignment="1">
      <alignment horizontal="left"/>
    </xf>
    <xf numFmtId="11" fontId="6" fillId="2" borderId="2" xfId="0" applyNumberFormat="1" applyFont="1" applyFill="1" applyBorder="1" applyAlignment="1">
      <alignment horizontal="left"/>
    </xf>
    <xf numFmtId="0" fontId="16" fillId="0" borderId="0" xfId="0" applyFont="1" applyAlignment="1">
      <alignment horizontal="right"/>
    </xf>
    <xf numFmtId="11" fontId="6" fillId="2" borderId="2" xfId="0" applyNumberFormat="1" applyFont="1" applyFill="1" applyBorder="1" applyAlignment="1">
      <alignment horizontal="right"/>
    </xf>
    <xf numFmtId="0" fontId="0" fillId="0" borderId="0" xfId="0" applyAlignment="1">
      <alignment horizontal="center"/>
    </xf>
    <xf numFmtId="0" fontId="14" fillId="2" borderId="1" xfId="0" applyFont="1" applyFill="1" applyBorder="1" applyAlignment="1">
      <alignment horizontal="center"/>
    </xf>
    <xf numFmtId="0" fontId="0" fillId="0" borderId="1" xfId="0" applyBorder="1"/>
    <xf numFmtId="0" fontId="0" fillId="0" borderId="1" xfId="0" applyBorder="1" applyAlignment="1">
      <alignment horizontal="center"/>
    </xf>
    <xf numFmtId="0" fontId="0" fillId="0" borderId="1" xfId="0" applyBorder="1" applyAlignment="1">
      <alignment wrapText="1"/>
    </xf>
    <xf numFmtId="0" fontId="14" fillId="2" borderId="3" xfId="0" applyFont="1" applyFill="1" applyBorder="1" applyAlignment="1">
      <alignment horizontal="center"/>
    </xf>
    <xf numFmtId="0" fontId="0" fillId="3" borderId="0" xfId="0" applyFill="1" applyBorder="1"/>
    <xf numFmtId="0" fontId="0" fillId="3" borderId="0" xfId="0" applyFill="1" applyBorder="1" applyAlignment="1">
      <alignment horizontal="center"/>
    </xf>
    <xf numFmtId="0" fontId="0" fillId="3" borderId="0" xfId="0" applyFill="1"/>
    <xf numFmtId="0" fontId="0" fillId="3" borderId="3" xfId="0" applyFill="1" applyBorder="1" applyAlignment="1">
      <alignment horizontal="center"/>
    </xf>
    <xf numFmtId="0" fontId="0" fillId="3" borderId="1" xfId="0" applyFill="1" applyBorder="1" applyAlignment="1">
      <alignment horizontal="center"/>
    </xf>
    <xf numFmtId="0" fontId="0" fillId="3" borderId="0" xfId="0" applyFill="1" applyAlignment="1">
      <alignment horizontal="center"/>
    </xf>
    <xf numFmtId="0" fontId="0" fillId="4" borderId="1" xfId="0" applyFill="1" applyBorder="1" applyAlignment="1">
      <alignment horizontal="center"/>
    </xf>
    <xf numFmtId="0" fontId="14" fillId="3" borderId="0" xfId="0" applyFont="1" applyFill="1" applyAlignment="1">
      <alignment vertical="center"/>
    </xf>
    <xf numFmtId="11" fontId="4" fillId="2" borderId="4" xfId="0" applyNumberFormat="1" applyFont="1" applyFill="1" applyBorder="1" applyAlignment="1">
      <alignment horizontal="center" vertical="center"/>
    </xf>
    <xf numFmtId="0" fontId="15" fillId="3" borderId="0" xfId="0" applyFont="1" applyFill="1"/>
    <xf numFmtId="0" fontId="10" fillId="2" borderId="1" xfId="4" applyFont="1" applyFill="1" applyBorder="1" applyAlignment="1">
      <alignment horizontal="center" vertical="center" wrapText="1"/>
    </xf>
    <xf numFmtId="0" fontId="10" fillId="2" borderId="5" xfId="4" applyFont="1" applyFill="1" applyBorder="1" applyAlignment="1">
      <alignment horizontal="center" vertical="center" wrapText="1"/>
    </xf>
    <xf numFmtId="0" fontId="8" fillId="0" borderId="0" xfId="0" applyFont="1"/>
    <xf numFmtId="0" fontId="10" fillId="5" borderId="1" xfId="4" applyFont="1" applyFill="1" applyBorder="1" applyAlignment="1">
      <alignment horizontal="center" vertical="center" wrapText="1"/>
    </xf>
    <xf numFmtId="0" fontId="10" fillId="6" borderId="1" xfId="4" applyFont="1" applyFill="1" applyBorder="1" applyAlignment="1">
      <alignment horizontal="center" vertical="center" wrapText="1"/>
    </xf>
    <xf numFmtId="0" fontId="10" fillId="7" borderId="1" xfId="4" applyFont="1" applyFill="1" applyBorder="1" applyAlignment="1">
      <alignment horizontal="center" vertical="center" wrapText="1"/>
    </xf>
    <xf numFmtId="0" fontId="9" fillId="0" borderId="6" xfId="4" quotePrefix="1" applyFill="1" applyBorder="1" applyAlignment="1">
      <alignment horizontal="center" vertical="center" wrapText="1"/>
    </xf>
    <xf numFmtId="0" fontId="9" fillId="0" borderId="6" xfId="4" applyFill="1" applyBorder="1" applyAlignment="1">
      <alignment horizontal="center" vertical="center" wrapText="1"/>
    </xf>
    <xf numFmtId="0" fontId="13" fillId="0" borderId="1" xfId="4" applyFont="1" applyFill="1" applyBorder="1" applyAlignment="1">
      <alignment horizontal="center" vertical="center" wrapText="1"/>
    </xf>
    <xf numFmtId="0" fontId="9" fillId="0" borderId="1" xfId="4" applyFont="1" applyFill="1" applyBorder="1" applyAlignment="1">
      <alignment horizontal="center" vertical="center" wrapText="1"/>
    </xf>
    <xf numFmtId="0" fontId="9" fillId="0" borderId="1" xfId="4" applyFill="1" applyBorder="1" applyAlignment="1">
      <alignment horizontal="center" vertical="center" wrapText="1"/>
    </xf>
    <xf numFmtId="0" fontId="9" fillId="0" borderId="7" xfId="4" applyFill="1" applyBorder="1" applyAlignment="1">
      <alignment horizontal="center" vertical="center" wrapText="1"/>
    </xf>
    <xf numFmtId="0" fontId="10" fillId="5" borderId="4" xfId="4" applyFont="1" applyFill="1" applyBorder="1" applyAlignment="1">
      <alignment horizontal="center" vertical="center" wrapText="1"/>
    </xf>
    <xf numFmtId="0" fontId="9" fillId="0" borderId="1" xfId="4" quotePrefix="1" applyFont="1" applyFill="1" applyBorder="1" applyAlignment="1">
      <alignment horizontal="center" vertical="center" wrapText="1"/>
    </xf>
    <xf numFmtId="0" fontId="9" fillId="0" borderId="6" xfId="4" quotePrefix="1" applyFont="1" applyFill="1" applyBorder="1" applyAlignment="1">
      <alignment horizontal="center" vertical="center" wrapText="1"/>
    </xf>
    <xf numFmtId="0" fontId="8" fillId="0" borderId="0" xfId="0" applyFont="1" applyBorder="1" applyProtection="1">
      <protection locked="0"/>
    </xf>
    <xf numFmtId="0" fontId="9" fillId="3" borderId="0" xfId="4" applyFill="1" applyBorder="1" applyAlignment="1" applyProtection="1">
      <alignment horizontal="center" vertical="center" wrapText="1"/>
      <protection locked="0"/>
    </xf>
    <xf numFmtId="0" fontId="9" fillId="3" borderId="0" xfId="4" applyFont="1" applyFill="1" applyBorder="1" applyAlignment="1" applyProtection="1">
      <alignment horizontal="center" vertical="center" wrapText="1"/>
      <protection locked="0"/>
    </xf>
    <xf numFmtId="49" fontId="8" fillId="0" borderId="0" xfId="0" applyNumberFormat="1" applyFont="1" applyFill="1" applyBorder="1" applyProtection="1">
      <protection locked="0"/>
    </xf>
    <xf numFmtId="0" fontId="11" fillId="0" borderId="1" xfId="0" applyFont="1" applyFill="1" applyBorder="1" applyAlignment="1">
      <alignment horizontal="center" vertical="center" wrapText="1"/>
    </xf>
    <xf numFmtId="0" fontId="8" fillId="0" borderId="0" xfId="0" applyFont="1" applyProtection="1">
      <protection locked="0"/>
    </xf>
    <xf numFmtId="0" fontId="12" fillId="0" borderId="1" xfId="0" applyFont="1" applyBorder="1" applyAlignment="1">
      <alignment horizontal="center"/>
    </xf>
    <xf numFmtId="0" fontId="2" fillId="0" borderId="1" xfId="0" applyFont="1" applyBorder="1" applyAlignment="1">
      <alignment horizontal="left"/>
    </xf>
    <xf numFmtId="0" fontId="12" fillId="9" borderId="1" xfId="0" applyFont="1" applyFill="1" applyBorder="1" applyAlignment="1">
      <alignment horizontal="center"/>
    </xf>
    <xf numFmtId="9" fontId="7" fillId="0" borderId="1" xfId="0" applyNumberFormat="1" applyFont="1" applyFill="1" applyBorder="1" applyAlignment="1">
      <alignment horizontal="right"/>
    </xf>
    <xf numFmtId="11" fontId="4" fillId="2" borderId="1" xfId="0" applyNumberFormat="1" applyFont="1" applyFill="1" applyBorder="1" applyAlignment="1">
      <alignment horizontal="left"/>
    </xf>
    <xf numFmtId="0" fontId="15" fillId="0" borderId="0" xfId="0" applyFont="1" applyAlignment="1">
      <alignment horizontal="left"/>
    </xf>
    <xf numFmtId="0" fontId="6" fillId="12" borderId="1" xfId="0" applyFont="1" applyFill="1" applyBorder="1" applyAlignment="1">
      <alignment horizontal="left"/>
    </xf>
    <xf numFmtId="0" fontId="6" fillId="12" borderId="1" xfId="0" applyFont="1" applyFill="1" applyBorder="1" applyAlignment="1">
      <alignment horizontal="right"/>
    </xf>
    <xf numFmtId="0" fontId="6" fillId="12" borderId="1" xfId="0" applyFont="1" applyFill="1" applyBorder="1" applyAlignment="1">
      <alignment horizontal="center"/>
    </xf>
    <xf numFmtId="0" fontId="6" fillId="12" borderId="1" xfId="0" applyFont="1" applyFill="1" applyBorder="1"/>
    <xf numFmtId="0" fontId="8" fillId="0" borderId="0" xfId="0" applyFont="1" applyAlignment="1">
      <alignment horizontal="center"/>
    </xf>
    <xf numFmtId="0" fontId="7" fillId="0" borderId="1" xfId="0" applyFont="1" applyFill="1" applyBorder="1" applyAlignment="1">
      <alignment vertical="top" wrapText="1"/>
    </xf>
    <xf numFmtId="0" fontId="10" fillId="6" borderId="4" xfId="4" applyFont="1" applyFill="1" applyBorder="1" applyAlignment="1">
      <alignment horizontal="center" vertical="center" wrapText="1"/>
    </xf>
    <xf numFmtId="0" fontId="1" fillId="0" borderId="1" xfId="4" applyFont="1" applyFill="1" applyBorder="1" applyAlignment="1">
      <alignment horizontal="center" vertical="center" wrapText="1"/>
    </xf>
    <xf numFmtId="0" fontId="9" fillId="0" borderId="1" xfId="4" applyFill="1" applyBorder="1" applyAlignment="1">
      <alignment horizontal="center" vertical="top" wrapText="1"/>
    </xf>
    <xf numFmtId="0" fontId="9" fillId="0" borderId="1" xfId="4" quotePrefix="1" applyFill="1" applyBorder="1" applyAlignment="1">
      <alignment horizontal="center" vertical="center" wrapText="1"/>
    </xf>
    <xf numFmtId="0" fontId="9" fillId="0" borderId="1" xfId="0" applyFont="1" applyFill="1" applyBorder="1" applyAlignment="1">
      <alignment horizontal="left" vertical="center" wrapText="1"/>
    </xf>
    <xf numFmtId="0" fontId="9" fillId="0" borderId="1" xfId="0" applyFont="1" applyFill="1" applyBorder="1" applyAlignment="1">
      <alignment horizontal="center" vertical="center" wrapText="1"/>
    </xf>
    <xf numFmtId="0" fontId="7" fillId="0" borderId="1" xfId="0" applyFont="1" applyFill="1" applyBorder="1" applyAlignment="1">
      <alignment horizontal="left" wrapText="1"/>
    </xf>
    <xf numFmtId="0" fontId="6" fillId="12" borderId="1" xfId="0" applyFont="1" applyFill="1" applyBorder="1" applyAlignment="1">
      <alignment horizontal="left" wrapText="1"/>
    </xf>
    <xf numFmtId="0" fontId="17" fillId="0" borderId="0" xfId="0" applyFont="1" applyAlignment="1">
      <alignment horizontal="center"/>
    </xf>
    <xf numFmtId="0" fontId="23" fillId="0" borderId="1" xfId="0" applyFont="1" applyFill="1" applyBorder="1" applyAlignment="1">
      <alignment horizontal="left" vertical="center" wrapText="1"/>
    </xf>
    <xf numFmtId="1" fontId="7" fillId="0" borderId="1" xfId="0" applyNumberFormat="1" applyFont="1" applyFill="1" applyBorder="1" applyAlignment="1">
      <alignment horizontal="right"/>
    </xf>
    <xf numFmtId="0" fontId="6" fillId="12" borderId="1" xfId="0" applyFont="1" applyFill="1" applyBorder="1" applyAlignment="1">
      <alignment wrapText="1"/>
    </xf>
    <xf numFmtId="0" fontId="3" fillId="0" borderId="1" xfId="0" applyFont="1" applyBorder="1"/>
    <xf numFmtId="0" fontId="3" fillId="0" borderId="0" xfId="0" applyFont="1" applyBorder="1"/>
    <xf numFmtId="0" fontId="3" fillId="0" borderId="1" xfId="0" applyFont="1" applyBorder="1" applyAlignment="1">
      <alignment horizontal="right"/>
    </xf>
    <xf numFmtId="0" fontId="3" fillId="0" borderId="1" xfId="0" quotePrefix="1" applyFont="1" applyBorder="1" applyAlignment="1">
      <alignment horizontal="right"/>
    </xf>
    <xf numFmtId="0" fontId="3" fillId="0" borderId="0" xfId="0" applyFont="1"/>
    <xf numFmtId="0" fontId="3" fillId="0" borderId="1" xfId="0" applyFont="1" applyFill="1" applyBorder="1" applyAlignment="1">
      <alignment horizontal="center" vertical="center"/>
    </xf>
    <xf numFmtId="0" fontId="3" fillId="0" borderId="1" xfId="0" applyNumberFormat="1" applyFont="1" applyFill="1" applyBorder="1" applyAlignment="1">
      <alignment horizontal="center" vertical="center" wrapText="1"/>
    </xf>
    <xf numFmtId="2" fontId="3" fillId="0" borderId="1" xfId="0" quotePrefix="1" applyNumberFormat="1" applyFont="1" applyBorder="1" applyAlignment="1">
      <alignment horizontal="right"/>
    </xf>
    <xf numFmtId="0" fontId="3" fillId="0" borderId="1" xfId="0" quotePrefix="1" applyFont="1" applyBorder="1"/>
    <xf numFmtId="0" fontId="3" fillId="0" borderId="6" xfId="0" applyFont="1" applyBorder="1"/>
    <xf numFmtId="0" fontId="3" fillId="0" borderId="1" xfId="0" applyFont="1" applyBorder="1" applyAlignment="1">
      <alignment horizontal="left" vertical="top"/>
    </xf>
    <xf numFmtId="0" fontId="3" fillId="0" borderId="0" xfId="0" applyFont="1" applyAlignment="1">
      <alignment horizontal="left" vertical="top"/>
    </xf>
    <xf numFmtId="0" fontId="3" fillId="0" borderId="1" xfId="0" applyFont="1" applyBorder="1" applyAlignment="1">
      <alignment horizontal="center"/>
    </xf>
    <xf numFmtId="14" fontId="7" fillId="0" borderId="1" xfId="0" applyNumberFormat="1" applyFont="1" applyFill="1" applyBorder="1" applyAlignment="1">
      <alignment horizontal="right"/>
    </xf>
    <xf numFmtId="0" fontId="8" fillId="0" borderId="1" xfId="0" applyFont="1" applyFill="1" applyBorder="1"/>
    <xf numFmtId="0" fontId="20" fillId="2" borderId="1" xfId="0" applyFont="1" applyFill="1" applyBorder="1" applyAlignment="1">
      <alignment horizontal="center" vertical="center"/>
    </xf>
    <xf numFmtId="0" fontId="20" fillId="0" borderId="1" xfId="0" applyFont="1" applyBorder="1"/>
    <xf numFmtId="164" fontId="3" fillId="0" borderId="1" xfId="0" applyNumberFormat="1" applyFont="1" applyBorder="1" applyAlignment="1">
      <alignment horizontal="right"/>
    </xf>
    <xf numFmtId="0" fontId="20" fillId="0" borderId="0" xfId="0" applyFont="1"/>
    <xf numFmtId="49" fontId="3" fillId="0" borderId="1" xfId="0" applyNumberFormat="1" applyFont="1" applyBorder="1" applyProtection="1">
      <protection locked="0"/>
    </xf>
    <xf numFmtId="164" fontId="3" fillId="0" borderId="1" xfId="0" quotePrefix="1" applyNumberFormat="1" applyFont="1" applyBorder="1" applyAlignment="1">
      <alignment horizontal="right"/>
    </xf>
    <xf numFmtId="0" fontId="3" fillId="0" borderId="1" xfId="0" applyFont="1" applyFill="1" applyBorder="1"/>
    <xf numFmtId="0" fontId="3" fillId="0" borderId="1" xfId="0" applyFont="1" applyBorder="1" applyAlignment="1">
      <alignment horizontal="right" vertical="top" wrapText="1"/>
    </xf>
    <xf numFmtId="165" fontId="3" fillId="0" borderId="1" xfId="0" applyNumberFormat="1" applyFont="1" applyBorder="1" applyAlignment="1">
      <alignment horizontal="right"/>
    </xf>
    <xf numFmtId="165" fontId="3" fillId="0" borderId="1" xfId="0" quotePrefix="1" applyNumberFormat="1" applyFont="1" applyBorder="1" applyAlignment="1">
      <alignment horizontal="right"/>
    </xf>
    <xf numFmtId="0" fontId="20" fillId="0" borderId="1" xfId="0" applyFont="1" applyBorder="1" applyAlignment="1">
      <alignment horizontal="left" vertical="top" wrapText="1"/>
    </xf>
    <xf numFmtId="0" fontId="20" fillId="0" borderId="1" xfId="0" quotePrefix="1" applyFont="1" applyBorder="1" applyAlignment="1">
      <alignment horizontal="right"/>
    </xf>
    <xf numFmtId="0" fontId="3" fillId="0" borderId="5" xfId="0" applyFont="1" applyBorder="1"/>
    <xf numFmtId="0" fontId="3" fillId="0" borderId="1" xfId="0" applyFont="1" applyBorder="1" applyAlignment="1">
      <alignment horizontal="left"/>
    </xf>
    <xf numFmtId="0" fontId="3" fillId="0" borderId="1" xfId="0" applyNumberFormat="1" applyFont="1" applyFill="1" applyBorder="1" applyAlignment="1">
      <alignment horizontal="left" vertical="center" wrapText="1"/>
    </xf>
    <xf numFmtId="164" fontId="20" fillId="0" borderId="1" xfId="0" quotePrefix="1" applyNumberFormat="1" applyFont="1" applyBorder="1" applyAlignment="1">
      <alignment horizontal="right"/>
    </xf>
    <xf numFmtId="0" fontId="20" fillId="0" borderId="1" xfId="0" quotePrefix="1" applyFont="1" applyBorder="1"/>
    <xf numFmtId="0" fontId="3" fillId="0" borderId="1" xfId="0" quotePrefix="1" applyFont="1" applyBorder="1" applyAlignment="1">
      <alignment horizontal="left"/>
    </xf>
    <xf numFmtId="14" fontId="6" fillId="12" borderId="1" xfId="0" applyNumberFormat="1" applyFont="1" applyFill="1" applyBorder="1" applyAlignment="1">
      <alignment horizontal="right"/>
    </xf>
    <xf numFmtId="0" fontId="26" fillId="0" borderId="1" xfId="0" applyFont="1" applyBorder="1"/>
    <xf numFmtId="0" fontId="3" fillId="0" borderId="1" xfId="0" applyNumberFormat="1" applyFont="1" applyFill="1" applyBorder="1" applyAlignment="1" applyProtection="1"/>
    <xf numFmtId="3" fontId="7" fillId="0" borderId="1" xfId="0" applyNumberFormat="1" applyFont="1" applyFill="1" applyBorder="1" applyAlignment="1">
      <alignment horizontal="right"/>
    </xf>
    <xf numFmtId="49" fontId="7" fillId="0" borderId="1" xfId="0" applyNumberFormat="1" applyFont="1" applyFill="1" applyBorder="1" applyAlignment="1">
      <alignment horizontal="right"/>
    </xf>
    <xf numFmtId="0" fontId="10" fillId="7" borderId="3" xfId="4" applyFont="1" applyFill="1" applyBorder="1" applyAlignment="1">
      <alignment horizontal="center" vertical="center" wrapText="1"/>
    </xf>
    <xf numFmtId="0" fontId="10" fillId="5" borderId="4" xfId="4" applyFont="1" applyFill="1" applyBorder="1" applyAlignment="1">
      <alignment horizontal="center" vertical="center" wrapText="1"/>
    </xf>
    <xf numFmtId="0" fontId="0" fillId="0" borderId="4" xfId="0" applyBorder="1"/>
    <xf numFmtId="0" fontId="27" fillId="13" borderId="11" xfId="0" applyFont="1" applyFill="1" applyBorder="1" applyAlignment="1">
      <alignment horizontal="center" vertical="center" wrapText="1"/>
    </xf>
    <xf numFmtId="0" fontId="23" fillId="0" borderId="12" xfId="0" applyFont="1" applyBorder="1" applyAlignment="1">
      <alignment vertical="center" wrapText="1"/>
    </xf>
    <xf numFmtId="0" fontId="23" fillId="0" borderId="9" xfId="0" applyFont="1" applyBorder="1" applyAlignment="1">
      <alignment vertical="center" wrapText="1"/>
    </xf>
    <xf numFmtId="0" fontId="23" fillId="0" borderId="8" xfId="0" applyFont="1" applyBorder="1" applyAlignment="1">
      <alignment horizontal="center" vertical="center" wrapText="1"/>
    </xf>
    <xf numFmtId="0" fontId="23" fillId="14" borderId="11" xfId="0" applyFont="1" applyFill="1" applyBorder="1" applyAlignment="1">
      <alignment vertical="center" wrapText="1"/>
    </xf>
    <xf numFmtId="0" fontId="23" fillId="0" borderId="12" xfId="0" applyFont="1" applyBorder="1" applyAlignment="1">
      <alignment horizontal="center" vertical="center" wrapText="1"/>
    </xf>
    <xf numFmtId="0" fontId="10" fillId="7" borderId="3" xfId="4" applyFont="1" applyFill="1" applyBorder="1" applyAlignment="1">
      <alignment horizontal="center" vertical="center" wrapText="1"/>
    </xf>
    <xf numFmtId="0" fontId="0" fillId="0" borderId="4" xfId="0" applyBorder="1"/>
    <xf numFmtId="49" fontId="1" fillId="0" borderId="1" xfId="4" applyNumberFormat="1" applyFont="1" applyFill="1" applyBorder="1" applyAlignment="1">
      <alignment horizontal="center" vertical="center" wrapText="1"/>
    </xf>
    <xf numFmtId="0" fontId="10" fillId="2" borderId="4" xfId="4" applyFont="1" applyFill="1" applyBorder="1" applyAlignment="1">
      <alignment horizontal="center" vertical="center" wrapText="1"/>
    </xf>
    <xf numFmtId="0" fontId="10" fillId="0" borderId="1" xfId="4" applyFont="1" applyFill="1" applyBorder="1" applyAlignment="1">
      <alignment horizontal="center" vertical="center" wrapText="1"/>
    </xf>
    <xf numFmtId="0" fontId="28" fillId="11" borderId="1" xfId="2" applyFont="1" applyBorder="1" applyAlignment="1">
      <alignment horizontal="center" vertical="center" wrapText="1"/>
    </xf>
    <xf numFmtId="0" fontId="28" fillId="15" borderId="10" xfId="2" applyFont="1" applyFill="1" applyBorder="1" applyAlignment="1">
      <alignment horizontal="center" vertical="center" wrapText="1"/>
    </xf>
    <xf numFmtId="0" fontId="9" fillId="15" borderId="6" xfId="4" applyFill="1" applyBorder="1" applyAlignment="1">
      <alignment horizontal="center" vertical="center" wrapText="1"/>
    </xf>
    <xf numFmtId="0" fontId="9" fillId="15" borderId="1" xfId="4" applyFill="1" applyBorder="1" applyAlignment="1">
      <alignment horizontal="center" vertical="center" wrapText="1"/>
    </xf>
    <xf numFmtId="49" fontId="9" fillId="0" borderId="6" xfId="4" applyNumberFormat="1" applyFill="1" applyBorder="1" applyAlignment="1">
      <alignment horizontal="center" vertical="center" wrapText="1"/>
    </xf>
    <xf numFmtId="0" fontId="22" fillId="15" borderId="6" xfId="2" applyFill="1" applyBorder="1" applyAlignment="1">
      <alignment horizontal="center" vertical="center" wrapText="1"/>
    </xf>
    <xf numFmtId="0" fontId="28" fillId="15" borderId="1" xfId="2" applyFont="1" applyFill="1" applyBorder="1" applyAlignment="1">
      <alignment horizontal="center" vertical="center" wrapText="1"/>
    </xf>
    <xf numFmtId="0" fontId="1" fillId="15" borderId="1" xfId="4" applyFont="1" applyFill="1" applyBorder="1" applyAlignment="1">
      <alignment horizontal="center" vertical="center" wrapText="1"/>
    </xf>
    <xf numFmtId="0" fontId="28" fillId="15" borderId="6" xfId="2" applyFont="1" applyFill="1" applyBorder="1" applyAlignment="1">
      <alignment horizontal="center" vertical="center" wrapText="1"/>
    </xf>
    <xf numFmtId="0" fontId="9" fillId="15" borderId="10" xfId="4" applyFill="1" applyBorder="1" applyAlignment="1">
      <alignment horizontal="center" vertical="center" wrapText="1"/>
    </xf>
    <xf numFmtId="0" fontId="9" fillId="15" borderId="6" xfId="4" quotePrefix="1" applyFill="1" applyBorder="1" applyAlignment="1">
      <alignment horizontal="center" vertical="center" wrapText="1"/>
    </xf>
    <xf numFmtId="0" fontId="11" fillId="0" borderId="0" xfId="0" applyFont="1" applyAlignment="1">
      <alignment horizontal="center" wrapText="1"/>
    </xf>
    <xf numFmtId="0" fontId="7" fillId="0" borderId="1" xfId="0" applyFont="1" applyFill="1" applyBorder="1" applyAlignment="1">
      <alignment horizontal="center" vertical="top" wrapText="1"/>
    </xf>
    <xf numFmtId="0" fontId="7" fillId="0" borderId="1" xfId="0" applyFont="1" applyFill="1" applyBorder="1" applyAlignment="1">
      <alignment horizontal="left" vertical="top" wrapText="1"/>
    </xf>
    <xf numFmtId="0" fontId="23" fillId="0" borderId="1" xfId="0" applyNumberFormat="1" applyFont="1" applyFill="1" applyBorder="1" applyAlignment="1" applyProtection="1">
      <alignment horizontal="left" vertical="center" wrapText="1"/>
    </xf>
    <xf numFmtId="0" fontId="2" fillId="0" borderId="1" xfId="0" quotePrefix="1" applyFont="1" applyBorder="1" applyAlignment="1">
      <alignment horizontal="left" vertical="center" wrapText="1"/>
    </xf>
    <xf numFmtId="164" fontId="24" fillId="0" borderId="1" xfId="0" applyNumberFormat="1" applyFont="1" applyFill="1" applyBorder="1" applyAlignment="1">
      <alignment horizontal="left" vertical="center" wrapText="1"/>
    </xf>
    <xf numFmtId="0" fontId="2" fillId="0" borderId="1" xfId="0" quotePrefix="1" applyFont="1" applyFill="1" applyBorder="1" applyAlignment="1">
      <alignment horizontal="left" vertical="center" wrapText="1"/>
    </xf>
    <xf numFmtId="0" fontId="2" fillId="0" borderId="1" xfId="0" applyFont="1" applyFill="1" applyBorder="1" applyAlignment="1">
      <alignment horizontal="left" vertical="center" wrapText="1"/>
    </xf>
    <xf numFmtId="0" fontId="7" fillId="0" borderId="3" xfId="0" applyFont="1" applyFill="1" applyBorder="1" applyAlignment="1">
      <alignment horizontal="left"/>
    </xf>
    <xf numFmtId="0" fontId="7" fillId="0" borderId="3" xfId="0" applyFont="1" applyFill="1" applyBorder="1"/>
    <xf numFmtId="0" fontId="7" fillId="0" borderId="3" xfId="0" applyFont="1" applyFill="1" applyBorder="1" applyAlignment="1">
      <alignment horizontal="right"/>
    </xf>
    <xf numFmtId="0" fontId="8" fillId="0" borderId="3" xfId="0" applyFont="1" applyFill="1" applyBorder="1"/>
    <xf numFmtId="0" fontId="4" fillId="12" borderId="1" xfId="0" applyFont="1" applyFill="1" applyBorder="1" applyAlignment="1">
      <alignment horizontal="left" vertical="center" wrapText="1"/>
    </xf>
    <xf numFmtId="0" fontId="4" fillId="12" borderId="1" xfId="0" quotePrefix="1" applyFont="1" applyFill="1" applyBorder="1" applyAlignment="1">
      <alignment horizontal="left" vertical="center" wrapText="1"/>
    </xf>
    <xf numFmtId="164" fontId="30" fillId="12" borderId="1" xfId="0" applyNumberFormat="1" applyFont="1" applyFill="1" applyBorder="1" applyAlignment="1">
      <alignment horizontal="left" vertical="center" wrapText="1"/>
    </xf>
    <xf numFmtId="14" fontId="3" fillId="0" borderId="0" xfId="0" applyNumberFormat="1" applyFont="1" applyAlignment="1">
      <alignment horizontal="left"/>
    </xf>
    <xf numFmtId="19" fontId="3" fillId="0" borderId="0" xfId="0" applyNumberFormat="1" applyFont="1" applyAlignment="1">
      <alignment horizontal="left"/>
    </xf>
    <xf numFmtId="0" fontId="20" fillId="13" borderId="1" xfId="0" applyFont="1" applyFill="1" applyBorder="1"/>
    <xf numFmtId="0" fontId="3" fillId="13" borderId="1" xfId="0" applyFont="1" applyFill="1" applyBorder="1"/>
    <xf numFmtId="0" fontId="3" fillId="13" borderId="1" xfId="0" applyFont="1" applyFill="1" applyBorder="1" applyAlignment="1">
      <alignment horizontal="right"/>
    </xf>
    <xf numFmtId="0" fontId="3" fillId="13" borderId="7" xfId="0" applyFont="1" applyFill="1" applyBorder="1"/>
    <xf numFmtId="0" fontId="3" fillId="13" borderId="6" xfId="0" applyFont="1" applyFill="1" applyBorder="1"/>
    <xf numFmtId="0" fontId="3" fillId="13" borderId="1" xfId="0" quotePrefix="1" applyFont="1" applyFill="1" applyBorder="1" applyAlignment="1">
      <alignment horizontal="right"/>
    </xf>
    <xf numFmtId="0" fontId="3" fillId="0" borderId="0" xfId="0" applyFont="1" applyAlignment="1">
      <alignment horizontal="center"/>
    </xf>
    <xf numFmtId="0" fontId="3" fillId="13" borderId="1" xfId="0" applyNumberFormat="1" applyFont="1" applyFill="1" applyBorder="1" applyAlignment="1">
      <alignment horizontal="center" vertical="center" wrapText="1"/>
    </xf>
    <xf numFmtId="0" fontId="20" fillId="12" borderId="1" xfId="0" applyFont="1" applyFill="1" applyBorder="1"/>
    <xf numFmtId="0" fontId="3" fillId="12" borderId="1" xfId="0" applyFont="1" applyFill="1" applyBorder="1"/>
    <xf numFmtId="0" fontId="3" fillId="12" borderId="1" xfId="0" applyFont="1" applyFill="1" applyBorder="1" applyAlignment="1">
      <alignment horizontal="right"/>
    </xf>
    <xf numFmtId="9" fontId="3" fillId="13" borderId="1" xfId="0" quotePrefix="1" applyNumberFormat="1" applyFont="1" applyFill="1" applyBorder="1" applyAlignment="1">
      <alignment horizontal="right"/>
    </xf>
    <xf numFmtId="0" fontId="3" fillId="13" borderId="1" xfId="0" quotePrefix="1" applyFont="1" applyFill="1" applyBorder="1"/>
    <xf numFmtId="0" fontId="3" fillId="13" borderId="7" xfId="0" quotePrefix="1" applyFont="1" applyFill="1" applyBorder="1" applyAlignment="1">
      <alignment horizontal="right"/>
    </xf>
    <xf numFmtId="0" fontId="3" fillId="0" borderId="6" xfId="0" applyFont="1" applyBorder="1" applyAlignment="1">
      <alignment horizontal="center" wrapText="1"/>
    </xf>
    <xf numFmtId="0" fontId="20" fillId="12" borderId="6" xfId="0" applyFont="1" applyFill="1" applyBorder="1" applyAlignment="1">
      <alignment horizontal="left"/>
    </xf>
    <xf numFmtId="0" fontId="4" fillId="13" borderId="10" xfId="0" applyFont="1" applyFill="1" applyBorder="1" applyAlignment="1">
      <alignment horizontal="left" vertical="center" wrapText="1"/>
    </xf>
    <xf numFmtId="0" fontId="20" fillId="13" borderId="5" xfId="0" applyFont="1" applyFill="1" applyBorder="1" applyAlignment="1">
      <alignment horizontal="left"/>
    </xf>
    <xf numFmtId="0" fontId="20" fillId="13" borderId="7" xfId="0" applyFont="1" applyFill="1" applyBorder="1" applyAlignment="1">
      <alignment horizontal="left"/>
    </xf>
    <xf numFmtId="0" fontId="20" fillId="13" borderId="6" xfId="0" applyFont="1" applyFill="1" applyBorder="1" applyAlignment="1">
      <alignment horizontal="left"/>
    </xf>
    <xf numFmtId="0" fontId="4" fillId="13" borderId="6" xfId="0" applyFont="1" applyFill="1" applyBorder="1" applyAlignment="1">
      <alignment horizontal="left" vertical="center" wrapText="1"/>
    </xf>
    <xf numFmtId="0" fontId="3" fillId="0" borderId="6" xfId="0" applyNumberFormat="1" applyFont="1" applyFill="1" applyBorder="1" applyAlignment="1" applyProtection="1"/>
    <xf numFmtId="0" fontId="2" fillId="0" borderId="6" xfId="0" applyFont="1" applyBorder="1" applyAlignment="1">
      <alignment horizontal="left" vertical="center" wrapText="1"/>
    </xf>
    <xf numFmtId="0" fontId="3" fillId="13" borderId="10" xfId="0" applyFont="1" applyFill="1" applyBorder="1"/>
    <xf numFmtId="0" fontId="3" fillId="13" borderId="0" xfId="0" quotePrefix="1" applyFont="1" applyFill="1" applyBorder="1"/>
    <xf numFmtId="0" fontId="3" fillId="13" borderId="0" xfId="0" applyFont="1" applyFill="1" applyBorder="1"/>
    <xf numFmtId="0" fontId="20" fillId="12" borderId="0" xfId="0" applyFont="1" applyFill="1" applyBorder="1" applyAlignment="1">
      <alignment horizontal="left"/>
    </xf>
    <xf numFmtId="0" fontId="3" fillId="13" borderId="1" xfId="0" applyFont="1" applyFill="1" applyBorder="1" applyAlignment="1">
      <alignment horizontal="center"/>
    </xf>
    <xf numFmtId="0" fontId="3" fillId="0" borderId="6" xfId="0" applyNumberFormat="1" applyFont="1" applyFill="1" applyBorder="1" applyAlignment="1" applyProtection="1">
      <alignment horizontal="center"/>
    </xf>
    <xf numFmtId="0" fontId="3" fillId="0" borderId="1" xfId="0" applyNumberFormat="1" applyFont="1" applyFill="1" applyBorder="1" applyAlignment="1" applyProtection="1">
      <alignment horizontal="center"/>
    </xf>
    <xf numFmtId="0" fontId="20" fillId="12" borderId="6" xfId="0" applyFont="1" applyFill="1" applyBorder="1" applyAlignment="1">
      <alignment horizontal="center"/>
    </xf>
    <xf numFmtId="0" fontId="4" fillId="13" borderId="10" xfId="0" applyFont="1" applyFill="1" applyBorder="1" applyAlignment="1">
      <alignment horizontal="center" vertical="center" wrapText="1"/>
    </xf>
    <xf numFmtId="0" fontId="2" fillId="0" borderId="6" xfId="0" applyFont="1" applyBorder="1" applyAlignment="1">
      <alignment horizontal="center" vertical="center" wrapText="1"/>
    </xf>
    <xf numFmtId="0" fontId="4" fillId="13" borderId="6" xfId="0" applyFont="1" applyFill="1" applyBorder="1" applyAlignment="1">
      <alignment horizontal="center" vertical="center" wrapText="1"/>
    </xf>
    <xf numFmtId="0" fontId="3" fillId="0" borderId="6" xfId="0" applyFont="1" applyBorder="1" applyAlignment="1">
      <alignment horizontal="center"/>
    </xf>
    <xf numFmtId="0" fontId="3" fillId="13" borderId="6" xfId="0" applyFont="1" applyFill="1" applyBorder="1" applyAlignment="1">
      <alignment horizontal="center"/>
    </xf>
    <xf numFmtId="0" fontId="3" fillId="0" borderId="0" xfId="0" applyFont="1" applyBorder="1" applyAlignment="1">
      <alignment horizontal="center"/>
    </xf>
    <xf numFmtId="0" fontId="3" fillId="13" borderId="10" xfId="0" applyFont="1" applyFill="1" applyBorder="1" applyAlignment="1">
      <alignment horizontal="center"/>
    </xf>
    <xf numFmtId="0" fontId="3" fillId="0" borderId="1" xfId="0" applyFont="1" applyBorder="1" applyAlignment="1">
      <alignment horizontal="center" vertical="top" wrapText="1"/>
    </xf>
    <xf numFmtId="0" fontId="3" fillId="0" borderId="1" xfId="0" quotePrefix="1" applyFont="1" applyBorder="1" applyAlignment="1">
      <alignment horizontal="center"/>
    </xf>
    <xf numFmtId="0" fontId="3" fillId="12" borderId="1" xfId="0" applyFont="1" applyFill="1" applyBorder="1" applyAlignment="1">
      <alignment horizontal="center"/>
    </xf>
    <xf numFmtId="0" fontId="3" fillId="13" borderId="1" xfId="0" quotePrefix="1" applyFont="1" applyFill="1" applyBorder="1" applyAlignment="1">
      <alignment horizontal="center"/>
    </xf>
    <xf numFmtId="0" fontId="3" fillId="13" borderId="0" xfId="0" quotePrefix="1" applyFont="1" applyFill="1" applyBorder="1" applyAlignment="1">
      <alignment horizontal="center"/>
    </xf>
    <xf numFmtId="0" fontId="3" fillId="13" borderId="0" xfId="0" applyFont="1" applyFill="1" applyBorder="1" applyAlignment="1">
      <alignment horizontal="center"/>
    </xf>
    <xf numFmtId="0" fontId="20" fillId="12" borderId="0" xfId="0" applyFont="1" applyFill="1" applyBorder="1" applyAlignment="1">
      <alignment horizontal="center"/>
    </xf>
    <xf numFmtId="0" fontId="3" fillId="0" borderId="1" xfId="0" applyFont="1" applyBorder="1" applyAlignment="1">
      <alignment horizontal="left" vertical="top" wrapText="1"/>
    </xf>
    <xf numFmtId="0" fontId="3" fillId="0" borderId="6" xfId="0" applyFont="1" applyBorder="1" applyAlignment="1">
      <alignment horizontal="left" vertical="top" wrapText="1"/>
    </xf>
    <xf numFmtId="0" fontId="3" fillId="0" borderId="6" xfId="0" applyFont="1" applyBorder="1" applyAlignment="1">
      <alignment horizontal="center" vertical="top" wrapText="1"/>
    </xf>
    <xf numFmtId="0" fontId="3" fillId="0" borderId="1" xfId="0" applyNumberFormat="1" applyFont="1" applyBorder="1" applyAlignment="1">
      <alignment horizontal="center" vertical="top" wrapText="1"/>
    </xf>
    <xf numFmtId="0" fontId="3" fillId="0" borderId="1" xfId="0" applyFont="1" applyBorder="1" applyAlignment="1">
      <alignment vertical="top"/>
    </xf>
    <xf numFmtId="0" fontId="3" fillId="0" borderId="0" xfId="0" applyFont="1" applyAlignment="1">
      <alignment vertical="top"/>
    </xf>
    <xf numFmtId="0" fontId="20" fillId="0" borderId="1" xfId="0" applyFont="1" applyBorder="1" applyAlignment="1">
      <alignment vertical="top"/>
    </xf>
    <xf numFmtId="0" fontId="20" fillId="0" borderId="1" xfId="0" applyNumberFormat="1" applyFont="1" applyBorder="1" applyAlignment="1">
      <alignment horizontal="center" vertical="top" wrapText="1"/>
    </xf>
    <xf numFmtId="0" fontId="20" fillId="0" borderId="1" xfId="0" applyFont="1" applyBorder="1" applyAlignment="1">
      <alignment vertical="top" wrapText="1"/>
    </xf>
    <xf numFmtId="0" fontId="20" fillId="0" borderId="0" xfId="0" applyFont="1" applyAlignment="1">
      <alignment vertical="top"/>
    </xf>
    <xf numFmtId="0" fontId="31" fillId="0" borderId="8" xfId="0" applyFont="1" applyBorder="1" applyAlignment="1">
      <alignment horizontal="left" vertical="center"/>
    </xf>
    <xf numFmtId="164" fontId="31" fillId="0" borderId="1" xfId="0" applyNumberFormat="1" applyFont="1" applyFill="1" applyBorder="1" applyAlignment="1">
      <alignment horizontal="left" vertical="center" wrapText="1"/>
    </xf>
    <xf numFmtId="0" fontId="23" fillId="0" borderId="1" xfId="0" applyFont="1" applyFill="1" applyBorder="1" applyAlignment="1">
      <alignment horizontal="center" vertical="center" wrapText="1"/>
    </xf>
    <xf numFmtId="0" fontId="2" fillId="0" borderId="1" xfId="0" applyFont="1" applyFill="1" applyBorder="1" applyAlignment="1">
      <alignment horizontal="left"/>
    </xf>
    <xf numFmtId="0" fontId="2" fillId="0" borderId="1" xfId="0" applyFont="1" applyFill="1" applyBorder="1" applyAlignment="1">
      <alignment horizontal="center" wrapText="1"/>
    </xf>
    <xf numFmtId="0" fontId="2" fillId="0" borderId="1" xfId="0" applyFont="1" applyFill="1" applyBorder="1" applyAlignment="1">
      <alignment horizontal="right"/>
    </xf>
    <xf numFmtId="0" fontId="2" fillId="0" borderId="1" xfId="0" applyFont="1" applyFill="1" applyBorder="1"/>
    <xf numFmtId="0" fontId="2" fillId="0" borderId="1" xfId="0" applyFont="1" applyFill="1" applyBorder="1" applyAlignment="1">
      <alignment horizontal="left" wrapText="1"/>
    </xf>
    <xf numFmtId="0" fontId="2" fillId="0" borderId="1" xfId="0" applyFont="1" applyFill="1" applyBorder="1" applyAlignment="1">
      <alignment wrapText="1"/>
    </xf>
    <xf numFmtId="0" fontId="2" fillId="0" borderId="5" xfId="0" applyFont="1" applyFill="1" applyBorder="1" applyAlignment="1">
      <alignment horizontal="left"/>
    </xf>
    <xf numFmtId="0" fontId="2" fillId="0" borderId="7" xfId="0" applyFont="1" applyFill="1" applyBorder="1" applyAlignment="1">
      <alignment horizontal="left"/>
    </xf>
    <xf numFmtId="0" fontId="2" fillId="0" borderId="6" xfId="0" applyFont="1" applyFill="1" applyBorder="1" applyAlignment="1">
      <alignment horizontal="left" wrapText="1"/>
    </xf>
    <xf numFmtId="0" fontId="3" fillId="0" borderId="1" xfId="5" applyFont="1" applyFill="1" applyBorder="1" applyAlignment="1" applyProtection="1">
      <alignment horizontal="center" vertical="center" wrapText="1"/>
    </xf>
    <xf numFmtId="0" fontId="2" fillId="0" borderId="6" xfId="0" applyFont="1" applyFill="1" applyBorder="1" applyAlignment="1">
      <alignment wrapText="1"/>
    </xf>
    <xf numFmtId="0" fontId="3" fillId="0" borderId="1" xfId="0" quotePrefix="1" applyFont="1" applyBorder="1" applyAlignment="1">
      <alignment horizontal="right" vertical="top"/>
    </xf>
    <xf numFmtId="0" fontId="3" fillId="0" borderId="1" xfId="0" applyFont="1" applyBorder="1" applyAlignment="1">
      <alignment horizontal="center" vertical="top"/>
    </xf>
    <xf numFmtId="0" fontId="3" fillId="0" borderId="1" xfId="0" applyFont="1" applyFill="1" applyBorder="1" applyAlignment="1">
      <alignment vertical="top" wrapText="1"/>
    </xf>
    <xf numFmtId="0" fontId="2" fillId="0" borderId="1" xfId="0" applyFont="1" applyFill="1" applyBorder="1" applyAlignment="1">
      <alignment horizontal="left" vertical="top"/>
    </xf>
    <xf numFmtId="0" fontId="2" fillId="0" borderId="7" xfId="0" applyFont="1" applyFill="1" applyBorder="1" applyAlignment="1">
      <alignment horizontal="left" vertical="top"/>
    </xf>
    <xf numFmtId="0" fontId="2" fillId="0" borderId="6" xfId="0" applyFont="1" applyFill="1" applyBorder="1" applyAlignment="1">
      <alignment horizontal="left" vertical="top" wrapText="1"/>
    </xf>
    <xf numFmtId="0" fontId="2" fillId="0" borderId="1" xfId="0" applyFont="1" applyFill="1" applyBorder="1" applyAlignment="1">
      <alignment horizontal="right" vertical="top"/>
    </xf>
    <xf numFmtId="0" fontId="2" fillId="0" borderId="1" xfId="0" applyFont="1" applyFill="1" applyBorder="1" applyAlignment="1">
      <alignment horizontal="center" vertical="top"/>
    </xf>
    <xf numFmtId="0" fontId="2" fillId="0" borderId="1" xfId="0" applyFont="1" applyFill="1" applyBorder="1" applyAlignment="1">
      <alignment horizontal="center" vertical="top" wrapText="1"/>
    </xf>
    <xf numFmtId="0" fontId="3" fillId="0" borderId="1" xfId="0" quotePrefix="1" applyFont="1" applyBorder="1" applyAlignment="1">
      <alignment horizontal="center" vertical="top"/>
    </xf>
    <xf numFmtId="0" fontId="20" fillId="2" borderId="1" xfId="0" applyFont="1" applyFill="1" applyBorder="1" applyAlignment="1">
      <alignment horizontal="center" vertical="top"/>
    </xf>
    <xf numFmtId="0" fontId="3" fillId="0" borderId="1" xfId="0" applyFont="1" applyFill="1" applyBorder="1" applyAlignment="1">
      <alignment horizontal="center" vertical="top" wrapText="1"/>
    </xf>
    <xf numFmtId="0" fontId="3" fillId="0" borderId="0" xfId="0" applyFont="1" applyAlignment="1">
      <alignment horizontal="center" vertical="top"/>
    </xf>
    <xf numFmtId="0" fontId="20" fillId="0" borderId="1" xfId="0" applyFont="1" applyBorder="1" applyAlignment="1">
      <alignment horizontal="center" vertical="top"/>
    </xf>
    <xf numFmtId="0" fontId="20" fillId="13" borderId="1" xfId="0" applyFont="1" applyFill="1" applyBorder="1" applyAlignment="1">
      <alignment horizontal="center" vertical="top"/>
    </xf>
    <xf numFmtId="0" fontId="20" fillId="13" borderId="7" xfId="0" applyFont="1" applyFill="1" applyBorder="1" applyAlignment="1">
      <alignment horizontal="center" vertical="top"/>
    </xf>
    <xf numFmtId="0" fontId="20" fillId="12" borderId="1" xfId="0" applyFont="1" applyFill="1" applyBorder="1" applyAlignment="1">
      <alignment horizontal="center" vertical="top"/>
    </xf>
    <xf numFmtId="0" fontId="3" fillId="0" borderId="6" xfId="0" applyFont="1" applyBorder="1" applyAlignment="1">
      <alignment horizontal="center" vertical="top"/>
    </xf>
    <xf numFmtId="0" fontId="3" fillId="0" borderId="1" xfId="0" applyFont="1" applyBorder="1" applyAlignment="1">
      <alignment horizontal="center"/>
    </xf>
    <xf numFmtId="0" fontId="2" fillId="0" borderId="1" xfId="0" applyFont="1" applyFill="1" applyBorder="1" applyAlignment="1">
      <alignment horizontal="center"/>
    </xf>
    <xf numFmtId="0" fontId="2" fillId="0" borderId="1" xfId="0" applyFont="1" applyBorder="1" applyAlignment="1">
      <alignment horizontal="center" vertical="top" wrapText="1"/>
    </xf>
    <xf numFmtId="0" fontId="3" fillId="13" borderId="1" xfId="0" applyFont="1" applyFill="1" applyBorder="1" applyAlignment="1">
      <alignment horizontal="center" vertical="top"/>
    </xf>
    <xf numFmtId="0" fontId="3" fillId="0" borderId="1" xfId="0" applyNumberFormat="1" applyFont="1" applyFill="1" applyBorder="1" applyAlignment="1" applyProtection="1">
      <alignment horizontal="center" vertical="top"/>
    </xf>
    <xf numFmtId="0" fontId="23" fillId="0" borderId="1" xfId="0" applyNumberFormat="1" applyFont="1" applyFill="1" applyBorder="1" applyAlignment="1" applyProtection="1">
      <alignment horizontal="center" vertical="top" wrapText="1"/>
    </xf>
    <xf numFmtId="0" fontId="3" fillId="13" borderId="7" xfId="0" applyFont="1" applyFill="1" applyBorder="1" applyAlignment="1">
      <alignment horizontal="center" vertical="top"/>
    </xf>
    <xf numFmtId="0" fontId="3" fillId="13" borderId="1" xfId="0" applyNumberFormat="1" applyFont="1" applyFill="1" applyBorder="1" applyAlignment="1">
      <alignment horizontal="center" vertical="top" wrapText="1"/>
    </xf>
    <xf numFmtId="0" fontId="3" fillId="0" borderId="1" xfId="0" applyNumberFormat="1" applyFont="1" applyFill="1" applyBorder="1" applyAlignment="1">
      <alignment horizontal="center" vertical="top" wrapText="1"/>
    </xf>
    <xf numFmtId="0" fontId="3" fillId="0" borderId="1" xfId="0" applyFont="1" applyFill="1" applyBorder="1" applyAlignment="1">
      <alignment horizontal="center" vertical="top"/>
    </xf>
    <xf numFmtId="0" fontId="3" fillId="12" borderId="1" xfId="0" applyFont="1" applyFill="1" applyBorder="1" applyAlignment="1">
      <alignment horizontal="center" vertical="top"/>
    </xf>
    <xf numFmtId="0" fontId="20" fillId="2" borderId="5" xfId="0" applyFont="1" applyFill="1" applyBorder="1" applyAlignment="1">
      <alignment horizontal="center" vertical="center"/>
    </xf>
    <xf numFmtId="0" fontId="3" fillId="0" borderId="5" xfId="0" applyFont="1" applyBorder="1" applyAlignment="1">
      <alignment horizontal="left" vertical="center"/>
    </xf>
    <xf numFmtId="0" fontId="3" fillId="13" borderId="5" xfId="0" applyFont="1" applyFill="1" applyBorder="1" applyAlignment="1">
      <alignment horizontal="center"/>
    </xf>
    <xf numFmtId="0" fontId="20" fillId="0" borderId="5" xfId="0" applyFont="1" applyBorder="1" applyAlignment="1">
      <alignment horizontal="left" vertical="center"/>
    </xf>
    <xf numFmtId="0" fontId="25" fillId="0" borderId="5" xfId="0" applyFont="1" applyBorder="1"/>
    <xf numFmtId="0" fontId="20" fillId="0" borderId="5" xfId="0" applyFont="1" applyBorder="1"/>
    <xf numFmtId="0" fontId="3" fillId="0" borderId="5" xfId="0" applyFont="1" applyBorder="1" applyAlignment="1">
      <alignment horizontal="left" vertical="top"/>
    </xf>
    <xf numFmtId="0" fontId="20" fillId="0" borderId="5" xfId="0" applyFont="1" applyBorder="1" applyAlignment="1">
      <alignment vertical="top"/>
    </xf>
    <xf numFmtId="0" fontId="3" fillId="0" borderId="5" xfId="0" applyFont="1" applyBorder="1" applyAlignment="1">
      <alignment horizontal="left" vertical="center" wrapText="1"/>
    </xf>
    <xf numFmtId="0" fontId="3" fillId="0" borderId="5" xfId="0" applyFont="1" applyBorder="1" applyAlignment="1">
      <alignment horizontal="left" vertical="top" wrapText="1"/>
    </xf>
    <xf numFmtId="0" fontId="3" fillId="0" borderId="5" xfId="0" applyFont="1" applyBorder="1" applyAlignment="1">
      <alignment vertical="top"/>
    </xf>
    <xf numFmtId="0" fontId="3" fillId="0" borderId="5" xfId="0" quotePrefix="1" applyFont="1" applyBorder="1" applyAlignment="1">
      <alignment horizontal="right"/>
    </xf>
    <xf numFmtId="0" fontId="26" fillId="0" borderId="5" xfId="0" applyFont="1" applyBorder="1"/>
    <xf numFmtId="0" fontId="3" fillId="0" borderId="1" xfId="1" applyNumberFormat="1" applyFont="1" applyFill="1" applyBorder="1" applyAlignment="1">
      <alignment horizontal="center" vertical="top" wrapText="1"/>
    </xf>
    <xf numFmtId="14" fontId="3" fillId="0" borderId="1" xfId="0" applyNumberFormat="1" applyFont="1" applyBorder="1" applyAlignment="1">
      <alignment vertical="top"/>
    </xf>
    <xf numFmtId="0" fontId="3" fillId="0" borderId="1" xfId="0" applyNumberFormat="1" applyFont="1" applyBorder="1" applyAlignment="1">
      <alignment horizontal="center" vertical="top"/>
    </xf>
    <xf numFmtId="0" fontId="20" fillId="0" borderId="1" xfId="0" applyNumberFormat="1" applyFont="1" applyBorder="1" applyAlignment="1">
      <alignment horizontal="center" vertical="top"/>
    </xf>
    <xf numFmtId="164" fontId="3" fillId="0" borderId="1" xfId="0" applyNumberFormat="1" applyFont="1" applyBorder="1" applyAlignment="1">
      <alignment horizontal="center"/>
    </xf>
    <xf numFmtId="0" fontId="23" fillId="0" borderId="1" xfId="0" applyNumberFormat="1" applyFont="1" applyFill="1" applyBorder="1" applyAlignment="1" applyProtection="1">
      <alignment horizontal="center" vertical="center" wrapText="1"/>
    </xf>
    <xf numFmtId="0" fontId="3" fillId="13" borderId="7" xfId="0" applyFont="1" applyFill="1" applyBorder="1" applyAlignment="1">
      <alignment horizontal="center"/>
    </xf>
    <xf numFmtId="165" fontId="3" fillId="0" borderId="1" xfId="0" quotePrefix="1" applyNumberFormat="1" applyFont="1" applyBorder="1" applyAlignment="1">
      <alignment horizontal="center"/>
    </xf>
    <xf numFmtId="2" fontId="3" fillId="0" borderId="1" xfId="0" quotePrefix="1" applyNumberFormat="1" applyFont="1" applyBorder="1" applyAlignment="1">
      <alignment horizontal="center"/>
    </xf>
    <xf numFmtId="164" fontId="20" fillId="0" borderId="1" xfId="0" quotePrefix="1" applyNumberFormat="1" applyFont="1" applyBorder="1" applyAlignment="1">
      <alignment horizontal="center"/>
    </xf>
    <xf numFmtId="9" fontId="3" fillId="13" borderId="1" xfId="0" applyNumberFormat="1" applyFont="1" applyFill="1" applyBorder="1" applyAlignment="1">
      <alignment horizontal="center"/>
    </xf>
    <xf numFmtId="1" fontId="3" fillId="0" borderId="1" xfId="0" applyNumberFormat="1" applyFont="1" applyBorder="1" applyAlignment="1">
      <alignment horizontal="center"/>
    </xf>
    <xf numFmtId="2" fontId="3" fillId="0" borderId="1" xfId="0" applyNumberFormat="1" applyFont="1" applyBorder="1" applyAlignment="1">
      <alignment horizontal="center"/>
    </xf>
    <xf numFmtId="0" fontId="2" fillId="0" borderId="1" xfId="0" applyFont="1" applyBorder="1" applyAlignment="1">
      <alignment horizontal="left" vertical="top" wrapText="1"/>
    </xf>
    <xf numFmtId="0" fontId="3" fillId="13" borderId="1" xfId="0" applyFont="1" applyFill="1" applyBorder="1" applyAlignment="1">
      <alignment vertical="top"/>
    </xf>
    <xf numFmtId="0" fontId="3" fillId="0" borderId="1" xfId="0" applyNumberFormat="1" applyFont="1" applyFill="1" applyBorder="1" applyAlignment="1" applyProtection="1">
      <alignment vertical="top"/>
    </xf>
    <xf numFmtId="0" fontId="23" fillId="0" borderId="1" xfId="0" applyNumberFormat="1" applyFont="1" applyFill="1" applyBorder="1" applyAlignment="1" applyProtection="1">
      <alignment horizontal="left" vertical="top" wrapText="1"/>
    </xf>
    <xf numFmtId="0" fontId="3" fillId="13" borderId="7" xfId="0" applyFont="1" applyFill="1" applyBorder="1" applyAlignment="1">
      <alignment vertical="top"/>
    </xf>
    <xf numFmtId="0" fontId="2" fillId="0" borderId="1" xfId="0" applyFont="1" applyFill="1" applyBorder="1" applyAlignment="1">
      <alignment horizontal="left" vertical="top" wrapText="1"/>
    </xf>
    <xf numFmtId="0" fontId="20" fillId="13" borderId="6" xfId="0" applyFont="1" applyFill="1" applyBorder="1" applyAlignment="1">
      <alignment horizontal="left" vertical="top"/>
    </xf>
    <xf numFmtId="0" fontId="3" fillId="12" borderId="1" xfId="0" applyFont="1" applyFill="1" applyBorder="1" applyAlignment="1">
      <alignment vertical="top"/>
    </xf>
    <xf numFmtId="0" fontId="2" fillId="0" borderId="1" xfId="0" applyFont="1" applyFill="1" applyBorder="1" applyAlignment="1">
      <alignment vertical="top"/>
    </xf>
    <xf numFmtId="0" fontId="3" fillId="0" borderId="0" xfId="0" applyFont="1" applyAlignment="1">
      <alignment horizontal="left"/>
    </xf>
    <xf numFmtId="0" fontId="2" fillId="0" borderId="5" xfId="0" applyFont="1" applyFill="1" applyBorder="1" applyAlignment="1">
      <alignment horizontal="left" vertical="top"/>
    </xf>
    <xf numFmtId="0" fontId="2" fillId="0" borderId="6" xfId="0" applyFont="1" applyFill="1" applyBorder="1" applyAlignment="1">
      <alignment horizontal="left"/>
    </xf>
    <xf numFmtId="0" fontId="2" fillId="0" borderId="6" xfId="0" applyFont="1" applyFill="1" applyBorder="1" applyAlignment="1">
      <alignment horizontal="left" vertical="top"/>
    </xf>
    <xf numFmtId="0" fontId="7" fillId="0" borderId="1" xfId="0" applyFont="1" applyFill="1" applyBorder="1" applyAlignment="1">
      <alignment horizontal="right" wrapText="1"/>
    </xf>
    <xf numFmtId="0" fontId="3" fillId="0" borderId="1" xfId="0" applyFont="1" applyBorder="1" applyAlignment="1">
      <alignment horizontal="center"/>
    </xf>
    <xf numFmtId="0" fontId="3" fillId="0" borderId="1" xfId="0" applyFont="1" applyFill="1" applyBorder="1" applyAlignment="1">
      <alignment horizontal="center"/>
    </xf>
    <xf numFmtId="0" fontId="3" fillId="0" borderId="1" xfId="0" applyFont="1" applyBorder="1" applyAlignment="1">
      <alignment horizontal="center"/>
    </xf>
    <xf numFmtId="0" fontId="2" fillId="0" borderId="1" xfId="0" applyFont="1" applyFill="1" applyBorder="1" applyAlignment="1">
      <alignment horizontal="center"/>
    </xf>
    <xf numFmtId="0" fontId="3" fillId="0" borderId="1" xfId="0" applyFont="1" applyBorder="1" applyAlignment="1">
      <alignment horizontal="center"/>
    </xf>
    <xf numFmtId="0" fontId="3" fillId="0" borderId="1" xfId="0" applyFont="1" applyBorder="1" applyAlignment="1">
      <alignment horizontal="center"/>
    </xf>
    <xf numFmtId="0" fontId="3" fillId="0" borderId="1" xfId="0" applyFont="1" applyBorder="1" applyAlignment="1">
      <alignment horizontal="center"/>
    </xf>
    <xf numFmtId="0" fontId="3" fillId="0" borderId="1" xfId="0" applyFont="1" applyFill="1" applyBorder="1" applyAlignment="1">
      <alignment horizontal="left" wrapText="1"/>
    </xf>
    <xf numFmtId="0" fontId="3" fillId="0" borderId="6" xfId="0" applyFont="1" applyBorder="1" applyAlignment="1">
      <alignment horizontal="left" vertical="top"/>
    </xf>
    <xf numFmtId="0" fontId="7" fillId="0" borderId="1" xfId="0" applyFont="1" applyBorder="1" applyAlignment="1">
      <alignment horizontal="center"/>
    </xf>
    <xf numFmtId="0" fontId="2" fillId="0" borderId="14" xfId="0" applyFont="1" applyFill="1" applyBorder="1" applyAlignment="1">
      <alignment horizontal="left"/>
    </xf>
    <xf numFmtId="0" fontId="3" fillId="0" borderId="1" xfId="0" applyFont="1" applyBorder="1" applyAlignment="1">
      <alignment horizontal="center"/>
    </xf>
    <xf numFmtId="0" fontId="3" fillId="0" borderId="15" xfId="0" applyFont="1" applyBorder="1" applyAlignment="1">
      <alignment horizontal="left"/>
    </xf>
    <xf numFmtId="0" fontId="3" fillId="0" borderId="2" xfId="0" applyFont="1" applyBorder="1" applyAlignment="1">
      <alignment horizontal="left"/>
    </xf>
    <xf numFmtId="0" fontId="3" fillId="0" borderId="2" xfId="0" applyFont="1" applyBorder="1" applyAlignment="1">
      <alignment horizontal="center" vertical="top"/>
    </xf>
    <xf numFmtId="0" fontId="3" fillId="0" borderId="3" xfId="0" applyFont="1" applyBorder="1" applyAlignment="1">
      <alignment horizontal="center" vertical="top"/>
    </xf>
    <xf numFmtId="0" fontId="3" fillId="0" borderId="2" xfId="0" applyFont="1" applyBorder="1" applyAlignment="1">
      <alignment horizontal="center"/>
    </xf>
    <xf numFmtId="0" fontId="2" fillId="0" borderId="2" xfId="0" applyFont="1" applyFill="1" applyBorder="1" applyAlignment="1">
      <alignment horizontal="left"/>
    </xf>
    <xf numFmtId="0" fontId="2" fillId="0" borderId="15" xfId="0" applyFont="1" applyFill="1" applyBorder="1" applyAlignment="1">
      <alignment horizontal="left"/>
    </xf>
    <xf numFmtId="0" fontId="3" fillId="0" borderId="2" xfId="0" applyFont="1" applyBorder="1" applyAlignment="1">
      <alignment horizontal="left" vertical="top"/>
    </xf>
    <xf numFmtId="0" fontId="3" fillId="0" borderId="3" xfId="0" applyFont="1" applyBorder="1" applyAlignment="1">
      <alignment horizontal="left" vertical="top"/>
    </xf>
    <xf numFmtId="0" fontId="2" fillId="0" borderId="2" xfId="0" applyFont="1" applyFill="1" applyBorder="1" applyAlignment="1">
      <alignment horizontal="center"/>
    </xf>
    <xf numFmtId="0" fontId="3" fillId="0" borderId="2" xfId="0" applyFont="1" applyBorder="1" applyAlignment="1">
      <alignment vertical="top"/>
    </xf>
    <xf numFmtId="0" fontId="3" fillId="0" borderId="3" xfId="0" applyFont="1" applyBorder="1" applyAlignment="1">
      <alignment vertical="top"/>
    </xf>
    <xf numFmtId="0" fontId="2" fillId="0" borderId="2" xfId="0" applyFont="1" applyFill="1" applyBorder="1" applyAlignment="1"/>
    <xf numFmtId="0" fontId="3" fillId="0" borderId="2" xfId="0" applyFont="1" applyBorder="1" applyAlignment="1"/>
    <xf numFmtId="0" fontId="3" fillId="0" borderId="3" xfId="0" applyFont="1" applyBorder="1" applyAlignment="1">
      <alignment horizontal="left" vertical="top"/>
    </xf>
    <xf numFmtId="0" fontId="3" fillId="0" borderId="2" xfId="0" applyFont="1" applyBorder="1" applyAlignment="1">
      <alignment horizontal="center" vertical="top"/>
    </xf>
    <xf numFmtId="0" fontId="3" fillId="0" borderId="1" xfId="0" quotePrefix="1" applyFont="1" applyFill="1" applyBorder="1" applyAlignment="1">
      <alignment horizontal="right"/>
    </xf>
    <xf numFmtId="0" fontId="3" fillId="0" borderId="1" xfId="0" applyFont="1" applyFill="1" applyBorder="1" applyAlignment="1">
      <alignment horizontal="right"/>
    </xf>
    <xf numFmtId="0" fontId="3" fillId="0" borderId="4" xfId="0" applyFont="1" applyBorder="1" applyAlignment="1">
      <alignment horizontal="left" vertical="top"/>
    </xf>
    <xf numFmtId="0" fontId="2" fillId="0" borderId="2" xfId="0" applyFont="1" applyBorder="1" applyAlignment="1">
      <alignment vertical="center" wrapText="1"/>
    </xf>
    <xf numFmtId="0" fontId="2" fillId="0" borderId="2" xfId="0" applyFont="1" applyBorder="1" applyAlignment="1">
      <alignment vertical="top" wrapText="1"/>
    </xf>
    <xf numFmtId="0" fontId="3" fillId="0" borderId="1" xfId="0" applyNumberFormat="1" applyFont="1" applyFill="1" applyBorder="1" applyAlignment="1" applyProtection="1">
      <alignment wrapText="1"/>
    </xf>
    <xf numFmtId="0" fontId="20" fillId="12" borderId="6" xfId="0" applyFont="1" applyFill="1" applyBorder="1" applyAlignment="1">
      <alignment horizontal="left"/>
    </xf>
    <xf numFmtId="0" fontId="20" fillId="12" borderId="7" xfId="0" applyFont="1" applyFill="1" applyBorder="1" applyAlignment="1">
      <alignment horizontal="center"/>
    </xf>
    <xf numFmtId="0" fontId="3" fillId="0" borderId="2" xfId="0" applyFont="1" applyBorder="1" applyAlignment="1">
      <alignment horizontal="center" vertical="top"/>
    </xf>
    <xf numFmtId="164" fontId="7" fillId="0" borderId="1" xfId="0" applyNumberFormat="1" applyFont="1" applyFill="1" applyBorder="1" applyAlignment="1">
      <alignment horizontal="right"/>
    </xf>
    <xf numFmtId="0" fontId="23" fillId="0" borderId="1" xfId="0" applyFont="1" applyFill="1" applyBorder="1" applyAlignment="1">
      <alignment horizontal="left" vertical="center"/>
    </xf>
    <xf numFmtId="0" fontId="24" fillId="0" borderId="1" xfId="0" applyFont="1" applyFill="1" applyBorder="1" applyAlignment="1">
      <alignment horizontal="right" vertical="center"/>
    </xf>
    <xf numFmtId="0" fontId="24" fillId="0" borderId="1" xfId="0" applyFont="1" applyFill="1" applyBorder="1" applyAlignment="1">
      <alignment horizontal="center" vertical="center"/>
    </xf>
    <xf numFmtId="49" fontId="2" fillId="0" borderId="1" xfId="0" applyNumberFormat="1" applyFont="1" applyFill="1" applyBorder="1" applyAlignment="1">
      <alignment horizontal="right"/>
    </xf>
    <xf numFmtId="0" fontId="2" fillId="0" borderId="1" xfId="0" quotePrefix="1" applyFont="1" applyBorder="1" applyAlignment="1">
      <alignment horizontal="right"/>
    </xf>
    <xf numFmtId="0" fontId="2" fillId="0" borderId="7" xfId="0" applyFont="1" applyFill="1" applyBorder="1" applyAlignment="1">
      <alignment horizontal="center" vertical="top"/>
    </xf>
    <xf numFmtId="0" fontId="3" fillId="0" borderId="2" xfId="0" applyFont="1" applyBorder="1" applyAlignment="1">
      <alignment horizontal="center" vertical="top"/>
    </xf>
    <xf numFmtId="0" fontId="3" fillId="0" borderId="1" xfId="0" applyFont="1" applyBorder="1" applyAlignment="1">
      <alignment horizontal="center" wrapText="1"/>
    </xf>
    <xf numFmtId="0" fontId="3" fillId="0" borderId="1" xfId="0" applyFont="1" applyBorder="1" applyAlignment="1">
      <alignment wrapText="1"/>
    </xf>
    <xf numFmtId="1" fontId="6" fillId="12" borderId="1" xfId="0" applyNumberFormat="1" applyFont="1" applyFill="1" applyBorder="1" applyAlignment="1">
      <alignment horizontal="right"/>
    </xf>
    <xf numFmtId="9" fontId="6" fillId="12" borderId="1" xfId="0" applyNumberFormat="1" applyFont="1" applyFill="1" applyBorder="1" applyAlignment="1">
      <alignment horizontal="right"/>
    </xf>
    <xf numFmtId="0" fontId="3" fillId="13" borderId="0" xfId="0" applyFont="1" applyFill="1" applyAlignment="1">
      <alignment horizontal="center"/>
    </xf>
    <xf numFmtId="0" fontId="2" fillId="0" borderId="0" xfId="6" applyFont="1" applyAlignment="1">
      <alignment vertical="center"/>
    </xf>
    <xf numFmtId="0" fontId="0" fillId="0" borderId="0" xfId="0" applyFont="1" applyAlignment="1">
      <alignment vertical="center"/>
    </xf>
    <xf numFmtId="0" fontId="20" fillId="12" borderId="5" xfId="0" applyFont="1" applyFill="1" applyBorder="1" applyAlignment="1">
      <alignment horizontal="left"/>
    </xf>
    <xf numFmtId="0" fontId="20" fillId="12" borderId="7" xfId="0" applyFont="1" applyFill="1" applyBorder="1" applyAlignment="1">
      <alignment horizontal="left"/>
    </xf>
    <xf numFmtId="0" fontId="20" fillId="12" borderId="6" xfId="0" applyFont="1" applyFill="1" applyBorder="1" applyAlignment="1">
      <alignment horizontal="left"/>
    </xf>
    <xf numFmtId="0" fontId="20" fillId="13" borderId="5" xfId="0" applyFont="1" applyFill="1" applyBorder="1" applyAlignment="1">
      <alignment horizontal="left"/>
    </xf>
    <xf numFmtId="0" fontId="20" fillId="13" borderId="7" xfId="0" applyFont="1" applyFill="1" applyBorder="1" applyAlignment="1">
      <alignment horizontal="left"/>
    </xf>
    <xf numFmtId="0" fontId="20" fillId="13" borderId="6" xfId="0" applyFont="1" applyFill="1" applyBorder="1" applyAlignment="1">
      <alignment horizontal="left"/>
    </xf>
    <xf numFmtId="0" fontId="3" fillId="0" borderId="2" xfId="0" applyFont="1" applyBorder="1" applyAlignment="1">
      <alignment horizontal="left" vertical="top"/>
    </xf>
    <xf numFmtId="0" fontId="3" fillId="0" borderId="3" xfId="0" applyFont="1" applyBorder="1" applyAlignment="1">
      <alignment horizontal="left" vertical="top"/>
    </xf>
    <xf numFmtId="0" fontId="4" fillId="13" borderId="7" xfId="0" applyFont="1" applyFill="1" applyBorder="1" applyAlignment="1">
      <alignment horizontal="left" vertical="center" wrapText="1"/>
    </xf>
    <xf numFmtId="0" fontId="4" fillId="13" borderId="6" xfId="0" applyFont="1" applyFill="1" applyBorder="1" applyAlignment="1">
      <alignment horizontal="left" vertical="center" wrapText="1"/>
    </xf>
    <xf numFmtId="0" fontId="20" fillId="2" borderId="1" xfId="0" applyFont="1" applyFill="1" applyBorder="1" applyAlignment="1">
      <alignment horizontal="center" vertical="center" wrapText="1"/>
    </xf>
    <xf numFmtId="0" fontId="3" fillId="0" borderId="0" xfId="0" applyFont="1" applyAlignment="1">
      <alignment horizontal="left"/>
    </xf>
    <xf numFmtId="0" fontId="4" fillId="13" borderId="13" xfId="0" applyFont="1" applyFill="1" applyBorder="1" applyAlignment="1">
      <alignment horizontal="left" vertical="center" wrapText="1"/>
    </xf>
    <xf numFmtId="0" fontId="4" fillId="13" borderId="10" xfId="0" applyFont="1" applyFill="1" applyBorder="1" applyAlignment="1">
      <alignment horizontal="left" vertical="center" wrapText="1"/>
    </xf>
    <xf numFmtId="0" fontId="20" fillId="2" borderId="1" xfId="0" applyFont="1" applyFill="1" applyBorder="1" applyAlignment="1">
      <alignment horizontal="center" vertical="top" wrapText="1"/>
    </xf>
    <xf numFmtId="0" fontId="4" fillId="2" borderId="5"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4" fillId="2" borderId="1" xfId="0" applyFont="1" applyFill="1" applyBorder="1" applyAlignment="1">
      <alignment horizontal="center" vertical="center" wrapText="1"/>
    </xf>
    <xf numFmtId="11" fontId="4" fillId="2" borderId="1" xfId="0" applyNumberFormat="1" applyFont="1" applyFill="1" applyBorder="1" applyAlignment="1">
      <alignment horizontal="center" vertical="center"/>
    </xf>
    <xf numFmtId="0" fontId="14" fillId="2" borderId="1" xfId="0" applyFont="1" applyFill="1" applyBorder="1" applyAlignment="1">
      <alignment horizontal="center"/>
    </xf>
    <xf numFmtId="0" fontId="14" fillId="2" borderId="1" xfId="0" applyFont="1" applyFill="1" applyBorder="1" applyAlignment="1">
      <alignment horizontal="center" vertical="center"/>
    </xf>
    <xf numFmtId="0" fontId="14" fillId="2" borderId="2" xfId="0" applyFont="1" applyFill="1" applyBorder="1" applyAlignment="1">
      <alignment horizontal="left" vertical="center"/>
    </xf>
    <xf numFmtId="0" fontId="14" fillId="2" borderId="3" xfId="0" applyFont="1" applyFill="1" applyBorder="1" applyAlignment="1">
      <alignment horizontal="left" vertical="center"/>
    </xf>
    <xf numFmtId="0" fontId="14" fillId="8" borderId="1" xfId="0" applyFont="1" applyFill="1" applyBorder="1" applyAlignment="1">
      <alignment horizontal="center" vertical="center"/>
    </xf>
    <xf numFmtId="0" fontId="14" fillId="8" borderId="2" xfId="0" applyFont="1" applyFill="1" applyBorder="1" applyAlignment="1">
      <alignment horizontal="center" vertical="center" wrapText="1"/>
    </xf>
    <xf numFmtId="0" fontId="14" fillId="8" borderId="3" xfId="0" applyFont="1" applyFill="1" applyBorder="1" applyAlignment="1">
      <alignment horizontal="center" vertical="center"/>
    </xf>
    <xf numFmtId="0" fontId="14" fillId="2" borderId="0" xfId="0" applyFont="1" applyFill="1" applyBorder="1" applyAlignment="1">
      <alignment horizontal="center" vertical="center"/>
    </xf>
    <xf numFmtId="0" fontId="14" fillId="2" borderId="2" xfId="0" applyFont="1" applyFill="1" applyBorder="1" applyAlignment="1">
      <alignment horizontal="center" vertical="center"/>
    </xf>
    <xf numFmtId="0" fontId="14" fillId="2" borderId="3" xfId="0" applyFont="1" applyFill="1" applyBorder="1" applyAlignment="1">
      <alignment horizontal="center" vertical="center"/>
    </xf>
    <xf numFmtId="0" fontId="28" fillId="15" borderId="2" xfId="2" applyFont="1" applyFill="1" applyBorder="1" applyAlignment="1">
      <alignment horizontal="center" vertical="center" wrapText="1"/>
    </xf>
    <xf numFmtId="0" fontId="28" fillId="15" borderId="4" xfId="2" applyFont="1" applyFill="1" applyBorder="1" applyAlignment="1">
      <alignment horizontal="center" vertical="center" wrapText="1"/>
    </xf>
    <xf numFmtId="0" fontId="28" fillId="15" borderId="3" xfId="2" applyFont="1" applyFill="1" applyBorder="1" applyAlignment="1">
      <alignment horizontal="center" vertical="center" wrapText="1"/>
    </xf>
    <xf numFmtId="0" fontId="10" fillId="7" borderId="2" xfId="4" applyFont="1" applyFill="1" applyBorder="1" applyAlignment="1">
      <alignment horizontal="center" vertical="center" wrapText="1"/>
    </xf>
    <xf numFmtId="0" fontId="10" fillId="7" borderId="4" xfId="4" applyFont="1" applyFill="1" applyBorder="1" applyAlignment="1">
      <alignment horizontal="center" vertical="center" wrapText="1"/>
    </xf>
    <xf numFmtId="0" fontId="10" fillId="7" borderId="3" xfId="4" applyFont="1" applyFill="1" applyBorder="1" applyAlignment="1">
      <alignment horizontal="center" vertical="center" wrapText="1"/>
    </xf>
    <xf numFmtId="0" fontId="10" fillId="5" borderId="2" xfId="4" applyFont="1" applyFill="1" applyBorder="1" applyAlignment="1">
      <alignment horizontal="center" vertical="center" wrapText="1"/>
    </xf>
    <xf numFmtId="0" fontId="10" fillId="5" borderId="4" xfId="4" applyFont="1" applyFill="1" applyBorder="1" applyAlignment="1">
      <alignment horizontal="center" vertical="center" wrapText="1"/>
    </xf>
    <xf numFmtId="0" fontId="10" fillId="2" borderId="2" xfId="4" applyFont="1" applyFill="1" applyBorder="1" applyAlignment="1">
      <alignment horizontal="center" vertical="center" wrapText="1"/>
    </xf>
    <xf numFmtId="0" fontId="10" fillId="2" borderId="3" xfId="4" applyFont="1" applyFill="1" applyBorder="1" applyAlignment="1">
      <alignment horizontal="center" vertical="center" wrapText="1"/>
    </xf>
    <xf numFmtId="0" fontId="10" fillId="6" borderId="2" xfId="4" applyFont="1" applyFill="1" applyBorder="1" applyAlignment="1">
      <alignment horizontal="center" vertical="center" wrapText="1"/>
    </xf>
    <xf numFmtId="0" fontId="0" fillId="0" borderId="4" xfId="0" applyBorder="1"/>
    <xf numFmtId="0" fontId="9" fillId="0" borderId="2" xfId="4" applyFill="1" applyBorder="1" applyAlignment="1">
      <alignment horizontal="center" vertical="center" wrapText="1"/>
    </xf>
    <xf numFmtId="0" fontId="9" fillId="0" borderId="4" xfId="4" applyFill="1" applyBorder="1" applyAlignment="1">
      <alignment horizontal="center" vertical="center" wrapText="1"/>
    </xf>
    <xf numFmtId="0" fontId="9" fillId="0" borderId="3" xfId="4" applyFill="1" applyBorder="1" applyAlignment="1">
      <alignment horizontal="center" vertical="center" wrapText="1"/>
    </xf>
    <xf numFmtId="0" fontId="12" fillId="0" borderId="5" xfId="0" applyFont="1" applyBorder="1" applyAlignment="1">
      <alignment horizontal="center"/>
    </xf>
    <xf numFmtId="0" fontId="12" fillId="0" borderId="7" xfId="0" applyFont="1" applyBorder="1" applyAlignment="1">
      <alignment horizontal="center"/>
    </xf>
    <xf numFmtId="0" fontId="12" fillId="0" borderId="2" xfId="0" applyFont="1" applyBorder="1" applyAlignment="1">
      <alignment horizontal="center" vertical="center"/>
    </xf>
    <xf numFmtId="0" fontId="12" fillId="0" borderId="3" xfId="0" applyFont="1" applyBorder="1" applyAlignment="1">
      <alignment horizontal="center" vertical="center"/>
    </xf>
  </cellXfs>
  <cellStyles count="7">
    <cellStyle name="Good" xfId="1" builtinId="26"/>
    <cellStyle name="Neutral" xfId="2" builtinId="28"/>
    <cellStyle name="Normal" xfId="0" builtinId="0"/>
    <cellStyle name="Normal - Style1" xfId="3" xr:uid="{00000000-0005-0000-0000-000003000000}"/>
    <cellStyle name="Normal 2" xfId="5" xr:uid="{8F1DE089-6A77-4CE4-A42D-A633103E77FE}"/>
    <cellStyle name="Normal 3" xfId="6" xr:uid="{07A77A9D-9A63-47ED-86F4-E6DD90D96EB8}"/>
    <cellStyle name="Normal_Sheet1" xfId="4" xr:uid="{00000000-0005-0000-0000-000004000000}"/>
  </cellStyles>
  <dxfs count="2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33618</xdr:colOff>
      <xdr:row>0</xdr:row>
      <xdr:rowOff>33618</xdr:rowOff>
    </xdr:from>
    <xdr:to>
      <xdr:col>4</xdr:col>
      <xdr:colOff>3069932</xdr:colOff>
      <xdr:row>0</xdr:row>
      <xdr:rowOff>324971</xdr:rowOff>
    </xdr:to>
    <xdr:sp macro="[0]!refreshAll" textlink="">
      <xdr:nvSpPr>
        <xdr:cNvPr id="2" name="TextBox 1">
          <a:extLst>
            <a:ext uri="{FF2B5EF4-FFF2-40B4-BE49-F238E27FC236}">
              <a16:creationId xmlns:a16="http://schemas.microsoft.com/office/drawing/2014/main" id="{1CFDFFA4-BBA6-4C50-9A32-D42244B5F071}"/>
            </a:ext>
          </a:extLst>
        </xdr:cNvPr>
        <xdr:cNvSpPr txBox="1"/>
      </xdr:nvSpPr>
      <xdr:spPr>
        <a:xfrm>
          <a:off x="33618" y="33618"/>
          <a:ext cx="4594411" cy="291353"/>
        </a:xfrm>
        <a:prstGeom prst="rect">
          <a:avLst/>
        </a:prstGeom>
        <a:solidFill>
          <a:schemeClr val="bg1">
            <a:lumMod val="85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200" b="1"/>
            <a:t>BUILD TABLE</a:t>
          </a:r>
          <a:r>
            <a:rPr lang="en-US" sz="1200" b="1" baseline="0"/>
            <a:t> FOR WORD DOCUMENT</a:t>
          </a:r>
          <a:endParaRPr lang="en-US" sz="12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336</xdr:colOff>
      <xdr:row>0</xdr:row>
      <xdr:rowOff>113106</xdr:rowOff>
    </xdr:from>
    <xdr:to>
      <xdr:col>2</xdr:col>
      <xdr:colOff>331083</xdr:colOff>
      <xdr:row>3</xdr:row>
      <xdr:rowOff>124962</xdr:rowOff>
    </xdr:to>
    <xdr:sp macro="[0]!updateDataSheet" textlink="">
      <xdr:nvSpPr>
        <xdr:cNvPr id="2" name="TextBox 1">
          <a:extLst>
            <a:ext uri="{FF2B5EF4-FFF2-40B4-BE49-F238E27FC236}">
              <a16:creationId xmlns:a16="http://schemas.microsoft.com/office/drawing/2014/main" id="{D830C03B-8E81-4276-865B-59A971972C4D}"/>
            </a:ext>
          </a:extLst>
        </xdr:cNvPr>
        <xdr:cNvSpPr txBox="1"/>
      </xdr:nvSpPr>
      <xdr:spPr>
        <a:xfrm>
          <a:off x="221316" y="113741"/>
          <a:ext cx="1664634" cy="391084"/>
        </a:xfrm>
        <a:prstGeom prst="rect">
          <a:avLst/>
        </a:prstGeom>
        <a:solidFill>
          <a:schemeClr val="bg1">
            <a:lumMod val="85000"/>
          </a:schemeClr>
        </a:solidFill>
        <a:ln w="9525" cmpd="sng">
          <a:solidFill>
            <a:schemeClr val="tx1"/>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400" b="1"/>
            <a:t>UPDATE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MUCSD20.eu.infineon.com\IMG\WKA%20Backup\ARK_112806\PSoC6\PSoC6_M33\PSoC%206B%20Baseline\EROS\Excel\PSoC6_Baseline_002-27823_Specs_070819_v6.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con"/>
      <sheetName val="instructions"/>
      <sheetName val="specifications"/>
      <sheetName val="boilerplate specs"/>
      <sheetName val="specs_for_word"/>
      <sheetName val="functional"/>
      <sheetName val="DV-IDENTITY-0"/>
      <sheetName val="Datasheet Template"/>
      <sheetName val="comparative (2)"/>
      <sheetName val="Block_modes"/>
    </sheetNames>
    <sheetDataSet>
      <sheetData sheetId="0" refreshError="1"/>
      <sheetData sheetId="1" refreshError="1"/>
      <sheetData sheetId="2" refreshError="1"/>
      <sheetData sheetId="3" refreshError="1"/>
      <sheetData sheetId="4">
        <row r="2">
          <cell r="A2" t="str">
            <v>SPEC ID#</v>
          </cell>
          <cell r="B2" t="str">
            <v>PARAMETER</v>
          </cell>
          <cell r="C2" t="str">
            <v>DESCRIPTION</v>
          </cell>
          <cell r="D2" t="str">
            <v>MIN</v>
          </cell>
          <cell r="E2" t="str">
            <v>TYP</v>
          </cell>
          <cell r="F2" t="str">
            <v>MAX</v>
          </cell>
          <cell r="G2" t="str">
            <v>UNITS</v>
          </cell>
          <cell r="H2" t="str">
            <v>DETAILS / CONDITIONS</v>
          </cell>
        </row>
        <row r="3">
          <cell r="A3" t="str">
            <v>TABLE 1. Absolute Maximum Ratings</v>
          </cell>
        </row>
        <row r="4">
          <cell r="A4" t="str">
            <v>SID1</v>
          </cell>
          <cell r="B4" t="str">
            <v>VDD_ABS</v>
          </cell>
          <cell r="C4" t="str">
            <v>Analog or digital supply relative to VSS (VSSD = VSSA)</v>
          </cell>
          <cell r="D4">
            <v>-0.5</v>
          </cell>
          <cell r="E4" t="str">
            <v xml:space="preserve">- </v>
          </cell>
          <cell r="F4">
            <v>4</v>
          </cell>
          <cell r="G4" t="str">
            <v>V</v>
          </cell>
          <cell r="H4" t="str">
            <v>Absolute Maximum</v>
          </cell>
          <cell r="I4" t="str">
            <v>VDD_ABS</v>
          </cell>
          <cell r="J4">
            <v>-0.5</v>
          </cell>
          <cell r="K4" t="str">
            <v xml:space="preserve">- </v>
          </cell>
          <cell r="L4">
            <v>4</v>
          </cell>
          <cell r="M4" t="str">
            <v>Absolute Maximum</v>
          </cell>
        </row>
        <row r="5">
          <cell r="A5" t="str">
            <v>SID2</v>
          </cell>
          <cell r="B5" t="str">
            <v>VCCD_ABS</v>
          </cell>
          <cell r="C5" t="str">
            <v>Direct digital core voltage input relative to VSSD</v>
          </cell>
          <cell r="D5">
            <v>-0.5</v>
          </cell>
          <cell r="E5" t="str">
            <v xml:space="preserve">- </v>
          </cell>
          <cell r="F5">
            <v>1.2</v>
          </cell>
          <cell r="G5" t="str">
            <v>V</v>
          </cell>
          <cell r="H5" t="str">
            <v>Absolute Maximum</v>
          </cell>
          <cell r="I5" t="str">
            <v>VCCD_ABS</v>
          </cell>
          <cell r="J5">
            <v>-0.5</v>
          </cell>
          <cell r="K5" t="str">
            <v xml:space="preserve">- </v>
          </cell>
          <cell r="L5">
            <v>1.2</v>
          </cell>
          <cell r="M5" t="str">
            <v>Absolute Maximum</v>
          </cell>
        </row>
        <row r="6">
          <cell r="A6" t="str">
            <v>SID3</v>
          </cell>
          <cell r="B6" t="str">
            <v>VGPIO_ABS</v>
          </cell>
          <cell r="C6" t="str">
            <v>GPIO voltage ; VDDD or VDDA</v>
          </cell>
          <cell r="D6">
            <v>-0.5</v>
          </cell>
          <cell r="E6" t="str">
            <v xml:space="preserve">- </v>
          </cell>
          <cell r="F6" t="str">
            <v>VDD+0.5</v>
          </cell>
          <cell r="G6" t="str">
            <v>V</v>
          </cell>
          <cell r="H6" t="str">
            <v>Absolute Maximum</v>
          </cell>
          <cell r="I6" t="str">
            <v>VGPIO_ABS</v>
          </cell>
          <cell r="J6">
            <v>-0.5</v>
          </cell>
          <cell r="K6" t="str">
            <v xml:space="preserve">- </v>
          </cell>
          <cell r="L6" t="str">
            <v>VDD+0.5</v>
          </cell>
          <cell r="M6" t="str">
            <v>Absolute Maximum</v>
          </cell>
        </row>
        <row r="7">
          <cell r="A7" t="str">
            <v>SID4</v>
          </cell>
          <cell r="B7" t="str">
            <v>IGPIO_ABS</v>
          </cell>
          <cell r="C7" t="str">
            <v>Current per GPIO</v>
          </cell>
          <cell r="D7">
            <v>-25</v>
          </cell>
          <cell r="E7" t="str">
            <v xml:space="preserve">- </v>
          </cell>
          <cell r="F7">
            <v>25</v>
          </cell>
          <cell r="G7" t="str">
            <v>mA</v>
          </cell>
          <cell r="H7" t="str">
            <v>Absolute Maximum</v>
          </cell>
          <cell r="I7" t="str">
            <v>IGPIO_ABS</v>
          </cell>
          <cell r="J7">
            <v>-25</v>
          </cell>
          <cell r="K7" t="str">
            <v xml:space="preserve">- </v>
          </cell>
          <cell r="L7">
            <v>25</v>
          </cell>
          <cell r="M7" t="str">
            <v>Absolute Maximum</v>
          </cell>
        </row>
        <row r="8">
          <cell r="A8" t="str">
            <v>SID5</v>
          </cell>
          <cell r="B8" t="str">
            <v>IGPIO_injection</v>
          </cell>
          <cell r="C8" t="str">
            <v>GPIO injection current per pin</v>
          </cell>
          <cell r="D8">
            <v>-0.5</v>
          </cell>
          <cell r="E8" t="str">
            <v xml:space="preserve">- </v>
          </cell>
          <cell r="F8">
            <v>0.5</v>
          </cell>
          <cell r="G8" t="str">
            <v>mA</v>
          </cell>
          <cell r="H8" t="str">
            <v>Absolute Maximum</v>
          </cell>
          <cell r="I8" t="str">
            <v>IGPIO_injection</v>
          </cell>
          <cell r="J8">
            <v>-0.5</v>
          </cell>
          <cell r="K8" t="str">
            <v xml:space="preserve">- </v>
          </cell>
          <cell r="L8">
            <v>0.5</v>
          </cell>
          <cell r="M8" t="str">
            <v>Absolute Maximum</v>
          </cell>
        </row>
        <row r="9">
          <cell r="A9" t="str">
            <v>SID3A</v>
          </cell>
          <cell r="B9" t="str">
            <v>ESD_HBM</v>
          </cell>
          <cell r="C9" t="str">
            <v>Electrostatic discharge Human Body Model</v>
          </cell>
          <cell r="D9">
            <v>2200</v>
          </cell>
          <cell r="E9" t="str">
            <v xml:space="preserve">- </v>
          </cell>
          <cell r="F9" t="str">
            <v xml:space="preserve">- </v>
          </cell>
          <cell r="G9" t="str">
            <v>V</v>
          </cell>
          <cell r="H9" t="str">
            <v>Absolute Maximum</v>
          </cell>
          <cell r="I9" t="str">
            <v>ESD_HBM</v>
          </cell>
          <cell r="J9">
            <v>2200</v>
          </cell>
          <cell r="K9" t="str">
            <v xml:space="preserve">- </v>
          </cell>
          <cell r="L9" t="str">
            <v xml:space="preserve">- </v>
          </cell>
          <cell r="M9" t="str">
            <v>Absolute Maximum</v>
          </cell>
        </row>
        <row r="10">
          <cell r="A10" t="str">
            <v>SID4A</v>
          </cell>
          <cell r="B10" t="str">
            <v>ESD_CDM</v>
          </cell>
          <cell r="C10" t="str">
            <v>Electrostatic discharge Charged Device Model</v>
          </cell>
          <cell r="D10">
            <v>500</v>
          </cell>
          <cell r="E10" t="str">
            <v xml:space="preserve">- </v>
          </cell>
          <cell r="F10" t="str">
            <v xml:space="preserve">- </v>
          </cell>
          <cell r="G10" t="str">
            <v>V</v>
          </cell>
          <cell r="H10" t="str">
            <v>Absolute Maximum</v>
          </cell>
          <cell r="I10" t="str">
            <v>ESD_CDM</v>
          </cell>
          <cell r="J10">
            <v>500</v>
          </cell>
          <cell r="K10" t="str">
            <v xml:space="preserve">- </v>
          </cell>
          <cell r="L10" t="str">
            <v xml:space="preserve">- </v>
          </cell>
          <cell r="M10" t="str">
            <v>Absolute Maximum</v>
          </cell>
        </row>
        <row r="11">
          <cell r="A11" t="str">
            <v>SID5A</v>
          </cell>
          <cell r="B11" t="str">
            <v>LU</v>
          </cell>
          <cell r="C11" t="str">
            <v>Pin current for latchup free operation</v>
          </cell>
          <cell r="D11">
            <v>-100</v>
          </cell>
          <cell r="E11" t="str">
            <v xml:space="preserve">- </v>
          </cell>
          <cell r="F11">
            <v>100</v>
          </cell>
          <cell r="G11" t="str">
            <v>mA</v>
          </cell>
          <cell r="H11" t="str">
            <v>Absolute Maximum</v>
          </cell>
          <cell r="I11" t="str">
            <v>LU</v>
          </cell>
          <cell r="J11">
            <v>-100</v>
          </cell>
          <cell r="K11" t="str">
            <v xml:space="preserve">- </v>
          </cell>
          <cell r="L11">
            <v>100</v>
          </cell>
          <cell r="M11" t="str">
            <v>Absolute Maximum</v>
          </cell>
        </row>
        <row r="12">
          <cell r="A12" t="str">
            <v>SIDWA8</v>
          </cell>
          <cell r="B12" t="str">
            <v xml:space="preserve">Vundershoot </v>
          </cell>
          <cell r="C12" t="str">
            <v>Maximum undershoot voltage for I/O</v>
          </cell>
          <cell r="F12">
            <v>-0.5</v>
          </cell>
          <cell r="G12" t="str">
            <v xml:space="preserve">V </v>
          </cell>
          <cell r="H12" t="str">
            <v>Duration not to exceed 25% of the duty cycle</v>
          </cell>
          <cell r="I12" t="str">
            <v xml:space="preserve">Vundershoot </v>
          </cell>
          <cell r="L12">
            <v>-0.5</v>
          </cell>
          <cell r="M12" t="str">
            <v>Duration not to exceed 25% of the duty cycle</v>
          </cell>
        </row>
        <row r="13">
          <cell r="A13" t="str">
            <v>SIDWA9</v>
          </cell>
          <cell r="B13" t="str">
            <v xml:space="preserve">Vovershoot </v>
          </cell>
          <cell r="C13" t="str">
            <v>Maximum overshoot voltage for I/O</v>
          </cell>
          <cell r="F13" t="str">
            <v>VDDIO + 0.5</v>
          </cell>
          <cell r="G13" t="str">
            <v xml:space="preserve">V </v>
          </cell>
          <cell r="H13" t="str">
            <v>Duration not to exceed 25% of the duty cycle</v>
          </cell>
          <cell r="I13" t="str">
            <v xml:space="preserve">Vovershoot </v>
          </cell>
          <cell r="L13" t="str">
            <v>VDDIO + 0.5</v>
          </cell>
          <cell r="M13" t="str">
            <v>Duration not to exceed 25% of the duty cycle</v>
          </cell>
        </row>
        <row r="14">
          <cell r="A14" t="str">
            <v>SIDWA10</v>
          </cell>
          <cell r="B14" t="str">
            <v xml:space="preserve">Tj </v>
          </cell>
          <cell r="C14" t="str">
            <v xml:space="preserve">Maximum junction temperature </v>
          </cell>
          <cell r="F14">
            <v>125</v>
          </cell>
          <cell r="G14" t="str">
            <v xml:space="preserve">°C </v>
          </cell>
          <cell r="I14" t="str">
            <v xml:space="preserve">Tj </v>
          </cell>
          <cell r="L14">
            <v>125</v>
          </cell>
        </row>
        <row r="15">
          <cell r="A15" t="str">
            <v>TABLE 2. Power Supplies and Operating Conditions</v>
          </cell>
        </row>
        <row r="16">
          <cell r="A16" t="str">
            <v>SID6</v>
          </cell>
          <cell r="B16" t="str">
            <v xml:space="preserve">VDDD </v>
          </cell>
          <cell r="C16" t="str">
            <v>Internal Regulator</v>
          </cell>
          <cell r="D16">
            <v>1.7</v>
          </cell>
          <cell r="F16">
            <v>3.6</v>
          </cell>
          <cell r="G16" t="str">
            <v>V</v>
          </cell>
          <cell r="I16" t="str">
            <v xml:space="preserve">VDDD </v>
          </cell>
          <cell r="J16">
            <v>1.7</v>
          </cell>
          <cell r="L16">
            <v>3.6</v>
          </cell>
        </row>
        <row r="17">
          <cell r="A17" t="str">
            <v>SID7</v>
          </cell>
          <cell r="B17" t="str">
            <v>VDDA</v>
          </cell>
          <cell r="C17" t="str">
            <v>Analog Power Supply Voltage. Shorted to VDDIO_A on PCB.</v>
          </cell>
          <cell r="D17">
            <v>1.7</v>
          </cell>
          <cell r="F17">
            <v>3.6</v>
          </cell>
          <cell r="G17" t="str">
            <v>V</v>
          </cell>
          <cell r="H17" t="str">
            <v>Internally unregulated Supply</v>
          </cell>
          <cell r="I17" t="str">
            <v>VDDA</v>
          </cell>
          <cell r="J17">
            <v>1.7</v>
          </cell>
          <cell r="L17">
            <v>3.6</v>
          </cell>
          <cell r="M17" t="str">
            <v>Internally unregulated Supply</v>
          </cell>
        </row>
        <row r="18">
          <cell r="A18" t="str">
            <v>SID7B</v>
          </cell>
          <cell r="B18" t="str">
            <v>VDDIO_0</v>
          </cell>
          <cell r="C18" t="str">
            <v xml:space="preserve">GPIO Supply for Ports </v>
          </cell>
          <cell r="D18">
            <v>1.7</v>
          </cell>
          <cell r="F18">
            <v>3.6</v>
          </cell>
          <cell r="G18" t="str">
            <v>V</v>
          </cell>
          <cell r="I18" t="str">
            <v>VDDIO_0</v>
          </cell>
          <cell r="J18">
            <v>1.7</v>
          </cell>
          <cell r="L18">
            <v>3.6</v>
          </cell>
        </row>
        <row r="19">
          <cell r="A19" t="str">
            <v>SID7E</v>
          </cell>
          <cell r="B19" t="str">
            <v>VDDIO_0</v>
          </cell>
          <cell r="C19" t="str">
            <v>Supply when programming E-Fuse</v>
          </cell>
          <cell r="D19">
            <v>2.38</v>
          </cell>
          <cell r="E19">
            <v>2.5</v>
          </cell>
          <cell r="F19">
            <v>2.62</v>
          </cell>
          <cell r="G19" t="str">
            <v>V</v>
          </cell>
          <cell r="H19" t="str">
            <v>E-Fuse Programming Voltage</v>
          </cell>
          <cell r="I19" t="str">
            <v>VDDIO_0</v>
          </cell>
          <cell r="J19">
            <v>2.38</v>
          </cell>
          <cell r="K19">
            <v>2.5</v>
          </cell>
          <cell r="L19">
            <v>2.62</v>
          </cell>
          <cell r="M19" t="str">
            <v>E-Fuse Programming Voltage</v>
          </cell>
        </row>
        <row r="20">
          <cell r="A20" t="str">
            <v>SID7C</v>
          </cell>
          <cell r="B20" t="str">
            <v>VDDIO_1</v>
          </cell>
          <cell r="C20" t="str">
            <v>GPIO Supply for 1.2V Ports</v>
          </cell>
          <cell r="D20">
            <v>1.08</v>
          </cell>
          <cell r="F20">
            <v>1.3</v>
          </cell>
          <cell r="G20" t="str">
            <v>V</v>
          </cell>
          <cell r="I20" t="str">
            <v>VDDIO_1</v>
          </cell>
          <cell r="J20">
            <v>1.08</v>
          </cell>
          <cell r="L20">
            <v>1.3</v>
          </cell>
        </row>
        <row r="21">
          <cell r="A21" t="str">
            <v>SID7A</v>
          </cell>
          <cell r="B21" t="str">
            <v>VDDIO_A</v>
          </cell>
          <cell r="C21" t="str">
            <v>GPIO Supply for Analog ports. Short to VDDA on PCB.</v>
          </cell>
          <cell r="D21">
            <v>1.7</v>
          </cell>
          <cell r="F21">
            <v>3.6</v>
          </cell>
          <cell r="G21" t="str">
            <v>V</v>
          </cell>
          <cell r="I21" t="str">
            <v>VDDIO_A</v>
          </cell>
          <cell r="J21">
            <v>1.7</v>
          </cell>
          <cell r="L21">
            <v>3.6</v>
          </cell>
        </row>
        <row r="22">
          <cell r="A22" t="str">
            <v>SID7F</v>
          </cell>
          <cell r="B22" t="str">
            <v>VDDUSB</v>
          </cell>
          <cell r="C22" t="str">
            <v>Supply for Port 14 (USB or GPIO) when present</v>
          </cell>
          <cell r="D22">
            <v>1.7</v>
          </cell>
          <cell r="F22">
            <v>3.6</v>
          </cell>
          <cell r="G22" t="str">
            <v>V</v>
          </cell>
          <cell r="H22" t="str">
            <v>Min Supply is 2.85V for USB</v>
          </cell>
          <cell r="I22" t="str">
            <v>VDDUSB</v>
          </cell>
          <cell r="J22">
            <v>1.7</v>
          </cell>
          <cell r="L22">
            <v>3.6</v>
          </cell>
          <cell r="M22" t="str">
            <v>Min Supply is 2.85V for USB</v>
          </cell>
        </row>
        <row r="23">
          <cell r="A23" t="str">
            <v>SID6B</v>
          </cell>
          <cell r="B23" t="str">
            <v>VBACKUP</v>
          </cell>
          <cell r="C23" t="str">
            <v>Backup Power; normally shorted to VDDD</v>
          </cell>
          <cell r="D23">
            <v>1.7</v>
          </cell>
          <cell r="F23">
            <v>3.6</v>
          </cell>
          <cell r="G23" t="str">
            <v>V</v>
          </cell>
          <cell r="H23" t="str">
            <v>Min. is 1.4V in Backup mode</v>
          </cell>
          <cell r="I23" t="str">
            <v>VBACKUP</v>
          </cell>
          <cell r="J23">
            <v>1.7</v>
          </cell>
          <cell r="L23">
            <v>3.6</v>
          </cell>
          <cell r="M23" t="str">
            <v>Min. is 1.4V in Backup mode</v>
          </cell>
        </row>
        <row r="24">
          <cell r="A24" t="str">
            <v>SID8</v>
          </cell>
          <cell r="B24" t="str">
            <v>VCCD (LP)</v>
          </cell>
          <cell r="C24" t="str">
            <v>Output voltage (for core logic bypass)</v>
          </cell>
          <cell r="D24" t="str">
            <v xml:space="preserve">- </v>
          </cell>
          <cell r="E24">
            <v>1.1000000000000001</v>
          </cell>
          <cell r="F24" t="str">
            <v xml:space="preserve">- </v>
          </cell>
          <cell r="G24" t="str">
            <v>V</v>
          </cell>
          <cell r="H24" t="str">
            <v>High-speed mode</v>
          </cell>
          <cell r="I24" t="str">
            <v>VCCD (LP)</v>
          </cell>
          <cell r="J24" t="str">
            <v xml:space="preserve">- </v>
          </cell>
          <cell r="K24">
            <v>1.1000000000000001</v>
          </cell>
          <cell r="L24" t="str">
            <v xml:space="preserve">- </v>
          </cell>
          <cell r="M24" t="str">
            <v>High-speed mode</v>
          </cell>
        </row>
        <row r="25">
          <cell r="A25" t="str">
            <v>SID9</v>
          </cell>
          <cell r="B25" t="str">
            <v>VCCD (ULP)</v>
          </cell>
          <cell r="C25" t="str">
            <v>Output voltage (for core logic bypass)</v>
          </cell>
          <cell r="E25">
            <v>0.9</v>
          </cell>
          <cell r="H25" t="str">
            <v>ULP mode. Valid for -20 to  85 C.</v>
          </cell>
          <cell r="I25" t="str">
            <v>VCCD (ULP)</v>
          </cell>
          <cell r="K25">
            <v>0.9</v>
          </cell>
          <cell r="M25" t="str">
            <v>ULP mode. Valid for -20 to  85 C.</v>
          </cell>
        </row>
        <row r="26">
          <cell r="A26" t="str">
            <v>SID10</v>
          </cell>
          <cell r="B26" t="str">
            <v>CEFC</v>
          </cell>
          <cell r="C26" t="str">
            <v>External Regulator voltage (VCCD) bypass</v>
          </cell>
          <cell r="D26">
            <v>3.8</v>
          </cell>
          <cell r="E26">
            <v>4.7</v>
          </cell>
          <cell r="F26">
            <v>5.6</v>
          </cell>
          <cell r="G26" t="str">
            <v>µF</v>
          </cell>
          <cell r="H26" t="str">
            <v>X5R ceramic or better. Value for 0.8 10 1.2V.</v>
          </cell>
          <cell r="I26" t="str">
            <v>CEFC</v>
          </cell>
          <cell r="J26">
            <v>3.8</v>
          </cell>
          <cell r="K26">
            <v>4.7</v>
          </cell>
          <cell r="L26">
            <v>5.6</v>
          </cell>
          <cell r="M26" t="str">
            <v>X5R ceramic or better. Value for 0.8 10 1.2V.</v>
          </cell>
        </row>
        <row r="27">
          <cell r="A27" t="str">
            <v>SID11</v>
          </cell>
          <cell r="B27" t="str">
            <v>CEXC</v>
          </cell>
          <cell r="C27" t="str">
            <v>Power supply decoupling capacitor</v>
          </cell>
          <cell r="D27" t="str">
            <v xml:space="preserve">- </v>
          </cell>
          <cell r="E27">
            <v>10</v>
          </cell>
          <cell r="F27" t="str">
            <v xml:space="preserve">- </v>
          </cell>
          <cell r="G27" t="str">
            <v>µF</v>
          </cell>
          <cell r="H27" t="str">
            <v>X5R ceramic or better</v>
          </cell>
          <cell r="I27" t="str">
            <v>CEXC</v>
          </cell>
          <cell r="J27" t="str">
            <v xml:space="preserve">- </v>
          </cell>
          <cell r="K27">
            <v>10</v>
          </cell>
          <cell r="L27" t="str">
            <v xml:space="preserve">- </v>
          </cell>
          <cell r="M27" t="str">
            <v>X5R ceramic or better</v>
          </cell>
        </row>
        <row r="28">
          <cell r="A28" t="str">
            <v>TABLE 3. CPU Currents and Transition Times</v>
          </cell>
        </row>
        <row r="29">
          <cell r="A29" t="str">
            <v xml:space="preserve">Cortex M33. Active Mode </v>
          </cell>
          <cell r="I29" t="str">
            <v>CPU Frequency</v>
          </cell>
        </row>
        <row r="30">
          <cell r="A30" t="str">
            <v>Execute with Cache Enabled</v>
          </cell>
        </row>
        <row r="31">
          <cell r="A31" t="str">
            <v>SIDC1</v>
          </cell>
          <cell r="B31" t="str">
            <v>IDD3</v>
          </cell>
          <cell r="C31" t="str">
            <v>Execute from Cache;CM33 Active150 MHz. IHO &amp; PLL. Dhrystone.</v>
          </cell>
          <cell r="D31" t="str">
            <v xml:space="preserve">- </v>
          </cell>
          <cell r="E31">
            <v>6.3</v>
          </cell>
          <cell r="F31">
            <v>7</v>
          </cell>
          <cell r="G31" t="str">
            <v>mA</v>
          </cell>
          <cell r="H31" t="str">
            <v>VDDD=3.3V, Buck ON, Max at 60 C</v>
          </cell>
          <cell r="I31">
            <v>150</v>
          </cell>
          <cell r="J31" t="str">
            <v xml:space="preserve">- </v>
          </cell>
          <cell r="K31">
            <v>6.3</v>
          </cell>
          <cell r="L31">
            <v>7</v>
          </cell>
          <cell r="M31" t="str">
            <v>VDDD=3.3V, Buck ON, Max at 60 C</v>
          </cell>
        </row>
        <row r="32">
          <cell r="E32">
            <v>9.6999999999999993</v>
          </cell>
          <cell r="F32">
            <v>11.2</v>
          </cell>
          <cell r="H32" t="str">
            <v>VDDD=1.8V, Buck ON, Max at 60 C</v>
          </cell>
          <cell r="K32">
            <v>9.6999999999999993</v>
          </cell>
          <cell r="L32">
            <v>11.2</v>
          </cell>
          <cell r="M32" t="str">
            <v>VDDD=1.8V, Buck ON, Max at 60 C</v>
          </cell>
        </row>
        <row r="33">
          <cell r="E33">
            <v>13.2</v>
          </cell>
          <cell r="F33">
            <v>13.7</v>
          </cell>
          <cell r="H33" t="str">
            <v>VDDD = 1.8 to 3.3 V, LDO, max at 60 C</v>
          </cell>
          <cell r="K33">
            <v>13.2</v>
          </cell>
          <cell r="L33">
            <v>13.7</v>
          </cell>
          <cell r="M33" t="str">
            <v>VDDD = 1.8 to 3.3 V, LDO, max at 60 C</v>
          </cell>
        </row>
        <row r="34">
          <cell r="A34" t="str">
            <v>SIDC2</v>
          </cell>
          <cell r="B34" t="str">
            <v>IDD4</v>
          </cell>
          <cell r="C34" t="str">
            <v>Execute from Cache;CM33 Active100 MHz. IHO &amp; PLL. Dhrystone.</v>
          </cell>
          <cell r="D34" t="str">
            <v xml:space="preserve">- </v>
          </cell>
          <cell r="E34">
            <v>4.8</v>
          </cell>
          <cell r="F34">
            <v>5.8</v>
          </cell>
          <cell r="G34" t="str">
            <v>mA</v>
          </cell>
          <cell r="H34" t="str">
            <v>VDDD=3.3V, Buck ON, Max at 60 C</v>
          </cell>
          <cell r="I34">
            <v>100</v>
          </cell>
          <cell r="J34" t="str">
            <v xml:space="preserve">- </v>
          </cell>
          <cell r="K34">
            <v>4.8</v>
          </cell>
          <cell r="L34">
            <v>5.8</v>
          </cell>
          <cell r="M34" t="str">
            <v>VDDD=3.3V, Buck ON, Max at 60 C</v>
          </cell>
        </row>
        <row r="35">
          <cell r="E35">
            <v>7.4</v>
          </cell>
          <cell r="F35">
            <v>8.4</v>
          </cell>
          <cell r="H35" t="str">
            <v>VDDD=1.8V, Buck ON, Max at 60 C</v>
          </cell>
          <cell r="K35">
            <v>7.4</v>
          </cell>
          <cell r="L35">
            <v>8.4</v>
          </cell>
          <cell r="M35" t="str">
            <v>VDDD=1.8V, Buck ON, Max at 60 C</v>
          </cell>
        </row>
        <row r="36">
          <cell r="E36">
            <v>10.1</v>
          </cell>
          <cell r="F36">
            <v>10.7</v>
          </cell>
          <cell r="H36" t="str">
            <v>VDDD = 1.8 to 3.3 V, LDO, max at 60 C</v>
          </cell>
          <cell r="K36">
            <v>10.1</v>
          </cell>
          <cell r="L36">
            <v>10.7</v>
          </cell>
          <cell r="M36" t="str">
            <v>VDDD = 1.8 to 3.3 V, LDO, max at 60 C</v>
          </cell>
        </row>
        <row r="37">
          <cell r="A37" t="str">
            <v>SIDC3</v>
          </cell>
          <cell r="B37" t="str">
            <v>IDD5</v>
          </cell>
          <cell r="C37" t="str">
            <v>Execute from Cache;CM33 Active 50 MHz. IHO. Dhrystone</v>
          </cell>
          <cell r="D37" t="str">
            <v xml:space="preserve">- </v>
          </cell>
          <cell r="E37">
            <v>2.4</v>
          </cell>
          <cell r="F37">
            <v>3.4</v>
          </cell>
          <cell r="G37" t="str">
            <v>mA</v>
          </cell>
          <cell r="H37" t="str">
            <v>VDDD=3.3V, Buck ON, Max at 60 C</v>
          </cell>
          <cell r="I37">
            <v>50</v>
          </cell>
          <cell r="J37" t="str">
            <v xml:space="preserve">- </v>
          </cell>
          <cell r="K37">
            <v>2.4</v>
          </cell>
          <cell r="L37">
            <v>3.4</v>
          </cell>
          <cell r="M37" t="str">
            <v>VDDD=3.3V, Buck ON, Max at 60 C</v>
          </cell>
        </row>
        <row r="38">
          <cell r="E38">
            <v>3.7</v>
          </cell>
          <cell r="F38">
            <v>4.0999999999999996</v>
          </cell>
          <cell r="H38" t="str">
            <v>VDDD=1.8V, Buck ON, Max at 60 C</v>
          </cell>
          <cell r="K38">
            <v>3.7</v>
          </cell>
          <cell r="L38">
            <v>4.0999999999999996</v>
          </cell>
          <cell r="M38" t="str">
            <v>VDDD=1.8V, Buck ON, Max at 60 C</v>
          </cell>
        </row>
        <row r="39">
          <cell r="E39">
            <v>5.0999999999999996</v>
          </cell>
          <cell r="F39">
            <v>5.8</v>
          </cell>
          <cell r="H39" t="str">
            <v>VDDD = 1.8 to 3.3 V, LDO, max at 60 C</v>
          </cell>
          <cell r="K39">
            <v>5.0999999999999996</v>
          </cell>
          <cell r="L39">
            <v>5.8</v>
          </cell>
          <cell r="M39" t="str">
            <v>VDDD = 1.8 to 3.3 V, LDO, max at 60 C</v>
          </cell>
        </row>
        <row r="40">
          <cell r="A40" t="str">
            <v>SIDC4</v>
          </cell>
          <cell r="B40" t="str">
            <v>IDD6</v>
          </cell>
          <cell r="C40" t="str">
            <v>Execute from Cache;CM33 Active 8 MHz. IHO. Dhrystone</v>
          </cell>
          <cell r="D40" t="str">
            <v xml:space="preserve">- </v>
          </cell>
          <cell r="E40">
            <v>0.9</v>
          </cell>
          <cell r="F40">
            <v>1.5</v>
          </cell>
          <cell r="G40" t="str">
            <v>mA</v>
          </cell>
          <cell r="H40" t="str">
            <v>VDDD=3.3V, Buck ON, Max at 60 C</v>
          </cell>
          <cell r="I40">
            <v>8</v>
          </cell>
          <cell r="J40" t="str">
            <v xml:space="preserve">- </v>
          </cell>
          <cell r="K40">
            <v>0.9</v>
          </cell>
          <cell r="L40">
            <v>1.5</v>
          </cell>
          <cell r="M40" t="str">
            <v>VDDD=3.3V, Buck ON, Max at 60 C</v>
          </cell>
        </row>
        <row r="41">
          <cell r="E41">
            <v>1.27</v>
          </cell>
          <cell r="F41">
            <v>1.75</v>
          </cell>
          <cell r="H41" t="str">
            <v>VDDD=1.8V, Buck ON, Max at 60 C</v>
          </cell>
          <cell r="K41">
            <v>1.27</v>
          </cell>
          <cell r="L41">
            <v>1.75</v>
          </cell>
          <cell r="M41" t="str">
            <v>VDDD=1.8V, Buck ON, Max at 60 C</v>
          </cell>
        </row>
        <row r="42">
          <cell r="E42">
            <v>1.8</v>
          </cell>
          <cell r="F42">
            <v>2.6</v>
          </cell>
          <cell r="H42" t="str">
            <v>VDDD = 1.8 to 3.3 V, LDO, max at 60 C</v>
          </cell>
          <cell r="K42">
            <v>1.8</v>
          </cell>
          <cell r="L42">
            <v>2.6</v>
          </cell>
          <cell r="M42" t="str">
            <v>VDDD = 1.8 to 3.3 V, LDO, max at 60 C</v>
          </cell>
        </row>
        <row r="43">
          <cell r="A43" t="str">
            <v>Cortex M33. Sleep Mode</v>
          </cell>
        </row>
        <row r="44">
          <cell r="A44" t="str">
            <v>SIDS1</v>
          </cell>
          <cell r="B44" t="str">
            <v>IDD11</v>
          </cell>
          <cell r="C44" t="str">
            <v>CM33 Sleep 100 MHz. With IHO &amp; PLL.</v>
          </cell>
          <cell r="E44">
            <v>1.5</v>
          </cell>
          <cell r="F44">
            <v>2.2000000000000002</v>
          </cell>
          <cell r="G44" t="str">
            <v>mA</v>
          </cell>
          <cell r="H44" t="str">
            <v>VDDD=3.3V, Buck ON, Max at 60 C</v>
          </cell>
          <cell r="I44">
            <v>100</v>
          </cell>
          <cell r="K44">
            <v>1.5</v>
          </cell>
          <cell r="L44">
            <v>2.2000000000000002</v>
          </cell>
          <cell r="M44" t="str">
            <v>VDDD=3.3V, Buck ON, Max at 60 C</v>
          </cell>
        </row>
        <row r="45">
          <cell r="E45">
            <v>2.2000000000000002</v>
          </cell>
          <cell r="F45">
            <v>2.7</v>
          </cell>
          <cell r="H45" t="str">
            <v>VDDD=1.8V, Buck ON, Max at 60 C</v>
          </cell>
          <cell r="K45">
            <v>2.2000000000000002</v>
          </cell>
          <cell r="L45">
            <v>2.7</v>
          </cell>
          <cell r="M45" t="str">
            <v>VDDD=1.8V, Buck ON, Max at 60 C</v>
          </cell>
        </row>
        <row r="46">
          <cell r="E46">
            <v>2.9</v>
          </cell>
          <cell r="F46">
            <v>3.5</v>
          </cell>
          <cell r="H46" t="str">
            <v>VDDD = 1.8 to 3.3 V, LDO, max at 60 C</v>
          </cell>
          <cell r="K46">
            <v>2.9</v>
          </cell>
          <cell r="L46">
            <v>3.5</v>
          </cell>
          <cell r="M46" t="str">
            <v>VDDD = 1.8 to 3.3 V, LDO, max at 60 C</v>
          </cell>
        </row>
        <row r="47">
          <cell r="A47" t="str">
            <v>SIDS2</v>
          </cell>
          <cell r="B47" t="str">
            <v>IDD12</v>
          </cell>
          <cell r="C47" t="str">
            <v>CM33 Sleep 50 MHz. With IHO.</v>
          </cell>
          <cell r="E47">
            <v>1.2</v>
          </cell>
          <cell r="F47">
            <v>1.9</v>
          </cell>
          <cell r="G47" t="str">
            <v>mA</v>
          </cell>
          <cell r="H47" t="str">
            <v>VDDD=3.3V, Buck ON, Max at 60 C</v>
          </cell>
          <cell r="I47">
            <v>50</v>
          </cell>
          <cell r="K47">
            <v>1.2</v>
          </cell>
          <cell r="L47">
            <v>1.9</v>
          </cell>
          <cell r="M47" t="str">
            <v>VDDD=3.3V, Buck ON, Max at 60 C</v>
          </cell>
        </row>
        <row r="48">
          <cell r="E48">
            <v>1.7</v>
          </cell>
          <cell r="F48">
            <v>2.2000000000000002</v>
          </cell>
          <cell r="H48" t="str">
            <v>VDDD=1.8V, Buck ON, Max at 60 C</v>
          </cell>
          <cell r="K48">
            <v>1.7</v>
          </cell>
          <cell r="L48">
            <v>2.2000000000000002</v>
          </cell>
          <cell r="M48" t="str">
            <v>VDDD=1.8V, Buck ON, Max at 60 C</v>
          </cell>
        </row>
        <row r="49">
          <cell r="E49">
            <v>2.2000000000000002</v>
          </cell>
          <cell r="F49">
            <v>2.8</v>
          </cell>
          <cell r="H49" t="str">
            <v>VDDD = 1.8 to 3.3 V, LDO, max at 60 C</v>
          </cell>
          <cell r="K49">
            <v>2.2000000000000002</v>
          </cell>
          <cell r="L49">
            <v>2.8</v>
          </cell>
          <cell r="M49" t="str">
            <v>VDDD = 1.8 to 3.3 V, LDO, max at 60 C</v>
          </cell>
        </row>
        <row r="50">
          <cell r="A50" t="str">
            <v>SIDS3</v>
          </cell>
          <cell r="B50" t="str">
            <v>IDD13</v>
          </cell>
          <cell r="C50" t="str">
            <v>CM33 Sleep 8 MHz. With IHO.</v>
          </cell>
          <cell r="E50">
            <v>0.7</v>
          </cell>
          <cell r="F50">
            <v>1.3</v>
          </cell>
          <cell r="G50" t="str">
            <v>mA</v>
          </cell>
          <cell r="H50" t="str">
            <v>VDDD=3.3V, Buck ON, Max at 60 C</v>
          </cell>
          <cell r="I50">
            <v>8</v>
          </cell>
          <cell r="K50">
            <v>0.7</v>
          </cell>
          <cell r="L50">
            <v>1.3</v>
          </cell>
          <cell r="M50" t="str">
            <v>VDDD=3.3V, Buck ON, Max at 60 C</v>
          </cell>
        </row>
        <row r="51">
          <cell r="E51">
            <v>0.96</v>
          </cell>
          <cell r="F51">
            <v>1.5</v>
          </cell>
          <cell r="H51" t="str">
            <v>VDDD=1.8V, Buck ON, Max at 60 C</v>
          </cell>
          <cell r="K51">
            <v>0.96</v>
          </cell>
          <cell r="L51">
            <v>1.5</v>
          </cell>
          <cell r="M51" t="str">
            <v>VDDD=1.8V, Buck ON, Max at 60 C</v>
          </cell>
        </row>
        <row r="52">
          <cell r="E52">
            <v>1.22</v>
          </cell>
          <cell r="F52">
            <v>2</v>
          </cell>
          <cell r="H52" t="str">
            <v>VDDD = 1.8 to 3.3 V, LDO, max at 60 C</v>
          </cell>
          <cell r="K52">
            <v>1.22</v>
          </cell>
          <cell r="L52">
            <v>2</v>
          </cell>
          <cell r="M52" t="str">
            <v>VDDD = 1.8 to 3.3 V, LDO, max at 60 C</v>
          </cell>
        </row>
        <row r="53">
          <cell r="A53" t="str">
            <v>Deep Sleep Mode</v>
          </cell>
        </row>
        <row r="54">
          <cell r="A54" t="str">
            <v>SIDDS1</v>
          </cell>
          <cell r="B54" t="str">
            <v>IDD33A</v>
          </cell>
          <cell r="C54" t="str">
            <v>With internal Buck enabled and 64K SRAM retention</v>
          </cell>
          <cell r="E54">
            <v>7</v>
          </cell>
          <cell r="G54" t="str">
            <v>µA</v>
          </cell>
          <cell r="H54" t="str">
            <v>Max value is at 85 C</v>
          </cell>
          <cell r="I54" t="str">
            <v>IDD33A</v>
          </cell>
          <cell r="K54">
            <v>7</v>
          </cell>
          <cell r="M54" t="str">
            <v>Max value is at 85 C</v>
          </cell>
        </row>
        <row r="55">
          <cell r="A55" t="str">
            <v>SIDDS1_B</v>
          </cell>
          <cell r="B55" t="str">
            <v>IDD33A_B</v>
          </cell>
          <cell r="C55" t="str">
            <v>With internal Buck enabled and 64K SRAM retention</v>
          </cell>
          <cell r="E55">
            <v>7</v>
          </cell>
          <cell r="G55" t="str">
            <v>µA</v>
          </cell>
          <cell r="H55" t="str">
            <v>Max value is at 60 C</v>
          </cell>
          <cell r="I55" t="str">
            <v>IDD33A_B</v>
          </cell>
          <cell r="K55">
            <v>7</v>
          </cell>
          <cell r="M55" t="str">
            <v>Max value is at 60 C</v>
          </cell>
        </row>
        <row r="56">
          <cell r="A56" t="str">
            <v>SIDDS2</v>
          </cell>
          <cell r="B56" t="str">
            <v>IDD33B</v>
          </cell>
          <cell r="C56" t="str">
            <v>With internal Buck enabled and 256K SRAM retention</v>
          </cell>
          <cell r="E56">
            <v>9</v>
          </cell>
          <cell r="G56" t="str">
            <v>µA</v>
          </cell>
          <cell r="H56" t="str">
            <v>Max value is at 85 C</v>
          </cell>
          <cell r="I56" t="str">
            <v>IDD33B</v>
          </cell>
          <cell r="K56">
            <v>9</v>
          </cell>
          <cell r="M56" t="str">
            <v>Max value is at 85 C</v>
          </cell>
        </row>
        <row r="57">
          <cell r="A57" t="str">
            <v>SIDDS2_B</v>
          </cell>
          <cell r="B57" t="str">
            <v>IDD33B_B</v>
          </cell>
          <cell r="C57" t="str">
            <v>With internal Buck enabled and 256K SRAM retention</v>
          </cell>
          <cell r="E57">
            <v>9</v>
          </cell>
          <cell r="G57" t="str">
            <v>µA</v>
          </cell>
          <cell r="H57" t="str">
            <v>Max value is at 60 C</v>
          </cell>
          <cell r="I57" t="str">
            <v>IDD33B_B</v>
          </cell>
          <cell r="K57">
            <v>9</v>
          </cell>
          <cell r="M57" t="str">
            <v>Max value is at 60 C</v>
          </cell>
        </row>
        <row r="58">
          <cell r="A58" t="str">
            <v>Hibernate Mode</v>
          </cell>
        </row>
        <row r="59">
          <cell r="A59" t="str">
            <v>SIDHIB1</v>
          </cell>
          <cell r="B59" t="str">
            <v>IDD34</v>
          </cell>
          <cell r="C59" t="str">
            <v>VDDD = 1.8V</v>
          </cell>
          <cell r="E59">
            <v>300</v>
          </cell>
          <cell r="G59" t="str">
            <v>nA</v>
          </cell>
          <cell r="H59" t="str">
            <v>No clocks running</v>
          </cell>
          <cell r="I59" t="str">
            <v>IDD34</v>
          </cell>
          <cell r="K59">
            <v>300</v>
          </cell>
          <cell r="M59" t="str">
            <v>No clocks running</v>
          </cell>
        </row>
        <row r="60">
          <cell r="A60" t="str">
            <v>SIDHIB2</v>
          </cell>
          <cell r="B60" t="str">
            <v>IDD34A</v>
          </cell>
          <cell r="C60" t="str">
            <v>VDDD = 3.3V</v>
          </cell>
          <cell r="E60">
            <v>800</v>
          </cell>
          <cell r="G60" t="str">
            <v>nA</v>
          </cell>
          <cell r="H60" t="str">
            <v>No clocks running</v>
          </cell>
          <cell r="I60" t="str">
            <v>IDD34A</v>
          </cell>
          <cell r="K60">
            <v>800</v>
          </cell>
          <cell r="M60" t="str">
            <v>No clocks running</v>
          </cell>
        </row>
        <row r="61">
          <cell r="A61" t="str">
            <v>Power Mode Transition Times</v>
          </cell>
        </row>
        <row r="62">
          <cell r="A62" t="str">
            <v>SID13A</v>
          </cell>
          <cell r="B62" t="str">
            <v>TDS_ACT</v>
          </cell>
          <cell r="C62" t="str">
            <v>Deep Sleep to Active transition time. Guaranteed by Design.</v>
          </cell>
          <cell r="F62">
            <v>36</v>
          </cell>
          <cell r="G62" t="str">
            <v>µS</v>
          </cell>
          <cell r="I62" t="str">
            <v>TDS_ACT</v>
          </cell>
          <cell r="K62">
            <v>43133</v>
          </cell>
          <cell r="L62">
            <v>36</v>
          </cell>
        </row>
        <row r="63">
          <cell r="A63" t="str">
            <v>SID14</v>
          </cell>
          <cell r="B63" t="str">
            <v>THIB_ACT</v>
          </cell>
          <cell r="C63" t="str">
            <v>Hibernate to Active transition time</v>
          </cell>
          <cell r="E63">
            <v>500</v>
          </cell>
          <cell r="G63" t="str">
            <v>µS</v>
          </cell>
          <cell r="H63" t="str">
            <v>Including PLL lock time</v>
          </cell>
          <cell r="I63" t="str">
            <v>THIB_ACT</v>
          </cell>
          <cell r="K63">
            <v>500</v>
          </cell>
          <cell r="M63" t="str">
            <v>Including PLL lock time</v>
          </cell>
        </row>
        <row r="64">
          <cell r="A64" t="str">
            <v>Table 4. XRES (Active Low) Specifications</v>
          </cell>
        </row>
        <row r="65">
          <cell r="A65" t="str">
            <v>XRES AC Specifications</v>
          </cell>
        </row>
        <row r="66">
          <cell r="A66" t="str">
            <v>SID15</v>
          </cell>
          <cell r="B66" t="str">
            <v>TXRES_ACT</v>
          </cell>
          <cell r="C66" t="str">
            <v>POR or XRES release to Active transition time</v>
          </cell>
          <cell r="E66">
            <v>750</v>
          </cell>
          <cell r="G66" t="str">
            <v>µS</v>
          </cell>
          <cell r="H66" t="str">
            <v>Normal mode, 50 Mhz M0+.</v>
          </cell>
          <cell r="I66" t="str">
            <v>TXRES_ACT</v>
          </cell>
          <cell r="K66">
            <v>43133</v>
          </cell>
          <cell r="M66" t="str">
            <v>Normal mode, 50 Mhz M0+.</v>
          </cell>
        </row>
        <row r="67">
          <cell r="A67" t="str">
            <v>SID16</v>
          </cell>
          <cell r="B67" t="str">
            <v>TXRES_PW</v>
          </cell>
          <cell r="C67" t="str">
            <v>XRES Pulse width</v>
          </cell>
          <cell r="D67">
            <v>5</v>
          </cell>
          <cell r="G67" t="str">
            <v>µS</v>
          </cell>
          <cell r="I67" t="str">
            <v>TXRES_PW</v>
          </cell>
          <cell r="J67">
            <v>5</v>
          </cell>
        </row>
        <row r="68">
          <cell r="A68" t="str">
            <v>XRES DC Specifications</v>
          </cell>
        </row>
        <row r="69">
          <cell r="A69" t="str">
            <v>SID17</v>
          </cell>
          <cell r="B69" t="str">
            <v>TXRES_IDD</v>
          </cell>
          <cell r="C69" t="str">
            <v xml:space="preserve">IDD when XRES asserted </v>
          </cell>
          <cell r="E69">
            <v>300</v>
          </cell>
          <cell r="G69" t="str">
            <v>nA</v>
          </cell>
          <cell r="H69" t="str">
            <v>VDDD = 1.8V</v>
          </cell>
          <cell r="I69" t="str">
            <v>TXRES_IDD</v>
          </cell>
          <cell r="K69">
            <v>300</v>
          </cell>
          <cell r="M69" t="str">
            <v>VDDD = 1.8V</v>
          </cell>
        </row>
        <row r="70">
          <cell r="A70" t="str">
            <v>SID17A</v>
          </cell>
          <cell r="B70" t="str">
            <v>TXRES_IDD_1</v>
          </cell>
          <cell r="C70" t="str">
            <v>IDD when XRES asserted</v>
          </cell>
          <cell r="E70">
            <v>800</v>
          </cell>
          <cell r="G70" t="str">
            <v>nA</v>
          </cell>
          <cell r="H70" t="str">
            <v>VDDD = 3.3V</v>
          </cell>
          <cell r="I70" t="str">
            <v>TXRES_IDD_1</v>
          </cell>
          <cell r="K70">
            <v>800</v>
          </cell>
          <cell r="M70" t="str">
            <v>VDDD = 3.3V</v>
          </cell>
        </row>
        <row r="71">
          <cell r="A71" t="str">
            <v>SID77</v>
          </cell>
          <cell r="B71" t="str">
            <v>VIH</v>
          </cell>
          <cell r="C71" t="str">
            <v>Input Voltage high threshold</v>
          </cell>
          <cell r="D71" t="str">
            <v>0.7*VDD</v>
          </cell>
          <cell r="E71" t="str">
            <v xml:space="preserve">- </v>
          </cell>
          <cell r="F71" t="str">
            <v xml:space="preserve">- </v>
          </cell>
          <cell r="G71" t="str">
            <v>V</v>
          </cell>
          <cell r="H71" t="str">
            <v>CMOS Input</v>
          </cell>
          <cell r="I71" t="str">
            <v>VIH</v>
          </cell>
          <cell r="J71" t="str">
            <v>0.7*VDD</v>
          </cell>
          <cell r="K71" t="str">
            <v xml:space="preserve">- </v>
          </cell>
          <cell r="L71" t="str">
            <v xml:space="preserve">- </v>
          </cell>
          <cell r="M71" t="str">
            <v>CMOS Input</v>
          </cell>
        </row>
        <row r="72">
          <cell r="A72" t="str">
            <v>SID78</v>
          </cell>
          <cell r="B72" t="str">
            <v>VIL</v>
          </cell>
          <cell r="C72" t="str">
            <v>Input Voltage low threshold</v>
          </cell>
          <cell r="D72" t="str">
            <v xml:space="preserve">- </v>
          </cell>
          <cell r="E72" t="str">
            <v xml:space="preserve">- </v>
          </cell>
          <cell r="F72" t="str">
            <v>0.3*VDD</v>
          </cell>
          <cell r="G72" t="str">
            <v>V</v>
          </cell>
          <cell r="H72" t="str">
            <v>CMOS Input</v>
          </cell>
          <cell r="I72" t="str">
            <v>VIL</v>
          </cell>
          <cell r="J72" t="str">
            <v xml:space="preserve">- </v>
          </cell>
          <cell r="K72" t="str">
            <v xml:space="preserve">- </v>
          </cell>
          <cell r="L72" t="str">
            <v>0.3*VDD</v>
          </cell>
          <cell r="M72" t="str">
            <v>CMOS Input</v>
          </cell>
        </row>
        <row r="73">
          <cell r="A73" t="str">
            <v>SID80</v>
          </cell>
          <cell r="B73" t="str">
            <v>CIN</v>
          </cell>
          <cell r="C73" t="str">
            <v>Input Capacitance</v>
          </cell>
          <cell r="D73" t="str">
            <v xml:space="preserve">- </v>
          </cell>
          <cell r="E73">
            <v>3</v>
          </cell>
          <cell r="F73" t="str">
            <v xml:space="preserve">- </v>
          </cell>
          <cell r="G73" t="str">
            <v>pF</v>
          </cell>
          <cell r="I73" t="str">
            <v>XRES resistor removed</v>
          </cell>
          <cell r="J73" t="str">
            <v xml:space="preserve">- </v>
          </cell>
          <cell r="K73">
            <v>3</v>
          </cell>
          <cell r="L73" t="str">
            <v xml:space="preserve">- </v>
          </cell>
        </row>
        <row r="74">
          <cell r="A74" t="str">
            <v>SID81</v>
          </cell>
          <cell r="B74" t="str">
            <v>VHYSXRES</v>
          </cell>
          <cell r="C74" t="str">
            <v>Input voltage hysteresis</v>
          </cell>
          <cell r="D74" t="str">
            <v xml:space="preserve">- </v>
          </cell>
          <cell r="E74">
            <v>100</v>
          </cell>
          <cell r="F74" t="str">
            <v xml:space="preserve">- </v>
          </cell>
          <cell r="G74" t="str">
            <v>mV</v>
          </cell>
          <cell r="I74" t="str">
            <v>VHYSXRES</v>
          </cell>
          <cell r="J74" t="str">
            <v xml:space="preserve">- </v>
          </cell>
          <cell r="K74">
            <v>100</v>
          </cell>
          <cell r="L74" t="str">
            <v xml:space="preserve">- </v>
          </cell>
        </row>
        <row r="75">
          <cell r="A75" t="str">
            <v>SID82</v>
          </cell>
          <cell r="B75" t="str">
            <v>IDIODE</v>
          </cell>
          <cell r="C75" t="str">
            <v>Current through protection diode to VDD/Vss</v>
          </cell>
          <cell r="F75">
            <v>100</v>
          </cell>
          <cell r="G75" t="str">
            <v>µA</v>
          </cell>
          <cell r="I75" t="str">
            <v>IDIODE</v>
          </cell>
          <cell r="L75">
            <v>100</v>
          </cell>
        </row>
        <row r="76">
          <cell r="A76" t="str">
            <v>TABLE 5. GPIO Specifications</v>
          </cell>
        </row>
        <row r="77">
          <cell r="A77" t="str">
            <v>GPIO DC Specifications</v>
          </cell>
        </row>
        <row r="78">
          <cell r="A78" t="str">
            <v>SID57</v>
          </cell>
          <cell r="B78" t="str">
            <v>VIH</v>
          </cell>
          <cell r="C78" t="str">
            <v>Input Voltage high threshold</v>
          </cell>
          <cell r="D78" t="str">
            <v>0.7*VDD</v>
          </cell>
          <cell r="E78" t="str">
            <v xml:space="preserve">- </v>
          </cell>
          <cell r="F78" t="str">
            <v xml:space="preserve">- </v>
          </cell>
          <cell r="G78" t="str">
            <v>V</v>
          </cell>
          <cell r="H78" t="str">
            <v>CMOS Input</v>
          </cell>
          <cell r="I78" t="str">
            <v>VIH</v>
          </cell>
          <cell r="J78" t="str">
            <v>0.7*VDD</v>
          </cell>
          <cell r="K78" t="str">
            <v xml:space="preserve">- </v>
          </cell>
          <cell r="L78" t="str">
            <v xml:space="preserve">- </v>
          </cell>
          <cell r="M78" t="str">
            <v>CMOS Input</v>
          </cell>
        </row>
        <row r="79">
          <cell r="A79" t="str">
            <v>SID57A</v>
          </cell>
          <cell r="B79" t="str">
            <v>Iihs</v>
          </cell>
          <cell r="C79" t="str">
            <v>Input current when Pad &gt; VDDIO for OVT inputs</v>
          </cell>
          <cell r="D79" t="str">
            <v xml:space="preserve">- </v>
          </cell>
          <cell r="E79" t="str">
            <v xml:space="preserve">- </v>
          </cell>
          <cell r="F79">
            <v>10</v>
          </cell>
          <cell r="G79" t="str">
            <v>µA</v>
          </cell>
          <cell r="H79" t="str">
            <v>per I2C Spec</v>
          </cell>
          <cell r="I79" t="str">
            <v>Iihs</v>
          </cell>
          <cell r="J79" t="str">
            <v xml:space="preserve">- </v>
          </cell>
          <cell r="K79" t="str">
            <v xml:space="preserve">- </v>
          </cell>
          <cell r="L79">
            <v>10</v>
          </cell>
          <cell r="M79" t="str">
            <v>per I2C Spec</v>
          </cell>
        </row>
        <row r="80">
          <cell r="A80" t="str">
            <v>SID58</v>
          </cell>
          <cell r="B80" t="str">
            <v>VIL</v>
          </cell>
          <cell r="C80" t="str">
            <v>Input Voltage low threshold</v>
          </cell>
          <cell r="D80" t="str">
            <v xml:space="preserve">- </v>
          </cell>
          <cell r="E80" t="str">
            <v xml:space="preserve">- </v>
          </cell>
          <cell r="F80" t="str">
            <v>0.3*VDD</v>
          </cell>
          <cell r="G80" t="str">
            <v>V</v>
          </cell>
          <cell r="H80" t="str">
            <v>CMOS Input</v>
          </cell>
          <cell r="I80" t="str">
            <v>VIL</v>
          </cell>
          <cell r="J80" t="str">
            <v xml:space="preserve">- </v>
          </cell>
          <cell r="K80" t="str">
            <v xml:space="preserve">- </v>
          </cell>
          <cell r="L80" t="str">
            <v>0.3*VDD</v>
          </cell>
          <cell r="M80" t="str">
            <v>CMOS Input</v>
          </cell>
        </row>
        <row r="81">
          <cell r="A81" t="str">
            <v>SID241</v>
          </cell>
          <cell r="B81" t="str">
            <v>VIH</v>
          </cell>
          <cell r="C81" t="str">
            <v>LVTTL input, VDD &lt; 2.7V</v>
          </cell>
          <cell r="D81" t="str">
            <v>0.7*VDD</v>
          </cell>
          <cell r="E81" t="str">
            <v xml:space="preserve">- </v>
          </cell>
          <cell r="F81" t="str">
            <v xml:space="preserve">- </v>
          </cell>
          <cell r="G81" t="str">
            <v>V</v>
          </cell>
          <cell r="I81" t="str">
            <v>VIH</v>
          </cell>
          <cell r="J81" t="str">
            <v>0.7*VDD</v>
          </cell>
          <cell r="K81" t="str">
            <v xml:space="preserve">- </v>
          </cell>
          <cell r="L81" t="str">
            <v xml:space="preserve">- </v>
          </cell>
        </row>
        <row r="82">
          <cell r="A82" t="str">
            <v>SID242</v>
          </cell>
          <cell r="B82" t="str">
            <v>VIL</v>
          </cell>
          <cell r="C82" t="str">
            <v>LVTTL input, VDD &lt; 2.7V</v>
          </cell>
          <cell r="D82" t="str">
            <v xml:space="preserve">- </v>
          </cell>
          <cell r="E82" t="str">
            <v xml:space="preserve">- </v>
          </cell>
          <cell r="F82" t="str">
            <v>0.3*VDD</v>
          </cell>
          <cell r="G82" t="str">
            <v>V</v>
          </cell>
          <cell r="I82" t="str">
            <v>VIL</v>
          </cell>
          <cell r="J82" t="str">
            <v xml:space="preserve">- </v>
          </cell>
          <cell r="K82" t="str">
            <v xml:space="preserve">- </v>
          </cell>
          <cell r="L82" t="str">
            <v>0.3*VDD</v>
          </cell>
        </row>
        <row r="83">
          <cell r="A83" t="str">
            <v>SID243</v>
          </cell>
          <cell r="B83" t="str">
            <v>VIH</v>
          </cell>
          <cell r="C83" t="str">
            <v>LVTTL input, VDD &gt;= 2.7V</v>
          </cell>
          <cell r="D83">
            <v>2</v>
          </cell>
          <cell r="E83" t="str">
            <v xml:space="preserve">- </v>
          </cell>
          <cell r="F83" t="str">
            <v xml:space="preserve">- </v>
          </cell>
          <cell r="G83" t="str">
            <v>V</v>
          </cell>
          <cell r="I83" t="str">
            <v>VIH</v>
          </cell>
          <cell r="J83">
            <v>2</v>
          </cell>
          <cell r="K83" t="str">
            <v xml:space="preserve">- </v>
          </cell>
          <cell r="L83" t="str">
            <v xml:space="preserve">- </v>
          </cell>
        </row>
        <row r="84">
          <cell r="A84" t="str">
            <v>SID244</v>
          </cell>
          <cell r="B84" t="str">
            <v>VIL</v>
          </cell>
          <cell r="C84" t="str">
            <v>LVTTL input, VDD &gt;= 2.7V</v>
          </cell>
          <cell r="D84" t="str">
            <v xml:space="preserve">- </v>
          </cell>
          <cell r="E84" t="str">
            <v xml:space="preserve">- </v>
          </cell>
          <cell r="F84">
            <v>0.8</v>
          </cell>
          <cell r="G84" t="str">
            <v>V</v>
          </cell>
          <cell r="I84" t="str">
            <v>VIL</v>
          </cell>
          <cell r="J84" t="str">
            <v xml:space="preserve">- </v>
          </cell>
          <cell r="K84" t="str">
            <v xml:space="preserve">- </v>
          </cell>
          <cell r="L84">
            <v>0.8</v>
          </cell>
        </row>
        <row r="85">
          <cell r="A85" t="str">
            <v>SID59</v>
          </cell>
          <cell r="B85" t="str">
            <v>VOH</v>
          </cell>
          <cell r="C85" t="str">
            <v>Output Voltage high level</v>
          </cell>
          <cell r="D85" t="str">
            <v>VDD-0.5</v>
          </cell>
          <cell r="E85" t="str">
            <v xml:space="preserve">- </v>
          </cell>
          <cell r="F85" t="str">
            <v xml:space="preserve">- </v>
          </cell>
          <cell r="G85" t="str">
            <v>V</v>
          </cell>
          <cell r="H85" t="str">
            <v>Ioh = 8 mA</v>
          </cell>
          <cell r="I85" t="str">
            <v>VOH</v>
          </cell>
          <cell r="J85" t="str">
            <v>VDD-0.5</v>
          </cell>
          <cell r="K85" t="str">
            <v xml:space="preserve">- </v>
          </cell>
          <cell r="L85" t="str">
            <v xml:space="preserve">- </v>
          </cell>
          <cell r="M85" t="str">
            <v>Ioh = 8 mA</v>
          </cell>
        </row>
        <row r="86">
          <cell r="A86" t="str">
            <v>SID62A</v>
          </cell>
          <cell r="B86" t="str">
            <v>VOL</v>
          </cell>
          <cell r="C86" t="str">
            <v>Output Voltage low level</v>
          </cell>
          <cell r="D86" t="str">
            <v xml:space="preserve">- </v>
          </cell>
          <cell r="E86" t="str">
            <v xml:space="preserve">- </v>
          </cell>
          <cell r="F86">
            <v>0.4</v>
          </cell>
          <cell r="G86" t="str">
            <v>V</v>
          </cell>
          <cell r="H86" t="str">
            <v>Iol = 8 mA</v>
          </cell>
          <cell r="I86" t="str">
            <v>VOL</v>
          </cell>
          <cell r="J86" t="str">
            <v xml:space="preserve">- </v>
          </cell>
          <cell r="K86" t="str">
            <v xml:space="preserve">- </v>
          </cell>
          <cell r="L86">
            <v>0.4</v>
          </cell>
          <cell r="M86" t="str">
            <v>Iol = 8 mA</v>
          </cell>
        </row>
        <row r="87">
          <cell r="A87" t="str">
            <v>SID63</v>
          </cell>
          <cell r="B87" t="str">
            <v>RPULLUP</v>
          </cell>
          <cell r="C87" t="str">
            <v>Pull-up resistor</v>
          </cell>
          <cell r="D87">
            <v>3.5</v>
          </cell>
          <cell r="E87">
            <v>5.6</v>
          </cell>
          <cell r="F87">
            <v>8.5</v>
          </cell>
          <cell r="G87" t="str">
            <v>kΩ</v>
          </cell>
          <cell r="I87" t="str">
            <v>RPULLUP</v>
          </cell>
          <cell r="J87">
            <v>3.5</v>
          </cell>
          <cell r="K87">
            <v>5.6</v>
          </cell>
          <cell r="L87">
            <v>8.5</v>
          </cell>
        </row>
        <row r="88">
          <cell r="A88" t="str">
            <v>SID64</v>
          </cell>
          <cell r="B88" t="str">
            <v>RPULLDOWN</v>
          </cell>
          <cell r="C88" t="str">
            <v>Pull-down resistor</v>
          </cell>
          <cell r="D88">
            <v>3.5</v>
          </cell>
          <cell r="E88">
            <v>5.6</v>
          </cell>
          <cell r="F88">
            <v>8.5</v>
          </cell>
          <cell r="G88" t="str">
            <v>kΩ</v>
          </cell>
          <cell r="I88" t="str">
            <v>RPULLDOWN</v>
          </cell>
          <cell r="J88">
            <v>3.5</v>
          </cell>
          <cell r="K88">
            <v>5.6</v>
          </cell>
          <cell r="L88">
            <v>8.5</v>
          </cell>
        </row>
        <row r="89">
          <cell r="A89" t="str">
            <v>SID65</v>
          </cell>
          <cell r="B89" t="str">
            <v>IIL</v>
          </cell>
          <cell r="C89" t="str">
            <v>Input leakage current(absolute value)</v>
          </cell>
          <cell r="D89" t="str">
            <v xml:space="preserve">- </v>
          </cell>
          <cell r="E89" t="str">
            <v xml:space="preserve">- </v>
          </cell>
          <cell r="F89">
            <v>2</v>
          </cell>
          <cell r="G89" t="str">
            <v>nA</v>
          </cell>
          <cell r="H89" t="str">
            <v>25° C, VDD = 3.0V</v>
          </cell>
          <cell r="I89" t="str">
            <v>IIL</v>
          </cell>
          <cell r="J89" t="str">
            <v>Change 1</v>
          </cell>
          <cell r="K89" t="str">
            <v xml:space="preserve">- </v>
          </cell>
          <cell r="L89">
            <v>2</v>
          </cell>
          <cell r="M89" t="str">
            <v>25° C, VDD = 3.0V</v>
          </cell>
        </row>
        <row r="90">
          <cell r="A90" t="str">
            <v>SID66</v>
          </cell>
          <cell r="B90" t="str">
            <v>CIN</v>
          </cell>
          <cell r="C90" t="str">
            <v>Input Capacitance</v>
          </cell>
          <cell r="D90" t="str">
            <v xml:space="preserve">- </v>
          </cell>
          <cell r="E90" t="str">
            <v xml:space="preserve">- </v>
          </cell>
          <cell r="F90">
            <v>5</v>
          </cell>
          <cell r="G90" t="str">
            <v>pF</v>
          </cell>
          <cell r="I90" t="str">
            <v>CIN</v>
          </cell>
          <cell r="J90" t="str">
            <v xml:space="preserve">- </v>
          </cell>
          <cell r="K90" t="str">
            <v xml:space="preserve">- </v>
          </cell>
          <cell r="L90">
            <v>5</v>
          </cell>
        </row>
        <row r="91">
          <cell r="A91" t="str">
            <v>SID67</v>
          </cell>
          <cell r="B91" t="str">
            <v>VHYSTTL</v>
          </cell>
          <cell r="C91" t="str">
            <v>Input hysteresis LVTTL VDD &gt; 2.7V</v>
          </cell>
          <cell r="D91">
            <v>100</v>
          </cell>
          <cell r="E91">
            <v>0</v>
          </cell>
          <cell r="F91" t="str">
            <v>-</v>
          </cell>
          <cell r="G91" t="str">
            <v>mV</v>
          </cell>
          <cell r="I91" t="str">
            <v>VHYSTTL</v>
          </cell>
          <cell r="J91">
            <v>100</v>
          </cell>
          <cell r="K91">
            <v>0</v>
          </cell>
          <cell r="L91" t="str">
            <v>-</v>
          </cell>
        </row>
        <row r="92">
          <cell r="A92" t="str">
            <v>SID68</v>
          </cell>
          <cell r="B92" t="str">
            <v>VHYSCMOS</v>
          </cell>
          <cell r="C92" t="str">
            <v>Input hysteresis CMOS</v>
          </cell>
          <cell r="D92" t="str">
            <v>0.05*VDD</v>
          </cell>
          <cell r="E92" t="str">
            <v xml:space="preserve">- </v>
          </cell>
          <cell r="F92" t="str">
            <v>-</v>
          </cell>
          <cell r="G92" t="str">
            <v>mV</v>
          </cell>
          <cell r="I92" t="str">
            <v>VHYSCMOS</v>
          </cell>
          <cell r="J92" t="str">
            <v>0.05*VDD</v>
          </cell>
          <cell r="K92" t="str">
            <v xml:space="preserve">- </v>
          </cell>
          <cell r="L92" t="str">
            <v>-</v>
          </cell>
        </row>
        <row r="93">
          <cell r="A93" t="str">
            <v>SID69</v>
          </cell>
          <cell r="B93" t="str">
            <v>IDIODE</v>
          </cell>
          <cell r="C93" t="str">
            <v>Current through protection diode to VDD/VSS</v>
          </cell>
          <cell r="D93" t="str">
            <v xml:space="preserve">- </v>
          </cell>
          <cell r="E93" t="str">
            <v xml:space="preserve">- </v>
          </cell>
          <cell r="F93">
            <v>100</v>
          </cell>
          <cell r="G93" t="str">
            <v>µA</v>
          </cell>
          <cell r="I93" t="str">
            <v>IDIODE</v>
          </cell>
          <cell r="J93" t="str">
            <v xml:space="preserve">- </v>
          </cell>
          <cell r="K93" t="str">
            <v xml:space="preserve">- </v>
          </cell>
          <cell r="L93">
            <v>100</v>
          </cell>
        </row>
        <row r="94">
          <cell r="A94" t="str">
            <v>SID69A</v>
          </cell>
          <cell r="B94" t="str">
            <v>ITOT_GPIO</v>
          </cell>
          <cell r="C94" t="str">
            <v>Maximum Total Source or Sink Chip Current</v>
          </cell>
          <cell r="F94">
            <v>200</v>
          </cell>
          <cell r="G94" t="str">
            <v>mA</v>
          </cell>
          <cell r="I94" t="str">
            <v>ITOT_GPIO</v>
          </cell>
          <cell r="L94">
            <v>200</v>
          </cell>
        </row>
        <row r="95">
          <cell r="A95" t="str">
            <v>GPIO AC Specifications</v>
          </cell>
        </row>
        <row r="96">
          <cell r="A96" t="str">
            <v>SID70</v>
          </cell>
          <cell r="B96" t="str">
            <v>TRISEF</v>
          </cell>
          <cell r="C96" t="str">
            <v>Rise time in Fast Strong Mode. 10% to 90% of VDD</v>
          </cell>
          <cell r="D96" t="str">
            <v xml:space="preserve">- </v>
          </cell>
          <cell r="E96" t="str">
            <v xml:space="preserve">- </v>
          </cell>
          <cell r="F96">
            <v>2.5</v>
          </cell>
          <cell r="G96" t="str">
            <v>ns</v>
          </cell>
          <cell r="H96" t="str">
            <v>Cload = 15 pF, 8mA drive strength</v>
          </cell>
          <cell r="I96" t="str">
            <v>TRISEF</v>
          </cell>
          <cell r="J96" t="str">
            <v xml:space="preserve">- </v>
          </cell>
          <cell r="K96" t="str">
            <v xml:space="preserve">- </v>
          </cell>
          <cell r="L96">
            <v>2.5</v>
          </cell>
          <cell r="M96" t="str">
            <v>Cload = 15 pF, 8mA drive strength</v>
          </cell>
        </row>
        <row r="97">
          <cell r="A97" t="str">
            <v>SID71</v>
          </cell>
          <cell r="B97" t="str">
            <v>TFALLF</v>
          </cell>
          <cell r="C97" t="str">
            <v>Fall time in Fast Strong Mode. 10% to 90% of VDD.</v>
          </cell>
          <cell r="D97" t="str">
            <v xml:space="preserve">- </v>
          </cell>
          <cell r="E97" t="str">
            <v xml:space="preserve">- </v>
          </cell>
          <cell r="F97">
            <v>2.5</v>
          </cell>
          <cell r="G97" t="str">
            <v>ns</v>
          </cell>
          <cell r="H97" t="str">
            <v>Cload = 15 pF, 8 mA drive strength</v>
          </cell>
          <cell r="I97" t="str">
            <v>TFALLF</v>
          </cell>
          <cell r="J97" t="str">
            <v xml:space="preserve">- </v>
          </cell>
          <cell r="K97" t="str">
            <v xml:space="preserve">- </v>
          </cell>
          <cell r="L97">
            <v>2.5</v>
          </cell>
          <cell r="M97" t="str">
            <v>Cload = 15 pF, 8 mA drive strength</v>
          </cell>
        </row>
        <row r="98">
          <cell r="A98" t="str">
            <v>SID72</v>
          </cell>
          <cell r="B98" t="str">
            <v>TRISES_1</v>
          </cell>
          <cell r="C98" t="str">
            <v>Rise time in Slow Strong Mode. 10% to 90% of VDD</v>
          </cell>
          <cell r="D98">
            <v>52</v>
          </cell>
          <cell r="E98" t="str">
            <v xml:space="preserve">- </v>
          </cell>
          <cell r="F98">
            <v>142</v>
          </cell>
          <cell r="G98" t="str">
            <v>ns</v>
          </cell>
          <cell r="H98" t="str">
            <v>Cload = 15 pF, 8 mA drive strength, VDD &lt;= 2.7V</v>
          </cell>
          <cell r="I98" t="str">
            <v>TRISES_1</v>
          </cell>
          <cell r="J98">
            <v>52</v>
          </cell>
          <cell r="K98" t="str">
            <v xml:space="preserve">- </v>
          </cell>
          <cell r="L98">
            <v>142</v>
          </cell>
          <cell r="M98" t="str">
            <v>Cload = 15 pF, 8 mA drive strength, VDD &lt;= 2.7V</v>
          </cell>
        </row>
        <row r="99">
          <cell r="A99" t="str">
            <v>SID72A</v>
          </cell>
          <cell r="B99" t="str">
            <v>TRISES_2</v>
          </cell>
          <cell r="C99" t="str">
            <v>Rise time in Slow Strong Mode. 10% to 90% of VDD</v>
          </cell>
          <cell r="D99">
            <v>48</v>
          </cell>
          <cell r="E99" t="str">
            <v xml:space="preserve">- </v>
          </cell>
          <cell r="F99">
            <v>102</v>
          </cell>
          <cell r="G99" t="str">
            <v>ns</v>
          </cell>
          <cell r="H99" t="str">
            <v>Cload = 15 pF, 8 mA drive strength, 2.7V &lt; VDD &lt;= 3.6</v>
          </cell>
          <cell r="I99" t="str">
            <v>TRISES_2</v>
          </cell>
          <cell r="J99">
            <v>48</v>
          </cell>
          <cell r="K99" t="str">
            <v xml:space="preserve">- </v>
          </cell>
          <cell r="L99">
            <v>102</v>
          </cell>
          <cell r="M99" t="str">
            <v>Cload = 15 pF, 8 mA drive strength, 2.7V &lt; VDD &lt;= 3.6</v>
          </cell>
        </row>
        <row r="100">
          <cell r="A100" t="str">
            <v>SID73</v>
          </cell>
          <cell r="B100" t="str">
            <v>TFALLS_1</v>
          </cell>
          <cell r="C100" t="str">
            <v>Fall time in Slow Strong Mode. 10% to 90% of VDD</v>
          </cell>
          <cell r="D100">
            <v>44</v>
          </cell>
          <cell r="E100" t="str">
            <v xml:space="preserve">- </v>
          </cell>
          <cell r="F100">
            <v>211</v>
          </cell>
          <cell r="G100" t="str">
            <v>ns</v>
          </cell>
          <cell r="H100" t="str">
            <v>Cload = 15 pF, 8 mA drive strength, VDD &lt;= 2.7V</v>
          </cell>
          <cell r="I100" t="str">
            <v>TFALLS_1</v>
          </cell>
          <cell r="J100">
            <v>44</v>
          </cell>
          <cell r="K100" t="str">
            <v xml:space="preserve">- </v>
          </cell>
          <cell r="L100">
            <v>211</v>
          </cell>
          <cell r="M100" t="str">
            <v>Cload = 15 pF, 8 mA drive strength, VDD &lt;= 2.7V</v>
          </cell>
        </row>
        <row r="101">
          <cell r="A101" t="str">
            <v>SID73A</v>
          </cell>
          <cell r="B101" t="str">
            <v>TFALLS_2</v>
          </cell>
          <cell r="C101" t="str">
            <v>Fall time in Slow Strong Mode. 10% to 90% of VDD</v>
          </cell>
          <cell r="D101">
            <v>42</v>
          </cell>
          <cell r="E101" t="str">
            <v xml:space="preserve">- </v>
          </cell>
          <cell r="F101">
            <v>93</v>
          </cell>
          <cell r="G101" t="str">
            <v>ns</v>
          </cell>
          <cell r="H101" t="str">
            <v>Cload = 15 pF, 8 mA drive strength, 2.7V &lt; VDD &lt;= 3.6</v>
          </cell>
          <cell r="I101" t="str">
            <v>TFALLS_2</v>
          </cell>
          <cell r="J101">
            <v>42</v>
          </cell>
          <cell r="K101" t="str">
            <v xml:space="preserve">- </v>
          </cell>
          <cell r="L101">
            <v>93</v>
          </cell>
          <cell r="M101" t="str">
            <v>Cload = 15 pF, 8 mA drive strength, 2.7V &lt; VDD &lt;= 3.6</v>
          </cell>
        </row>
        <row r="102">
          <cell r="A102" t="str">
            <v>SID73G</v>
          </cell>
          <cell r="B102" t="str">
            <v>TFALL_I2C</v>
          </cell>
          <cell r="C102" t="str">
            <v>Fall time (30% to 70% of VDD) in Slow Strong mode</v>
          </cell>
          <cell r="D102" t="str">
            <v>20*Vddio/5.5</v>
          </cell>
          <cell r="F102">
            <v>250</v>
          </cell>
          <cell r="G102" t="str">
            <v>ns</v>
          </cell>
          <cell r="H102" t="str">
            <v>Cload = 10pF to 400pF, 8mA drive strength</v>
          </cell>
          <cell r="I102" t="str">
            <v>TFALL_I2C</v>
          </cell>
          <cell r="J102" t="str">
            <v>20*Vddio/5.5</v>
          </cell>
          <cell r="L102">
            <v>250</v>
          </cell>
          <cell r="M102" t="str">
            <v>Cload = 10pF to 400pF, 8mA drive strength</v>
          </cell>
        </row>
        <row r="103">
          <cell r="A103" t="str">
            <v>SID74</v>
          </cell>
          <cell r="B103" t="str">
            <v>FGPIOUT1</v>
          </cell>
          <cell r="C103" t="str">
            <v>GPIO Fout. Fast Strong mode.</v>
          </cell>
          <cell r="D103" t="str">
            <v xml:space="preserve">- </v>
          </cell>
          <cell r="E103" t="str">
            <v xml:space="preserve">- </v>
          </cell>
          <cell r="F103">
            <v>100</v>
          </cell>
          <cell r="G103" t="str">
            <v>MHz</v>
          </cell>
          <cell r="H103" t="str">
            <v>90/10%, 15 pF load, 60/40 duty cycle</v>
          </cell>
          <cell r="I103" t="str">
            <v>FGPIOUT1</v>
          </cell>
          <cell r="J103" t="str">
            <v xml:space="preserve">- </v>
          </cell>
          <cell r="K103" t="str">
            <v xml:space="preserve">- </v>
          </cell>
          <cell r="L103">
            <v>100</v>
          </cell>
          <cell r="M103" t="str">
            <v>90/10%, 15 pF load, 60/40 duty cycle</v>
          </cell>
        </row>
        <row r="104">
          <cell r="A104" t="str">
            <v>SID75</v>
          </cell>
          <cell r="B104" t="str">
            <v>FGPIOUT2</v>
          </cell>
          <cell r="C104" t="str">
            <v>GPIO Fout; Slow Strong mode.</v>
          </cell>
          <cell r="D104" t="str">
            <v xml:space="preserve">- </v>
          </cell>
          <cell r="E104" t="str">
            <v xml:space="preserve">- </v>
          </cell>
          <cell r="F104">
            <v>1.5</v>
          </cell>
          <cell r="G104" t="str">
            <v>MHz</v>
          </cell>
          <cell r="H104" t="str">
            <v>90/10%, 15 pF load, 60/40 duty cycle</v>
          </cell>
          <cell r="I104" t="str">
            <v>FGPIOUT2</v>
          </cell>
          <cell r="J104" t="str">
            <v>Change 3</v>
          </cell>
          <cell r="K104" t="str">
            <v xml:space="preserve">- </v>
          </cell>
          <cell r="L104">
            <v>1.5</v>
          </cell>
          <cell r="M104" t="str">
            <v>90/10%, 15 pF load, 60/40 duty cycle</v>
          </cell>
        </row>
        <row r="105">
          <cell r="A105" t="str">
            <v>SID76</v>
          </cell>
          <cell r="B105" t="str">
            <v>FGPIOUT3</v>
          </cell>
          <cell r="C105" t="str">
            <v>GPIO Fout; Fast Strong mode.</v>
          </cell>
          <cell r="D105" t="str">
            <v xml:space="preserve">- </v>
          </cell>
          <cell r="E105" t="str">
            <v xml:space="preserve">- </v>
          </cell>
          <cell r="F105">
            <v>100</v>
          </cell>
          <cell r="G105" t="str">
            <v>MHz</v>
          </cell>
          <cell r="H105" t="str">
            <v>90/10%, 25 pF load, 60/40 duty cycle</v>
          </cell>
          <cell r="I105" t="str">
            <v>FGPIOUT3</v>
          </cell>
          <cell r="J105" t="str">
            <v>Change 4</v>
          </cell>
          <cell r="K105" t="str">
            <v xml:space="preserve">- </v>
          </cell>
          <cell r="L105">
            <v>100</v>
          </cell>
          <cell r="M105" t="str">
            <v>90/10%, 25 pF load, 60/40 duty cycle</v>
          </cell>
        </row>
        <row r="106">
          <cell r="A106" t="str">
            <v>SID245</v>
          </cell>
          <cell r="B106" t="str">
            <v>FGPIOUT4</v>
          </cell>
          <cell r="C106" t="str">
            <v>GPIO Fout;Slow Strong mode.</v>
          </cell>
          <cell r="D106" t="str">
            <v xml:space="preserve">- </v>
          </cell>
          <cell r="E106" t="str">
            <v xml:space="preserve">- </v>
          </cell>
          <cell r="F106">
            <v>1.3</v>
          </cell>
          <cell r="G106" t="str">
            <v>MHz</v>
          </cell>
          <cell r="H106" t="str">
            <v>90/10%, 25 pF load, 60/40 duty cycle</v>
          </cell>
          <cell r="I106" t="str">
            <v>FGPIOUT4</v>
          </cell>
          <cell r="J106" t="str">
            <v>Change 5</v>
          </cell>
          <cell r="K106" t="str">
            <v xml:space="preserve">- </v>
          </cell>
          <cell r="L106">
            <v>1.3</v>
          </cell>
          <cell r="M106" t="str">
            <v>90/10%, 25 pF load, 60/40 duty cycle</v>
          </cell>
        </row>
        <row r="107">
          <cell r="A107" t="str">
            <v>SID246</v>
          </cell>
          <cell r="B107" t="str">
            <v>FGPIOIN</v>
          </cell>
          <cell r="C107" t="str">
            <v>GPIO input operating frequency;1.71V&lt;=VDD&lt;=3.6V</v>
          </cell>
          <cell r="D107" t="str">
            <v xml:space="preserve">- </v>
          </cell>
          <cell r="E107" t="str">
            <v xml:space="preserve">- </v>
          </cell>
          <cell r="F107">
            <v>100</v>
          </cell>
          <cell r="G107" t="str">
            <v>MHz</v>
          </cell>
          <cell r="H107" t="str">
            <v>90/10% Vio</v>
          </cell>
          <cell r="I107" t="str">
            <v>FGPIOIN</v>
          </cell>
          <cell r="J107" t="str">
            <v xml:space="preserve">- </v>
          </cell>
          <cell r="K107" t="str">
            <v xml:space="preserve">- </v>
          </cell>
          <cell r="L107">
            <v>100</v>
          </cell>
          <cell r="M107" t="str">
            <v>90/10% Vio</v>
          </cell>
        </row>
        <row r="108">
          <cell r="A108" t="str">
            <v>Analog Peripherals</v>
          </cell>
        </row>
        <row r="109">
          <cell r="A109" t="str">
            <v>TABLE 6. Low Power Comparator (LPC) Specifications</v>
          </cell>
        </row>
        <row r="110">
          <cell r="A110" t="str">
            <v>LPComparator DC Specifications</v>
          </cell>
        </row>
        <row r="111">
          <cell r="A111" t="str">
            <v>SID84</v>
          </cell>
          <cell r="B111" t="str">
            <v>VOFFSET1</v>
          </cell>
          <cell r="C111" t="str">
            <v>Input offset voltage. Normal power mode.</v>
          </cell>
          <cell r="D111">
            <v>-10</v>
          </cell>
          <cell r="E111" t="str">
            <v xml:space="preserve">- </v>
          </cell>
          <cell r="F111">
            <v>10</v>
          </cell>
          <cell r="G111" t="str">
            <v>mV</v>
          </cell>
          <cell r="I111" t="str">
            <v>VOFFSET1</v>
          </cell>
          <cell r="J111">
            <v>-10</v>
          </cell>
          <cell r="K111" t="str">
            <v xml:space="preserve">- </v>
          </cell>
          <cell r="L111">
            <v>10</v>
          </cell>
        </row>
        <row r="112">
          <cell r="A112" t="str">
            <v>SID85A</v>
          </cell>
          <cell r="B112" t="str">
            <v>VOFFSET2</v>
          </cell>
          <cell r="C112" t="str">
            <v>Input offset voltage. Low-power mode.</v>
          </cell>
          <cell r="D112">
            <v>-25</v>
          </cell>
          <cell r="E112" t="str">
            <v>+/-12</v>
          </cell>
          <cell r="F112">
            <v>25</v>
          </cell>
          <cell r="G112" t="str">
            <v>mV</v>
          </cell>
          <cell r="I112" t="str">
            <v>VOFFSET2</v>
          </cell>
          <cell r="J112">
            <v>-25</v>
          </cell>
          <cell r="K112" t="str">
            <v>+/-12</v>
          </cell>
          <cell r="L112">
            <v>25</v>
          </cell>
        </row>
        <row r="113">
          <cell r="A113" t="str">
            <v>SID85B</v>
          </cell>
          <cell r="B113" t="str">
            <v>VOFFSET3</v>
          </cell>
          <cell r="C113" t="str">
            <v>Input offset voltage. Ultra low-power mode.</v>
          </cell>
          <cell r="D113">
            <v>-25</v>
          </cell>
          <cell r="E113" t="str">
            <v>+/-12</v>
          </cell>
          <cell r="F113">
            <v>25</v>
          </cell>
          <cell r="G113" t="str">
            <v>mV</v>
          </cell>
          <cell r="I113" t="str">
            <v>VOFFSET3</v>
          </cell>
          <cell r="J113">
            <v>-25</v>
          </cell>
          <cell r="K113" t="str">
            <v>+/-12</v>
          </cell>
          <cell r="L113">
            <v>25</v>
          </cell>
        </row>
        <row r="114">
          <cell r="A114" t="str">
            <v>SID86</v>
          </cell>
          <cell r="B114" t="str">
            <v>VHYST1</v>
          </cell>
          <cell r="C114" t="str">
            <v>Hysteresis when enabled in Normal mode</v>
          </cell>
          <cell r="D114" t="str">
            <v xml:space="preserve">- </v>
          </cell>
          <cell r="E114" t="str">
            <v xml:space="preserve">- </v>
          </cell>
          <cell r="F114">
            <v>60</v>
          </cell>
          <cell r="G114" t="str">
            <v>mV</v>
          </cell>
          <cell r="I114" t="str">
            <v>VHYST1</v>
          </cell>
          <cell r="J114" t="str">
            <v xml:space="preserve">- </v>
          </cell>
          <cell r="K114" t="str">
            <v xml:space="preserve">- </v>
          </cell>
          <cell r="L114">
            <v>60</v>
          </cell>
        </row>
        <row r="115">
          <cell r="A115" t="str">
            <v>SID86A</v>
          </cell>
          <cell r="B115" t="str">
            <v>VHYST2</v>
          </cell>
          <cell r="C115" t="str">
            <v>Hysteresis when enabled in Low-power mode</v>
          </cell>
          <cell r="D115" t="str">
            <v xml:space="preserve">- </v>
          </cell>
          <cell r="E115" t="str">
            <v xml:space="preserve">- </v>
          </cell>
          <cell r="F115">
            <v>80</v>
          </cell>
          <cell r="G115" t="str">
            <v>mV</v>
          </cell>
          <cell r="I115" t="str">
            <v>VHYST2</v>
          </cell>
          <cell r="J115" t="str">
            <v xml:space="preserve">- </v>
          </cell>
          <cell r="K115" t="str">
            <v xml:space="preserve">- </v>
          </cell>
          <cell r="L115">
            <v>80</v>
          </cell>
        </row>
        <row r="116">
          <cell r="A116" t="str">
            <v>SID87</v>
          </cell>
          <cell r="B116" t="str">
            <v>VICM1</v>
          </cell>
          <cell r="C116" t="str">
            <v>Input common mode voltage in Normal mode</v>
          </cell>
          <cell r="D116">
            <v>0</v>
          </cell>
          <cell r="E116" t="str">
            <v xml:space="preserve">- </v>
          </cell>
          <cell r="F116" t="str">
            <v>VDDIO1-0.1</v>
          </cell>
          <cell r="G116" t="str">
            <v>V</v>
          </cell>
          <cell r="I116" t="str">
            <v>VICM1</v>
          </cell>
          <cell r="J116">
            <v>0</v>
          </cell>
          <cell r="K116" t="str">
            <v xml:space="preserve">- </v>
          </cell>
          <cell r="L116" t="str">
            <v>VDDIO1-0.1</v>
          </cell>
        </row>
        <row r="117">
          <cell r="A117" t="str">
            <v>SID247</v>
          </cell>
          <cell r="B117" t="str">
            <v>VICM2</v>
          </cell>
          <cell r="C117" t="str">
            <v>Input common mode voltage in Low power mode</v>
          </cell>
          <cell r="D117">
            <v>0</v>
          </cell>
          <cell r="E117" t="str">
            <v xml:space="preserve">- </v>
          </cell>
          <cell r="F117" t="str">
            <v>VDDIO1-0.1</v>
          </cell>
          <cell r="G117" t="str">
            <v>V</v>
          </cell>
          <cell r="I117" t="str">
            <v>VICM2</v>
          </cell>
          <cell r="J117">
            <v>0</v>
          </cell>
          <cell r="K117" t="str">
            <v xml:space="preserve">- </v>
          </cell>
          <cell r="L117" t="str">
            <v>VDDIO1-0.1</v>
          </cell>
        </row>
        <row r="118">
          <cell r="A118" t="str">
            <v>SID247A</v>
          </cell>
          <cell r="B118" t="str">
            <v>VICM3</v>
          </cell>
          <cell r="C118" t="str">
            <v>Input common mode voltage in Ultra low power mode</v>
          </cell>
          <cell r="D118">
            <v>0</v>
          </cell>
          <cell r="E118" t="str">
            <v xml:space="preserve">- </v>
          </cell>
          <cell r="F118" t="str">
            <v>VDDIO1-0.1</v>
          </cell>
          <cell r="G118" t="str">
            <v>V</v>
          </cell>
          <cell r="I118" t="str">
            <v>VICM3</v>
          </cell>
          <cell r="J118">
            <v>0</v>
          </cell>
          <cell r="K118" t="str">
            <v xml:space="preserve">- </v>
          </cell>
          <cell r="L118" t="str">
            <v>VDDIO1-0.1</v>
          </cell>
        </row>
        <row r="119">
          <cell r="A119" t="str">
            <v>SID88</v>
          </cell>
          <cell r="B119" t="str">
            <v>CMRR</v>
          </cell>
          <cell r="C119" t="str">
            <v>Common mode rejection ratio in Normal power mode</v>
          </cell>
          <cell r="D119">
            <v>50</v>
          </cell>
          <cell r="E119" t="str">
            <v xml:space="preserve">- </v>
          </cell>
          <cell r="F119" t="str">
            <v xml:space="preserve">- </v>
          </cell>
          <cell r="G119" t="str">
            <v>dB</v>
          </cell>
          <cell r="I119" t="str">
            <v>CMRR</v>
          </cell>
          <cell r="J119">
            <v>50</v>
          </cell>
          <cell r="K119" t="str">
            <v xml:space="preserve">- </v>
          </cell>
          <cell r="L119" t="str">
            <v xml:space="preserve">- </v>
          </cell>
        </row>
        <row r="120">
          <cell r="A120" t="str">
            <v>SID89</v>
          </cell>
          <cell r="B120" t="str">
            <v>ICMP1</v>
          </cell>
          <cell r="C120" t="str">
            <v>Block Current, Normal mode</v>
          </cell>
          <cell r="D120" t="str">
            <v xml:space="preserve">- </v>
          </cell>
          <cell r="E120" t="str">
            <v xml:space="preserve">- </v>
          </cell>
          <cell r="F120">
            <v>150</v>
          </cell>
          <cell r="G120" t="str">
            <v>µA</v>
          </cell>
          <cell r="I120" t="str">
            <v>ICMP1</v>
          </cell>
          <cell r="J120" t="str">
            <v xml:space="preserve">- </v>
          </cell>
          <cell r="K120" t="str">
            <v xml:space="preserve">- </v>
          </cell>
          <cell r="L120">
            <v>150</v>
          </cell>
        </row>
        <row r="121">
          <cell r="A121" t="str">
            <v>SID248</v>
          </cell>
          <cell r="B121" t="str">
            <v>ICMP2</v>
          </cell>
          <cell r="C121" t="str">
            <v>Block Current, Low power mode</v>
          </cell>
          <cell r="D121" t="str">
            <v xml:space="preserve">- </v>
          </cell>
          <cell r="E121" t="str">
            <v xml:space="preserve">- </v>
          </cell>
          <cell r="F121">
            <v>10</v>
          </cell>
          <cell r="G121" t="str">
            <v>µA</v>
          </cell>
          <cell r="I121" t="str">
            <v>ICMP2</v>
          </cell>
          <cell r="J121" t="str">
            <v xml:space="preserve">- </v>
          </cell>
          <cell r="K121" t="str">
            <v xml:space="preserve">- </v>
          </cell>
          <cell r="L121">
            <v>10</v>
          </cell>
        </row>
        <row r="122">
          <cell r="A122" t="str">
            <v>SID259</v>
          </cell>
          <cell r="B122" t="str">
            <v>ICMP3</v>
          </cell>
          <cell r="C122" t="str">
            <v>Block Current in Ultra low-power mode</v>
          </cell>
          <cell r="D122" t="str">
            <v xml:space="preserve">- </v>
          </cell>
          <cell r="E122">
            <v>0.3</v>
          </cell>
          <cell r="F122">
            <v>0.85</v>
          </cell>
          <cell r="G122" t="str">
            <v>µA</v>
          </cell>
          <cell r="I122" t="str">
            <v>ICMP3</v>
          </cell>
          <cell r="J122" t="str">
            <v xml:space="preserve">- </v>
          </cell>
          <cell r="K122">
            <v>0.3</v>
          </cell>
          <cell r="L122">
            <v>0.85</v>
          </cell>
        </row>
        <row r="123">
          <cell r="A123" t="str">
            <v>SID90</v>
          </cell>
          <cell r="B123" t="str">
            <v>ZCMP</v>
          </cell>
          <cell r="C123" t="str">
            <v>DC Input impedance of comparator</v>
          </cell>
          <cell r="D123">
            <v>35</v>
          </cell>
          <cell r="E123" t="str">
            <v xml:space="preserve">- </v>
          </cell>
          <cell r="F123" t="str">
            <v xml:space="preserve">- </v>
          </cell>
          <cell r="G123" t="str">
            <v>MΩ</v>
          </cell>
          <cell r="I123" t="str">
            <v>ZCMP</v>
          </cell>
          <cell r="J123">
            <v>35</v>
          </cell>
          <cell r="K123" t="str">
            <v xml:space="preserve">- </v>
          </cell>
          <cell r="L123" t="str">
            <v xml:space="preserve">- </v>
          </cell>
        </row>
        <row r="124">
          <cell r="A124" t="str">
            <v>LPComparator AC Specifications</v>
          </cell>
        </row>
        <row r="125">
          <cell r="A125" t="str">
            <v>SID91</v>
          </cell>
          <cell r="B125" t="str">
            <v>TRESP1</v>
          </cell>
          <cell r="C125" t="str">
            <v>Response time, Normal mode, 100 mV overdrive</v>
          </cell>
          <cell r="D125" t="str">
            <v xml:space="preserve">- </v>
          </cell>
          <cell r="E125" t="str">
            <v xml:space="preserve">- </v>
          </cell>
          <cell r="F125">
            <v>100</v>
          </cell>
          <cell r="G125" t="str">
            <v>ns</v>
          </cell>
          <cell r="I125" t="str">
            <v>TRESP1</v>
          </cell>
          <cell r="J125" t="str">
            <v xml:space="preserve">- </v>
          </cell>
          <cell r="K125" t="str">
            <v xml:space="preserve">- </v>
          </cell>
          <cell r="L125">
            <v>100</v>
          </cell>
        </row>
        <row r="126">
          <cell r="A126" t="str">
            <v>SID258</v>
          </cell>
          <cell r="B126" t="str">
            <v>TRESP2</v>
          </cell>
          <cell r="C126" t="str">
            <v>Response time, Low power mode, 100 mV overdrive</v>
          </cell>
          <cell r="D126" t="str">
            <v xml:space="preserve">- </v>
          </cell>
          <cell r="E126" t="str">
            <v xml:space="preserve">- </v>
          </cell>
          <cell r="F126">
            <v>1000</v>
          </cell>
          <cell r="G126" t="str">
            <v>ns</v>
          </cell>
          <cell r="I126" t="str">
            <v>TRESP2</v>
          </cell>
          <cell r="J126" t="str">
            <v xml:space="preserve">- </v>
          </cell>
          <cell r="K126" t="str">
            <v xml:space="preserve">- </v>
          </cell>
          <cell r="L126">
            <v>1000</v>
          </cell>
        </row>
        <row r="127">
          <cell r="A127" t="str">
            <v>SID92</v>
          </cell>
          <cell r="B127" t="str">
            <v>TRESP3</v>
          </cell>
          <cell r="C127" t="str">
            <v>Response time, Ultra-low power mode, 100 mV overdrive</v>
          </cell>
          <cell r="D127" t="str">
            <v xml:space="preserve">- </v>
          </cell>
          <cell r="E127" t="str">
            <v xml:space="preserve">- </v>
          </cell>
          <cell r="F127">
            <v>20</v>
          </cell>
          <cell r="G127" t="str">
            <v>µs</v>
          </cell>
          <cell r="I127" t="str">
            <v>TRESP3</v>
          </cell>
          <cell r="J127" t="str">
            <v xml:space="preserve">- </v>
          </cell>
          <cell r="K127" t="str">
            <v xml:space="preserve">- </v>
          </cell>
          <cell r="L127">
            <v>20</v>
          </cell>
        </row>
        <row r="128">
          <cell r="A128" t="str">
            <v>SID92E</v>
          </cell>
          <cell r="B128" t="str">
            <v>T_CMP_EN1</v>
          </cell>
          <cell r="C128" t="str">
            <v xml:space="preserve">Time from Enabling to operation </v>
          </cell>
          <cell r="D128" t="str">
            <v xml:space="preserve">- </v>
          </cell>
          <cell r="E128" t="str">
            <v xml:space="preserve">- </v>
          </cell>
          <cell r="F128">
            <v>10</v>
          </cell>
          <cell r="G128" t="str">
            <v>µs</v>
          </cell>
          <cell r="H128" t="str">
            <v>Normal and Low-power modes</v>
          </cell>
          <cell r="I128" t="str">
            <v>T_CMP_EN1</v>
          </cell>
          <cell r="J128" t="str">
            <v xml:space="preserve">- </v>
          </cell>
          <cell r="K128" t="str">
            <v xml:space="preserve">- </v>
          </cell>
          <cell r="L128">
            <v>10</v>
          </cell>
          <cell r="M128" t="str">
            <v>Normal and Low-power modes</v>
          </cell>
        </row>
        <row r="129">
          <cell r="A129" t="str">
            <v>SID92F</v>
          </cell>
          <cell r="B129" t="str">
            <v>T_CMP_EN2</v>
          </cell>
          <cell r="C129" t="str">
            <v xml:space="preserve">Time from Enabling to operation </v>
          </cell>
          <cell r="D129" t="str">
            <v xml:space="preserve">- </v>
          </cell>
          <cell r="E129" t="str">
            <v xml:space="preserve">- </v>
          </cell>
          <cell r="F129">
            <v>50</v>
          </cell>
          <cell r="G129" t="str">
            <v>µs</v>
          </cell>
          <cell r="H129" t="str">
            <v>Ultra low-power mode</v>
          </cell>
          <cell r="I129" t="str">
            <v>T_CMP_EN2</v>
          </cell>
          <cell r="J129" t="str">
            <v xml:space="preserve">- </v>
          </cell>
          <cell r="K129" t="str">
            <v xml:space="preserve">- </v>
          </cell>
          <cell r="L129">
            <v>50</v>
          </cell>
          <cell r="M129" t="str">
            <v>Ultra low-power mode</v>
          </cell>
        </row>
        <row r="130">
          <cell r="A130" t="str">
            <v>Table 7. Temperature Sensor Specifications</v>
          </cell>
        </row>
        <row r="131">
          <cell r="A131" t="str">
            <v>SID93</v>
          </cell>
          <cell r="B131" t="str">
            <v>TSENSACC</v>
          </cell>
          <cell r="C131" t="str">
            <v>Temperature sensor accuracy</v>
          </cell>
          <cell r="D131">
            <v>-5</v>
          </cell>
          <cell r="E131" t="str">
            <v>±1</v>
          </cell>
          <cell r="F131">
            <v>5</v>
          </cell>
          <cell r="G131" t="str">
            <v>°C</v>
          </cell>
          <cell r="H131" t="str">
            <v>-40 to +85 C</v>
          </cell>
          <cell r="I131" t="str">
            <v>TSENSACC</v>
          </cell>
          <cell r="J131">
            <v>-5</v>
          </cell>
          <cell r="K131" t="str">
            <v>±1</v>
          </cell>
          <cell r="L131">
            <v>5</v>
          </cell>
          <cell r="M131" t="str">
            <v>-40 to +85 C</v>
          </cell>
        </row>
        <row r="132">
          <cell r="A132" t="str">
            <v>Internal Reference Specifications</v>
          </cell>
        </row>
        <row r="133">
          <cell r="A133" t="str">
            <v>SID93R</v>
          </cell>
          <cell r="B133" t="str">
            <v>VREFBG</v>
          </cell>
          <cell r="D133">
            <v>1.1879999999999999</v>
          </cell>
          <cell r="E133">
            <v>1.2</v>
          </cell>
          <cell r="F133">
            <v>1.212</v>
          </cell>
          <cell r="G133" t="str">
            <v>V</v>
          </cell>
          <cell r="I133" t="str">
            <v>VREFBG</v>
          </cell>
          <cell r="J133">
            <v>1.1879999999999999</v>
          </cell>
          <cell r="K133">
            <v>1.2</v>
          </cell>
          <cell r="L133">
            <v>1.212</v>
          </cell>
        </row>
        <row r="134">
          <cell r="A134" t="str">
            <v>Table 8. 12-bit SAR ADC DC Specifications</v>
          </cell>
        </row>
        <row r="135">
          <cell r="A135" t="str">
            <v>SID94</v>
          </cell>
          <cell r="B135" t="str">
            <v>A_RES</v>
          </cell>
          <cell r="C135" t="str">
            <v>SAR ADC Resolution</v>
          </cell>
          <cell r="D135" t="str">
            <v xml:space="preserve">- </v>
          </cell>
          <cell r="E135" t="str">
            <v xml:space="preserve">- </v>
          </cell>
          <cell r="F135">
            <v>12</v>
          </cell>
          <cell r="G135" t="str">
            <v>bits</v>
          </cell>
          <cell r="I135" t="str">
            <v>A_RES</v>
          </cell>
          <cell r="J135" t="str">
            <v xml:space="preserve">- </v>
          </cell>
          <cell r="K135" t="str">
            <v xml:space="preserve">- </v>
          </cell>
          <cell r="L135">
            <v>12</v>
          </cell>
        </row>
        <row r="136">
          <cell r="A136" t="str">
            <v>SID95</v>
          </cell>
          <cell r="B136" t="str">
            <v>A_CHNLS_S</v>
          </cell>
          <cell r="C136" t="str">
            <v>Number of channels - single ended</v>
          </cell>
          <cell r="D136" t="str">
            <v xml:space="preserve">- </v>
          </cell>
          <cell r="E136" t="str">
            <v xml:space="preserve">- </v>
          </cell>
          <cell r="F136">
            <v>16</v>
          </cell>
          <cell r="H136" t="str">
            <v>8 full speed.</v>
          </cell>
          <cell r="I136" t="str">
            <v>A_CHNLS_S</v>
          </cell>
          <cell r="J136" t="str">
            <v xml:space="preserve">- </v>
          </cell>
          <cell r="K136" t="str">
            <v xml:space="preserve">- </v>
          </cell>
          <cell r="L136">
            <v>16</v>
          </cell>
          <cell r="M136" t="str">
            <v>8 full speed.</v>
          </cell>
        </row>
        <row r="137">
          <cell r="A137" t="str">
            <v>SID96</v>
          </cell>
          <cell r="B137" t="str">
            <v>A-CHNKS_D</v>
          </cell>
          <cell r="C137" t="str">
            <v>Number of channels - differential</v>
          </cell>
          <cell r="D137" t="str">
            <v xml:space="preserve">- </v>
          </cell>
          <cell r="E137" t="str">
            <v xml:space="preserve">- </v>
          </cell>
          <cell r="F137">
            <v>8</v>
          </cell>
          <cell r="H137" t="str">
            <v>Diff inputs use neighbouring I/O</v>
          </cell>
          <cell r="I137" t="str">
            <v>A-CHNKS_D</v>
          </cell>
          <cell r="J137" t="str">
            <v xml:space="preserve">- </v>
          </cell>
          <cell r="K137" t="str">
            <v xml:space="preserve">- </v>
          </cell>
          <cell r="L137">
            <v>8</v>
          </cell>
          <cell r="M137" t="str">
            <v>Diff inputs use neighbouring I/O</v>
          </cell>
        </row>
        <row r="138">
          <cell r="A138" t="str">
            <v>SID97</v>
          </cell>
          <cell r="B138" t="str">
            <v>A-MONO</v>
          </cell>
          <cell r="C138" t="str">
            <v>Monotonicity</v>
          </cell>
          <cell r="D138" t="str">
            <v xml:space="preserve">- </v>
          </cell>
          <cell r="E138" t="str">
            <v xml:space="preserve">- </v>
          </cell>
          <cell r="F138" t="str">
            <v xml:space="preserve">- </v>
          </cell>
          <cell r="H138" t="str">
            <v xml:space="preserve">Yes. </v>
          </cell>
          <cell r="I138" t="str">
            <v>A-MONO</v>
          </cell>
          <cell r="J138" t="str">
            <v xml:space="preserve">- </v>
          </cell>
          <cell r="K138" t="str">
            <v xml:space="preserve">- </v>
          </cell>
          <cell r="L138" t="str">
            <v xml:space="preserve">- </v>
          </cell>
          <cell r="M138" t="str">
            <v xml:space="preserve">Yes. </v>
          </cell>
        </row>
        <row r="139">
          <cell r="A139" t="str">
            <v>SID98</v>
          </cell>
          <cell r="B139" t="str">
            <v>A_GAINERR</v>
          </cell>
          <cell r="C139" t="str">
            <v>Gain error</v>
          </cell>
          <cell r="D139" t="str">
            <v xml:space="preserve">- </v>
          </cell>
          <cell r="E139" t="str">
            <v xml:space="preserve">- </v>
          </cell>
          <cell r="F139" t="str">
            <v>±0.2</v>
          </cell>
          <cell r="G139" t="str">
            <v>%</v>
          </cell>
          <cell r="H139" t="str">
            <v>With external reference.</v>
          </cell>
          <cell r="I139" t="str">
            <v>A_GAINERR</v>
          </cell>
          <cell r="J139" t="str">
            <v xml:space="preserve">- </v>
          </cell>
          <cell r="K139" t="str">
            <v xml:space="preserve">- </v>
          </cell>
          <cell r="L139" t="str">
            <v>±0.2</v>
          </cell>
          <cell r="M139" t="str">
            <v>With external reference.</v>
          </cell>
        </row>
        <row r="140">
          <cell r="A140" t="str">
            <v>SID99</v>
          </cell>
          <cell r="B140" t="str">
            <v>A_OFFSET</v>
          </cell>
          <cell r="C140" t="str">
            <v xml:space="preserve">Input offset voltage </v>
          </cell>
          <cell r="D140" t="str">
            <v xml:space="preserve">- </v>
          </cell>
          <cell r="E140" t="str">
            <v xml:space="preserve">- </v>
          </cell>
          <cell r="F140">
            <v>2</v>
          </cell>
          <cell r="G140" t="str">
            <v>mV</v>
          </cell>
          <cell r="H140" t="str">
            <v>Measured with 1V reference</v>
          </cell>
          <cell r="I140" t="str">
            <v>A_OFFSET</v>
          </cell>
          <cell r="J140" t="str">
            <v xml:space="preserve">- </v>
          </cell>
          <cell r="K140" t="str">
            <v xml:space="preserve">- </v>
          </cell>
          <cell r="L140">
            <v>2</v>
          </cell>
          <cell r="M140" t="str">
            <v>Measured with 1V reference</v>
          </cell>
        </row>
        <row r="141">
          <cell r="A141" t="str">
            <v>SID100</v>
          </cell>
          <cell r="B141" t="str">
            <v>A_ISAR_1</v>
          </cell>
          <cell r="C141" t="str">
            <v>Current consumption at 1 MS/sec</v>
          </cell>
          <cell r="D141" t="str">
            <v xml:space="preserve">- </v>
          </cell>
          <cell r="E141" t="str">
            <v xml:space="preserve">- </v>
          </cell>
          <cell r="F141">
            <v>1</v>
          </cell>
          <cell r="G141" t="str">
            <v>mA</v>
          </cell>
          <cell r="H141" t="str">
            <v>At 1 MS/second. External Bypass Cap.</v>
          </cell>
          <cell r="I141" t="str">
            <v>A_ISAR_1</v>
          </cell>
          <cell r="J141" t="str">
            <v xml:space="preserve">- </v>
          </cell>
          <cell r="K141" t="str">
            <v xml:space="preserve">- </v>
          </cell>
          <cell r="L141">
            <v>1</v>
          </cell>
          <cell r="M141" t="str">
            <v>At 1 MS/second. External Bypass Cap.</v>
          </cell>
        </row>
        <row r="142">
          <cell r="A142" t="str">
            <v>SID100A</v>
          </cell>
          <cell r="B142" t="str">
            <v>A_ISAR_2</v>
          </cell>
          <cell r="C142" t="str">
            <v>Current consumption at 1 MS/sec. Reference = VDD</v>
          </cell>
          <cell r="D142" t="str">
            <v xml:space="preserve">- </v>
          </cell>
          <cell r="E142" t="str">
            <v xml:space="preserve">- </v>
          </cell>
          <cell r="F142">
            <v>1.25</v>
          </cell>
          <cell r="G142" t="str">
            <v>mA</v>
          </cell>
          <cell r="H142" t="str">
            <v>At 1 MS/second. External Bypass Cap.</v>
          </cell>
          <cell r="I142" t="str">
            <v>A_ISAR_2</v>
          </cell>
          <cell r="J142" t="str">
            <v xml:space="preserve">- </v>
          </cell>
          <cell r="K142" t="str">
            <v xml:space="preserve">- </v>
          </cell>
          <cell r="L142">
            <v>1.25</v>
          </cell>
          <cell r="M142" t="str">
            <v>At 1 MS/second. External Bypass Cap.</v>
          </cell>
        </row>
        <row r="143">
          <cell r="A143" t="str">
            <v>SID101</v>
          </cell>
          <cell r="B143" t="str">
            <v>A_VINS</v>
          </cell>
          <cell r="C143" t="str">
            <v>Input voltage range - single ended</v>
          </cell>
          <cell r="D143" t="str">
            <v>Vss</v>
          </cell>
          <cell r="E143" t="str">
            <v xml:space="preserve">- </v>
          </cell>
          <cell r="F143" t="str">
            <v>VDDA</v>
          </cell>
          <cell r="G143" t="str">
            <v>V</v>
          </cell>
          <cell r="I143" t="str">
            <v>A_VINS</v>
          </cell>
          <cell r="J143" t="str">
            <v>Vss</v>
          </cell>
          <cell r="K143" t="str">
            <v xml:space="preserve">- </v>
          </cell>
          <cell r="L143" t="str">
            <v>VDDA</v>
          </cell>
        </row>
        <row r="144">
          <cell r="A144" t="str">
            <v>SID102</v>
          </cell>
          <cell r="B144" t="str">
            <v>A_VIND</v>
          </cell>
          <cell r="C144" t="str">
            <v>Input voltage range - differential[</v>
          </cell>
          <cell r="D144" t="str">
            <v>Vss</v>
          </cell>
          <cell r="E144" t="str">
            <v xml:space="preserve">- </v>
          </cell>
          <cell r="F144" t="str">
            <v>VDDA</v>
          </cell>
          <cell r="G144" t="str">
            <v>V</v>
          </cell>
          <cell r="I144" t="str">
            <v>A_VIND</v>
          </cell>
          <cell r="J144" t="str">
            <v>Vss</v>
          </cell>
          <cell r="K144" t="str">
            <v xml:space="preserve">- </v>
          </cell>
          <cell r="L144" t="str">
            <v>VDDA</v>
          </cell>
        </row>
        <row r="145">
          <cell r="A145" t="str">
            <v>SID103</v>
          </cell>
          <cell r="B145" t="str">
            <v>A_INRES</v>
          </cell>
          <cell r="C145" t="str">
            <v>Input resistance</v>
          </cell>
          <cell r="D145" t="str">
            <v xml:space="preserve">- </v>
          </cell>
          <cell r="E145" t="str">
            <v xml:space="preserve">- </v>
          </cell>
          <cell r="F145">
            <v>2.2000000000000002</v>
          </cell>
          <cell r="G145" t="str">
            <v>KΩ</v>
          </cell>
          <cell r="I145" t="str">
            <v>A_INRES</v>
          </cell>
          <cell r="J145" t="str">
            <v xml:space="preserve">- </v>
          </cell>
          <cell r="K145" t="str">
            <v xml:space="preserve">- </v>
          </cell>
          <cell r="L145">
            <v>2.2000000000000002</v>
          </cell>
        </row>
        <row r="146">
          <cell r="A146" t="str">
            <v>SID104</v>
          </cell>
          <cell r="B146" t="str">
            <v>A_INCAP</v>
          </cell>
          <cell r="C146" t="str">
            <v>Input capacitance</v>
          </cell>
          <cell r="D146" t="str">
            <v xml:space="preserve">- </v>
          </cell>
          <cell r="E146" t="str">
            <v xml:space="preserve">- </v>
          </cell>
          <cell r="F146">
            <v>10</v>
          </cell>
          <cell r="G146" t="str">
            <v>pF</v>
          </cell>
          <cell r="I146" t="str">
            <v>A_INCAP</v>
          </cell>
          <cell r="J146" t="str">
            <v xml:space="preserve">- </v>
          </cell>
          <cell r="K146" t="str">
            <v xml:space="preserve">- </v>
          </cell>
          <cell r="L146">
            <v>10</v>
          </cell>
        </row>
        <row r="147">
          <cell r="A147" t="str">
            <v>Table 9. 12-bit SAR ADC AC Specifications</v>
          </cell>
        </row>
        <row r="148">
          <cell r="A148" t="str">
            <v>SID106</v>
          </cell>
          <cell r="B148" t="str">
            <v>A_PSRR</v>
          </cell>
          <cell r="C148" t="str">
            <v>Power supply rejection ratio</v>
          </cell>
          <cell r="D148">
            <v>70</v>
          </cell>
          <cell r="E148" t="str">
            <v xml:space="preserve">- </v>
          </cell>
          <cell r="F148" t="str">
            <v xml:space="preserve">- </v>
          </cell>
          <cell r="G148" t="str">
            <v>dB</v>
          </cell>
          <cell r="I148" t="str">
            <v>A_PSRR</v>
          </cell>
          <cell r="J148">
            <v>70</v>
          </cell>
          <cell r="K148" t="str">
            <v xml:space="preserve">- </v>
          </cell>
          <cell r="L148" t="str">
            <v xml:space="preserve">- </v>
          </cell>
        </row>
        <row r="149">
          <cell r="A149" t="str">
            <v>SID107</v>
          </cell>
          <cell r="B149" t="str">
            <v>A_CMRR</v>
          </cell>
          <cell r="C149" t="str">
            <v>Common mode rejection ratio</v>
          </cell>
          <cell r="D149">
            <v>66</v>
          </cell>
          <cell r="E149" t="str">
            <v xml:space="preserve">- </v>
          </cell>
          <cell r="F149" t="str">
            <v xml:space="preserve">- </v>
          </cell>
          <cell r="G149" t="str">
            <v>dB</v>
          </cell>
          <cell r="H149" t="str">
            <v>Measured at 1V</v>
          </cell>
          <cell r="I149" t="str">
            <v>A_CMRR</v>
          </cell>
          <cell r="J149">
            <v>66</v>
          </cell>
          <cell r="K149" t="str">
            <v xml:space="preserve">- </v>
          </cell>
          <cell r="L149" t="str">
            <v xml:space="preserve">- </v>
          </cell>
          <cell r="M149" t="str">
            <v>Measured at 1V</v>
          </cell>
        </row>
        <row r="150">
          <cell r="A150" t="str">
            <v>SID108</v>
          </cell>
          <cell r="B150" t="str">
            <v>A_SAMP_1</v>
          </cell>
          <cell r="C150" t="str">
            <v>Sample rate with external reference bypass cap.</v>
          </cell>
          <cell r="D150" t="str">
            <v xml:space="preserve">- </v>
          </cell>
          <cell r="E150" t="str">
            <v xml:space="preserve">- </v>
          </cell>
          <cell r="F150">
            <v>2</v>
          </cell>
          <cell r="G150" t="str">
            <v>MSPS</v>
          </cell>
          <cell r="I150" t="str">
            <v>A_SAMP_1</v>
          </cell>
          <cell r="J150" t="str">
            <v xml:space="preserve">- </v>
          </cell>
          <cell r="K150" t="str">
            <v xml:space="preserve">- </v>
          </cell>
          <cell r="L150">
            <v>2</v>
          </cell>
        </row>
        <row r="151">
          <cell r="A151" t="str">
            <v>SID108A</v>
          </cell>
          <cell r="B151" t="str">
            <v>A_SAMP_2</v>
          </cell>
          <cell r="C151" t="str">
            <v>Sample rate with no bypass cap.; Reference = VDD</v>
          </cell>
          <cell r="D151" t="str">
            <v xml:space="preserve">- </v>
          </cell>
          <cell r="E151" t="str">
            <v xml:space="preserve">- </v>
          </cell>
          <cell r="F151">
            <v>250</v>
          </cell>
          <cell r="G151" t="str">
            <v>KSPS</v>
          </cell>
          <cell r="I151" t="str">
            <v>A_SAMP_2</v>
          </cell>
          <cell r="J151" t="str">
            <v xml:space="preserve">- </v>
          </cell>
          <cell r="K151" t="str">
            <v xml:space="preserve">- </v>
          </cell>
          <cell r="L151">
            <v>250</v>
          </cell>
        </row>
        <row r="152">
          <cell r="A152" t="str">
            <v>SID108B</v>
          </cell>
          <cell r="B152" t="str">
            <v>A_SAMP_3</v>
          </cell>
          <cell r="C152" t="str">
            <v>Sample rate with no bypass cap. Internal reference.</v>
          </cell>
          <cell r="D152" t="str">
            <v xml:space="preserve">- </v>
          </cell>
          <cell r="E152" t="str">
            <v xml:space="preserve">- </v>
          </cell>
          <cell r="F152">
            <v>100</v>
          </cell>
          <cell r="G152" t="str">
            <v>KSPS</v>
          </cell>
          <cell r="I152" t="str">
            <v>A_SAMP_3</v>
          </cell>
          <cell r="J152" t="str">
            <v xml:space="preserve">- </v>
          </cell>
          <cell r="K152" t="str">
            <v xml:space="preserve">- </v>
          </cell>
          <cell r="L152">
            <v>100</v>
          </cell>
        </row>
        <row r="153">
          <cell r="A153" t="str">
            <v>SID109</v>
          </cell>
          <cell r="B153" t="str">
            <v>A_SINAD</v>
          </cell>
          <cell r="C153" t="str">
            <v>Signal-to-noise and Distortion ratio (SINAD). VDDA = 2.7 to 3.6V, 1 MSPS.</v>
          </cell>
          <cell r="D153">
            <v>64</v>
          </cell>
          <cell r="E153" t="str">
            <v xml:space="preserve">- </v>
          </cell>
          <cell r="F153" t="str">
            <v xml:space="preserve">- </v>
          </cell>
          <cell r="G153" t="str">
            <v>dB</v>
          </cell>
          <cell r="H153" t="str">
            <v>Fin = 10 kHz</v>
          </cell>
          <cell r="I153" t="str">
            <v>A_SINAD</v>
          </cell>
          <cell r="J153">
            <v>64</v>
          </cell>
          <cell r="K153" t="str">
            <v xml:space="preserve">- </v>
          </cell>
          <cell r="L153" t="str">
            <v xml:space="preserve">- </v>
          </cell>
          <cell r="M153" t="str">
            <v>Fin = 10 kHz</v>
          </cell>
        </row>
        <row r="154">
          <cell r="A154" t="str">
            <v>SID111A</v>
          </cell>
          <cell r="B154" t="str">
            <v>A_INL</v>
          </cell>
          <cell r="C154" t="str">
            <v>Integral Non Linearity. VDDA = 2.7 to 3.6, 1 MSPS</v>
          </cell>
          <cell r="D154">
            <v>-2</v>
          </cell>
          <cell r="E154" t="str">
            <v xml:space="preserve">- </v>
          </cell>
          <cell r="F154">
            <v>2</v>
          </cell>
          <cell r="G154" t="str">
            <v>LSB</v>
          </cell>
          <cell r="H154" t="str">
            <v>Measured with internal Vref =1.2V and bypass cap.</v>
          </cell>
          <cell r="I154" t="str">
            <v>A_INL</v>
          </cell>
          <cell r="J154">
            <v>-2</v>
          </cell>
          <cell r="K154" t="str">
            <v xml:space="preserve">- </v>
          </cell>
          <cell r="L154">
            <v>2</v>
          </cell>
          <cell r="M154" t="str">
            <v>Measured with internal Vref =1.2V and bypass cap.</v>
          </cell>
        </row>
        <row r="155">
          <cell r="A155" t="str">
            <v>SID111B</v>
          </cell>
          <cell r="B155" t="str">
            <v>A_INL</v>
          </cell>
          <cell r="C155" t="str">
            <v>Integral Non Linearity. VDDA = 2.7 to 3.6, 1 MSPS</v>
          </cell>
          <cell r="D155">
            <v>-4</v>
          </cell>
          <cell r="E155" t="str">
            <v xml:space="preserve">- </v>
          </cell>
          <cell r="F155">
            <v>4</v>
          </cell>
          <cell r="G155" t="str">
            <v>LSB</v>
          </cell>
          <cell r="H155" t="str">
            <v>Measured with external Vref &gt;= 1V and Vin common mode &lt; 2*Vref</v>
          </cell>
          <cell r="I155" t="str">
            <v>A_INL</v>
          </cell>
          <cell r="J155">
            <v>-4</v>
          </cell>
          <cell r="K155" t="str">
            <v xml:space="preserve">- </v>
          </cell>
          <cell r="L155">
            <v>4</v>
          </cell>
          <cell r="M155" t="str">
            <v>Measured with external Vref &gt;= 1V and Vin common mode &lt; 2*Vref</v>
          </cell>
        </row>
        <row r="156">
          <cell r="A156" t="str">
            <v>SID112A</v>
          </cell>
          <cell r="B156" t="str">
            <v>A_DNL</v>
          </cell>
          <cell r="C156" t="str">
            <v>Differential Non Linearity. VDDA = 2.7 to 3.6, 1 MSPS</v>
          </cell>
          <cell r="D156">
            <v>-1</v>
          </cell>
          <cell r="E156" t="str">
            <v xml:space="preserve">- </v>
          </cell>
          <cell r="F156">
            <v>1.4</v>
          </cell>
          <cell r="G156" t="str">
            <v>LSB</v>
          </cell>
          <cell r="H156" t="str">
            <v>Measured with internal Vref =1.2V and bypass cap.</v>
          </cell>
          <cell r="I156" t="str">
            <v>A_DNL</v>
          </cell>
          <cell r="J156">
            <v>-1</v>
          </cell>
          <cell r="K156" t="str">
            <v xml:space="preserve">- </v>
          </cell>
          <cell r="L156">
            <v>1.4</v>
          </cell>
          <cell r="M156" t="str">
            <v>Measured with internal Vref =1.2V and bypass cap.</v>
          </cell>
        </row>
        <row r="157">
          <cell r="A157" t="str">
            <v>SID112B</v>
          </cell>
          <cell r="B157" t="str">
            <v>A_DNL</v>
          </cell>
          <cell r="C157" t="str">
            <v>Differential Non Linearity. VDDA = 2.7 to 3.6, 1 MSPS</v>
          </cell>
          <cell r="D157">
            <v>-1</v>
          </cell>
          <cell r="E157" t="str">
            <v xml:space="preserve">- </v>
          </cell>
          <cell r="F157">
            <v>1.7</v>
          </cell>
          <cell r="G157" t="str">
            <v>LSB</v>
          </cell>
          <cell r="H157" t="str">
            <v>Measured with external Vref &gt;= 1V and Vin common mode &lt; 2*Vref</v>
          </cell>
          <cell r="I157" t="str">
            <v>A_DNL</v>
          </cell>
          <cell r="J157">
            <v>-1</v>
          </cell>
          <cell r="K157" t="str">
            <v xml:space="preserve">- </v>
          </cell>
          <cell r="L157">
            <v>1.7</v>
          </cell>
          <cell r="M157" t="str">
            <v>Measured with external Vref &gt;= 1V and Vin common mode &lt; 2*Vref</v>
          </cell>
        </row>
        <row r="158">
          <cell r="A158" t="str">
            <v>SID113</v>
          </cell>
          <cell r="B158" t="str">
            <v>A_THD</v>
          </cell>
          <cell r="C158" t="str">
            <v>Total harmonic distortion.  VDDA = 2.7 to 3.6V, 1 MSPS.</v>
          </cell>
          <cell r="D158" t="str">
            <v xml:space="preserve">- </v>
          </cell>
          <cell r="E158" t="str">
            <v xml:space="preserve">- </v>
          </cell>
          <cell r="F158">
            <v>-65</v>
          </cell>
          <cell r="G158" t="str">
            <v>dB</v>
          </cell>
          <cell r="H158" t="str">
            <v>Fin = 10 kHz</v>
          </cell>
          <cell r="I158" t="str">
            <v>A_THD</v>
          </cell>
          <cell r="J158" t="str">
            <v xml:space="preserve">- </v>
          </cell>
          <cell r="K158" t="str">
            <v xml:space="preserve">- </v>
          </cell>
          <cell r="L158">
            <v>-65</v>
          </cell>
          <cell r="M158" t="str">
            <v>Fin = 10 kHz</v>
          </cell>
        </row>
        <row r="159">
          <cell r="A159" t="str">
            <v>Table 10. CSD V2 Specifications</v>
          </cell>
        </row>
        <row r="160">
          <cell r="A160" t="str">
            <v>SYS.PER#3</v>
          </cell>
          <cell r="B160" t="str">
            <v>VDD_RIPPLE</v>
          </cell>
          <cell r="C160" t="str">
            <v>Max allowed ripple on power supply, DC to 10 MHz</v>
          </cell>
          <cell r="D160" t="str">
            <v>–</v>
          </cell>
          <cell r="E160" t="str">
            <v>–</v>
          </cell>
          <cell r="F160" t="str">
            <v>±50</v>
          </cell>
          <cell r="G160" t="str">
            <v>mV</v>
          </cell>
          <cell r="H160" t="str">
            <v>VDDA &gt; 2V (with ripple), 25 °C TA, Sensitivity = 0.1pF</v>
          </cell>
          <cell r="I160" t="str">
            <v>VDD_RIPPLE</v>
          </cell>
          <cell r="J160" t="str">
            <v>–</v>
          </cell>
          <cell r="K160" t="str">
            <v>–</v>
          </cell>
          <cell r="L160" t="str">
            <v>±50</v>
          </cell>
          <cell r="M160" t="str">
            <v>VDDA &gt; 2V (with ripple), 25 °C TA, Sensitivity = 0.1pF</v>
          </cell>
        </row>
        <row r="161">
          <cell r="A161" t="str">
            <v>SYS.PER#16</v>
          </cell>
          <cell r="B161" t="str">
            <v>VDD_RIPPLE_1.8</v>
          </cell>
          <cell r="C161" t="str">
            <v>Max allowed ripple on power supply, DC to 10 MHz</v>
          </cell>
          <cell r="D161" t="str">
            <v>–</v>
          </cell>
          <cell r="E161" t="str">
            <v>–</v>
          </cell>
          <cell r="F161" t="str">
            <v>±25</v>
          </cell>
          <cell r="G161" t="str">
            <v>mV</v>
          </cell>
          <cell r="H161" t="str">
            <v>VDDA &gt; 1.75V (with ripple), 25 C TA, Parasitic Capacitance (CP) &lt; 20 pF, Sensitivity ≥ 0.4 pF</v>
          </cell>
          <cell r="I161" t="str">
            <v>VDD_RIPPLE_1.8</v>
          </cell>
          <cell r="J161" t="str">
            <v>–</v>
          </cell>
          <cell r="K161" t="str">
            <v>–</v>
          </cell>
          <cell r="L161" t="str">
            <v>±25</v>
          </cell>
          <cell r="M161" t="str">
            <v>VDDA &gt; 1.75V (with ripple), 25 C TA, Parasitic Capacitance (CP) &lt; 20 pF, Sensitivity ≥ 0.4 pF</v>
          </cell>
        </row>
        <row r="162">
          <cell r="A162" t="str">
            <v>SID.CSD.BLK</v>
          </cell>
          <cell r="B162" t="str">
            <v>ICSD</v>
          </cell>
          <cell r="C162" t="str">
            <v xml:space="preserve">Maximum block current </v>
          </cell>
          <cell r="F162">
            <v>4500</v>
          </cell>
          <cell r="G162" t="str">
            <v>µA</v>
          </cell>
          <cell r="I162" t="str">
            <v>ICSD</v>
          </cell>
          <cell r="L162">
            <v>4500</v>
          </cell>
        </row>
        <row r="163">
          <cell r="A163" t="str">
            <v>SID.CSD#15</v>
          </cell>
          <cell r="B163" t="str">
            <v>VREF</v>
          </cell>
          <cell r="C163" t="str">
            <v>Voltage reference for CSD and Comparator</v>
          </cell>
          <cell r="D163">
            <v>0.6</v>
          </cell>
          <cell r="E163">
            <v>1.2</v>
          </cell>
          <cell r="F163" t="str">
            <v xml:space="preserve">VDDA - 0.6 </v>
          </cell>
          <cell r="G163" t="str">
            <v>V</v>
          </cell>
          <cell r="H163" t="str">
            <v>VDDA – VREF ≥ 0.6 V</v>
          </cell>
          <cell r="I163" t="str">
            <v>VREF</v>
          </cell>
          <cell r="J163">
            <v>0.6</v>
          </cell>
          <cell r="K163">
            <v>1.2</v>
          </cell>
          <cell r="L163" t="str">
            <v xml:space="preserve">VDDA - 0.6 </v>
          </cell>
          <cell r="M163" t="str">
            <v>VDDA – VREF ≥ 0.6 V</v>
          </cell>
        </row>
        <row r="164">
          <cell r="A164" t="str">
            <v>SID.CSD#15A</v>
          </cell>
          <cell r="B164" t="str">
            <v>VREF_EXT</v>
          </cell>
          <cell r="C164" t="str">
            <v>External Voltage reference for CSD and Comparator</v>
          </cell>
          <cell r="D164">
            <v>0.6</v>
          </cell>
          <cell r="F164" t="str">
            <v>VDDA - 0.6</v>
          </cell>
          <cell r="G164" t="str">
            <v>V</v>
          </cell>
          <cell r="H164" t="str">
            <v>VDDA – VREF ≥ 0.6 V</v>
          </cell>
          <cell r="I164" t="str">
            <v>VREF_EXT</v>
          </cell>
          <cell r="J164">
            <v>0.6</v>
          </cell>
          <cell r="L164" t="str">
            <v>VDDA - 0.6</v>
          </cell>
          <cell r="M164" t="str">
            <v>VDDA – VREF ≥ 0.6 V</v>
          </cell>
        </row>
        <row r="165">
          <cell r="A165" t="str">
            <v>SID.CSD#16</v>
          </cell>
          <cell r="B165" t="str">
            <v>IDAC1IDD</v>
          </cell>
          <cell r="C165" t="str">
            <v>IDAC1 (7-bits) block current</v>
          </cell>
          <cell r="D165" t="str">
            <v>–</v>
          </cell>
          <cell r="E165" t="str">
            <v>–</v>
          </cell>
          <cell r="F165">
            <v>1900</v>
          </cell>
          <cell r="G165" t="str">
            <v>µA</v>
          </cell>
          <cell r="I165" t="str">
            <v>IDAC1IDD</v>
          </cell>
          <cell r="J165" t="str">
            <v>–</v>
          </cell>
          <cell r="K165" t="str">
            <v>–</v>
          </cell>
          <cell r="L165">
            <v>1900</v>
          </cell>
        </row>
        <row r="166">
          <cell r="A166" t="str">
            <v>SID.CSD#17</v>
          </cell>
          <cell r="B166" t="str">
            <v>IDAC2IDD</v>
          </cell>
          <cell r="C166" t="str">
            <v>IDAC2 (7-bits) block current</v>
          </cell>
          <cell r="D166" t="str">
            <v>–</v>
          </cell>
          <cell r="E166" t="str">
            <v>–</v>
          </cell>
          <cell r="F166">
            <v>1900</v>
          </cell>
          <cell r="G166" t="str">
            <v>µA</v>
          </cell>
          <cell r="I166" t="str">
            <v>IDAC2IDD</v>
          </cell>
          <cell r="J166" t="str">
            <v>–</v>
          </cell>
          <cell r="K166" t="str">
            <v>–</v>
          </cell>
          <cell r="L166">
            <v>1900</v>
          </cell>
        </row>
        <row r="167">
          <cell r="A167" t="str">
            <v>SID308</v>
          </cell>
          <cell r="B167" t="str">
            <v>VCSD</v>
          </cell>
          <cell r="C167" t="str">
            <v>Voltage range of operation</v>
          </cell>
          <cell r="D167">
            <v>1.7</v>
          </cell>
          <cell r="E167" t="str">
            <v>–</v>
          </cell>
          <cell r="F167">
            <v>3.6</v>
          </cell>
          <cell r="G167" t="str">
            <v>V</v>
          </cell>
          <cell r="H167" t="str">
            <v>1.71 to 3.6V</v>
          </cell>
          <cell r="I167" t="str">
            <v>VCSD</v>
          </cell>
          <cell r="J167">
            <v>1.7</v>
          </cell>
          <cell r="K167" t="str">
            <v>–</v>
          </cell>
          <cell r="L167">
            <v>3.6</v>
          </cell>
          <cell r="M167" t="str">
            <v>1.71 to 3.6V</v>
          </cell>
        </row>
        <row r="168">
          <cell r="A168" t="str">
            <v>SID308A</v>
          </cell>
          <cell r="B168" t="str">
            <v>VCOMPIDAC</v>
          </cell>
          <cell r="C168" t="str">
            <v>Voltage compliance range of IDAC</v>
          </cell>
          <cell r="D168">
            <v>0.6</v>
          </cell>
          <cell r="E168" t="str">
            <v>–</v>
          </cell>
          <cell r="F168" t="str">
            <v>VDDA –0.6</v>
          </cell>
          <cell r="G168" t="str">
            <v>V</v>
          </cell>
          <cell r="H168" t="str">
            <v>VDDA – VREF ≥ 0.6 V</v>
          </cell>
          <cell r="I168" t="str">
            <v>VCOMPIDAC</v>
          </cell>
          <cell r="J168">
            <v>0.6</v>
          </cell>
          <cell r="K168" t="str">
            <v>–</v>
          </cell>
          <cell r="L168" t="str">
            <v>VDDA –0.6</v>
          </cell>
          <cell r="M168" t="str">
            <v>VDDA – VREF ≥ 0.6 V</v>
          </cell>
        </row>
        <row r="169">
          <cell r="A169" t="str">
            <v>SID309</v>
          </cell>
          <cell r="B169" t="str">
            <v>IDAC1DNL</v>
          </cell>
          <cell r="C169" t="str">
            <v xml:space="preserve">DNL </v>
          </cell>
          <cell r="D169" t="str">
            <v>–1</v>
          </cell>
          <cell r="E169" t="str">
            <v>–</v>
          </cell>
          <cell r="F169">
            <v>1</v>
          </cell>
          <cell r="G169" t="str">
            <v>LSB</v>
          </cell>
          <cell r="I169" t="str">
            <v>IDAC1DNL</v>
          </cell>
          <cell r="J169" t="str">
            <v>–1</v>
          </cell>
          <cell r="K169" t="str">
            <v>–</v>
          </cell>
          <cell r="L169">
            <v>1</v>
          </cell>
        </row>
        <row r="170">
          <cell r="A170" t="str">
            <v>SID310</v>
          </cell>
          <cell r="B170" t="str">
            <v>IDAC1INL</v>
          </cell>
          <cell r="C170" t="str">
            <v xml:space="preserve">INL </v>
          </cell>
          <cell r="D170" t="str">
            <v>–3</v>
          </cell>
          <cell r="E170" t="str">
            <v>–</v>
          </cell>
          <cell r="F170">
            <v>3</v>
          </cell>
          <cell r="G170" t="str">
            <v>LSB</v>
          </cell>
          <cell r="H170" t="str">
            <v>If VDDA &lt; 2V then for LSB of 2.4 uA or less</v>
          </cell>
          <cell r="I170" t="str">
            <v>IDAC1INL</v>
          </cell>
          <cell r="J170" t="str">
            <v>–3</v>
          </cell>
          <cell r="K170" t="str">
            <v>–</v>
          </cell>
          <cell r="L170">
            <v>3</v>
          </cell>
          <cell r="M170" t="str">
            <v>If VDDA &lt; 2V then for LSB of 2.4 uA or less</v>
          </cell>
        </row>
        <row r="171">
          <cell r="A171" t="str">
            <v>SID311</v>
          </cell>
          <cell r="B171" t="str">
            <v>IDAC2DNL</v>
          </cell>
          <cell r="C171" t="str">
            <v>DNL</v>
          </cell>
          <cell r="D171" t="str">
            <v>–1</v>
          </cell>
          <cell r="E171" t="str">
            <v>–</v>
          </cell>
          <cell r="F171">
            <v>1</v>
          </cell>
          <cell r="G171" t="str">
            <v>LSB</v>
          </cell>
          <cell r="I171" t="str">
            <v>IDAC2DNL</v>
          </cell>
          <cell r="J171" t="str">
            <v>–1</v>
          </cell>
          <cell r="K171" t="str">
            <v>–</v>
          </cell>
          <cell r="L171">
            <v>1</v>
          </cell>
        </row>
        <row r="172">
          <cell r="A172" t="str">
            <v>SID312</v>
          </cell>
          <cell r="B172" t="str">
            <v>IDAC2INL</v>
          </cell>
          <cell r="C172" t="str">
            <v>INL</v>
          </cell>
          <cell r="D172" t="str">
            <v>–3</v>
          </cell>
          <cell r="E172" t="str">
            <v>–</v>
          </cell>
          <cell r="F172">
            <v>3</v>
          </cell>
          <cell r="G172" t="str">
            <v>LSB</v>
          </cell>
          <cell r="H172" t="str">
            <v>If VDDA &lt; 2V then for LSB of 2.4 uA or less</v>
          </cell>
          <cell r="I172" t="str">
            <v>IDAC2INL</v>
          </cell>
          <cell r="J172" t="str">
            <v>–3</v>
          </cell>
          <cell r="K172" t="str">
            <v>–</v>
          </cell>
          <cell r="L172">
            <v>3</v>
          </cell>
          <cell r="M172" t="str">
            <v>If VDDA &lt; 2V then for LSB of 2.4 uA or less</v>
          </cell>
        </row>
        <row r="173">
          <cell r="A173" t="str">
            <v>SNRC following is Ratio of counts of finger to noise. Guaranteed by characterization</v>
          </cell>
        </row>
        <row r="174">
          <cell r="A174" t="str">
            <v>SID313_1A</v>
          </cell>
          <cell r="B174" t="str">
            <v>SNRC_1</v>
          </cell>
          <cell r="C174" t="str">
            <v>SRSS Reference. IMO + FLL Clock Source. 0.1pF Sensitivity</v>
          </cell>
          <cell r="D174">
            <v>5</v>
          </cell>
          <cell r="E174" t="str">
            <v>–</v>
          </cell>
          <cell r="F174" t="str">
            <v>–</v>
          </cell>
          <cell r="G174" t="str">
            <v>Ratio</v>
          </cell>
          <cell r="H174" t="str">
            <v>9.5 pF Max. capacitance.</v>
          </cell>
          <cell r="I174" t="str">
            <v>SNRC_1</v>
          </cell>
          <cell r="J174">
            <v>5</v>
          </cell>
          <cell r="K174" t="str">
            <v>–</v>
          </cell>
          <cell r="L174" t="str">
            <v>–</v>
          </cell>
          <cell r="M174" t="str">
            <v>9.5 pF Max. capacitance.</v>
          </cell>
        </row>
        <row r="175">
          <cell r="A175" t="str">
            <v>SID313_1B</v>
          </cell>
          <cell r="B175" t="str">
            <v>SNRC_2</v>
          </cell>
          <cell r="C175" t="str">
            <v>SRSS Reference. IMO + FLL Clock Source. 0.3pF Sensitivity</v>
          </cell>
          <cell r="D175">
            <v>5</v>
          </cell>
          <cell r="E175" t="str">
            <v>–</v>
          </cell>
          <cell r="F175" t="str">
            <v>–</v>
          </cell>
          <cell r="G175" t="str">
            <v>Ratio</v>
          </cell>
          <cell r="H175" t="str">
            <v>31 pF Max. capacitance.</v>
          </cell>
          <cell r="I175" t="str">
            <v>SNRC_2</v>
          </cell>
          <cell r="J175">
            <v>5</v>
          </cell>
          <cell r="K175" t="str">
            <v>–</v>
          </cell>
          <cell r="L175" t="str">
            <v>–</v>
          </cell>
          <cell r="M175" t="str">
            <v>31 pF Max. capacitance.</v>
          </cell>
        </row>
        <row r="176">
          <cell r="A176" t="str">
            <v>SID313_1C</v>
          </cell>
          <cell r="B176" t="str">
            <v>SNRC_3</v>
          </cell>
          <cell r="C176" t="str">
            <v>SRSS Reference. IMO + FLL Clock Source. 0.6pF Sensitivity</v>
          </cell>
          <cell r="D176">
            <v>5</v>
          </cell>
          <cell r="E176" t="str">
            <v>–</v>
          </cell>
          <cell r="F176" t="str">
            <v>–</v>
          </cell>
          <cell r="G176" t="str">
            <v>Ratio</v>
          </cell>
          <cell r="H176" t="str">
            <v>61 pF Max. capacitance.</v>
          </cell>
          <cell r="I176" t="str">
            <v>SNRC_3</v>
          </cell>
          <cell r="J176">
            <v>5</v>
          </cell>
          <cell r="K176" t="str">
            <v>–</v>
          </cell>
          <cell r="L176" t="str">
            <v>–</v>
          </cell>
          <cell r="M176" t="str">
            <v>61 pF Max. capacitance.</v>
          </cell>
        </row>
        <row r="177">
          <cell r="A177" t="str">
            <v>SID313_2A</v>
          </cell>
          <cell r="B177" t="str">
            <v>SNRC_4</v>
          </cell>
          <cell r="C177" t="str">
            <v>PASS Reference. IMO + FLL Clock Source. 0.1pF Sensitivity</v>
          </cell>
          <cell r="D177">
            <v>5</v>
          </cell>
          <cell r="E177" t="str">
            <v>–</v>
          </cell>
          <cell r="F177" t="str">
            <v>–</v>
          </cell>
          <cell r="G177" t="str">
            <v>Ratio</v>
          </cell>
          <cell r="H177" t="str">
            <v>12 pF Max. capacitance.</v>
          </cell>
          <cell r="I177" t="str">
            <v>SNRC_4</v>
          </cell>
          <cell r="J177">
            <v>5</v>
          </cell>
          <cell r="K177" t="str">
            <v>–</v>
          </cell>
          <cell r="L177" t="str">
            <v>–</v>
          </cell>
          <cell r="M177" t="str">
            <v>12 pF Max. capacitance.</v>
          </cell>
        </row>
        <row r="178">
          <cell r="A178" t="str">
            <v>SID313_2B</v>
          </cell>
          <cell r="B178" t="str">
            <v>SNRC_5</v>
          </cell>
          <cell r="C178" t="str">
            <v>PASS Reference. IMO + FLL Clock Source. 0.3pF Sensitivity</v>
          </cell>
          <cell r="D178">
            <v>5</v>
          </cell>
          <cell r="E178" t="str">
            <v>–</v>
          </cell>
          <cell r="F178" t="str">
            <v>–</v>
          </cell>
          <cell r="G178" t="str">
            <v>Ratio</v>
          </cell>
          <cell r="H178" t="str">
            <v>47 pF Max. capacitance.</v>
          </cell>
          <cell r="I178" t="str">
            <v>SNRC_5</v>
          </cell>
          <cell r="J178">
            <v>5</v>
          </cell>
          <cell r="K178" t="str">
            <v>–</v>
          </cell>
          <cell r="L178" t="str">
            <v>–</v>
          </cell>
          <cell r="M178" t="str">
            <v>47 pF Max. capacitance.</v>
          </cell>
        </row>
        <row r="179">
          <cell r="A179" t="str">
            <v>SID313_2C</v>
          </cell>
          <cell r="B179" t="str">
            <v>SNRC_6</v>
          </cell>
          <cell r="C179" t="str">
            <v>PASS Reference. IMO + FLL Clock Source. 0.6pF Sensitivity</v>
          </cell>
          <cell r="D179">
            <v>5</v>
          </cell>
          <cell r="E179" t="str">
            <v>–</v>
          </cell>
          <cell r="F179" t="str">
            <v>–</v>
          </cell>
          <cell r="G179" t="str">
            <v>Ratio</v>
          </cell>
          <cell r="H179" t="str">
            <v>86 pF Max. capacitance.</v>
          </cell>
          <cell r="I179" t="str">
            <v>SNRC_6</v>
          </cell>
          <cell r="J179">
            <v>5</v>
          </cell>
          <cell r="K179" t="str">
            <v>–</v>
          </cell>
          <cell r="L179" t="str">
            <v>–</v>
          </cell>
          <cell r="M179" t="str">
            <v>86 pF Max. capacitance.</v>
          </cell>
        </row>
        <row r="180">
          <cell r="A180" t="str">
            <v>SID313_3A</v>
          </cell>
          <cell r="B180" t="str">
            <v>SNRC_7</v>
          </cell>
          <cell r="C180" t="str">
            <v>PASS Reference. IMO + PLL Clock Source. 0.1pF Sensitivity</v>
          </cell>
          <cell r="D180">
            <v>5</v>
          </cell>
          <cell r="E180" t="str">
            <v>–</v>
          </cell>
          <cell r="F180" t="str">
            <v>–</v>
          </cell>
          <cell r="G180" t="str">
            <v>Ratio</v>
          </cell>
          <cell r="H180" t="str">
            <v>27 pF Max. capacitance.</v>
          </cell>
          <cell r="I180" t="str">
            <v>SNRC_7</v>
          </cell>
          <cell r="J180">
            <v>5</v>
          </cell>
          <cell r="K180" t="str">
            <v>–</v>
          </cell>
          <cell r="L180" t="str">
            <v>–</v>
          </cell>
          <cell r="M180" t="str">
            <v>27 pF Max. capacitance.</v>
          </cell>
        </row>
        <row r="181">
          <cell r="A181" t="str">
            <v>SID313_3B</v>
          </cell>
          <cell r="B181" t="str">
            <v>SNRC_8</v>
          </cell>
          <cell r="C181" t="str">
            <v>PASS Reference. IMO + PLL Clock Source. 0.3pF Sensitivity</v>
          </cell>
          <cell r="D181">
            <v>5</v>
          </cell>
          <cell r="E181" t="str">
            <v>–</v>
          </cell>
          <cell r="F181" t="str">
            <v>–</v>
          </cell>
          <cell r="G181" t="str">
            <v>Ratio</v>
          </cell>
          <cell r="H181" t="str">
            <v>86 pF Max. capacitance.</v>
          </cell>
          <cell r="I181" t="str">
            <v>SNRC_8</v>
          </cell>
          <cell r="J181">
            <v>5</v>
          </cell>
          <cell r="K181" t="str">
            <v>–</v>
          </cell>
          <cell r="L181" t="str">
            <v>–</v>
          </cell>
          <cell r="M181" t="str">
            <v>86 pF Max. capacitance.</v>
          </cell>
        </row>
        <row r="182">
          <cell r="A182" t="str">
            <v>SID313_3C</v>
          </cell>
          <cell r="B182" t="str">
            <v>SNRC_9</v>
          </cell>
          <cell r="C182" t="str">
            <v>PASS Reference. IMO + PLL Clock Source. 0.6pF Sensitivity</v>
          </cell>
          <cell r="D182">
            <v>5</v>
          </cell>
          <cell r="E182" t="str">
            <v>–</v>
          </cell>
          <cell r="F182" t="str">
            <v>–</v>
          </cell>
          <cell r="G182" t="str">
            <v>Ratio</v>
          </cell>
          <cell r="H182" t="str">
            <v>168 pF Max. capacitance.</v>
          </cell>
          <cell r="I182" t="str">
            <v>SNRC_9</v>
          </cell>
          <cell r="J182">
            <v>5</v>
          </cell>
          <cell r="K182" t="str">
            <v>–</v>
          </cell>
          <cell r="L182" t="str">
            <v>–</v>
          </cell>
          <cell r="M182" t="str">
            <v>168 pF Max. capacitance.</v>
          </cell>
        </row>
        <row r="183">
          <cell r="A183" t="str">
            <v>SID314</v>
          </cell>
          <cell r="B183" t="str">
            <v>IDAC1CRT1</v>
          </cell>
          <cell r="C183" t="str">
            <v>Output current of IDAC1 (7 bits) in low range</v>
          </cell>
          <cell r="D183">
            <v>4.2</v>
          </cell>
          <cell r="F183">
            <v>5.7</v>
          </cell>
          <cell r="G183" t="str">
            <v>µA</v>
          </cell>
          <cell r="H183" t="str">
            <v>LSB = 37.5nA typ.</v>
          </cell>
          <cell r="I183" t="str">
            <v>IDAC1CRT1</v>
          </cell>
          <cell r="J183">
            <v>4.2</v>
          </cell>
          <cell r="L183">
            <v>5.7</v>
          </cell>
          <cell r="M183" t="str">
            <v>LSB = 37.5nA typ.</v>
          </cell>
        </row>
        <row r="184">
          <cell r="A184" t="str">
            <v>SID314A</v>
          </cell>
          <cell r="B184" t="str">
            <v>IDAC1CRT2</v>
          </cell>
          <cell r="C184" t="str">
            <v>Output current of IDAC1(7 bits) in medium range</v>
          </cell>
          <cell r="D184">
            <v>33.700000000000003</v>
          </cell>
          <cell r="F184">
            <v>45.6</v>
          </cell>
          <cell r="G184" t="str">
            <v>µA</v>
          </cell>
          <cell r="H184" t="str">
            <v>LSB = 300 nA typ.</v>
          </cell>
          <cell r="I184" t="str">
            <v>IDAC1CRT2</v>
          </cell>
          <cell r="J184">
            <v>33.700000000000003</v>
          </cell>
          <cell r="L184">
            <v>45.6</v>
          </cell>
          <cell r="M184" t="str">
            <v>LSB = 300 nA typ.</v>
          </cell>
        </row>
        <row r="185">
          <cell r="A185" t="str">
            <v>SID314B</v>
          </cell>
          <cell r="B185" t="str">
            <v>IDAC1CRT3</v>
          </cell>
          <cell r="C185" t="str">
            <v>Output current of IDAC1(7 bits) in high range</v>
          </cell>
          <cell r="D185">
            <v>270</v>
          </cell>
          <cell r="F185">
            <v>365</v>
          </cell>
          <cell r="G185" t="str">
            <v>µA</v>
          </cell>
          <cell r="H185" t="str">
            <v>LSB = 2.4 uA typ.</v>
          </cell>
          <cell r="I185" t="str">
            <v>IDAC1CRT3</v>
          </cell>
          <cell r="J185">
            <v>270</v>
          </cell>
          <cell r="L185">
            <v>365</v>
          </cell>
          <cell r="M185" t="str">
            <v>LSB = 2.4 uA typ.</v>
          </cell>
        </row>
        <row r="186">
          <cell r="A186" t="str">
            <v>SID314C</v>
          </cell>
          <cell r="B186" t="str">
            <v>IDAC1CRT12</v>
          </cell>
          <cell r="C186" t="str">
            <v>Output current of IDAC1 (7 bits) in low range, 2X mode</v>
          </cell>
          <cell r="D186">
            <v>8</v>
          </cell>
          <cell r="F186">
            <v>11.4</v>
          </cell>
          <cell r="G186" t="str">
            <v>µA</v>
          </cell>
          <cell r="H186" t="str">
            <v>LSB = 37.5nA typ. 2X output stage</v>
          </cell>
          <cell r="I186" t="str">
            <v>IDAC1CRT12</v>
          </cell>
          <cell r="J186">
            <v>8</v>
          </cell>
          <cell r="L186">
            <v>11.4</v>
          </cell>
          <cell r="M186" t="str">
            <v>LSB = 37.5nA typ. 2X output stage</v>
          </cell>
        </row>
        <row r="187">
          <cell r="A187" t="str">
            <v>SID314D</v>
          </cell>
          <cell r="B187" t="str">
            <v>IDAC1CRT22</v>
          </cell>
          <cell r="C187" t="str">
            <v>Output current of IDAC1(7 bits) in medium range, 2X mode</v>
          </cell>
          <cell r="D187">
            <v>67</v>
          </cell>
          <cell r="F187">
            <v>91</v>
          </cell>
          <cell r="G187" t="str">
            <v>µA</v>
          </cell>
          <cell r="H187" t="str">
            <v>LSB = 300 nA typ. 2X output stage</v>
          </cell>
          <cell r="I187" t="str">
            <v>IDAC1CRT22</v>
          </cell>
          <cell r="J187">
            <v>67</v>
          </cell>
          <cell r="L187">
            <v>91</v>
          </cell>
          <cell r="M187" t="str">
            <v>LSB = 300 nA typ. 2X output stage</v>
          </cell>
        </row>
        <row r="188">
          <cell r="A188" t="str">
            <v>SID314E</v>
          </cell>
          <cell r="B188" t="str">
            <v>IDAC1CRT32</v>
          </cell>
          <cell r="C188" t="str">
            <v>Output current of IDAC1(7 bits) in high range, 2X mode. VDDA &gt; 2V</v>
          </cell>
          <cell r="D188">
            <v>540</v>
          </cell>
          <cell r="F188">
            <v>730</v>
          </cell>
          <cell r="G188" t="str">
            <v>µA</v>
          </cell>
          <cell r="H188" t="str">
            <v>LSB = 2.4 uA typ.2X output stage</v>
          </cell>
          <cell r="I188" t="str">
            <v>IDAC1CRT32</v>
          </cell>
          <cell r="J188">
            <v>540</v>
          </cell>
          <cell r="L188">
            <v>730</v>
          </cell>
          <cell r="M188" t="str">
            <v>LSB = 2.4 uA typ.2X output stage</v>
          </cell>
        </row>
        <row r="189">
          <cell r="A189" t="str">
            <v>SID315</v>
          </cell>
          <cell r="B189" t="str">
            <v>IDAC2CRT1</v>
          </cell>
          <cell r="C189" t="str">
            <v>Output current of IDAC2 (7 bits) in low range</v>
          </cell>
          <cell r="D189">
            <v>4.2</v>
          </cell>
          <cell r="F189">
            <v>5.7</v>
          </cell>
          <cell r="G189" t="str">
            <v>µA</v>
          </cell>
          <cell r="H189" t="str">
            <v>LSB = 37.5nA typ.</v>
          </cell>
          <cell r="I189" t="str">
            <v>IDAC2CRT1</v>
          </cell>
          <cell r="J189">
            <v>4.2</v>
          </cell>
          <cell r="L189">
            <v>5.7</v>
          </cell>
          <cell r="M189" t="str">
            <v>LSB = 37.5nA typ.</v>
          </cell>
        </row>
        <row r="190">
          <cell r="A190" t="str">
            <v>SID315A</v>
          </cell>
          <cell r="B190" t="str">
            <v>IDAC2CRT2</v>
          </cell>
          <cell r="C190" t="str">
            <v>Output current of IDAC2 (7 bits) in medium range</v>
          </cell>
          <cell r="D190">
            <v>33.700000000000003</v>
          </cell>
          <cell r="F190">
            <v>45.6</v>
          </cell>
          <cell r="G190" t="str">
            <v>µA</v>
          </cell>
          <cell r="H190" t="str">
            <v>LSB = 300 nA typ.</v>
          </cell>
          <cell r="I190" t="str">
            <v>IDAC2CRT2</v>
          </cell>
          <cell r="J190">
            <v>33.700000000000003</v>
          </cell>
          <cell r="L190">
            <v>45.6</v>
          </cell>
          <cell r="M190" t="str">
            <v>LSB = 300 nA typ.</v>
          </cell>
        </row>
        <row r="191">
          <cell r="A191" t="str">
            <v>SID315B</v>
          </cell>
          <cell r="B191" t="str">
            <v>IDAC2CRT3</v>
          </cell>
          <cell r="C191" t="str">
            <v>Output current of IDAC2 (7 bits) in high range</v>
          </cell>
          <cell r="D191">
            <v>270</v>
          </cell>
          <cell r="F191">
            <v>365</v>
          </cell>
          <cell r="G191" t="str">
            <v>µA</v>
          </cell>
          <cell r="H191" t="str">
            <v>LSB = 2.4 uA typ.</v>
          </cell>
          <cell r="I191" t="str">
            <v>IDAC2CRT3</v>
          </cell>
          <cell r="J191">
            <v>270</v>
          </cell>
          <cell r="L191">
            <v>365</v>
          </cell>
          <cell r="M191" t="str">
            <v>LSB = 2.4 uA typ.</v>
          </cell>
        </row>
        <row r="192">
          <cell r="A192" t="str">
            <v>SID315C</v>
          </cell>
          <cell r="B192" t="str">
            <v>IDAC2CRT12</v>
          </cell>
          <cell r="C192" t="str">
            <v>Output current of IDAC2 (7 bits) in low range, 2X mode</v>
          </cell>
          <cell r="D192">
            <v>8</v>
          </cell>
          <cell r="F192">
            <v>11.4</v>
          </cell>
          <cell r="G192" t="str">
            <v>µA</v>
          </cell>
          <cell r="H192" t="str">
            <v>LSB = 37.5nA typ. 2X output stage</v>
          </cell>
          <cell r="I192" t="str">
            <v>IDAC2CRT12</v>
          </cell>
          <cell r="J192">
            <v>8</v>
          </cell>
          <cell r="L192">
            <v>11.4</v>
          </cell>
          <cell r="M192" t="str">
            <v>LSB = 37.5nA typ. 2X output stage</v>
          </cell>
        </row>
        <row r="193">
          <cell r="A193" t="str">
            <v>SID315D</v>
          </cell>
          <cell r="B193" t="str">
            <v>IDAC2CRT22</v>
          </cell>
          <cell r="C193" t="str">
            <v>Output current of IDAC2(7 bits) in medium range, 2X mode</v>
          </cell>
          <cell r="D193">
            <v>67</v>
          </cell>
          <cell r="F193">
            <v>91</v>
          </cell>
          <cell r="G193" t="str">
            <v>µA</v>
          </cell>
          <cell r="H193" t="str">
            <v>LSB = 300 nA typ. 2X output stage</v>
          </cell>
          <cell r="I193" t="str">
            <v>IDAC2CRT22</v>
          </cell>
          <cell r="J193">
            <v>67</v>
          </cell>
          <cell r="L193">
            <v>91</v>
          </cell>
          <cell r="M193" t="str">
            <v>LSB = 300 nA typ. 2X output stage</v>
          </cell>
        </row>
        <row r="194">
          <cell r="A194" t="str">
            <v>SID315E</v>
          </cell>
          <cell r="B194" t="str">
            <v>IDAC2CRT32</v>
          </cell>
          <cell r="C194" t="str">
            <v>Output current of IDAC2(7 bits) in high range, 2X mode. VDDA &gt; 2V</v>
          </cell>
          <cell r="D194">
            <v>540</v>
          </cell>
          <cell r="F194">
            <v>730</v>
          </cell>
          <cell r="G194" t="str">
            <v>µA</v>
          </cell>
          <cell r="H194" t="str">
            <v>LSB = 2.4 uA typ.2X output stage</v>
          </cell>
          <cell r="I194" t="str">
            <v>IDAC2CRT32</v>
          </cell>
          <cell r="J194">
            <v>540</v>
          </cell>
          <cell r="L194">
            <v>730</v>
          </cell>
          <cell r="M194" t="str">
            <v>LSB = 2.4 uA typ.2X output stage</v>
          </cell>
        </row>
        <row r="195">
          <cell r="A195" t="str">
            <v>SID315F</v>
          </cell>
          <cell r="B195" t="str">
            <v>IDAC3CRT13</v>
          </cell>
          <cell r="C195" t="str">
            <v>Output current of IDAC in 8-bit mode in low range</v>
          </cell>
          <cell r="D195">
            <v>8</v>
          </cell>
          <cell r="F195">
            <v>11.4</v>
          </cell>
          <cell r="G195" t="str">
            <v>µA</v>
          </cell>
          <cell r="H195" t="str">
            <v>LSB = 37.5nA typ.</v>
          </cell>
          <cell r="I195" t="str">
            <v>IDAC3CRT13</v>
          </cell>
          <cell r="J195">
            <v>8</v>
          </cell>
          <cell r="L195">
            <v>11.4</v>
          </cell>
          <cell r="M195" t="str">
            <v>LSB = 37.5nA typ.</v>
          </cell>
        </row>
        <row r="196">
          <cell r="A196" t="str">
            <v>SID315G</v>
          </cell>
          <cell r="B196" t="str">
            <v>IDAC3CRT23</v>
          </cell>
          <cell r="C196" t="str">
            <v>Output current of IDAC in 8-bit mode in medium range</v>
          </cell>
          <cell r="D196">
            <v>67</v>
          </cell>
          <cell r="F196">
            <v>91</v>
          </cell>
          <cell r="G196" t="str">
            <v>µA</v>
          </cell>
          <cell r="H196" t="str">
            <v>LSB = 300 nA typ.</v>
          </cell>
          <cell r="I196" t="str">
            <v>IDAC3CRT23</v>
          </cell>
          <cell r="J196">
            <v>67</v>
          </cell>
          <cell r="L196">
            <v>91</v>
          </cell>
          <cell r="M196" t="str">
            <v>LSB = 300 nA typ.</v>
          </cell>
        </row>
        <row r="197">
          <cell r="A197" t="str">
            <v>SID315H</v>
          </cell>
          <cell r="B197" t="str">
            <v>IDAC3CRT33</v>
          </cell>
          <cell r="C197" t="str">
            <v>Output current of IDAC in 8-bit mode in high range. VDDA &gt; 2V</v>
          </cell>
          <cell r="D197">
            <v>540</v>
          </cell>
          <cell r="F197">
            <v>730</v>
          </cell>
          <cell r="G197" t="str">
            <v>µA</v>
          </cell>
          <cell r="H197" t="str">
            <v>LSB = 2.4 uA typ.</v>
          </cell>
          <cell r="I197" t="str">
            <v>IDAC3CRT33</v>
          </cell>
          <cell r="J197">
            <v>540</v>
          </cell>
          <cell r="L197">
            <v>730</v>
          </cell>
          <cell r="M197" t="str">
            <v>LSB = 2.4 uA typ.</v>
          </cell>
        </row>
        <row r="198">
          <cell r="A198" t="str">
            <v>SID320</v>
          </cell>
          <cell r="B198" t="str">
            <v>IDACOFFSET</v>
          </cell>
          <cell r="C198" t="str">
            <v>All zeroes input</v>
          </cell>
          <cell r="D198" t="str">
            <v>–</v>
          </cell>
          <cell r="E198" t="str">
            <v>–</v>
          </cell>
          <cell r="F198">
            <v>1</v>
          </cell>
          <cell r="G198" t="str">
            <v>LSB</v>
          </cell>
          <cell r="H198" t="str">
            <v>Polarity set by Source or Sink</v>
          </cell>
          <cell r="I198" t="str">
            <v>IDACOFFSET</v>
          </cell>
          <cell r="J198" t="str">
            <v>–</v>
          </cell>
          <cell r="K198" t="str">
            <v>–</v>
          </cell>
          <cell r="L198">
            <v>1</v>
          </cell>
          <cell r="M198" t="str">
            <v>Polarity set by Source or Sink</v>
          </cell>
        </row>
        <row r="199">
          <cell r="A199" t="str">
            <v>SID321</v>
          </cell>
          <cell r="B199" t="str">
            <v>IDACGAIN</v>
          </cell>
          <cell r="C199" t="str">
            <v>Full-scale error less offset</v>
          </cell>
          <cell r="D199" t="str">
            <v>–</v>
          </cell>
          <cell r="E199" t="str">
            <v>–</v>
          </cell>
          <cell r="F199" t="str">
            <v>±15</v>
          </cell>
          <cell r="G199" t="str">
            <v>%</v>
          </cell>
          <cell r="H199" t="str">
            <v>LSB = 2.4 uA typ.</v>
          </cell>
          <cell r="I199" t="str">
            <v>IDACGAIN</v>
          </cell>
          <cell r="J199" t="str">
            <v>–</v>
          </cell>
          <cell r="K199" t="str">
            <v>–</v>
          </cell>
          <cell r="L199" t="str">
            <v>±15</v>
          </cell>
          <cell r="M199" t="str">
            <v>LSB = 2.4 uA typ.</v>
          </cell>
        </row>
        <row r="200">
          <cell r="A200" t="str">
            <v>SID322</v>
          </cell>
          <cell r="B200" t="str">
            <v>IDACMISMATCH1</v>
          </cell>
          <cell r="C200" t="str">
            <v>Mismatch between IDAC1 and IDAC2 in Low mode</v>
          </cell>
          <cell r="D200" t="str">
            <v>–</v>
          </cell>
          <cell r="E200" t="str">
            <v>–</v>
          </cell>
          <cell r="F200">
            <v>9.1999999999999993</v>
          </cell>
          <cell r="G200" t="str">
            <v>LSB</v>
          </cell>
          <cell r="H200" t="str">
            <v>LSB = 37.5nA typ.</v>
          </cell>
          <cell r="I200" t="str">
            <v>IDACMISMATCH1</v>
          </cell>
          <cell r="J200" t="str">
            <v>–</v>
          </cell>
          <cell r="K200" t="str">
            <v>–</v>
          </cell>
          <cell r="L200">
            <v>9.1999999999999993</v>
          </cell>
          <cell r="M200" t="str">
            <v>LSB = 37.5nA typ.</v>
          </cell>
        </row>
        <row r="201">
          <cell r="A201" t="str">
            <v>SID322A</v>
          </cell>
          <cell r="B201" t="str">
            <v>IDACMISMATCH2</v>
          </cell>
          <cell r="C201" t="str">
            <v>Mismatch between IDAC1 and IDAC2 in Medium mode</v>
          </cell>
          <cell r="D201" t="str">
            <v>–</v>
          </cell>
          <cell r="E201" t="str">
            <v>–</v>
          </cell>
          <cell r="F201">
            <v>6</v>
          </cell>
          <cell r="G201" t="str">
            <v>LSB</v>
          </cell>
          <cell r="H201" t="str">
            <v>LSB = 300 nA typ.</v>
          </cell>
          <cell r="I201" t="str">
            <v>IDACMISMATCH2</v>
          </cell>
          <cell r="J201" t="str">
            <v>–</v>
          </cell>
          <cell r="K201" t="str">
            <v>–</v>
          </cell>
          <cell r="L201">
            <v>6</v>
          </cell>
          <cell r="M201" t="str">
            <v>LSB = 300 nA typ.</v>
          </cell>
        </row>
        <row r="202">
          <cell r="A202" t="str">
            <v>SID322B</v>
          </cell>
          <cell r="B202" t="str">
            <v>IDACMISMATCH3</v>
          </cell>
          <cell r="C202" t="str">
            <v>Mismatch between IDAC1 and IDAC2 in High mode</v>
          </cell>
          <cell r="D202" t="str">
            <v>–</v>
          </cell>
          <cell r="E202" t="str">
            <v>–</v>
          </cell>
          <cell r="F202">
            <v>5.8</v>
          </cell>
          <cell r="G202" t="str">
            <v>LSB</v>
          </cell>
          <cell r="H202" t="str">
            <v>LSB = 2.4 uA typ.</v>
          </cell>
          <cell r="I202" t="str">
            <v>IDACMISMATCH3</v>
          </cell>
          <cell r="J202" t="str">
            <v>–</v>
          </cell>
          <cell r="K202" t="str">
            <v>–</v>
          </cell>
          <cell r="L202">
            <v>5.8</v>
          </cell>
          <cell r="M202" t="str">
            <v>LSB = 2.4 uA typ.</v>
          </cell>
        </row>
        <row r="203">
          <cell r="A203" t="str">
            <v>SID323</v>
          </cell>
          <cell r="B203" t="str">
            <v>IDACSET8</v>
          </cell>
          <cell r="C203" t="str">
            <v>Settling time to 0.5 LSB for 8-bit IDAC</v>
          </cell>
          <cell r="D203" t="str">
            <v>–</v>
          </cell>
          <cell r="E203" t="str">
            <v>–</v>
          </cell>
          <cell r="F203">
            <v>10</v>
          </cell>
          <cell r="G203" t="str">
            <v>µs</v>
          </cell>
          <cell r="H203" t="str">
            <v>Full-scale transition. No external load.</v>
          </cell>
          <cell r="I203" t="str">
            <v>IDACSET8</v>
          </cell>
          <cell r="J203" t="str">
            <v>–</v>
          </cell>
          <cell r="K203" t="str">
            <v>–</v>
          </cell>
          <cell r="L203">
            <v>10</v>
          </cell>
          <cell r="M203" t="str">
            <v>Full-scale transition. No external load.</v>
          </cell>
        </row>
        <row r="204">
          <cell r="A204" t="str">
            <v>SID324</v>
          </cell>
          <cell r="B204" t="str">
            <v>IDACSET7</v>
          </cell>
          <cell r="C204" t="str">
            <v>Settling time to 0.5 LSB for 7-bit IDAC</v>
          </cell>
          <cell r="D204" t="str">
            <v>–</v>
          </cell>
          <cell r="E204" t="str">
            <v>–</v>
          </cell>
          <cell r="F204">
            <v>10</v>
          </cell>
          <cell r="G204" t="str">
            <v>µs</v>
          </cell>
          <cell r="H204" t="str">
            <v>Full-scale transition. No external load.</v>
          </cell>
          <cell r="I204" t="str">
            <v>IDACSET7</v>
          </cell>
          <cell r="J204" t="str">
            <v>–</v>
          </cell>
          <cell r="K204" t="str">
            <v>–</v>
          </cell>
          <cell r="L204">
            <v>10</v>
          </cell>
          <cell r="M204" t="str">
            <v>Full-scale transition. No external load.</v>
          </cell>
        </row>
        <row r="205">
          <cell r="A205" t="str">
            <v>SID325</v>
          </cell>
          <cell r="B205" t="str">
            <v>CMOD</v>
          </cell>
          <cell r="C205" t="str">
            <v>External modulator capacitor.</v>
          </cell>
          <cell r="D205" t="str">
            <v>–</v>
          </cell>
          <cell r="E205">
            <v>2.2000000000000002</v>
          </cell>
          <cell r="F205" t="str">
            <v>–</v>
          </cell>
          <cell r="G205" t="str">
            <v>nF</v>
          </cell>
          <cell r="H205" t="str">
            <v>5-V rating, X7R or NP0 cap.</v>
          </cell>
          <cell r="I205" t="str">
            <v>CMOD</v>
          </cell>
          <cell r="J205" t="str">
            <v>–</v>
          </cell>
          <cell r="K205">
            <v>2.2000000000000002</v>
          </cell>
          <cell r="L205" t="str">
            <v>–</v>
          </cell>
          <cell r="M205" t="str">
            <v>5-V rating, X7R or NP0 cap.</v>
          </cell>
        </row>
        <row r="206">
          <cell r="A206" t="str">
            <v>Table 11. CSDv2 ADC Specifications</v>
          </cell>
        </row>
        <row r="207">
          <cell r="A207" t="str">
            <v>SIDA94</v>
          </cell>
          <cell r="B207" t="str">
            <v>A_RES</v>
          </cell>
          <cell r="C207" t="str">
            <v>Resolution</v>
          </cell>
          <cell r="D207" t="str">
            <v xml:space="preserve">- </v>
          </cell>
          <cell r="E207" t="str">
            <v xml:space="preserve">- </v>
          </cell>
          <cell r="F207">
            <v>10</v>
          </cell>
          <cell r="G207" t="str">
            <v>bits</v>
          </cell>
          <cell r="H207" t="str">
            <v>Auto-zeroing is required every millisecond</v>
          </cell>
          <cell r="I207" t="str">
            <v>A_RES</v>
          </cell>
          <cell r="J207" t="str">
            <v xml:space="preserve">- </v>
          </cell>
          <cell r="K207" t="str">
            <v xml:space="preserve">- </v>
          </cell>
          <cell r="L207">
            <v>10</v>
          </cell>
          <cell r="M207" t="str">
            <v>Auto-zeroing is required every millisecond</v>
          </cell>
        </row>
        <row r="208">
          <cell r="A208" t="str">
            <v>SID95</v>
          </cell>
          <cell r="B208" t="str">
            <v>A_CHNLS_S</v>
          </cell>
          <cell r="C208" t="str">
            <v>Number of channels - single ended</v>
          </cell>
          <cell r="E208" t="str">
            <v xml:space="preserve">- </v>
          </cell>
          <cell r="F208" t="str">
            <v xml:space="preserve">- </v>
          </cell>
          <cell r="G208">
            <v>16</v>
          </cell>
          <cell r="I208" t="str">
            <v>A_CHNLS_S</v>
          </cell>
          <cell r="K208" t="str">
            <v xml:space="preserve">- </v>
          </cell>
          <cell r="L208" t="str">
            <v xml:space="preserve">- </v>
          </cell>
        </row>
        <row r="209">
          <cell r="A209" t="str">
            <v>SIDA97</v>
          </cell>
          <cell r="B209" t="str">
            <v>A-MONO</v>
          </cell>
          <cell r="C209" t="str">
            <v>Monotonicity</v>
          </cell>
          <cell r="D209" t="str">
            <v xml:space="preserve">- </v>
          </cell>
          <cell r="E209" t="str">
            <v xml:space="preserve">- </v>
          </cell>
          <cell r="F209" t="str">
            <v>Yes</v>
          </cell>
          <cell r="G209" t="str">
            <v xml:space="preserve">- </v>
          </cell>
          <cell r="H209" t="str">
            <v>Vref mode</v>
          </cell>
          <cell r="I209" t="str">
            <v>Vref mode</v>
          </cell>
          <cell r="J209" t="str">
            <v xml:space="preserve">- </v>
          </cell>
          <cell r="K209" t="str">
            <v xml:space="preserve">- </v>
          </cell>
          <cell r="L209" t="str">
            <v>Yes</v>
          </cell>
          <cell r="M209" t="str">
            <v>Vref mode</v>
          </cell>
        </row>
        <row r="210">
          <cell r="A210" t="str">
            <v>SIDA98</v>
          </cell>
          <cell r="B210" t="str">
            <v>A_GAINERR_VREF</v>
          </cell>
          <cell r="C210" t="str">
            <v>Gain error</v>
          </cell>
          <cell r="D210" t="str">
            <v xml:space="preserve">- </v>
          </cell>
          <cell r="E210">
            <v>0.6</v>
          </cell>
          <cell r="F210" t="str">
            <v xml:space="preserve">- </v>
          </cell>
          <cell r="G210" t="str">
            <v>%</v>
          </cell>
          <cell r="H210" t="str">
            <v>Reference Source: SRSS 
(Vref=1.20V, VDDA&lt;2.2V), (Vref=1.6V, 2.2V&lt;VDDA&lt;2.7V ), (Vref=2.13V, VDDA&gt;2.7V)</v>
          </cell>
          <cell r="I210" t="str">
            <v>A_GAINERR_VREF</v>
          </cell>
          <cell r="J210" t="str">
            <v xml:space="preserve">- </v>
          </cell>
          <cell r="K210">
            <v>0.6</v>
          </cell>
          <cell r="L210" t="str">
            <v xml:space="preserve">- </v>
          </cell>
          <cell r="M210" t="str">
            <v>Reference Source: SRSS 
(Vref=1.20V, VDDA&lt;2.2V), (Vref=1.6V, 2.2V&lt;VDDA&lt;2.7V ), (Vref=2.13V, VDDA&gt;2.7V)</v>
          </cell>
        </row>
        <row r="211">
          <cell r="A211" t="str">
            <v>SIDA98A</v>
          </cell>
          <cell r="B211" t="str">
            <v>A_GAINERR_VDDA</v>
          </cell>
          <cell r="C211" t="str">
            <v xml:space="preserve">Gain error </v>
          </cell>
          <cell r="D211" t="str">
            <v xml:space="preserve">- </v>
          </cell>
          <cell r="E211">
            <v>0.2</v>
          </cell>
          <cell r="F211" t="str">
            <v xml:space="preserve">- </v>
          </cell>
          <cell r="G211" t="str">
            <v>%</v>
          </cell>
          <cell r="H211" t="str">
            <v>Reference Source: SRSS 
(Vref=1.20V, VDDA&lt;2.2V), (Vref=1.6V, 2.2V&lt;VDDA&lt;2.7V ), (Vref=2.13V, VDDA&gt;2.7V)</v>
          </cell>
          <cell r="I211" t="str">
            <v>A_GAINERR_VDDA</v>
          </cell>
          <cell r="J211" t="str">
            <v xml:space="preserve">- </v>
          </cell>
          <cell r="K211">
            <v>0.2</v>
          </cell>
          <cell r="L211" t="str">
            <v xml:space="preserve">- </v>
          </cell>
          <cell r="M211" t="str">
            <v>Reference Source: SRSS 
(Vref=1.20V, VDDA&lt;2.2V), (Vref=1.6V, 2.2V&lt;VDDA&lt;2.7V ), (Vref=2.13V, VDDA&gt;2.7V)</v>
          </cell>
        </row>
        <row r="212">
          <cell r="A212" t="str">
            <v>SIDA99</v>
          </cell>
          <cell r="B212" t="str">
            <v>A_OFFSET_VREF</v>
          </cell>
          <cell r="C212" t="str">
            <v xml:space="preserve">Input offset voltage </v>
          </cell>
          <cell r="D212" t="str">
            <v xml:space="preserve">- </v>
          </cell>
          <cell r="E212">
            <v>0.5</v>
          </cell>
          <cell r="F212" t="str">
            <v xml:space="preserve">- </v>
          </cell>
          <cell r="G212" t="str">
            <v>lsb</v>
          </cell>
          <cell r="H212" t="str">
            <v>After ADC calibration, Ref. Src = SRSS, (Vref=1.20V, VDDA&lt;2.2V), (Vref=1.6V, 2.2V&lt;VDDA&lt;2.7V ), (Vref=2.13V, VDDA&gt;2.7V)</v>
          </cell>
          <cell r="I212" t="str">
            <v>A_OFFSET_VREF</v>
          </cell>
          <cell r="J212" t="str">
            <v xml:space="preserve">- </v>
          </cell>
          <cell r="K212">
            <v>0.5</v>
          </cell>
          <cell r="L212" t="str">
            <v xml:space="preserve">- </v>
          </cell>
          <cell r="M212" t="str">
            <v>After ADC calibration, Ref. Src = SRSS, (Vref=1.20V, VDDA&lt;2.2V), (Vref=1.6V, 2.2V&lt;VDDA&lt;2.7V ), (Vref=2.13V, VDDA&gt;2.7V)</v>
          </cell>
        </row>
        <row r="213">
          <cell r="A213" t="str">
            <v>SIDA99A</v>
          </cell>
          <cell r="B213" t="str">
            <v>A_OFFSET_VDDA</v>
          </cell>
          <cell r="C213" t="str">
            <v xml:space="preserve">Input offset voltage </v>
          </cell>
          <cell r="D213" t="str">
            <v xml:space="preserve">- </v>
          </cell>
          <cell r="E213">
            <v>0.5</v>
          </cell>
          <cell r="F213" t="str">
            <v xml:space="preserve">- </v>
          </cell>
          <cell r="G213" t="str">
            <v>lsb</v>
          </cell>
          <cell r="H213" t="str">
            <v>After ADC calibration, Ref. Src = SRSS, (Vref=1.20V, VDDA&lt;2.2V), (Vref=1.6V, 2.2V&lt;VDDA&lt;2.7V ), (Vref=2.13V, VDDA&gt;2.7V)</v>
          </cell>
          <cell r="I213" t="str">
            <v>A_OFFSET_VDDA</v>
          </cell>
          <cell r="J213" t="str">
            <v xml:space="preserve">- </v>
          </cell>
          <cell r="K213">
            <v>0.5</v>
          </cell>
          <cell r="L213" t="str">
            <v xml:space="preserve">- </v>
          </cell>
          <cell r="M213" t="str">
            <v>After ADC calibration, Ref. Src = SRSS, (Vref=1.20V, VDDA&lt;2.2V), (Vref=1.6V, 2.2V&lt;VDDA&lt;2.7V ), (Vref=2.13V, VDDA&gt;2.7V)</v>
          </cell>
        </row>
        <row r="214">
          <cell r="A214" t="str">
            <v>SIDA100</v>
          </cell>
          <cell r="B214" t="str">
            <v>A_ISAR_VREF</v>
          </cell>
          <cell r="C214" t="str">
            <v>Current consumption</v>
          </cell>
          <cell r="D214" t="str">
            <v xml:space="preserve">- </v>
          </cell>
          <cell r="E214">
            <v>0.3</v>
          </cell>
          <cell r="F214" t="str">
            <v xml:space="preserve">- </v>
          </cell>
          <cell r="G214" t="str">
            <v>mA</v>
          </cell>
          <cell r="H214" t="str">
            <v>CSD ADC Block current</v>
          </cell>
          <cell r="I214" t="str">
            <v>A_ISAR_VREF</v>
          </cell>
          <cell r="J214" t="str">
            <v xml:space="preserve">- </v>
          </cell>
          <cell r="K214">
            <v>0.3</v>
          </cell>
          <cell r="L214" t="str">
            <v xml:space="preserve">- </v>
          </cell>
          <cell r="M214" t="str">
            <v>CSD ADC Block current</v>
          </cell>
        </row>
        <row r="215">
          <cell r="A215" t="str">
            <v>SIDA100A</v>
          </cell>
          <cell r="B215" t="str">
            <v>A_ISAR_VDDA</v>
          </cell>
          <cell r="C215" t="str">
            <v>Current consumption</v>
          </cell>
          <cell r="D215" t="str">
            <v xml:space="preserve">- </v>
          </cell>
          <cell r="E215">
            <v>0.3</v>
          </cell>
          <cell r="F215" t="str">
            <v xml:space="preserve">- </v>
          </cell>
          <cell r="G215" t="str">
            <v>mA</v>
          </cell>
          <cell r="H215" t="str">
            <v>CSD ADC Block current</v>
          </cell>
          <cell r="I215" t="str">
            <v>A_ISAR_VDDA</v>
          </cell>
          <cell r="J215" t="str">
            <v xml:space="preserve">- </v>
          </cell>
          <cell r="K215">
            <v>0.3</v>
          </cell>
          <cell r="L215" t="str">
            <v xml:space="preserve">- </v>
          </cell>
          <cell r="M215" t="str">
            <v>CSD ADC Block current</v>
          </cell>
        </row>
        <row r="216">
          <cell r="A216" t="str">
            <v>SIDA101</v>
          </cell>
          <cell r="B216" t="str">
            <v>A_VINS_VREF</v>
          </cell>
          <cell r="C216" t="str">
            <v>Input voltage range - single ended</v>
          </cell>
          <cell r="D216" t="str">
            <v>VSSA</v>
          </cell>
          <cell r="E216" t="str">
            <v xml:space="preserve">- </v>
          </cell>
          <cell r="F216" t="str">
            <v>VREF</v>
          </cell>
          <cell r="G216" t="str">
            <v>V</v>
          </cell>
          <cell r="H216" t="str">
            <v>(Vref=1.20V, VDDA&lt;2.2V)
(Vref=1.6V, 2.2V&lt;VDDA&lt;2.7V )
(Vref=2.13V, VDDA&gt;2.7V)</v>
          </cell>
          <cell r="I216" t="str">
            <v>A_VINS_VREF</v>
          </cell>
          <cell r="J216" t="str">
            <v>VSSA</v>
          </cell>
          <cell r="K216" t="str">
            <v xml:space="preserve">- </v>
          </cell>
          <cell r="L216" t="str">
            <v>VREF</v>
          </cell>
          <cell r="M216" t="str">
            <v>(Vref=1.20V, VDDA&lt;2.2V)
(Vref=1.6V, 2.2V&lt;VDDA&lt;2.7V )
(Vref=2.13V, VDDA&gt;2.7V)</v>
          </cell>
        </row>
        <row r="217">
          <cell r="A217" t="str">
            <v>SIDA101A</v>
          </cell>
          <cell r="B217" t="str">
            <v>A_VINS_VDDA</v>
          </cell>
          <cell r="C217" t="str">
            <v>Input voltage range - single ended</v>
          </cell>
          <cell r="D217" t="str">
            <v>VSSA</v>
          </cell>
          <cell r="E217" t="str">
            <v xml:space="preserve">- </v>
          </cell>
          <cell r="F217" t="str">
            <v>VDDA</v>
          </cell>
          <cell r="G217" t="str">
            <v>V</v>
          </cell>
          <cell r="H217" t="str">
            <v>(Vref=1.20V, VDDA&lt;2.2V)
(Vref=1.6V, 2.2V&lt;VDDA&lt;2.7V )
(Vref=2.13V, VDDA&gt;2.7V)</v>
          </cell>
          <cell r="I217" t="str">
            <v>A_VINS_VDDA</v>
          </cell>
          <cell r="J217" t="str">
            <v>VSSA</v>
          </cell>
          <cell r="K217" t="str">
            <v xml:space="preserve">- </v>
          </cell>
          <cell r="L217" t="str">
            <v>VDDA</v>
          </cell>
          <cell r="M217" t="str">
            <v>(Vref=1.20V, VDDA&lt;2.2V)
(Vref=1.6V, 2.2V&lt;VDDA&lt;2.7V )
(Vref=2.13V, VDDA&gt;2.7V)</v>
          </cell>
        </row>
        <row r="218">
          <cell r="A218" t="str">
            <v>SIDA103</v>
          </cell>
          <cell r="B218" t="str">
            <v>A_INRES</v>
          </cell>
          <cell r="C218" t="str">
            <v>Input charging resistance</v>
          </cell>
          <cell r="D218" t="str">
            <v xml:space="preserve">- </v>
          </cell>
          <cell r="E218">
            <v>15</v>
          </cell>
          <cell r="F218" t="str">
            <v xml:space="preserve">- </v>
          </cell>
          <cell r="G218" t="str">
            <v>kΩ</v>
          </cell>
          <cell r="I218" t="str">
            <v>A_INRES</v>
          </cell>
          <cell r="J218" t="str">
            <v xml:space="preserve">- </v>
          </cell>
          <cell r="K218">
            <v>15</v>
          </cell>
          <cell r="L218" t="str">
            <v xml:space="preserve">- </v>
          </cell>
        </row>
        <row r="219">
          <cell r="A219" t="str">
            <v>SIDA104</v>
          </cell>
          <cell r="B219" t="str">
            <v>A_INCAP</v>
          </cell>
          <cell r="C219" t="str">
            <v>Input capacitance</v>
          </cell>
          <cell r="D219" t="str">
            <v xml:space="preserve">- </v>
          </cell>
          <cell r="E219">
            <v>41</v>
          </cell>
          <cell r="F219" t="str">
            <v xml:space="preserve">- </v>
          </cell>
          <cell r="G219" t="str">
            <v>pF</v>
          </cell>
          <cell r="I219" t="str">
            <v>A_INCAP</v>
          </cell>
          <cell r="J219" t="str">
            <v xml:space="preserve">- </v>
          </cell>
          <cell r="K219">
            <v>41</v>
          </cell>
          <cell r="L219" t="str">
            <v xml:space="preserve">- </v>
          </cell>
        </row>
        <row r="220">
          <cell r="A220" t="str">
            <v>SIDA106</v>
          </cell>
          <cell r="B220" t="str">
            <v>A_PSRR</v>
          </cell>
          <cell r="C220" t="str">
            <v>Power supply rejection ratio (DC)</v>
          </cell>
          <cell r="D220" t="str">
            <v xml:space="preserve">- </v>
          </cell>
          <cell r="E220">
            <v>60</v>
          </cell>
          <cell r="F220" t="str">
            <v xml:space="preserve">- </v>
          </cell>
          <cell r="G220" t="str">
            <v>dB</v>
          </cell>
          <cell r="I220" t="str">
            <v>A_PSRR</v>
          </cell>
          <cell r="J220" t="str">
            <v xml:space="preserve">- </v>
          </cell>
          <cell r="K220">
            <v>60</v>
          </cell>
          <cell r="L220" t="str">
            <v xml:space="preserve">- </v>
          </cell>
        </row>
        <row r="221">
          <cell r="A221" t="str">
            <v>SIDA107</v>
          </cell>
          <cell r="B221" t="str">
            <v>A_TACQ</v>
          </cell>
          <cell r="C221" t="str">
            <v>Sample acquisition time</v>
          </cell>
          <cell r="D221" t="str">
            <v xml:space="preserve">- </v>
          </cell>
          <cell r="E221">
            <v>10</v>
          </cell>
          <cell r="F221" t="str">
            <v>-</v>
          </cell>
          <cell r="G221" t="str">
            <v>µs</v>
          </cell>
          <cell r="H221" t="str">
            <v>Measured with 50 Ω source impedance. 10 uS is default software driver acquisition time setting. Settling to within 0.05%.</v>
          </cell>
          <cell r="I221" t="str">
            <v>A_TACQ</v>
          </cell>
          <cell r="J221" t="str">
            <v xml:space="preserve">- </v>
          </cell>
          <cell r="K221">
            <v>10</v>
          </cell>
          <cell r="L221" t="str">
            <v>-</v>
          </cell>
          <cell r="M221" t="str">
            <v>Measured with 50 Ω source impedance. 10 uS is default software driver acquisition time setting. Settling to within 0.05%.</v>
          </cell>
        </row>
        <row r="222">
          <cell r="A222" t="str">
            <v>SIDA108</v>
          </cell>
          <cell r="B222" t="str">
            <v>A_CONV8</v>
          </cell>
          <cell r="C222" t="str">
            <v>Conversion time for 8-bit resolution at conversion rate = Fhclk/(2"(N+2)). Clock frequency = 50MHz.</v>
          </cell>
          <cell r="D222" t="str">
            <v xml:space="preserve">- </v>
          </cell>
          <cell r="E222">
            <v>25</v>
          </cell>
          <cell r="F222" t="str">
            <v xml:space="preserve">- </v>
          </cell>
          <cell r="G222" t="str">
            <v>µs</v>
          </cell>
          <cell r="H222" t="str">
            <v xml:space="preserve">Does not include acquisition time. </v>
          </cell>
          <cell r="I222" t="str">
            <v>A_CONV8</v>
          </cell>
          <cell r="J222" t="str">
            <v xml:space="preserve">- </v>
          </cell>
          <cell r="K222">
            <v>25</v>
          </cell>
          <cell r="L222" t="str">
            <v xml:space="preserve">- </v>
          </cell>
          <cell r="M222" t="str">
            <v xml:space="preserve">Does not include acquisition time. </v>
          </cell>
        </row>
        <row r="223">
          <cell r="A223" t="str">
            <v>SIDA108A</v>
          </cell>
          <cell r="B223" t="str">
            <v>A_CONV10</v>
          </cell>
          <cell r="C223" t="str">
            <v>Conversion time for 10-bit resolution at conversion rate = Fhclk/(2"(N+2)). Clock frequency =50MHz.</v>
          </cell>
          <cell r="D223" t="str">
            <v xml:space="preserve">- </v>
          </cell>
          <cell r="E223">
            <v>60</v>
          </cell>
          <cell r="F223" t="str">
            <v xml:space="preserve">- </v>
          </cell>
          <cell r="G223" t="str">
            <v>µs</v>
          </cell>
          <cell r="H223" t="str">
            <v xml:space="preserve">Does not include acquisition time. </v>
          </cell>
          <cell r="I223" t="str">
            <v>A_CONV10</v>
          </cell>
          <cell r="J223" t="str">
            <v xml:space="preserve">- </v>
          </cell>
          <cell r="K223">
            <v>60</v>
          </cell>
          <cell r="L223" t="str">
            <v xml:space="preserve">- </v>
          </cell>
          <cell r="M223" t="str">
            <v xml:space="preserve">Does not include acquisition time. </v>
          </cell>
        </row>
        <row r="224">
          <cell r="A224" t="str">
            <v>SIDA109</v>
          </cell>
          <cell r="B224" t="str">
            <v>A_SND_VRE</v>
          </cell>
          <cell r="C224" t="str">
            <v>Signal-to-noise and Distortion ratio (SINAD)</v>
          </cell>
          <cell r="D224" t="str">
            <v xml:space="preserve">- </v>
          </cell>
          <cell r="E224">
            <v>57</v>
          </cell>
          <cell r="F224" t="str">
            <v xml:space="preserve">- </v>
          </cell>
          <cell r="G224" t="str">
            <v>dB</v>
          </cell>
          <cell r="H224" t="str">
            <v xml:space="preserve">Measured with 50 Ω source impedance </v>
          </cell>
          <cell r="I224" t="str">
            <v>A_SND_VRE</v>
          </cell>
          <cell r="J224" t="str">
            <v xml:space="preserve">- </v>
          </cell>
          <cell r="K224">
            <v>57</v>
          </cell>
          <cell r="L224" t="str">
            <v xml:space="preserve">- </v>
          </cell>
          <cell r="M224" t="str">
            <v xml:space="preserve">Measured with 50 Ω source impedance </v>
          </cell>
        </row>
        <row r="225">
          <cell r="A225" t="str">
            <v>SIDA109A</v>
          </cell>
          <cell r="B225" t="str">
            <v>A_SND_VDDA</v>
          </cell>
          <cell r="C225" t="str">
            <v>Signal-to-noise and Distortion ratio (SINAD)</v>
          </cell>
          <cell r="D225" t="str">
            <v xml:space="preserve">- </v>
          </cell>
          <cell r="E225">
            <v>52</v>
          </cell>
          <cell r="F225" t="str">
            <v xml:space="preserve">- </v>
          </cell>
          <cell r="G225" t="str">
            <v>dB</v>
          </cell>
          <cell r="H225" t="str">
            <v xml:space="preserve">Measured with 50 Ω source impedance </v>
          </cell>
          <cell r="I225" t="str">
            <v>A_SND_VDDA</v>
          </cell>
          <cell r="J225" t="str">
            <v xml:space="preserve">- </v>
          </cell>
          <cell r="K225">
            <v>52</v>
          </cell>
          <cell r="L225" t="str">
            <v xml:space="preserve">- </v>
          </cell>
          <cell r="M225" t="str">
            <v xml:space="preserve">Measured with 50 Ω source impedance </v>
          </cell>
        </row>
        <row r="226">
          <cell r="A226" t="str">
            <v>SIDA111</v>
          </cell>
          <cell r="B226" t="str">
            <v>A_INL_VREF</v>
          </cell>
          <cell r="C226" t="str">
            <v>Integral Non Linearity. 11.6 ksps</v>
          </cell>
          <cell r="D226" t="str">
            <v>-</v>
          </cell>
          <cell r="E226" t="str">
            <v xml:space="preserve">- </v>
          </cell>
          <cell r="F226">
            <v>2</v>
          </cell>
          <cell r="G226" t="str">
            <v>LSB</v>
          </cell>
          <cell r="H226" t="str">
            <v xml:space="preserve">Measured with 50 Ω source impedance </v>
          </cell>
          <cell r="I226" t="str">
            <v>A_INL_VREF</v>
          </cell>
          <cell r="J226" t="str">
            <v>-</v>
          </cell>
          <cell r="K226" t="str">
            <v xml:space="preserve">- </v>
          </cell>
          <cell r="L226">
            <v>2</v>
          </cell>
          <cell r="M226" t="str">
            <v xml:space="preserve">Measured with 50 Ω source impedance </v>
          </cell>
        </row>
        <row r="227">
          <cell r="A227" t="str">
            <v>SIDA111A</v>
          </cell>
          <cell r="B227" t="str">
            <v>A_INL_VDDA</v>
          </cell>
          <cell r="C227" t="str">
            <v>Integral Non Linearity. 11.6 ksps</v>
          </cell>
          <cell r="D227" t="str">
            <v>-</v>
          </cell>
          <cell r="E227" t="str">
            <v xml:space="preserve">- </v>
          </cell>
          <cell r="F227">
            <v>2</v>
          </cell>
          <cell r="G227" t="str">
            <v>LSB</v>
          </cell>
          <cell r="H227" t="str">
            <v xml:space="preserve">Measured with 50 Ω source impedance </v>
          </cell>
          <cell r="I227" t="str">
            <v>A_INL_VDDA</v>
          </cell>
          <cell r="J227" t="str">
            <v>-</v>
          </cell>
          <cell r="K227" t="str">
            <v xml:space="preserve">- </v>
          </cell>
          <cell r="L227">
            <v>2</v>
          </cell>
          <cell r="M227" t="str">
            <v xml:space="preserve">Measured with 50 Ω source impedance </v>
          </cell>
        </row>
        <row r="228">
          <cell r="A228" t="str">
            <v>SIDA112</v>
          </cell>
          <cell r="B228" t="str">
            <v>A_DNL_VREF</v>
          </cell>
          <cell r="C228" t="str">
            <v>Differential Non Linearity. 11.6 ksps</v>
          </cell>
          <cell r="D228" t="str">
            <v xml:space="preserve">- </v>
          </cell>
          <cell r="E228" t="str">
            <v xml:space="preserve">- </v>
          </cell>
          <cell r="F228">
            <v>1</v>
          </cell>
          <cell r="G228" t="str">
            <v>LSB</v>
          </cell>
          <cell r="H228" t="str">
            <v xml:space="preserve">Measured with 50 Ω source impedance </v>
          </cell>
          <cell r="I228" t="str">
            <v>A_DNL_VREF</v>
          </cell>
          <cell r="J228" t="str">
            <v xml:space="preserve">- </v>
          </cell>
          <cell r="K228" t="str">
            <v xml:space="preserve">- </v>
          </cell>
          <cell r="L228">
            <v>1</v>
          </cell>
          <cell r="M228" t="str">
            <v xml:space="preserve">Measured with 50 Ω source impedance </v>
          </cell>
        </row>
        <row r="229">
          <cell r="A229" t="str">
            <v>SIDA112A</v>
          </cell>
          <cell r="B229" t="str">
            <v>A_DNL_VDDA</v>
          </cell>
          <cell r="C229" t="str">
            <v>Differential Non Linearity. 11.6 ksps</v>
          </cell>
          <cell r="D229" t="str">
            <v xml:space="preserve">- </v>
          </cell>
          <cell r="E229" t="str">
            <v xml:space="preserve">- </v>
          </cell>
          <cell r="F229">
            <v>1</v>
          </cell>
          <cell r="G229" t="str">
            <v>LSB</v>
          </cell>
          <cell r="H229" t="str">
            <v xml:space="preserve">Measured with 50 Ω source impedance </v>
          </cell>
          <cell r="I229" t="str">
            <v>A_DNL_VDDA</v>
          </cell>
          <cell r="J229" t="str">
            <v xml:space="preserve">- </v>
          </cell>
          <cell r="K229" t="str">
            <v xml:space="preserve">- </v>
          </cell>
          <cell r="L229">
            <v>1</v>
          </cell>
          <cell r="M229" t="str">
            <v xml:space="preserve">Measured with 50 Ω source impedance </v>
          </cell>
        </row>
        <row r="230">
          <cell r="A230" t="str">
            <v>Digital Peripherals</v>
          </cell>
        </row>
        <row r="231">
          <cell r="A231" t="str">
            <v>Table 12. TCPWM Specifications</v>
          </cell>
        </row>
        <row r="232">
          <cell r="A232" t="str">
            <v>SID.TCPWM.1</v>
          </cell>
          <cell r="B232" t="str">
            <v>ITCPWM1</v>
          </cell>
          <cell r="C232" t="str">
            <v>Block current consumption at 8 MHz</v>
          </cell>
          <cell r="F232">
            <v>70</v>
          </cell>
          <cell r="G232" t="str">
            <v>µA</v>
          </cell>
          <cell r="H232" t="str">
            <v>All modes (Timer/Counter/PWM)</v>
          </cell>
          <cell r="I232" t="str">
            <v>ITCPWM1</v>
          </cell>
          <cell r="L232">
            <v>70</v>
          </cell>
          <cell r="M232" t="str">
            <v>All modes (Timer/Counter/PWM)</v>
          </cell>
        </row>
        <row r="233">
          <cell r="A233" t="str">
            <v>SID.TCPWM.2</v>
          </cell>
          <cell r="B233" t="str">
            <v>ITCPWM2</v>
          </cell>
          <cell r="C233" t="str">
            <v>Block current consumption at 24 MHz</v>
          </cell>
          <cell r="F233">
            <v>180</v>
          </cell>
          <cell r="G233" t="str">
            <v>µA</v>
          </cell>
          <cell r="H233" t="str">
            <v>All modes (Timer/Counter/PWM)</v>
          </cell>
          <cell r="I233" t="str">
            <v>ITCPWM2</v>
          </cell>
          <cell r="L233">
            <v>180</v>
          </cell>
          <cell r="M233" t="str">
            <v>All modes (Timer/Counter/PWM)</v>
          </cell>
        </row>
        <row r="234">
          <cell r="A234" t="str">
            <v>SID.TCPWM.2A</v>
          </cell>
          <cell r="B234" t="str">
            <v>ITCPWM3</v>
          </cell>
          <cell r="C234" t="str">
            <v>Block current consumption at 50 MHz</v>
          </cell>
          <cell r="F234">
            <v>270</v>
          </cell>
          <cell r="G234" t="str">
            <v>µA</v>
          </cell>
          <cell r="H234" t="str">
            <v>All modes (Timer/Counter/PWM)</v>
          </cell>
          <cell r="I234" t="str">
            <v>ITCPWM3</v>
          </cell>
          <cell r="L234">
            <v>270</v>
          </cell>
          <cell r="M234" t="str">
            <v>All modes (Timer/Counter/PWM)</v>
          </cell>
        </row>
        <row r="235">
          <cell r="A235" t="str">
            <v>SID.TCPWM.2B</v>
          </cell>
          <cell r="B235" t="str">
            <v>ITCPWM4</v>
          </cell>
          <cell r="C235" t="str">
            <v>Block current consumption at 100 MHz</v>
          </cell>
          <cell r="F235">
            <v>540</v>
          </cell>
          <cell r="G235" t="str">
            <v>µA</v>
          </cell>
          <cell r="H235" t="str">
            <v>All modes (Timer/Counter/PWM)</v>
          </cell>
          <cell r="I235" t="str">
            <v>ITCPWM4</v>
          </cell>
          <cell r="L235">
            <v>540</v>
          </cell>
          <cell r="M235" t="str">
            <v>All modes (Timer/Counter/PWM)</v>
          </cell>
        </row>
        <row r="236">
          <cell r="A236" t="str">
            <v>SID.TCPWM.3</v>
          </cell>
          <cell r="B236" t="str">
            <v>TCPWMFREQ</v>
          </cell>
          <cell r="C236" t="str">
            <v>Operating frequency</v>
          </cell>
          <cell r="F236">
            <v>100</v>
          </cell>
          <cell r="G236" t="str">
            <v>MHz</v>
          </cell>
          <cell r="H236" t="str">
            <v>Fc max = Fcpu. Maximum = 100 MHz</v>
          </cell>
          <cell r="I236" t="str">
            <v>TCPWMFREQ</v>
          </cell>
          <cell r="L236">
            <v>100</v>
          </cell>
          <cell r="M236" t="str">
            <v>Fc max = Fcpu. Maximum = 100 MHz</v>
          </cell>
        </row>
        <row r="237">
          <cell r="A237" t="str">
            <v>SID.TCPWM.4</v>
          </cell>
          <cell r="B237" t="str">
            <v>TPWMENEXT</v>
          </cell>
          <cell r="C237" t="str">
            <v>Input Trigger Pulse Width for all Trigger Events</v>
          </cell>
          <cell r="D237" t="str">
            <v>2/Fc</v>
          </cell>
          <cell r="G237" t="str">
            <v>ns</v>
          </cell>
          <cell r="H237" t="str">
            <v>Trigger Events can be Stop, Start, Reload, Count, Capture, or Kill depending on which mode of operation is selected.</v>
          </cell>
          <cell r="I237" t="str">
            <v>TPWMENEXT</v>
          </cell>
          <cell r="J237" t="str">
            <v>2/Fc</v>
          </cell>
          <cell r="M237" t="str">
            <v>Trigger Events can be Stop, Start, Reload, Count, Capture, or Kill depending on which mode of operation is selected.</v>
          </cell>
        </row>
        <row r="238">
          <cell r="A238" t="str">
            <v>SID.TCPWM.5</v>
          </cell>
          <cell r="B238" t="str">
            <v>TPWMEXT</v>
          </cell>
          <cell r="C238" t="str">
            <v>Output Trigger Pulse widths</v>
          </cell>
          <cell r="D238" t="str">
            <v>1.5/Fc</v>
          </cell>
          <cell r="G238" t="str">
            <v>ns</v>
          </cell>
          <cell r="H238" t="str">
            <v>Minimum possible width of Overflow, Underflow, and CC (Counter equals Compare value) trigger outputs</v>
          </cell>
          <cell r="I238" t="str">
            <v>TPWMEXT</v>
          </cell>
          <cell r="J238" t="str">
            <v>1.5/Fc</v>
          </cell>
          <cell r="M238" t="str">
            <v>Minimum possible width of Overflow, Underflow, and CC (Counter equals Compare value) trigger outputs</v>
          </cell>
        </row>
        <row r="239">
          <cell r="A239" t="str">
            <v>SID.TCPWM.5A</v>
          </cell>
          <cell r="B239" t="str">
            <v>TCRES</v>
          </cell>
          <cell r="C239" t="str">
            <v>Resolution of Counter</v>
          </cell>
          <cell r="D239" t="str">
            <v>1/Fc</v>
          </cell>
          <cell r="G239" t="str">
            <v>ns</v>
          </cell>
          <cell r="H239" t="str">
            <v xml:space="preserve">Minimum time between successive counts </v>
          </cell>
          <cell r="I239" t="str">
            <v>TCRES</v>
          </cell>
          <cell r="J239" t="str">
            <v>1/Fc</v>
          </cell>
          <cell r="M239" t="str">
            <v xml:space="preserve">Minimum time between successive counts </v>
          </cell>
        </row>
        <row r="240">
          <cell r="A240" t="str">
            <v>SID.TCPWM.5B</v>
          </cell>
          <cell r="B240" t="str">
            <v>PWMRES</v>
          </cell>
          <cell r="C240" t="str">
            <v>PWM Resolution</v>
          </cell>
          <cell r="D240" t="str">
            <v>1/Fc</v>
          </cell>
          <cell r="G240" t="str">
            <v>ns</v>
          </cell>
          <cell r="H240" t="str">
            <v>Minimum pulse width of PWM Output</v>
          </cell>
          <cell r="I240" t="str">
            <v>PWMRES</v>
          </cell>
          <cell r="J240" t="str">
            <v>1/Fc</v>
          </cell>
          <cell r="M240" t="str">
            <v>Minimum pulse width of PWM Output</v>
          </cell>
        </row>
        <row r="241">
          <cell r="A241" t="str">
            <v>SID.TCPWM.5C</v>
          </cell>
          <cell r="B241" t="str">
            <v>QRES</v>
          </cell>
          <cell r="C241" t="str">
            <v>Quadrature inputs resolution</v>
          </cell>
          <cell r="D241" t="str">
            <v>2/Fc</v>
          </cell>
          <cell r="G241" t="str">
            <v>ns</v>
          </cell>
          <cell r="H241" t="str">
            <v>Minimum pulse width between Quadrature phase inputs. Delays from pins should be similar.</v>
          </cell>
          <cell r="I241" t="str">
            <v>QRES</v>
          </cell>
          <cell r="J241" t="str">
            <v>2/Fc</v>
          </cell>
          <cell r="M241" t="str">
            <v>Minimum pulse width between Quadrature phase inputs. Delays from pins should be similar.</v>
          </cell>
        </row>
        <row r="242">
          <cell r="A242" t="str">
            <v>Table 13. Serial Communication Block (SCB) Specification</v>
          </cell>
        </row>
        <row r="243">
          <cell r="A243" t="str">
            <v xml:space="preserve">I2C DC Specifications </v>
          </cell>
        </row>
        <row r="244">
          <cell r="A244" t="str">
            <v>SID149</v>
          </cell>
          <cell r="B244" t="str">
            <v>II2C1</v>
          </cell>
          <cell r="C244" t="str">
            <v>Block current consumption at 100 KHz</v>
          </cell>
          <cell r="D244" t="str">
            <v xml:space="preserve">- </v>
          </cell>
          <cell r="E244" t="str">
            <v xml:space="preserve">- </v>
          </cell>
          <cell r="F244">
            <v>30</v>
          </cell>
          <cell r="G244" t="str">
            <v>µA</v>
          </cell>
          <cell r="I244" t="str">
            <v>II2C1</v>
          </cell>
          <cell r="J244" t="str">
            <v xml:space="preserve">- </v>
          </cell>
          <cell r="K244" t="str">
            <v xml:space="preserve">- </v>
          </cell>
          <cell r="L244">
            <v>30</v>
          </cell>
        </row>
        <row r="245">
          <cell r="A245" t="str">
            <v>SID150</v>
          </cell>
          <cell r="B245" t="str">
            <v>II2C2</v>
          </cell>
          <cell r="C245" t="str">
            <v>Block current consumption at 400 KHz</v>
          </cell>
          <cell r="D245" t="str">
            <v xml:space="preserve">- </v>
          </cell>
          <cell r="E245" t="str">
            <v xml:space="preserve">- </v>
          </cell>
          <cell r="F245">
            <v>80</v>
          </cell>
          <cell r="G245" t="str">
            <v>µA</v>
          </cell>
          <cell r="I245" t="str">
            <v>II2C2</v>
          </cell>
          <cell r="J245" t="str">
            <v xml:space="preserve">- </v>
          </cell>
          <cell r="K245" t="str">
            <v xml:space="preserve">- </v>
          </cell>
          <cell r="L245">
            <v>80</v>
          </cell>
        </row>
        <row r="246">
          <cell r="A246" t="str">
            <v>SID151</v>
          </cell>
          <cell r="B246" t="str">
            <v>II2C3</v>
          </cell>
          <cell r="C246" t="str">
            <v>Block current consumption at 1 Mbps</v>
          </cell>
          <cell r="D246" t="str">
            <v xml:space="preserve">- </v>
          </cell>
          <cell r="E246" t="str">
            <v xml:space="preserve">- </v>
          </cell>
          <cell r="F246">
            <v>180</v>
          </cell>
          <cell r="G246" t="str">
            <v>µA</v>
          </cell>
          <cell r="I246" t="str">
            <v>II2C3</v>
          </cell>
          <cell r="J246" t="str">
            <v xml:space="preserve">- </v>
          </cell>
          <cell r="K246" t="str">
            <v xml:space="preserve">- </v>
          </cell>
          <cell r="L246">
            <v>180</v>
          </cell>
        </row>
        <row r="247">
          <cell r="A247" t="str">
            <v>SID152</v>
          </cell>
          <cell r="B247" t="str">
            <v>II2C4</v>
          </cell>
          <cell r="C247" t="str">
            <v>I2C enabled in Deep Sleep mode</v>
          </cell>
          <cell r="D247" t="str">
            <v xml:space="preserve">- </v>
          </cell>
          <cell r="E247" t="str">
            <v xml:space="preserve">- </v>
          </cell>
          <cell r="F247">
            <v>1.7</v>
          </cell>
          <cell r="G247" t="str">
            <v>µA</v>
          </cell>
          <cell r="H247" t="str">
            <v>At 60 C</v>
          </cell>
          <cell r="I247" t="str">
            <v>II2C4</v>
          </cell>
          <cell r="J247" t="str">
            <v xml:space="preserve">- </v>
          </cell>
          <cell r="K247" t="str">
            <v xml:space="preserve">- </v>
          </cell>
          <cell r="L247">
            <v>1.7</v>
          </cell>
          <cell r="M247" t="str">
            <v>At 60 C</v>
          </cell>
        </row>
        <row r="248">
          <cell r="A248" t="str">
            <v xml:space="preserve">I2C AC Specifications </v>
          </cell>
        </row>
        <row r="249">
          <cell r="A249" t="str">
            <v>SID153</v>
          </cell>
          <cell r="B249" t="str">
            <v>FI2C1</v>
          </cell>
          <cell r="C249" t="str">
            <v>Bit Rate</v>
          </cell>
          <cell r="D249" t="str">
            <v xml:space="preserve">- </v>
          </cell>
          <cell r="E249" t="str">
            <v xml:space="preserve">- </v>
          </cell>
          <cell r="F249">
            <v>1</v>
          </cell>
          <cell r="G249" t="str">
            <v>Mbps</v>
          </cell>
          <cell r="I249" t="str">
            <v>FI2C1</v>
          </cell>
          <cell r="J249" t="str">
            <v xml:space="preserve">- </v>
          </cell>
          <cell r="K249" t="str">
            <v xml:space="preserve">- </v>
          </cell>
          <cell r="L249">
            <v>1</v>
          </cell>
        </row>
        <row r="250">
          <cell r="A250" t="str">
            <v>UART DC Specifications</v>
          </cell>
        </row>
        <row r="251">
          <cell r="A251" t="str">
            <v>SID160</v>
          </cell>
          <cell r="B251" t="str">
            <v>IUART1</v>
          </cell>
          <cell r="C251" t="str">
            <v>Block current consumption at 100 Kbits/sec</v>
          </cell>
          <cell r="D251" t="str">
            <v xml:space="preserve">- </v>
          </cell>
          <cell r="E251" t="str">
            <v xml:space="preserve">- </v>
          </cell>
          <cell r="F251">
            <v>30</v>
          </cell>
          <cell r="G251" t="str">
            <v>µA</v>
          </cell>
          <cell r="I251">
            <v>9</v>
          </cell>
          <cell r="J251" t="str">
            <v xml:space="preserve">- </v>
          </cell>
          <cell r="K251" t="str">
            <v xml:space="preserve">- </v>
          </cell>
          <cell r="L251">
            <v>30</v>
          </cell>
        </row>
        <row r="252">
          <cell r="A252" t="str">
            <v>SID161</v>
          </cell>
          <cell r="B252" t="str">
            <v>IUART2</v>
          </cell>
          <cell r="C252" t="str">
            <v>Block current consumption at 1000 Kbits/sec</v>
          </cell>
          <cell r="D252" t="str">
            <v xml:space="preserve">- </v>
          </cell>
          <cell r="E252" t="str">
            <v xml:space="preserve">- </v>
          </cell>
          <cell r="F252">
            <v>180</v>
          </cell>
          <cell r="G252" t="str">
            <v>µA</v>
          </cell>
          <cell r="I252">
            <v>312</v>
          </cell>
          <cell r="J252" t="str">
            <v xml:space="preserve">- </v>
          </cell>
          <cell r="K252" t="str">
            <v xml:space="preserve">- </v>
          </cell>
          <cell r="L252">
            <v>180</v>
          </cell>
        </row>
        <row r="253">
          <cell r="A253" t="str">
            <v>UART AC Specifications</v>
          </cell>
        </row>
        <row r="254">
          <cell r="A254" t="str">
            <v>SID162A</v>
          </cell>
          <cell r="B254" t="str">
            <v>FUART1</v>
          </cell>
          <cell r="C254" t="str">
            <v>Bit Rate</v>
          </cell>
          <cell r="F254">
            <v>3</v>
          </cell>
          <cell r="G254" t="str">
            <v>Mbps</v>
          </cell>
          <cell r="H254" t="str">
            <v>ULP Mode</v>
          </cell>
          <cell r="I254" t="str">
            <v>FUART1</v>
          </cell>
          <cell r="L254">
            <v>3</v>
          </cell>
          <cell r="M254" t="str">
            <v>ULP Mode</v>
          </cell>
        </row>
        <row r="255">
          <cell r="A255" t="str">
            <v>SID162B</v>
          </cell>
          <cell r="B255" t="str">
            <v>FUART2</v>
          </cell>
          <cell r="C255" t="str">
            <v>Bit Rate</v>
          </cell>
          <cell r="F255">
            <v>8</v>
          </cell>
          <cell r="G255" t="str">
            <v>Mbps</v>
          </cell>
          <cell r="H255" t="str">
            <v>LP Mode</v>
          </cell>
          <cell r="I255" t="str">
            <v>FUART2</v>
          </cell>
          <cell r="L255">
            <v>8</v>
          </cell>
          <cell r="M255" t="str">
            <v>LP Mode</v>
          </cell>
        </row>
        <row r="256">
          <cell r="A256" t="str">
            <v>SPI DC Specifications</v>
          </cell>
        </row>
        <row r="257">
          <cell r="A257" t="str">
            <v>SID163</v>
          </cell>
          <cell r="B257" t="str">
            <v>ISPI1</v>
          </cell>
          <cell r="C257" t="str">
            <v>Block current consumption at 1Mbits/sec</v>
          </cell>
          <cell r="D257" t="str">
            <v xml:space="preserve">- </v>
          </cell>
          <cell r="E257" t="str">
            <v xml:space="preserve">- </v>
          </cell>
          <cell r="F257">
            <v>220</v>
          </cell>
          <cell r="G257" t="str">
            <v>µA</v>
          </cell>
          <cell r="I257" t="str">
            <v>ISPI1</v>
          </cell>
          <cell r="J257" t="str">
            <v xml:space="preserve">- </v>
          </cell>
          <cell r="K257" t="str">
            <v xml:space="preserve">- </v>
          </cell>
          <cell r="L257">
            <v>220</v>
          </cell>
        </row>
        <row r="258">
          <cell r="A258" t="str">
            <v>SID164</v>
          </cell>
          <cell r="B258" t="str">
            <v>ISPI2</v>
          </cell>
          <cell r="C258" t="str">
            <v>Block current consumption at 4 Mbits/sec</v>
          </cell>
          <cell r="D258" t="str">
            <v xml:space="preserve">- </v>
          </cell>
          <cell r="E258" t="str">
            <v xml:space="preserve">- </v>
          </cell>
          <cell r="F258">
            <v>340</v>
          </cell>
          <cell r="G258" t="str">
            <v>µA</v>
          </cell>
          <cell r="I258" t="str">
            <v>ISPI2</v>
          </cell>
          <cell r="J258" t="str">
            <v xml:space="preserve">- </v>
          </cell>
          <cell r="K258" t="str">
            <v xml:space="preserve">- </v>
          </cell>
          <cell r="L258">
            <v>340</v>
          </cell>
        </row>
        <row r="259">
          <cell r="A259" t="str">
            <v>SID165</v>
          </cell>
          <cell r="B259" t="str">
            <v>ISPI3</v>
          </cell>
          <cell r="C259" t="str">
            <v>Block current consumption at 8 Mbits/sec</v>
          </cell>
          <cell r="D259" t="str">
            <v xml:space="preserve">- </v>
          </cell>
          <cell r="E259" t="str">
            <v xml:space="preserve">- </v>
          </cell>
          <cell r="F259">
            <v>360</v>
          </cell>
          <cell r="G259" t="str">
            <v>µA</v>
          </cell>
          <cell r="I259" t="str">
            <v>ISPI3</v>
          </cell>
          <cell r="J259" t="str">
            <v xml:space="preserve">- </v>
          </cell>
          <cell r="K259" t="str">
            <v xml:space="preserve">- </v>
          </cell>
          <cell r="L259">
            <v>360</v>
          </cell>
        </row>
        <row r="260">
          <cell r="A260" t="str">
            <v>SID165A</v>
          </cell>
          <cell r="B260" t="str">
            <v>ISP14</v>
          </cell>
          <cell r="C260" t="str">
            <v>Block current consumption at 25 Mbits/sec</v>
          </cell>
          <cell r="D260" t="str">
            <v xml:space="preserve">- </v>
          </cell>
          <cell r="E260" t="str">
            <v xml:space="preserve">- </v>
          </cell>
          <cell r="F260">
            <v>800</v>
          </cell>
          <cell r="G260" t="str">
            <v>µA</v>
          </cell>
          <cell r="I260" t="str">
            <v>ISP14</v>
          </cell>
          <cell r="J260" t="str">
            <v xml:space="preserve">- </v>
          </cell>
          <cell r="K260" t="str">
            <v xml:space="preserve">- </v>
          </cell>
          <cell r="L260">
            <v>800</v>
          </cell>
        </row>
        <row r="261">
          <cell r="A261" t="str">
            <v>SPI AC Specifications for LP Mode (1.1V) unless noted otherwise</v>
          </cell>
        </row>
        <row r="262">
          <cell r="A262" t="str">
            <v>SID166</v>
          </cell>
          <cell r="B262" t="str">
            <v>FSPI</v>
          </cell>
          <cell r="C262" t="str">
            <v>SPI Operating frequency Master and Externally Clocked Slave</v>
          </cell>
          <cell r="F262">
            <v>25</v>
          </cell>
          <cell r="G262" t="str">
            <v>MHz</v>
          </cell>
          <cell r="H262" t="str">
            <v>14 MHz max. for ULP (0.9V) mode</v>
          </cell>
          <cell r="I262" t="str">
            <v>FSPI</v>
          </cell>
          <cell r="L262">
            <v>25</v>
          </cell>
          <cell r="M262" t="str">
            <v>14 MHz max. for ULP (0.9V) mode</v>
          </cell>
        </row>
        <row r="263">
          <cell r="A263" t="str">
            <v>SID166B</v>
          </cell>
          <cell r="B263" t="str">
            <v>FSPI_EXT</v>
          </cell>
          <cell r="C263" t="str">
            <v>SPI Operating frequency Master (Fscb is SPI Clock)</v>
          </cell>
          <cell r="F263" t="str">
            <v>Fscb/4</v>
          </cell>
          <cell r="G263" t="str">
            <v>MHz</v>
          </cell>
          <cell r="H263" t="str">
            <v>Fscb max is 100 MHz in LP mode, 25 MHz in ULP mode</v>
          </cell>
          <cell r="I263" t="str">
            <v>FSPI_EXT</v>
          </cell>
          <cell r="L263" t="str">
            <v>Fscb/4</v>
          </cell>
          <cell r="M263" t="str">
            <v>Fscb max is 100 MHz in LP mode, 25 MHz in ULP mode</v>
          </cell>
        </row>
        <row r="264">
          <cell r="A264" t="str">
            <v>SID166A</v>
          </cell>
          <cell r="B264" t="str">
            <v>FSPI_IC</v>
          </cell>
          <cell r="C264" t="str">
            <v>SPI Slave Internally Clocked</v>
          </cell>
          <cell r="F264">
            <v>15</v>
          </cell>
          <cell r="G264" t="str">
            <v>MHz</v>
          </cell>
          <cell r="H264" t="str">
            <v>5 MHz max. for ULP (0.9V) mode</v>
          </cell>
          <cell r="I264" t="str">
            <v>FSPI_IC</v>
          </cell>
          <cell r="L264">
            <v>15</v>
          </cell>
          <cell r="M264" t="str">
            <v>5 MHz max. for ULP (0.9V) mode</v>
          </cell>
        </row>
        <row r="265">
          <cell r="A265" t="str">
            <v>SPI Master mode AC Specifications for LP Mode (1.1V) unless noted otherwise</v>
          </cell>
        </row>
        <row r="266">
          <cell r="A266" t="str">
            <v>SID167</v>
          </cell>
          <cell r="B266" t="str">
            <v>TDMO</v>
          </cell>
          <cell r="C266" t="str">
            <v>MOSI Valid after SClock driving edge</v>
          </cell>
          <cell r="D266" t="str">
            <v xml:space="preserve">- </v>
          </cell>
          <cell r="E266" t="str">
            <v>-</v>
          </cell>
          <cell r="F266">
            <v>12</v>
          </cell>
          <cell r="G266" t="str">
            <v>ns</v>
          </cell>
          <cell r="H266" t="str">
            <v>20ns max. for ULP (0.9V) mode</v>
          </cell>
          <cell r="I266" t="str">
            <v>TDMO</v>
          </cell>
          <cell r="J266" t="str">
            <v xml:space="preserve">- </v>
          </cell>
          <cell r="K266" t="str">
            <v>-</v>
          </cell>
          <cell r="L266">
            <v>12</v>
          </cell>
          <cell r="M266" t="str">
            <v>20ns max. for ULP (0.9V) mode</v>
          </cell>
        </row>
        <row r="267">
          <cell r="A267" t="str">
            <v>SID168</v>
          </cell>
          <cell r="B267" t="str">
            <v>TDSI</v>
          </cell>
          <cell r="C267" t="str">
            <v>MISO Valid before SClock capturing edge</v>
          </cell>
          <cell r="D267">
            <v>5</v>
          </cell>
          <cell r="E267" t="str">
            <v xml:space="preserve">- </v>
          </cell>
          <cell r="F267" t="str">
            <v xml:space="preserve">- </v>
          </cell>
          <cell r="G267" t="str">
            <v>ns</v>
          </cell>
          <cell r="H267" t="str">
            <v>Full clock, late MISO sampling</v>
          </cell>
          <cell r="I267" t="str">
            <v>TDSI</v>
          </cell>
          <cell r="J267">
            <v>5</v>
          </cell>
          <cell r="K267" t="str">
            <v xml:space="preserve">- </v>
          </cell>
          <cell r="L267" t="str">
            <v xml:space="preserve">- </v>
          </cell>
          <cell r="M267" t="str">
            <v>Full clock, late MISO sampling</v>
          </cell>
        </row>
        <row r="268">
          <cell r="A268" t="str">
            <v>SID169</v>
          </cell>
          <cell r="B268" t="str">
            <v>THMO</v>
          </cell>
          <cell r="C268" t="str">
            <v>MOSI data hold time</v>
          </cell>
          <cell r="D268">
            <v>0</v>
          </cell>
          <cell r="E268" t="str">
            <v xml:space="preserve">- </v>
          </cell>
          <cell r="F268" t="str">
            <v xml:space="preserve">- </v>
          </cell>
          <cell r="G268" t="str">
            <v>ns</v>
          </cell>
          <cell r="H268" t="str">
            <v>Referred to Slave capturing edge</v>
          </cell>
          <cell r="I268" t="str">
            <v>THMO</v>
          </cell>
          <cell r="J268">
            <v>0</v>
          </cell>
          <cell r="K268" t="str">
            <v xml:space="preserve">- </v>
          </cell>
          <cell r="L268" t="str">
            <v xml:space="preserve">- </v>
          </cell>
          <cell r="M268" t="str">
            <v>Referred to Slave capturing edge</v>
          </cell>
        </row>
        <row r="269">
          <cell r="A269" t="str">
            <v>SID169A</v>
          </cell>
          <cell r="B269" t="str">
            <v>TSSELMSCK1</v>
          </cell>
          <cell r="C269" t="str">
            <v>SSEL Valid to first SCK Valid edge</v>
          </cell>
          <cell r="D269">
            <v>18</v>
          </cell>
          <cell r="E269" t="str">
            <v xml:space="preserve">- </v>
          </cell>
          <cell r="F269" t="str">
            <v xml:space="preserve">- </v>
          </cell>
          <cell r="G269" t="str">
            <v>ns</v>
          </cell>
          <cell r="H269" t="str">
            <v>Referred to Master clock edge</v>
          </cell>
          <cell r="I269" t="str">
            <v>TSSELMSCK1</v>
          </cell>
          <cell r="J269">
            <v>18</v>
          </cell>
          <cell r="K269" t="str">
            <v xml:space="preserve">- </v>
          </cell>
          <cell r="L269" t="str">
            <v xml:space="preserve">- </v>
          </cell>
          <cell r="M269" t="str">
            <v>Referred to Master clock edge</v>
          </cell>
        </row>
        <row r="270">
          <cell r="A270" t="str">
            <v>SID169B</v>
          </cell>
          <cell r="B270" t="str">
            <v>TSSELMCK2</v>
          </cell>
          <cell r="C270" t="str">
            <v>SSEL Valid to first SCK Valid edge</v>
          </cell>
          <cell r="D270">
            <v>18</v>
          </cell>
          <cell r="E270" t="str">
            <v xml:space="preserve">- </v>
          </cell>
          <cell r="F270" t="str">
            <v xml:space="preserve">- </v>
          </cell>
          <cell r="G270" t="str">
            <v>ns</v>
          </cell>
          <cell r="H270" t="str">
            <v>Referred to Master clock edge</v>
          </cell>
          <cell r="I270" t="str">
            <v>TSSELMCK2</v>
          </cell>
          <cell r="J270">
            <v>18</v>
          </cell>
          <cell r="K270" t="str">
            <v xml:space="preserve">- </v>
          </cell>
          <cell r="L270" t="str">
            <v xml:space="preserve">- </v>
          </cell>
          <cell r="M270" t="str">
            <v>Referred to Master clock edge</v>
          </cell>
        </row>
        <row r="271">
          <cell r="A271" t="str">
            <v>SPI Slave mode AC Specifications for LP Mode (1.1V) unless noted otherwise</v>
          </cell>
        </row>
        <row r="272">
          <cell r="A272" t="str">
            <v>SID170</v>
          </cell>
          <cell r="B272" t="str">
            <v>TDMI</v>
          </cell>
          <cell r="C272" t="str">
            <v>MOSI Valid before Sclock Capturing edge</v>
          </cell>
          <cell r="D272">
            <v>5</v>
          </cell>
          <cell r="E272" t="str">
            <v xml:space="preserve">- </v>
          </cell>
          <cell r="F272" t="str">
            <v xml:space="preserve">- </v>
          </cell>
          <cell r="G272" t="str">
            <v>ns</v>
          </cell>
          <cell r="I272" t="str">
            <v>TDMI</v>
          </cell>
          <cell r="J272">
            <v>5</v>
          </cell>
          <cell r="K272" t="str">
            <v xml:space="preserve">- </v>
          </cell>
          <cell r="L272" t="str">
            <v xml:space="preserve">- </v>
          </cell>
        </row>
        <row r="273">
          <cell r="A273" t="str">
            <v>SID171A</v>
          </cell>
          <cell r="B273" t="str">
            <v>TDSO_EXT</v>
          </cell>
          <cell r="C273" t="str">
            <v>MISO Valid after Sclock driving edge in Ext. Clk. mode</v>
          </cell>
          <cell r="F273">
            <v>20</v>
          </cell>
          <cell r="G273" t="str">
            <v>ns</v>
          </cell>
          <cell r="H273" t="str">
            <v>35ns max. for ULP (0.9V) mode</v>
          </cell>
          <cell r="I273" t="str">
            <v>TDSO_EXT</v>
          </cell>
          <cell r="L273">
            <v>20</v>
          </cell>
          <cell r="M273" t="str">
            <v>35ns max. for ULP (0.9V) mode</v>
          </cell>
        </row>
        <row r="274">
          <cell r="A274" t="str">
            <v>SID171</v>
          </cell>
          <cell r="B274" t="str">
            <v>TDSO</v>
          </cell>
          <cell r="C274" t="str">
            <v>MISO Valid after Sclock driving edge in Internally Clk. Mode</v>
          </cell>
          <cell r="D274" t="str">
            <v xml:space="preserve">- </v>
          </cell>
          <cell r="E274" t="str">
            <v xml:space="preserve">- </v>
          </cell>
          <cell r="F274" t="str">
            <v>TDSO_EXT + 3*Tscb</v>
          </cell>
          <cell r="G274" t="str">
            <v>ns</v>
          </cell>
          <cell r="H274" t="str">
            <v xml:space="preserve">Tscb is Serial Comm Block clock period. </v>
          </cell>
          <cell r="I274" t="str">
            <v>TDSO</v>
          </cell>
          <cell r="J274" t="str">
            <v xml:space="preserve">- </v>
          </cell>
          <cell r="K274" t="str">
            <v xml:space="preserve">- </v>
          </cell>
          <cell r="L274" t="str">
            <v>TDSO_EXT + 3*Tscb</v>
          </cell>
          <cell r="M274" t="str">
            <v xml:space="preserve">Tscb is Serial Comm Block clock period. </v>
          </cell>
        </row>
        <row r="275">
          <cell r="A275" t="str">
            <v>SID171B</v>
          </cell>
          <cell r="B275" t="str">
            <v>TDSO</v>
          </cell>
          <cell r="C275" t="str">
            <v>MISO Valid after Sclock driving edge in Internally Clk. Mode with Median filter enabled.</v>
          </cell>
          <cell r="D275" t="str">
            <v xml:space="preserve">- </v>
          </cell>
          <cell r="E275" t="str">
            <v xml:space="preserve">- </v>
          </cell>
          <cell r="F275" t="str">
            <v>TDSO_EXT + 4*Tscb</v>
          </cell>
          <cell r="G275" t="str">
            <v>ns</v>
          </cell>
          <cell r="H275" t="str">
            <v xml:space="preserve">Tscb is Serial Comm Block clock period. </v>
          </cell>
          <cell r="I275" t="str">
            <v>TDSO</v>
          </cell>
          <cell r="J275" t="str">
            <v xml:space="preserve">- </v>
          </cell>
          <cell r="K275" t="str">
            <v xml:space="preserve">- </v>
          </cell>
          <cell r="L275" t="str">
            <v>TDSO_EXT + 4*Tscb</v>
          </cell>
          <cell r="M275" t="str">
            <v xml:space="preserve">Tscb is Serial Comm Block clock period. </v>
          </cell>
        </row>
        <row r="276">
          <cell r="A276" t="str">
            <v>SID172</v>
          </cell>
          <cell r="B276" t="str">
            <v>THSO</v>
          </cell>
          <cell r="C276" t="str">
            <v>Previous MISO data hold time</v>
          </cell>
          <cell r="D276">
            <v>5</v>
          </cell>
          <cell r="E276" t="str">
            <v xml:space="preserve">- </v>
          </cell>
          <cell r="F276" t="str">
            <v xml:space="preserve">- </v>
          </cell>
          <cell r="G276" t="str">
            <v>ns</v>
          </cell>
          <cell r="I276" t="str">
            <v>THSO</v>
          </cell>
          <cell r="J276">
            <v>5</v>
          </cell>
          <cell r="K276" t="str">
            <v xml:space="preserve">- </v>
          </cell>
          <cell r="L276" t="str">
            <v xml:space="preserve">- </v>
          </cell>
        </row>
        <row r="277">
          <cell r="A277" t="str">
            <v>SID172A</v>
          </cell>
          <cell r="B277" t="str">
            <v>TSSELSCK1</v>
          </cell>
          <cell r="C277" t="str">
            <v>SSEL Valid to first SCK Valid edge</v>
          </cell>
          <cell r="D277">
            <v>65</v>
          </cell>
          <cell r="G277" t="str">
            <v>ns</v>
          </cell>
          <cell r="I277" t="str">
            <v>TSSELSCK1</v>
          </cell>
          <cell r="J277">
            <v>65</v>
          </cell>
        </row>
        <row r="278">
          <cell r="A278" t="str">
            <v>SID172B</v>
          </cell>
          <cell r="B278" t="str">
            <v>TSSELSCK2</v>
          </cell>
          <cell r="C278" t="str">
            <v>SSEL Hold after Last SCK Valid edge</v>
          </cell>
          <cell r="D278">
            <v>65</v>
          </cell>
          <cell r="G278" t="str">
            <v>ns</v>
          </cell>
          <cell r="I278" t="str">
            <v>TSSELSCK2</v>
          </cell>
          <cell r="J278">
            <v>65</v>
          </cell>
        </row>
        <row r="279">
          <cell r="A279" t="str">
            <v>Table 14. I3C Specifications</v>
          </cell>
        </row>
        <row r="280">
          <cell r="A280" t="str">
            <v>SID500</v>
          </cell>
          <cell r="B280" t="str">
            <v>I3CSDR</v>
          </cell>
          <cell r="C280" t="str">
            <v>Single Data Rate Clock Speed</v>
          </cell>
          <cell r="D280" t="str">
            <v xml:space="preserve">- </v>
          </cell>
          <cell r="E280" t="str">
            <v xml:space="preserve">- </v>
          </cell>
          <cell r="F280">
            <v>12.5</v>
          </cell>
          <cell r="G280" t="str">
            <v>MHz</v>
          </cell>
          <cell r="I280" t="str">
            <v>I3CSDR</v>
          </cell>
          <cell r="J280" t="str">
            <v>Change 2</v>
          </cell>
          <cell r="K280" t="str">
            <v xml:space="preserve">- </v>
          </cell>
          <cell r="L280">
            <v>12.5</v>
          </cell>
        </row>
        <row r="281">
          <cell r="A281" t="str">
            <v>SID501</v>
          </cell>
          <cell r="B281" t="str">
            <v>I3CDDR</v>
          </cell>
          <cell r="C281" t="str">
            <v>Double Data Rate Clock Speed</v>
          </cell>
          <cell r="D281" t="str">
            <v xml:space="preserve">- </v>
          </cell>
          <cell r="E281" t="str">
            <v xml:space="preserve">- </v>
          </cell>
          <cell r="F281">
            <v>11.5</v>
          </cell>
          <cell r="G281" t="str">
            <v>MHz</v>
          </cell>
          <cell r="I281" t="str">
            <v>I3CDDR</v>
          </cell>
          <cell r="J281" t="str">
            <v>Change 3</v>
          </cell>
          <cell r="K281" t="str">
            <v xml:space="preserve">- </v>
          </cell>
          <cell r="L281">
            <v>11.5</v>
          </cell>
        </row>
        <row r="282">
          <cell r="A282" t="str">
            <v>Table 15. LCD Specifications</v>
          </cell>
        </row>
        <row r="283">
          <cell r="A283" t="str">
            <v>LCD Direct Drive DC Specifications</v>
          </cell>
        </row>
        <row r="284">
          <cell r="A284" t="str">
            <v>SID154</v>
          </cell>
          <cell r="B284" t="str">
            <v>ILCDLOW1</v>
          </cell>
          <cell r="C284" t="str">
            <v>Operating current with 100 kHz LCD block clock in ULP mode in Deep Sleep</v>
          </cell>
          <cell r="D284" t="str">
            <v xml:space="preserve">- </v>
          </cell>
          <cell r="E284">
            <v>90</v>
          </cell>
          <cell r="F284" t="str">
            <v xml:space="preserve">- </v>
          </cell>
          <cell r="G284" t="str">
            <v>µA</v>
          </cell>
          <cell r="H284" t="str">
            <v>32X4 small display. 30 Hz. PWM mode. Slow slew rate. 460 kohm series resistors.</v>
          </cell>
          <cell r="I284" t="str">
            <v>ILCDLOW1</v>
          </cell>
          <cell r="J284" t="str">
            <v>Change 2</v>
          </cell>
          <cell r="K284">
            <v>90</v>
          </cell>
          <cell r="L284" t="str">
            <v xml:space="preserve">- </v>
          </cell>
          <cell r="M284" t="str">
            <v>32X4 small display. 30 Hz. PWM mode. Slow slew rate. 460 kohm series resistors.</v>
          </cell>
        </row>
        <row r="285">
          <cell r="A285" t="str">
            <v>SID154A</v>
          </cell>
          <cell r="B285" t="str">
            <v>ILCDLOW2</v>
          </cell>
          <cell r="C285" t="str">
            <v>Operating current with 32 kHz LCD block clock in ULP mode in Deep Sleep</v>
          </cell>
          <cell r="E285">
            <v>50</v>
          </cell>
          <cell r="F285" t="str">
            <v xml:space="preserve">- </v>
          </cell>
          <cell r="G285" t="str">
            <v>µA</v>
          </cell>
          <cell r="I285" t="str">
            <v>ILCDLOW2</v>
          </cell>
          <cell r="J285" t="str">
            <v>Change 3</v>
          </cell>
          <cell r="K285">
            <v>50</v>
          </cell>
          <cell r="L285" t="str">
            <v xml:space="preserve">- </v>
          </cell>
        </row>
        <row r="286">
          <cell r="A286" t="str">
            <v>SID155</v>
          </cell>
          <cell r="B286" t="str">
            <v>CLCDCAP</v>
          </cell>
          <cell r="C286" t="str">
            <v>LCD capacitance per segment/common driver</v>
          </cell>
          <cell r="D286" t="str">
            <v xml:space="preserve">- </v>
          </cell>
          <cell r="E286">
            <v>500</v>
          </cell>
          <cell r="F286">
            <v>5000</v>
          </cell>
          <cell r="G286" t="str">
            <v>pF</v>
          </cell>
          <cell r="I286" t="str">
            <v>CLCDCAP</v>
          </cell>
          <cell r="J286" t="str">
            <v xml:space="preserve">- </v>
          </cell>
          <cell r="K286">
            <v>500</v>
          </cell>
          <cell r="L286">
            <v>5000</v>
          </cell>
        </row>
        <row r="287">
          <cell r="A287" t="str">
            <v>SID156</v>
          </cell>
          <cell r="B287" t="str">
            <v>LCDOFFSET</v>
          </cell>
          <cell r="C287" t="str">
            <v>Long-term segment offset</v>
          </cell>
          <cell r="D287" t="str">
            <v xml:space="preserve">- </v>
          </cell>
          <cell r="E287">
            <v>20</v>
          </cell>
          <cell r="F287" t="str">
            <v>-</v>
          </cell>
          <cell r="G287" t="str">
            <v>mV</v>
          </cell>
          <cell r="I287" t="str">
            <v>LCDOFFSET</v>
          </cell>
          <cell r="J287" t="str">
            <v xml:space="preserve">- </v>
          </cell>
          <cell r="K287">
            <v>20</v>
          </cell>
          <cell r="L287" t="str">
            <v>-</v>
          </cell>
        </row>
        <row r="288">
          <cell r="A288" t="str">
            <v>SID157</v>
          </cell>
          <cell r="B288" t="str">
            <v>ILCDOP1</v>
          </cell>
          <cell r="C288" t="str">
            <v>PWM Mode current. 3.3V bias. 8 MHz IMO. 25 °C</v>
          </cell>
          <cell r="D288" t="str">
            <v xml:space="preserve">- </v>
          </cell>
          <cell r="E288">
            <v>0.6</v>
          </cell>
          <cell r="F288" t="str">
            <v xml:space="preserve">- </v>
          </cell>
          <cell r="G288" t="str">
            <v>mA</v>
          </cell>
          <cell r="H288" t="str">
            <v xml:space="preserve">32 X 4 segments. 50 Hz. </v>
          </cell>
          <cell r="I288" t="str">
            <v>ILCDOP1</v>
          </cell>
          <cell r="J288" t="str">
            <v xml:space="preserve">- </v>
          </cell>
          <cell r="K288">
            <v>0.6</v>
          </cell>
          <cell r="L288" t="str">
            <v xml:space="preserve">- </v>
          </cell>
          <cell r="M288" t="str">
            <v xml:space="preserve">32 X 4 segments. 50 Hz. </v>
          </cell>
        </row>
        <row r="289">
          <cell r="A289" t="str">
            <v>SID158</v>
          </cell>
          <cell r="B289" t="str">
            <v>ILCDOP2</v>
          </cell>
          <cell r="C289" t="str">
            <v>PWM Mode current. 3.3V bias. 8 MHz IMO. 25 °C</v>
          </cell>
          <cell r="D289" t="str">
            <v xml:space="preserve">- </v>
          </cell>
          <cell r="E289">
            <v>0.5</v>
          </cell>
          <cell r="F289" t="str">
            <v xml:space="preserve">- </v>
          </cell>
          <cell r="G289" t="str">
            <v>mA</v>
          </cell>
          <cell r="H289" t="str">
            <v xml:space="preserve">32 X 4 segments. 50 Hz. </v>
          </cell>
          <cell r="I289" t="str">
            <v>ILCDOP2</v>
          </cell>
          <cell r="J289" t="str">
            <v xml:space="preserve">- </v>
          </cell>
          <cell r="K289">
            <v>0.5</v>
          </cell>
          <cell r="L289" t="str">
            <v xml:space="preserve">- </v>
          </cell>
          <cell r="M289" t="str">
            <v xml:space="preserve">32 X 4 segments. 50 Hz. </v>
          </cell>
        </row>
        <row r="290">
          <cell r="A290" t="str">
            <v>LCD Direct Drive AC Specifications</v>
          </cell>
        </row>
        <row r="291">
          <cell r="A291" t="str">
            <v>SID159</v>
          </cell>
          <cell r="B291" t="str">
            <v>FLCD</v>
          </cell>
          <cell r="C291" t="str">
            <v>LCD Frame rate</v>
          </cell>
          <cell r="D291">
            <v>10</v>
          </cell>
          <cell r="E291">
            <v>50</v>
          </cell>
          <cell r="F291">
            <v>150</v>
          </cell>
          <cell r="G291" t="str">
            <v>Hz</v>
          </cell>
          <cell r="I291" t="str">
            <v>FLCD</v>
          </cell>
          <cell r="J291">
            <v>10</v>
          </cell>
          <cell r="K291">
            <v>50</v>
          </cell>
          <cell r="L291">
            <v>150</v>
          </cell>
        </row>
        <row r="292">
          <cell r="A292" t="str">
            <v>Table 16. Memory</v>
          </cell>
        </row>
        <row r="293">
          <cell r="A293" t="str">
            <v>Flash DC Specifications</v>
          </cell>
        </row>
        <row r="294">
          <cell r="A294" t="str">
            <v>SID173</v>
          </cell>
          <cell r="B294" t="str">
            <v>VPE</v>
          </cell>
          <cell r="C294" t="str">
            <v>Erase and Program voltage</v>
          </cell>
          <cell r="D294">
            <v>1.71</v>
          </cell>
          <cell r="E294" t="str">
            <v xml:space="preserve">- </v>
          </cell>
          <cell r="F294">
            <v>3.6</v>
          </cell>
          <cell r="G294" t="str">
            <v>V</v>
          </cell>
          <cell r="I294" t="str">
            <v>VPE</v>
          </cell>
          <cell r="J294">
            <v>1.71</v>
          </cell>
          <cell r="K294" t="str">
            <v xml:space="preserve">- </v>
          </cell>
          <cell r="L294">
            <v>3.6</v>
          </cell>
        </row>
        <row r="295">
          <cell r="A295" t="str">
            <v>SID173A</v>
          </cell>
          <cell r="B295" t="str">
            <v>IPE</v>
          </cell>
          <cell r="C295" t="str">
            <v>Erase and Program current</v>
          </cell>
          <cell r="F295">
            <v>6</v>
          </cell>
          <cell r="G295" t="str">
            <v>mA</v>
          </cell>
          <cell r="I295" t="str">
            <v>IPE</v>
          </cell>
          <cell r="J295" t="str">
            <v>Change 1</v>
          </cell>
          <cell r="L295">
            <v>6</v>
          </cell>
        </row>
        <row r="296">
          <cell r="A296" t="str">
            <v>Flash AC Specifications</v>
          </cell>
        </row>
        <row r="297">
          <cell r="A297" t="str">
            <v>SID174</v>
          </cell>
          <cell r="B297" t="str">
            <v>TROWWRITE</v>
          </cell>
          <cell r="C297" t="str">
            <v>Row(Block) write time (erase &amp; program)</v>
          </cell>
          <cell r="D297" t="str">
            <v xml:space="preserve">- </v>
          </cell>
          <cell r="E297" t="str">
            <v xml:space="preserve">- </v>
          </cell>
          <cell r="F297">
            <v>16</v>
          </cell>
          <cell r="G297" t="str">
            <v>ms</v>
          </cell>
          <cell r="H297" t="str">
            <v>Row (Block) = 512 Bytes</v>
          </cell>
          <cell r="I297" t="str">
            <v>TROWWRITE</v>
          </cell>
          <cell r="J297" t="str">
            <v xml:space="preserve">- </v>
          </cell>
          <cell r="K297" t="str">
            <v xml:space="preserve">- </v>
          </cell>
          <cell r="L297">
            <v>16</v>
          </cell>
          <cell r="M297" t="str">
            <v>Row (Block) = 512 Bytes</v>
          </cell>
        </row>
        <row r="298">
          <cell r="A298" t="str">
            <v>SID175</v>
          </cell>
          <cell r="B298" t="str">
            <v>TROWERASE</v>
          </cell>
          <cell r="C298" t="str">
            <v>Row erase time</v>
          </cell>
          <cell r="D298" t="str">
            <v xml:space="preserve">- </v>
          </cell>
          <cell r="E298" t="str">
            <v xml:space="preserve">- </v>
          </cell>
          <cell r="F298">
            <v>11</v>
          </cell>
          <cell r="G298" t="str">
            <v>ms</v>
          </cell>
          <cell r="I298" t="str">
            <v>TROWERASE</v>
          </cell>
          <cell r="J298" t="str">
            <v xml:space="preserve">- </v>
          </cell>
          <cell r="K298" t="str">
            <v xml:space="preserve">- </v>
          </cell>
          <cell r="L298">
            <v>11</v>
          </cell>
        </row>
        <row r="299">
          <cell r="A299" t="str">
            <v>SID176</v>
          </cell>
          <cell r="B299" t="str">
            <v>TROWPROGRAM</v>
          </cell>
          <cell r="C299" t="str">
            <v>Row program time after erase</v>
          </cell>
          <cell r="D299" t="str">
            <v xml:space="preserve">- </v>
          </cell>
          <cell r="E299" t="str">
            <v xml:space="preserve">- </v>
          </cell>
          <cell r="F299">
            <v>5</v>
          </cell>
          <cell r="G299" t="str">
            <v>ms</v>
          </cell>
          <cell r="I299" t="str">
            <v>TROWPROGRAM</v>
          </cell>
          <cell r="J299" t="str">
            <v xml:space="preserve">- </v>
          </cell>
          <cell r="K299" t="str">
            <v xml:space="preserve">- </v>
          </cell>
          <cell r="L299">
            <v>5</v>
          </cell>
        </row>
        <row r="300">
          <cell r="A300" t="str">
            <v>SID178</v>
          </cell>
          <cell r="B300" t="str">
            <v>TBULKERASE</v>
          </cell>
          <cell r="C300" t="str">
            <v>Bulk erase time</v>
          </cell>
          <cell r="D300" t="str">
            <v xml:space="preserve">- </v>
          </cell>
          <cell r="E300" t="str">
            <v xml:space="preserve">- </v>
          </cell>
          <cell r="F300" t="str">
            <v>TBD</v>
          </cell>
          <cell r="G300" t="str">
            <v>ms</v>
          </cell>
          <cell r="I300" t="str">
            <v>TBULKERASE</v>
          </cell>
          <cell r="J300" t="str">
            <v xml:space="preserve">- </v>
          </cell>
          <cell r="K300" t="str">
            <v xml:space="preserve">- </v>
          </cell>
          <cell r="L300" t="str">
            <v>TBD</v>
          </cell>
        </row>
        <row r="301">
          <cell r="A301" t="str">
            <v>SID179</v>
          </cell>
          <cell r="B301" t="str">
            <v>TSECTORERASE</v>
          </cell>
          <cell r="C301" t="str">
            <v xml:space="preserve">Sector erase time </v>
          </cell>
          <cell r="D301" t="str">
            <v xml:space="preserve">- </v>
          </cell>
          <cell r="E301" t="str">
            <v xml:space="preserve">- </v>
          </cell>
          <cell r="F301" t="str">
            <v>TBD</v>
          </cell>
          <cell r="G301" t="str">
            <v>ms</v>
          </cell>
          <cell r="H301" t="str">
            <v>512 Rows per sector</v>
          </cell>
          <cell r="I301" t="str">
            <v>TSECTORERASE</v>
          </cell>
          <cell r="J301" t="str">
            <v xml:space="preserve">- </v>
          </cell>
          <cell r="K301" t="str">
            <v xml:space="preserve">- </v>
          </cell>
          <cell r="L301" t="str">
            <v>TBD</v>
          </cell>
          <cell r="M301" t="str">
            <v>512 Rows per sector</v>
          </cell>
        </row>
        <row r="302">
          <cell r="A302" t="str">
            <v>SID178S</v>
          </cell>
          <cell r="B302" t="str">
            <v>TSSERIAE</v>
          </cell>
          <cell r="C302" t="str">
            <v>Sub-Sector erase time</v>
          </cell>
          <cell r="F302">
            <v>11</v>
          </cell>
          <cell r="G302" t="str">
            <v>ms</v>
          </cell>
          <cell r="H302" t="str">
            <v>8 Rows per sub-sector</v>
          </cell>
          <cell r="I302" t="str">
            <v>TSSERIAE</v>
          </cell>
          <cell r="L302">
            <v>11</v>
          </cell>
          <cell r="M302" t="str">
            <v>8 Rows per sub-sector</v>
          </cell>
        </row>
        <row r="303">
          <cell r="A303" t="str">
            <v>SID179S</v>
          </cell>
          <cell r="B303" t="str">
            <v>TSSWRITE</v>
          </cell>
          <cell r="C303" t="str">
            <v>Sub-Sector write time; 1 erase plus 8 program times</v>
          </cell>
          <cell r="F303">
            <v>51</v>
          </cell>
          <cell r="G303" t="str">
            <v>ms</v>
          </cell>
          <cell r="I303" t="str">
            <v>TSSWRITE</v>
          </cell>
          <cell r="L303">
            <v>51</v>
          </cell>
        </row>
        <row r="304">
          <cell r="A304" t="str">
            <v>SID180S</v>
          </cell>
          <cell r="B304" t="str">
            <v>TSWRITE</v>
          </cell>
          <cell r="C304" t="str">
            <v>Sector write time; 1 erase plus 512 program times</v>
          </cell>
          <cell r="F304">
            <v>2.6</v>
          </cell>
          <cell r="G304" t="str">
            <v>seconds</v>
          </cell>
          <cell r="I304" t="str">
            <v>TSWRITE</v>
          </cell>
          <cell r="L304">
            <v>2.6</v>
          </cell>
        </row>
        <row r="305">
          <cell r="A305" t="str">
            <v>SID180</v>
          </cell>
          <cell r="B305" t="str">
            <v>TDEVPROG</v>
          </cell>
          <cell r="C305" t="str">
            <v>Total Device Program time</v>
          </cell>
          <cell r="D305" t="str">
            <v xml:space="preserve">- </v>
          </cell>
          <cell r="E305" t="str">
            <v xml:space="preserve">- </v>
          </cell>
          <cell r="F305">
            <v>15</v>
          </cell>
          <cell r="G305" t="str">
            <v>seconds</v>
          </cell>
          <cell r="I305" t="str">
            <v>TDEVPROG</v>
          </cell>
          <cell r="J305" t="str">
            <v xml:space="preserve">- </v>
          </cell>
          <cell r="K305" t="str">
            <v xml:space="preserve">- </v>
          </cell>
          <cell r="L305">
            <v>15</v>
          </cell>
        </row>
        <row r="306">
          <cell r="A306" t="str">
            <v>SID181</v>
          </cell>
          <cell r="B306" t="str">
            <v>FEND</v>
          </cell>
          <cell r="C306" t="str">
            <v>Flash Endurance</v>
          </cell>
          <cell r="D306" t="str">
            <v>100K</v>
          </cell>
          <cell r="E306" t="str">
            <v xml:space="preserve">- </v>
          </cell>
          <cell r="F306" t="str">
            <v xml:space="preserve">- </v>
          </cell>
          <cell r="G306" t="str">
            <v>cycles</v>
          </cell>
          <cell r="I306" t="str">
            <v>FEND</v>
          </cell>
          <cell r="J306" t="str">
            <v>100K</v>
          </cell>
          <cell r="K306" t="str">
            <v xml:space="preserve">- </v>
          </cell>
          <cell r="L306" t="str">
            <v xml:space="preserve">- </v>
          </cell>
        </row>
        <row r="307">
          <cell r="A307" t="str">
            <v>SID182</v>
          </cell>
          <cell r="B307" t="str">
            <v>FRET1</v>
          </cell>
          <cell r="C307" t="str">
            <v>Flash Retention. Ta&lt;= 25 C, 100K P/E cycles</v>
          </cell>
          <cell r="D307">
            <v>10</v>
          </cell>
          <cell r="E307" t="str">
            <v xml:space="preserve">- </v>
          </cell>
          <cell r="F307" t="str">
            <v xml:space="preserve">- </v>
          </cell>
          <cell r="G307" t="str">
            <v>years</v>
          </cell>
          <cell r="I307" t="str">
            <v>FRET1</v>
          </cell>
          <cell r="J307">
            <v>10</v>
          </cell>
          <cell r="K307">
            <v>43122</v>
          </cell>
          <cell r="L307" t="str">
            <v xml:space="preserve">- </v>
          </cell>
        </row>
        <row r="308">
          <cell r="A308" t="str">
            <v>SID182A</v>
          </cell>
          <cell r="B308" t="str">
            <v>FRET2</v>
          </cell>
          <cell r="C308" t="str">
            <v>Flash Retention. Ta&lt;= 85 C, 10K P/E cycles</v>
          </cell>
          <cell r="D308">
            <v>10</v>
          </cell>
          <cell r="E308" t="str">
            <v xml:space="preserve">- </v>
          </cell>
          <cell r="F308" t="str">
            <v xml:space="preserve">- </v>
          </cell>
          <cell r="G308" t="str">
            <v>years</v>
          </cell>
          <cell r="I308" t="str">
            <v>FRET2</v>
          </cell>
          <cell r="J308">
            <v>10</v>
          </cell>
          <cell r="K308">
            <v>43122</v>
          </cell>
          <cell r="L308" t="str">
            <v xml:space="preserve">- </v>
          </cell>
        </row>
        <row r="309">
          <cell r="A309" t="str">
            <v>SID182B</v>
          </cell>
          <cell r="B309" t="str">
            <v>FRET3</v>
          </cell>
          <cell r="C309" t="str">
            <v>Flash Retention. Ta&lt;= 55 C, 20K P/E cycles</v>
          </cell>
          <cell r="D309">
            <v>20</v>
          </cell>
          <cell r="E309" t="str">
            <v xml:space="preserve">- </v>
          </cell>
          <cell r="F309" t="str">
            <v xml:space="preserve">- </v>
          </cell>
          <cell r="G309" t="str">
            <v>years</v>
          </cell>
          <cell r="I309" t="str">
            <v>FRET3</v>
          </cell>
          <cell r="J309">
            <v>20</v>
          </cell>
          <cell r="K309">
            <v>43122</v>
          </cell>
          <cell r="L309" t="str">
            <v xml:space="preserve">- </v>
          </cell>
        </row>
        <row r="310">
          <cell r="A310" t="str">
            <v>SID256</v>
          </cell>
          <cell r="B310" t="str">
            <v>TWS100</v>
          </cell>
          <cell r="C310" t="str">
            <v xml:space="preserve">Number of Wait states at 100 MHz </v>
          </cell>
          <cell r="D310">
            <v>3</v>
          </cell>
          <cell r="E310" t="str">
            <v xml:space="preserve">- </v>
          </cell>
          <cell r="F310" t="str">
            <v xml:space="preserve">- </v>
          </cell>
          <cell r="I310" t="str">
            <v>TWS100</v>
          </cell>
          <cell r="J310">
            <v>3</v>
          </cell>
          <cell r="K310" t="str">
            <v xml:space="preserve">- </v>
          </cell>
          <cell r="L310" t="str">
            <v xml:space="preserve">- </v>
          </cell>
        </row>
        <row r="311">
          <cell r="A311" t="str">
            <v>SID257</v>
          </cell>
          <cell r="B311" t="str">
            <v>TWS50</v>
          </cell>
          <cell r="C311" t="str">
            <v>Number of Wait states at 50 MHz</v>
          </cell>
          <cell r="D311">
            <v>2</v>
          </cell>
          <cell r="E311" t="str">
            <v xml:space="preserve">- </v>
          </cell>
          <cell r="F311" t="str">
            <v xml:space="preserve">- </v>
          </cell>
          <cell r="I311" t="str">
            <v>TWS50</v>
          </cell>
          <cell r="J311">
            <v>2</v>
          </cell>
          <cell r="K311" t="str">
            <v xml:space="preserve">- </v>
          </cell>
          <cell r="L311" t="str">
            <v xml:space="preserve">- </v>
          </cell>
        </row>
        <row r="312">
          <cell r="A312" t="str">
            <v>Table 17. PSOC6 System Resources</v>
          </cell>
        </row>
        <row r="313">
          <cell r="A313" t="str">
            <v>Power-On-Reset with Brown-out DC Specifications</v>
          </cell>
        </row>
        <row r="314">
          <cell r="A314" t="str">
            <v>Precise POR(PPOR)</v>
          </cell>
        </row>
        <row r="315">
          <cell r="A315" t="str">
            <v>SID190</v>
          </cell>
          <cell r="B315" t="str">
            <v>VFALLPPOR</v>
          </cell>
          <cell r="C315" t="str">
            <v>BOD trip voltage in Active and Sleep modes. VDDD.</v>
          </cell>
          <cell r="D315">
            <v>1.54</v>
          </cell>
          <cell r="E315" t="str">
            <v xml:space="preserve">- </v>
          </cell>
          <cell r="F315" t="str">
            <v xml:space="preserve">- </v>
          </cell>
          <cell r="G315" t="str">
            <v>V</v>
          </cell>
          <cell r="H315" t="str">
            <v>BOD Reset guaranteed for levels below 1.54V</v>
          </cell>
          <cell r="I315" t="str">
            <v>VFALLPPOR</v>
          </cell>
          <cell r="J315">
            <v>1.54</v>
          </cell>
          <cell r="K315" t="str">
            <v xml:space="preserve">- </v>
          </cell>
          <cell r="L315" t="str">
            <v xml:space="preserve">- </v>
          </cell>
          <cell r="M315" t="str">
            <v>BOD Reset guaranteed for levels below 1.54V</v>
          </cell>
        </row>
        <row r="316">
          <cell r="A316" t="str">
            <v>SID192</v>
          </cell>
          <cell r="B316" t="str">
            <v>VFALLDPSLP</v>
          </cell>
          <cell r="C316" t="str">
            <v>BOD trip voltage in Deep Sleep. VDDD</v>
          </cell>
          <cell r="D316">
            <v>1.54</v>
          </cell>
          <cell r="E316" t="str">
            <v xml:space="preserve">- </v>
          </cell>
          <cell r="F316" t="str">
            <v xml:space="preserve">- </v>
          </cell>
          <cell r="G316" t="str">
            <v>V</v>
          </cell>
          <cell r="I316" t="str">
            <v>VFALLDPSLP</v>
          </cell>
          <cell r="J316">
            <v>1.54</v>
          </cell>
          <cell r="K316" t="str">
            <v xml:space="preserve">- </v>
          </cell>
          <cell r="L316" t="str">
            <v xml:space="preserve">- </v>
          </cell>
        </row>
        <row r="317">
          <cell r="A317" t="str">
            <v>SID192A</v>
          </cell>
          <cell r="B317" t="str">
            <v>VDDRAMP</v>
          </cell>
          <cell r="C317" t="str">
            <v>Maximum power supply ramp rate (any supply)</v>
          </cell>
          <cell r="F317">
            <v>100</v>
          </cell>
          <cell r="G317" t="str">
            <v>mV/uSec</v>
          </cell>
          <cell r="H317" t="str">
            <v>Active Mode</v>
          </cell>
          <cell r="I317" t="str">
            <v>VDDRAMP</v>
          </cell>
          <cell r="L317">
            <v>100</v>
          </cell>
          <cell r="M317" t="str">
            <v>Active Mode</v>
          </cell>
        </row>
        <row r="318">
          <cell r="A318" t="str">
            <v>POR with Brown-out AC Specification</v>
          </cell>
        </row>
        <row r="319">
          <cell r="A319" t="str">
            <v>SID194A</v>
          </cell>
          <cell r="B319" t="str">
            <v>VDDRAMP_DS</v>
          </cell>
          <cell r="C319" t="str">
            <v>Maximum power supply ramp rate (any supply) in Deep Sleep</v>
          </cell>
          <cell r="F319">
            <v>10</v>
          </cell>
          <cell r="G319" t="str">
            <v>mV/uSec</v>
          </cell>
          <cell r="H319" t="str">
            <v xml:space="preserve">BOD operation guaranteed </v>
          </cell>
          <cell r="I319" t="str">
            <v>VDDRAMP_DS</v>
          </cell>
          <cell r="L319">
            <v>10</v>
          </cell>
          <cell r="M319" t="str">
            <v xml:space="preserve">BOD operation guaranteed </v>
          </cell>
        </row>
        <row r="320">
          <cell r="A320" t="str">
            <v>Voltage Monitors DC Specifications</v>
          </cell>
        </row>
        <row r="321">
          <cell r="A321" t="str">
            <v>SID195R</v>
          </cell>
          <cell r="B321" t="str">
            <v>VHVD0</v>
          </cell>
          <cell r="D321">
            <v>1.18</v>
          </cell>
          <cell r="E321">
            <v>1.23</v>
          </cell>
          <cell r="F321">
            <v>1.27</v>
          </cell>
          <cell r="G321" t="str">
            <v>V</v>
          </cell>
          <cell r="I321" t="str">
            <v>VHVD0</v>
          </cell>
          <cell r="J321">
            <v>1.18</v>
          </cell>
          <cell r="K321">
            <v>1.23</v>
          </cell>
          <cell r="L321">
            <v>1.27</v>
          </cell>
        </row>
        <row r="322">
          <cell r="A322" t="str">
            <v>SID195</v>
          </cell>
          <cell r="B322" t="str">
            <v>VHVDI1</v>
          </cell>
          <cell r="D322">
            <v>1.38</v>
          </cell>
          <cell r="E322">
            <v>1.43</v>
          </cell>
          <cell r="F322">
            <v>1.47</v>
          </cell>
          <cell r="G322" t="str">
            <v>V</v>
          </cell>
          <cell r="I322" t="str">
            <v>VHVDI1</v>
          </cell>
          <cell r="J322">
            <v>1.38</v>
          </cell>
          <cell r="K322">
            <v>1.43</v>
          </cell>
          <cell r="L322">
            <v>1.47</v>
          </cell>
        </row>
        <row r="323">
          <cell r="A323" t="str">
            <v>SID196</v>
          </cell>
          <cell r="B323" t="str">
            <v>VHVDI2</v>
          </cell>
          <cell r="D323">
            <v>1.57</v>
          </cell>
          <cell r="E323">
            <v>1.63</v>
          </cell>
          <cell r="F323">
            <v>1.68</v>
          </cell>
          <cell r="G323" t="str">
            <v>V</v>
          </cell>
          <cell r="I323" t="str">
            <v>VHVDI2</v>
          </cell>
          <cell r="J323">
            <v>1.57</v>
          </cell>
          <cell r="K323">
            <v>1.63</v>
          </cell>
          <cell r="L323">
            <v>1.68</v>
          </cell>
        </row>
        <row r="324">
          <cell r="A324" t="str">
            <v>SID197</v>
          </cell>
          <cell r="B324" t="str">
            <v>VHVDI3</v>
          </cell>
          <cell r="D324">
            <v>1.76</v>
          </cell>
          <cell r="E324">
            <v>1.83</v>
          </cell>
          <cell r="F324">
            <v>1.89</v>
          </cell>
          <cell r="G324" t="str">
            <v>V</v>
          </cell>
          <cell r="I324" t="str">
            <v>VHVDI3</v>
          </cell>
          <cell r="J324">
            <v>1.76</v>
          </cell>
          <cell r="K324">
            <v>1.83</v>
          </cell>
          <cell r="L324">
            <v>1.89</v>
          </cell>
        </row>
        <row r="325">
          <cell r="A325" t="str">
            <v>SID198</v>
          </cell>
          <cell r="B325" t="str">
            <v>VHVDI4</v>
          </cell>
          <cell r="D325">
            <v>1.95</v>
          </cell>
          <cell r="E325">
            <v>2.0299999999999998</v>
          </cell>
          <cell r="F325">
            <v>2.1</v>
          </cell>
          <cell r="G325" t="str">
            <v>V</v>
          </cell>
          <cell r="I325" t="str">
            <v>VHVDI4</v>
          </cell>
          <cell r="J325">
            <v>1.95</v>
          </cell>
          <cell r="K325">
            <v>2.0299999999999998</v>
          </cell>
          <cell r="L325">
            <v>2.1</v>
          </cell>
        </row>
        <row r="326">
          <cell r="A326" t="str">
            <v>SID199</v>
          </cell>
          <cell r="B326" t="str">
            <v>VHVDI5</v>
          </cell>
          <cell r="D326">
            <v>2.0499999999999998</v>
          </cell>
          <cell r="E326">
            <v>2.13</v>
          </cell>
          <cell r="F326">
            <v>2.2000000000000002</v>
          </cell>
          <cell r="G326" t="str">
            <v>V</v>
          </cell>
          <cell r="I326" t="str">
            <v>VHVDI5</v>
          </cell>
          <cell r="J326">
            <v>2.0499999999999998</v>
          </cell>
          <cell r="K326">
            <v>2.13</v>
          </cell>
          <cell r="L326">
            <v>2.2000000000000002</v>
          </cell>
        </row>
        <row r="327">
          <cell r="A327" t="str">
            <v>SID200</v>
          </cell>
          <cell r="B327" t="str">
            <v>VHVDI6</v>
          </cell>
          <cell r="D327">
            <v>2.15</v>
          </cell>
          <cell r="E327">
            <v>2.23</v>
          </cell>
          <cell r="F327">
            <v>2.2999999999999998</v>
          </cell>
          <cell r="G327" t="str">
            <v>V</v>
          </cell>
          <cell r="I327" t="str">
            <v>VHVDI6</v>
          </cell>
          <cell r="J327">
            <v>2.15</v>
          </cell>
          <cell r="K327">
            <v>2.23</v>
          </cell>
          <cell r="L327">
            <v>2.2999999999999998</v>
          </cell>
        </row>
        <row r="328">
          <cell r="A328" t="str">
            <v>SID201</v>
          </cell>
          <cell r="B328" t="str">
            <v>VHVDI7</v>
          </cell>
          <cell r="D328">
            <v>2.2400000000000002</v>
          </cell>
          <cell r="E328">
            <v>2.33</v>
          </cell>
          <cell r="F328">
            <v>2.41</v>
          </cell>
          <cell r="G328" t="str">
            <v>V</v>
          </cell>
          <cell r="I328" t="str">
            <v>VHVDI7</v>
          </cell>
          <cell r="J328">
            <v>2.2400000000000002</v>
          </cell>
          <cell r="K328">
            <v>2.33</v>
          </cell>
          <cell r="L328">
            <v>2.41</v>
          </cell>
        </row>
        <row r="329">
          <cell r="A329" t="str">
            <v>SID202</v>
          </cell>
          <cell r="B329" t="str">
            <v>VHVDI8</v>
          </cell>
          <cell r="D329">
            <v>2.34</v>
          </cell>
          <cell r="E329">
            <v>2.4300000000000002</v>
          </cell>
          <cell r="F329">
            <v>2.5099999999999998</v>
          </cell>
          <cell r="G329" t="str">
            <v>V</v>
          </cell>
          <cell r="I329" t="str">
            <v>VHVDI8</v>
          </cell>
          <cell r="J329">
            <v>2.34</v>
          </cell>
          <cell r="K329">
            <v>2.4300000000000002</v>
          </cell>
          <cell r="L329">
            <v>2.5099999999999998</v>
          </cell>
        </row>
        <row r="330">
          <cell r="A330" t="str">
            <v>SID203</v>
          </cell>
          <cell r="B330" t="str">
            <v>VHVDI9</v>
          </cell>
          <cell r="D330">
            <v>2.44</v>
          </cell>
          <cell r="E330">
            <v>2.5299999999999998</v>
          </cell>
          <cell r="F330">
            <v>2.61</v>
          </cell>
          <cell r="G330" t="str">
            <v>V</v>
          </cell>
          <cell r="I330" t="str">
            <v>VHVDI9</v>
          </cell>
          <cell r="J330">
            <v>2.44</v>
          </cell>
          <cell r="K330">
            <v>2.5299999999999998</v>
          </cell>
          <cell r="L330">
            <v>2.61</v>
          </cell>
        </row>
        <row r="331">
          <cell r="A331" t="str">
            <v>SID204</v>
          </cell>
          <cell r="B331" t="str">
            <v>VHVDI10</v>
          </cell>
          <cell r="D331">
            <v>2.5299999999999998</v>
          </cell>
          <cell r="E331">
            <v>2.63</v>
          </cell>
          <cell r="F331">
            <v>2.72</v>
          </cell>
          <cell r="G331" t="str">
            <v>V</v>
          </cell>
          <cell r="I331" t="str">
            <v>VHVDI10</v>
          </cell>
          <cell r="J331">
            <v>2.5299999999999998</v>
          </cell>
          <cell r="K331">
            <v>2.63</v>
          </cell>
          <cell r="L331">
            <v>2.72</v>
          </cell>
        </row>
        <row r="332">
          <cell r="A332" t="str">
            <v>SID205</v>
          </cell>
          <cell r="B332" t="str">
            <v>VHVDI11</v>
          </cell>
          <cell r="D332">
            <v>2.63</v>
          </cell>
          <cell r="E332">
            <v>2.73</v>
          </cell>
          <cell r="F332">
            <v>2.82</v>
          </cell>
          <cell r="G332" t="str">
            <v>V</v>
          </cell>
          <cell r="I332" t="str">
            <v>VHVDI11</v>
          </cell>
          <cell r="J332">
            <v>2.63</v>
          </cell>
          <cell r="K332">
            <v>2.73</v>
          </cell>
          <cell r="L332">
            <v>2.82</v>
          </cell>
        </row>
        <row r="333">
          <cell r="A333" t="str">
            <v>SID206</v>
          </cell>
          <cell r="B333" t="str">
            <v>VHVDI12</v>
          </cell>
          <cell r="D333">
            <v>2.73</v>
          </cell>
          <cell r="E333">
            <v>2.83</v>
          </cell>
          <cell r="F333">
            <v>2.92</v>
          </cell>
          <cell r="G333" t="str">
            <v>V</v>
          </cell>
          <cell r="I333" t="str">
            <v>VHVDI12</v>
          </cell>
          <cell r="J333">
            <v>2.73</v>
          </cell>
          <cell r="K333">
            <v>2.83</v>
          </cell>
          <cell r="L333">
            <v>2.92</v>
          </cell>
        </row>
        <row r="334">
          <cell r="A334" t="str">
            <v>SID207</v>
          </cell>
          <cell r="B334" t="str">
            <v>VHVDI13</v>
          </cell>
          <cell r="D334">
            <v>2.82</v>
          </cell>
          <cell r="E334">
            <v>2.93</v>
          </cell>
          <cell r="F334">
            <v>3.03</v>
          </cell>
          <cell r="G334" t="str">
            <v>V</v>
          </cell>
          <cell r="I334" t="str">
            <v>VHVDI13</v>
          </cell>
          <cell r="J334">
            <v>2.82</v>
          </cell>
          <cell r="K334">
            <v>2.93</v>
          </cell>
          <cell r="L334">
            <v>3.03</v>
          </cell>
        </row>
        <row r="335">
          <cell r="A335" t="str">
            <v>SID208</v>
          </cell>
          <cell r="B335" t="str">
            <v>VHVDI14</v>
          </cell>
          <cell r="D335">
            <v>2.92</v>
          </cell>
          <cell r="E335">
            <v>3.03</v>
          </cell>
          <cell r="F335">
            <v>3.13</v>
          </cell>
          <cell r="G335" t="str">
            <v>V</v>
          </cell>
          <cell r="I335" t="str">
            <v>VHVDI14</v>
          </cell>
          <cell r="J335">
            <v>2.92</v>
          </cell>
          <cell r="K335">
            <v>3.03</v>
          </cell>
          <cell r="L335">
            <v>3.13</v>
          </cell>
        </row>
        <row r="336">
          <cell r="A336" t="str">
            <v>SID209</v>
          </cell>
          <cell r="B336" t="str">
            <v>VHVDI15</v>
          </cell>
          <cell r="D336">
            <v>3.02</v>
          </cell>
          <cell r="E336">
            <v>3.13</v>
          </cell>
          <cell r="F336">
            <v>3.23</v>
          </cell>
          <cell r="G336" t="str">
            <v>V</v>
          </cell>
          <cell r="I336" t="str">
            <v>VHVDI15</v>
          </cell>
          <cell r="J336">
            <v>3.02</v>
          </cell>
          <cell r="K336">
            <v>3.13</v>
          </cell>
          <cell r="L336">
            <v>3.23</v>
          </cell>
        </row>
        <row r="337">
          <cell r="A337" t="str">
            <v>SID211</v>
          </cell>
          <cell r="B337" t="str">
            <v>LVI_IDD</v>
          </cell>
          <cell r="C337" t="str">
            <v xml:space="preserve">Block current </v>
          </cell>
          <cell r="D337" t="str">
            <v xml:space="preserve">- </v>
          </cell>
          <cell r="E337">
            <v>5</v>
          </cell>
          <cell r="F337">
            <v>15</v>
          </cell>
          <cell r="G337" t="str">
            <v>uA</v>
          </cell>
          <cell r="I337" t="str">
            <v>LVI_IDD</v>
          </cell>
          <cell r="J337" t="str">
            <v xml:space="preserve">- </v>
          </cell>
          <cell r="K337">
            <v>5</v>
          </cell>
          <cell r="L337">
            <v>15</v>
          </cell>
        </row>
        <row r="338">
          <cell r="A338" t="str">
            <v>Voltage Monitors AC Specification</v>
          </cell>
        </row>
        <row r="339">
          <cell r="A339" t="str">
            <v>SID212</v>
          </cell>
          <cell r="B339" t="str">
            <v>TMONTRIP</v>
          </cell>
          <cell r="C339" t="str">
            <v>SWD</v>
          </cell>
          <cell r="D339" t="str">
            <v xml:space="preserve">- </v>
          </cell>
          <cell r="E339" t="str">
            <v xml:space="preserve">- </v>
          </cell>
          <cell r="F339">
            <v>170</v>
          </cell>
          <cell r="G339" t="str">
            <v>ns</v>
          </cell>
          <cell r="I339" t="str">
            <v>TMONTRIP</v>
          </cell>
          <cell r="J339" t="str">
            <v xml:space="preserve">- </v>
          </cell>
          <cell r="K339" t="str">
            <v xml:space="preserve">- </v>
          </cell>
          <cell r="L339">
            <v>170</v>
          </cell>
        </row>
        <row r="340">
          <cell r="A340" t="str">
            <v>Table 18. SWD and Trace Interface</v>
          </cell>
        </row>
        <row r="341">
          <cell r="A341" t="str">
            <v>SID214</v>
          </cell>
          <cell r="B341" t="str">
            <v>F_SWDCLK2</v>
          </cell>
          <cell r="C341" t="str">
            <v>1.7V &lt;= VDDD &lt;= 3.6V</v>
          </cell>
          <cell r="D341" t="str">
            <v xml:space="preserve">- </v>
          </cell>
          <cell r="E341" t="str">
            <v xml:space="preserve">- </v>
          </cell>
          <cell r="F341">
            <v>25</v>
          </cell>
          <cell r="G341" t="str">
            <v>MHz</v>
          </cell>
          <cell r="H341" t="str">
            <v>LP Mode; VCCD = 1.1V</v>
          </cell>
          <cell r="I341" t="str">
            <v>F_SWDCLK2</v>
          </cell>
          <cell r="J341" t="str">
            <v xml:space="preserve">- </v>
          </cell>
          <cell r="K341" t="str">
            <v xml:space="preserve">- </v>
          </cell>
          <cell r="L341">
            <v>25</v>
          </cell>
          <cell r="M341" t="str">
            <v>LP Mode; VCCD = 1.1V</v>
          </cell>
        </row>
        <row r="342">
          <cell r="A342" t="str">
            <v>SID214L</v>
          </cell>
          <cell r="B342" t="str">
            <v>F_SWDCLK2L</v>
          </cell>
          <cell r="C342" t="str">
            <v>1.7V &lt;= VDDD &lt;= 3.6V</v>
          </cell>
          <cell r="F342">
            <v>12</v>
          </cell>
          <cell r="G342" t="str">
            <v>MHz</v>
          </cell>
          <cell r="H342" t="str">
            <v>ULP Mode. VCCD = 0.9V.</v>
          </cell>
          <cell r="I342" t="str">
            <v>F_SWDCLK2L</v>
          </cell>
          <cell r="L342">
            <v>12</v>
          </cell>
          <cell r="M342" t="str">
            <v>ULP Mode. VCCD = 0.9V.</v>
          </cell>
        </row>
        <row r="343">
          <cell r="A343" t="str">
            <v>SID215</v>
          </cell>
          <cell r="B343" t="str">
            <v>T_SWDI_SETUP</v>
          </cell>
          <cell r="C343" t="str">
            <v>T = 1/f SWDCLK</v>
          </cell>
          <cell r="D343" t="str">
            <v>0.25*T</v>
          </cell>
          <cell r="E343" t="str">
            <v xml:space="preserve">- </v>
          </cell>
          <cell r="F343" t="str">
            <v xml:space="preserve">- </v>
          </cell>
          <cell r="G343" t="str">
            <v>ns</v>
          </cell>
          <cell r="I343" t="str">
            <v>T_SWDI_SETUP</v>
          </cell>
          <cell r="J343" t="str">
            <v>0.25*T</v>
          </cell>
          <cell r="K343" t="str">
            <v xml:space="preserve">- </v>
          </cell>
          <cell r="L343" t="str">
            <v xml:space="preserve">- </v>
          </cell>
        </row>
        <row r="344">
          <cell r="A344" t="str">
            <v>SID216</v>
          </cell>
          <cell r="B344" t="str">
            <v>T_SWDI_HOLD</v>
          </cell>
          <cell r="C344" t="str">
            <v>T = 1/f SWDCLK</v>
          </cell>
          <cell r="D344" t="str">
            <v>0.25*T</v>
          </cell>
          <cell r="E344" t="str">
            <v xml:space="preserve">- </v>
          </cell>
          <cell r="F344" t="str">
            <v xml:space="preserve">- </v>
          </cell>
          <cell r="G344" t="str">
            <v>ns</v>
          </cell>
          <cell r="I344" t="str">
            <v>T_SWDI_HOLD</v>
          </cell>
          <cell r="J344" t="str">
            <v>0.25*T</v>
          </cell>
          <cell r="K344" t="str">
            <v xml:space="preserve">- </v>
          </cell>
          <cell r="L344" t="str">
            <v xml:space="preserve">- </v>
          </cell>
        </row>
        <row r="345">
          <cell r="A345" t="str">
            <v>SID217</v>
          </cell>
          <cell r="B345" t="str">
            <v>T_SWDO_VALID</v>
          </cell>
          <cell r="C345" t="str">
            <v>T = 1/f SWDCLK</v>
          </cell>
          <cell r="E345" t="str">
            <v xml:space="preserve">- </v>
          </cell>
          <cell r="F345" t="str">
            <v>0.5*T</v>
          </cell>
          <cell r="G345" t="str">
            <v>ns</v>
          </cell>
          <cell r="I345" t="str">
            <v>T_SWDO_VALID</v>
          </cell>
          <cell r="K345" t="str">
            <v xml:space="preserve">- </v>
          </cell>
          <cell r="L345" t="str">
            <v>0.5*T</v>
          </cell>
        </row>
        <row r="346">
          <cell r="A346" t="str">
            <v>SID217A</v>
          </cell>
          <cell r="B346" t="str">
            <v>T_SWDO_HOLD</v>
          </cell>
          <cell r="C346" t="str">
            <v>T = 1/f SWDCLK</v>
          </cell>
          <cell r="D346">
            <v>1</v>
          </cell>
          <cell r="E346" t="str">
            <v xml:space="preserve">- </v>
          </cell>
          <cell r="F346" t="str">
            <v xml:space="preserve">- </v>
          </cell>
          <cell r="G346" t="str">
            <v>ns</v>
          </cell>
          <cell r="I346" t="str">
            <v>T_SWDO_HOLD</v>
          </cell>
          <cell r="J346">
            <v>1</v>
          </cell>
          <cell r="K346" t="str">
            <v xml:space="preserve">- </v>
          </cell>
          <cell r="L346" t="str">
            <v xml:space="preserve">- </v>
          </cell>
        </row>
        <row r="347">
          <cell r="A347" t="str">
            <v>SID214T</v>
          </cell>
          <cell r="B347" t="str">
            <v>F_TRCLK_LP1</v>
          </cell>
          <cell r="C347" t="str">
            <v>With Trace Data setup/hold times of 2/1 ns respectively</v>
          </cell>
          <cell r="F347">
            <v>75</v>
          </cell>
          <cell r="G347" t="str">
            <v>MHz</v>
          </cell>
          <cell r="H347" t="str">
            <v>LP Mode. VDD = 1.1V</v>
          </cell>
          <cell r="I347" t="str">
            <v>F_TRCLK_LP1</v>
          </cell>
          <cell r="L347">
            <v>75</v>
          </cell>
          <cell r="M347" t="str">
            <v>LP Mode. VDD = 1.1V</v>
          </cell>
        </row>
        <row r="348">
          <cell r="A348" t="str">
            <v>SID215T</v>
          </cell>
          <cell r="B348" t="str">
            <v>F_TRCLK_LP2</v>
          </cell>
          <cell r="C348" t="str">
            <v>With Trace Data setup/hold times of 3/2 ns respectively</v>
          </cell>
          <cell r="F348">
            <v>70</v>
          </cell>
          <cell r="G348" t="str">
            <v>MHz</v>
          </cell>
          <cell r="H348" t="str">
            <v>LP Mode. VDD = 1.1V</v>
          </cell>
          <cell r="I348" t="str">
            <v>F_TRCLK_LP2</v>
          </cell>
          <cell r="L348">
            <v>70</v>
          </cell>
          <cell r="M348" t="str">
            <v>LP Mode. VDD = 1.1V</v>
          </cell>
        </row>
        <row r="349">
          <cell r="A349" t="str">
            <v>SID216T</v>
          </cell>
          <cell r="B349" t="str">
            <v>F_TRCLK_ULP</v>
          </cell>
          <cell r="C349" t="str">
            <v>With Trace Data setup/hold times of 3/2 ns respectively</v>
          </cell>
          <cell r="F349">
            <v>25</v>
          </cell>
          <cell r="G349" t="str">
            <v>MHz</v>
          </cell>
          <cell r="H349" t="str">
            <v>ULP Mode. VDD = 0.9V</v>
          </cell>
          <cell r="I349" t="str">
            <v>F_TRCLK_ULP</v>
          </cell>
          <cell r="L349">
            <v>25</v>
          </cell>
          <cell r="M349" t="str">
            <v>ULP Mode. VDD = 0.9V</v>
          </cell>
        </row>
        <row r="350">
          <cell r="A350" t="str">
            <v>Table 19. Internal Oscillator, Crystal Oscillator, and External Clock Specifications</v>
          </cell>
        </row>
        <row r="351">
          <cell r="A351" t="str">
            <v>IMO DC Specifications</v>
          </cell>
        </row>
        <row r="352">
          <cell r="A352" t="str">
            <v>SID218</v>
          </cell>
          <cell r="B352" t="str">
            <v>IIMO1</v>
          </cell>
          <cell r="C352" t="str">
            <v>IMO Operating current at 8 MHz</v>
          </cell>
          <cell r="D352" t="str">
            <v xml:space="preserve">- </v>
          </cell>
          <cell r="E352">
            <v>9</v>
          </cell>
          <cell r="F352">
            <v>15</v>
          </cell>
          <cell r="G352" t="str">
            <v>µA</v>
          </cell>
          <cell r="I352" t="str">
            <v>IIMO1</v>
          </cell>
          <cell r="J352" t="str">
            <v xml:space="preserve">- </v>
          </cell>
          <cell r="K352">
            <v>9</v>
          </cell>
          <cell r="L352">
            <v>15</v>
          </cell>
        </row>
        <row r="353">
          <cell r="A353" t="str">
            <v>IMO AC Specifications</v>
          </cell>
          <cell r="B353" t="str">
            <v xml:space="preserve"> </v>
          </cell>
          <cell r="I353" t="str">
            <v xml:space="preserve"> </v>
          </cell>
        </row>
        <row r="354">
          <cell r="A354" t="str">
            <v>SID223</v>
          </cell>
          <cell r="B354" t="str">
            <v>FIMOTOL1</v>
          </cell>
          <cell r="C354" t="str">
            <v>Frequency variation centered on 8 MHz</v>
          </cell>
          <cell r="D354" t="str">
            <v xml:space="preserve">- </v>
          </cell>
          <cell r="E354" t="str">
            <v xml:space="preserve">- </v>
          </cell>
          <cell r="F354" t="str">
            <v>±2</v>
          </cell>
          <cell r="G354" t="str">
            <v>%</v>
          </cell>
          <cell r="I354" t="str">
            <v>FIMOTOL1</v>
          </cell>
          <cell r="J354" t="str">
            <v xml:space="preserve">- </v>
          </cell>
          <cell r="K354" t="str">
            <v xml:space="preserve">- </v>
          </cell>
          <cell r="L354" t="str">
            <v>±2</v>
          </cell>
        </row>
        <row r="355">
          <cell r="A355" t="str">
            <v>SID227</v>
          </cell>
          <cell r="B355" t="str">
            <v>TJITR</v>
          </cell>
          <cell r="C355" t="str">
            <v>Cycle-to-Cycle and Period jitter</v>
          </cell>
          <cell r="D355" t="str">
            <v xml:space="preserve">- </v>
          </cell>
          <cell r="E355">
            <v>250</v>
          </cell>
          <cell r="F355" t="str">
            <v xml:space="preserve">- </v>
          </cell>
          <cell r="G355" t="str">
            <v>ps</v>
          </cell>
          <cell r="I355" t="str">
            <v>TJITR</v>
          </cell>
          <cell r="J355" t="str">
            <v xml:space="preserve">- </v>
          </cell>
          <cell r="K355">
            <v>250</v>
          </cell>
          <cell r="L355" t="str">
            <v xml:space="preserve">- </v>
          </cell>
        </row>
        <row r="356">
          <cell r="A356" t="str">
            <v>ILO DC Specifications</v>
          </cell>
          <cell r="B356" t="str">
            <v xml:space="preserve"> </v>
          </cell>
          <cell r="I356" t="str">
            <v xml:space="preserve"> </v>
          </cell>
        </row>
        <row r="357">
          <cell r="A357" t="str">
            <v>SID231</v>
          </cell>
          <cell r="B357" t="str">
            <v>IILO2</v>
          </cell>
          <cell r="C357" t="str">
            <v>ILO Operating current at 32 KHz</v>
          </cell>
          <cell r="D357" t="str">
            <v xml:space="preserve">- </v>
          </cell>
          <cell r="E357">
            <v>0.3</v>
          </cell>
          <cell r="F357">
            <v>0.7</v>
          </cell>
          <cell r="G357" t="str">
            <v>µA</v>
          </cell>
          <cell r="I357" t="str">
            <v>IILO2</v>
          </cell>
          <cell r="J357" t="str">
            <v xml:space="preserve">- </v>
          </cell>
          <cell r="K357">
            <v>0.3</v>
          </cell>
          <cell r="L357">
            <v>0.7</v>
          </cell>
        </row>
        <row r="358">
          <cell r="A358" t="str">
            <v>ILO AC Specifications</v>
          </cell>
          <cell r="B358" t="str">
            <v xml:space="preserve"> </v>
          </cell>
          <cell r="I358" t="str">
            <v xml:space="preserve"> </v>
          </cell>
        </row>
        <row r="359">
          <cell r="A359" t="str">
            <v>SID234</v>
          </cell>
          <cell r="B359" t="str">
            <v>TSTARTILO1</v>
          </cell>
          <cell r="C359" t="str">
            <v>ILO Start-up time</v>
          </cell>
          <cell r="D359" t="str">
            <v xml:space="preserve">- </v>
          </cell>
          <cell r="E359" t="str">
            <v xml:space="preserve">- </v>
          </cell>
          <cell r="F359">
            <v>7</v>
          </cell>
          <cell r="G359" t="str">
            <v>uS</v>
          </cell>
          <cell r="H359" t="str">
            <v>Startup time to 95% of final frequency</v>
          </cell>
          <cell r="I359" t="str">
            <v>TSTARTILO1</v>
          </cell>
          <cell r="J359" t="str">
            <v xml:space="preserve">- </v>
          </cell>
          <cell r="K359" t="str">
            <v xml:space="preserve">- </v>
          </cell>
          <cell r="L359">
            <v>7</v>
          </cell>
          <cell r="M359" t="str">
            <v>Startup time to 95% of final frequency</v>
          </cell>
        </row>
        <row r="360">
          <cell r="A360" t="str">
            <v>SID236</v>
          </cell>
          <cell r="B360" t="str">
            <v>TLIODUTY</v>
          </cell>
          <cell r="C360" t="str">
            <v>ILO Duty cycle</v>
          </cell>
          <cell r="D360">
            <v>45</v>
          </cell>
          <cell r="E360">
            <v>50</v>
          </cell>
          <cell r="F360">
            <v>55</v>
          </cell>
          <cell r="G360" t="str">
            <v>%</v>
          </cell>
          <cell r="I360" t="str">
            <v>TLIODUTY</v>
          </cell>
          <cell r="J360">
            <v>45</v>
          </cell>
          <cell r="K360">
            <v>50</v>
          </cell>
          <cell r="L360">
            <v>55</v>
          </cell>
        </row>
        <row r="361">
          <cell r="A361" t="str">
            <v>SID237</v>
          </cell>
          <cell r="B361" t="str">
            <v>FILOTRIM1</v>
          </cell>
          <cell r="C361" t="str">
            <v>32 KHz trimmed frequency</v>
          </cell>
          <cell r="D361">
            <v>28.8</v>
          </cell>
          <cell r="E361">
            <v>32</v>
          </cell>
          <cell r="F361">
            <v>35.200000000000003</v>
          </cell>
          <cell r="G361" t="str">
            <v>KHz</v>
          </cell>
          <cell r="H361" t="str">
            <v>+/-10% variation</v>
          </cell>
          <cell r="I361" t="str">
            <v>FILOTRIM1</v>
          </cell>
          <cell r="J361">
            <v>28.8</v>
          </cell>
          <cell r="K361">
            <v>32</v>
          </cell>
          <cell r="L361">
            <v>35.200000000000003</v>
          </cell>
          <cell r="M361" t="str">
            <v>+/-10% variation</v>
          </cell>
        </row>
        <row r="362">
          <cell r="A362" t="str">
            <v>Frequency Locked Loop (FLL) Specifications</v>
          </cell>
        </row>
        <row r="363">
          <cell r="A363" t="str">
            <v>SID450</v>
          </cell>
          <cell r="B363" t="str">
            <v>FLL_RANGE</v>
          </cell>
          <cell r="C363" t="str">
            <v xml:space="preserve">Input frequency range. </v>
          </cell>
          <cell r="D363">
            <v>1E-3</v>
          </cell>
          <cell r="F363">
            <v>100</v>
          </cell>
          <cell r="G363" t="str">
            <v>MHz</v>
          </cell>
          <cell r="H363" t="str">
            <v>Lower limit allows lock to USB SOF signal (1 kHz). Upper limit is for External input.</v>
          </cell>
          <cell r="I363" t="str">
            <v>FLL_RANGE</v>
          </cell>
          <cell r="J363">
            <v>1E-3</v>
          </cell>
          <cell r="L363">
            <v>100</v>
          </cell>
          <cell r="M363" t="str">
            <v>Lower limit allows lock to USB SOF signal (1 kHz). Upper limit is for External input.</v>
          </cell>
        </row>
        <row r="364">
          <cell r="A364" t="str">
            <v>SID451</v>
          </cell>
          <cell r="B364" t="str">
            <v>FLL_OUT_DIV2</v>
          </cell>
          <cell r="C364" t="str">
            <v>Output frequency range. VCCD = 1.1V</v>
          </cell>
          <cell r="D364">
            <v>24</v>
          </cell>
          <cell r="F364">
            <v>100</v>
          </cell>
          <cell r="G364" t="str">
            <v>MHz</v>
          </cell>
          <cell r="H364" t="str">
            <v>Output range of FLL divided-by-2 output</v>
          </cell>
          <cell r="I364" t="str">
            <v>FLL_OUT_DIV2</v>
          </cell>
          <cell r="J364">
            <v>24</v>
          </cell>
          <cell r="L364">
            <v>100</v>
          </cell>
          <cell r="M364" t="str">
            <v>Output range of FLL divided-by-2 output</v>
          </cell>
        </row>
        <row r="365">
          <cell r="A365" t="str">
            <v>SID451A</v>
          </cell>
          <cell r="B365" t="str">
            <v>FLL_OUT_DIV2</v>
          </cell>
          <cell r="C365" t="str">
            <v>Output frequency range. VCCD = 0.9V</v>
          </cell>
          <cell r="D365">
            <v>24</v>
          </cell>
          <cell r="F365">
            <v>50</v>
          </cell>
          <cell r="G365" t="str">
            <v>MHz</v>
          </cell>
          <cell r="H365" t="str">
            <v>Output range of FLL divided-by-2 output</v>
          </cell>
          <cell r="I365" t="str">
            <v>FLL_OUT_DIV2</v>
          </cell>
          <cell r="J365">
            <v>24</v>
          </cell>
          <cell r="L365">
            <v>50</v>
          </cell>
          <cell r="M365" t="str">
            <v>Output range of FLL divided-by-2 output</v>
          </cell>
        </row>
        <row r="366">
          <cell r="A366" t="str">
            <v>SID452</v>
          </cell>
          <cell r="B366" t="str">
            <v>FLL_DUTY_DIV2</v>
          </cell>
          <cell r="C366" t="str">
            <v>Divided-by-2 output; High or Low</v>
          </cell>
          <cell r="D366">
            <v>47</v>
          </cell>
          <cell r="F366">
            <v>53</v>
          </cell>
          <cell r="G366" t="str">
            <v>%</v>
          </cell>
          <cell r="I366" t="str">
            <v>FLL_DUTY_DIV2</v>
          </cell>
          <cell r="J366">
            <v>47</v>
          </cell>
          <cell r="L366">
            <v>53</v>
          </cell>
        </row>
        <row r="367">
          <cell r="A367" t="str">
            <v>SID454</v>
          </cell>
          <cell r="B367" t="str">
            <v>FLL_WAKEUP</v>
          </cell>
          <cell r="C367" t="str">
            <v>Time from stable input clock to 1% of final value on deep sleep wakeup</v>
          </cell>
          <cell r="F367">
            <v>7.5</v>
          </cell>
          <cell r="G367" t="str">
            <v>uS</v>
          </cell>
          <cell r="H367" t="str">
            <v>With IMO input, for &lt; 10 C change in temperature while in Deep Sleep and Fout ≥ 50 Mhz</v>
          </cell>
          <cell r="I367" t="str">
            <v>FLL_WAKEUP</v>
          </cell>
          <cell r="L367">
            <v>7.5</v>
          </cell>
          <cell r="M367" t="str">
            <v>With IMO input, for &lt; 10 C change in temperature while in Deep Sleep and Fout ≥ 50 Mhz</v>
          </cell>
        </row>
        <row r="368">
          <cell r="A368" t="str">
            <v>SID455</v>
          </cell>
          <cell r="B368" t="str">
            <v>FLL_JITTER</v>
          </cell>
          <cell r="C368" t="str">
            <v>Period jitter (1 sigma) at 100 MHz</v>
          </cell>
          <cell r="F368">
            <v>35</v>
          </cell>
          <cell r="G368" t="str">
            <v>pS</v>
          </cell>
          <cell r="H368" t="str">
            <v>50 ps at 48 MHz, 35 pS at 100 MHz</v>
          </cell>
          <cell r="I368" t="str">
            <v>FLL_JITTER</v>
          </cell>
          <cell r="L368">
            <v>35</v>
          </cell>
          <cell r="M368" t="str">
            <v>50 ps at 48 MHz, 35 pS at 100 MHz</v>
          </cell>
        </row>
        <row r="369">
          <cell r="A369" t="str">
            <v>SID456</v>
          </cell>
          <cell r="B369" t="str">
            <v>FLL_CURRENT</v>
          </cell>
          <cell r="C369" t="str">
            <v>CCO + Logic current</v>
          </cell>
          <cell r="F369">
            <v>5.5</v>
          </cell>
          <cell r="G369" t="str">
            <v>uA/MHz</v>
          </cell>
          <cell r="I369" t="str">
            <v>FLL_CURRENT</v>
          </cell>
          <cell r="L369">
            <v>5.5</v>
          </cell>
        </row>
        <row r="370">
          <cell r="A370" t="str">
            <v>MHz ECO DC Specification</v>
          </cell>
        </row>
        <row r="371">
          <cell r="A371" t="str">
            <v>SID316</v>
          </cell>
          <cell r="B371" t="str">
            <v>Idd_MHz</v>
          </cell>
          <cell r="C371" t="str">
            <v>Block operating current with Cload up to 18 pF.</v>
          </cell>
          <cell r="E371">
            <v>800</v>
          </cell>
          <cell r="F371">
            <v>1600</v>
          </cell>
          <cell r="G371" t="str">
            <v>µA</v>
          </cell>
          <cell r="H371" t="str">
            <v>Max at 33 MHz. Typ at 16 MHz.</v>
          </cell>
          <cell r="I371" t="str">
            <v>Idd_MHz</v>
          </cell>
          <cell r="K371">
            <v>800</v>
          </cell>
          <cell r="L371">
            <v>1600</v>
          </cell>
          <cell r="M371" t="str">
            <v>Max at 33 MHz. Typ at 16 MHz.</v>
          </cell>
        </row>
        <row r="372">
          <cell r="A372" t="str">
            <v>MHz ECO AC Specification</v>
          </cell>
        </row>
        <row r="373">
          <cell r="A373" t="str">
            <v>SID317</v>
          </cell>
          <cell r="B373" t="str">
            <v>F_MHz</v>
          </cell>
          <cell r="C373" t="str">
            <v>Crystal frequency range</v>
          </cell>
          <cell r="D373">
            <v>4</v>
          </cell>
          <cell r="F373">
            <v>35</v>
          </cell>
          <cell r="G373" t="str">
            <v>MHz</v>
          </cell>
          <cell r="I373" t="str">
            <v>F_MHz</v>
          </cell>
          <cell r="J373">
            <v>4</v>
          </cell>
          <cell r="L373">
            <v>35</v>
          </cell>
        </row>
        <row r="374">
          <cell r="A374" t="str">
            <v>kHz ECO DC Specification</v>
          </cell>
        </row>
        <row r="375">
          <cell r="A375" t="str">
            <v>SID318</v>
          </cell>
          <cell r="B375" t="str">
            <v>Idd_kHz</v>
          </cell>
          <cell r="C375" t="str">
            <v>Block operating current with 32 kHz crystal</v>
          </cell>
          <cell r="E375">
            <v>0.38</v>
          </cell>
          <cell r="F375">
            <v>1</v>
          </cell>
          <cell r="G375" t="str">
            <v>µA</v>
          </cell>
          <cell r="I375" t="str">
            <v>Idd_kHz</v>
          </cell>
          <cell r="K375">
            <v>0.38</v>
          </cell>
          <cell r="L375">
            <v>1</v>
          </cell>
        </row>
        <row r="376">
          <cell r="A376" t="str">
            <v>SID321E</v>
          </cell>
          <cell r="B376" t="str">
            <v>ESR32K</v>
          </cell>
          <cell r="C376" t="str">
            <v>Equivalent Series Resistance</v>
          </cell>
          <cell r="E376">
            <v>80</v>
          </cell>
          <cell r="G376" t="str">
            <v>kΩ</v>
          </cell>
          <cell r="I376" t="str">
            <v>ESR32K</v>
          </cell>
          <cell r="K376">
            <v>80</v>
          </cell>
        </row>
        <row r="377">
          <cell r="A377" t="str">
            <v>SID322E</v>
          </cell>
          <cell r="B377" t="str">
            <v>PD32K</v>
          </cell>
          <cell r="C377" t="str">
            <v>Drive Level</v>
          </cell>
          <cell r="F377">
            <v>1</v>
          </cell>
          <cell r="G377" t="str">
            <v>µW</v>
          </cell>
          <cell r="I377" t="str">
            <v>PD32K</v>
          </cell>
          <cell r="L377">
            <v>1</v>
          </cell>
        </row>
        <row r="378">
          <cell r="A378" t="str">
            <v>kHz ECO AC Specification</v>
          </cell>
        </row>
        <row r="379">
          <cell r="A379" t="str">
            <v>SID319</v>
          </cell>
          <cell r="B379" t="str">
            <v>F_kHz</v>
          </cell>
          <cell r="C379" t="str">
            <v>32 KHz trimmed frequency</v>
          </cell>
          <cell r="E379">
            <v>32.768000000000001</v>
          </cell>
          <cell r="G379" t="str">
            <v>KHz</v>
          </cell>
          <cell r="I379" t="str">
            <v>F_kHz</v>
          </cell>
          <cell r="K379">
            <v>32.768000000000001</v>
          </cell>
        </row>
        <row r="380">
          <cell r="A380" t="str">
            <v>SID320K</v>
          </cell>
          <cell r="B380" t="str">
            <v>Ton_kHz</v>
          </cell>
          <cell r="C380" t="str">
            <v>Startup time</v>
          </cell>
          <cell r="F380">
            <v>1000</v>
          </cell>
          <cell r="G380" t="str">
            <v>ms</v>
          </cell>
          <cell r="I380" t="str">
            <v>Ton_kHz</v>
          </cell>
          <cell r="L380">
            <v>1000</v>
          </cell>
        </row>
        <row r="381">
          <cell r="A381" t="str">
            <v>SID320E</v>
          </cell>
          <cell r="B381" t="str">
            <v>FTOL32K</v>
          </cell>
          <cell r="C381" t="str">
            <v xml:space="preserve">Frequency tolerance </v>
          </cell>
          <cell r="E381">
            <v>50</v>
          </cell>
          <cell r="F381">
            <v>250</v>
          </cell>
          <cell r="G381" t="str">
            <v>ppm</v>
          </cell>
          <cell r="H381" t="str">
            <v>May be calibrated to sub-10 ppm levels</v>
          </cell>
          <cell r="I381" t="str">
            <v>FTOL32K</v>
          </cell>
          <cell r="K381">
            <v>50</v>
          </cell>
          <cell r="L381">
            <v>250</v>
          </cell>
          <cell r="M381" t="str">
            <v>May be calibrated to sub-10 ppm levels</v>
          </cell>
        </row>
        <row r="382">
          <cell r="A382" t="str">
            <v>External Clock Specifications</v>
          </cell>
        </row>
        <row r="383">
          <cell r="A383" t="str">
            <v>SID305</v>
          </cell>
          <cell r="B383" t="str">
            <v>EXTCLKFREQ</v>
          </cell>
          <cell r="C383" t="str">
            <v>External Clock input Frequency</v>
          </cell>
          <cell r="D383">
            <v>0</v>
          </cell>
          <cell r="E383" t="str">
            <v xml:space="preserve">- </v>
          </cell>
          <cell r="F383">
            <v>100</v>
          </cell>
          <cell r="G383" t="str">
            <v>MHz</v>
          </cell>
          <cell r="H383" t="str">
            <v>Min. 200 kHz for 32 kHz clock operation</v>
          </cell>
          <cell r="I383" t="str">
            <v>EXTCLKFREQ</v>
          </cell>
          <cell r="J383">
            <v>0</v>
          </cell>
          <cell r="K383" t="str">
            <v xml:space="preserve">- </v>
          </cell>
          <cell r="L383">
            <v>100</v>
          </cell>
          <cell r="M383" t="str">
            <v>Min. 200 kHz for 32 kHz clock operation</v>
          </cell>
        </row>
        <row r="384">
          <cell r="A384" t="str">
            <v>SID306</v>
          </cell>
          <cell r="B384" t="str">
            <v>EXTCLKDUTY</v>
          </cell>
          <cell r="C384" t="str">
            <v>Duty cycle; Measured at VDD/2</v>
          </cell>
          <cell r="D384">
            <v>45</v>
          </cell>
          <cell r="E384" t="str">
            <v xml:space="preserve">- </v>
          </cell>
          <cell r="F384">
            <v>55</v>
          </cell>
          <cell r="G384" t="str">
            <v>%</v>
          </cell>
          <cell r="I384" t="str">
            <v>EXTCLKDUTY</v>
          </cell>
          <cell r="J384">
            <v>45</v>
          </cell>
          <cell r="K384" t="str">
            <v xml:space="preserve">- </v>
          </cell>
          <cell r="L384">
            <v>55</v>
          </cell>
        </row>
        <row r="385">
          <cell r="A385" t="str">
            <v>PLL Specifications</v>
          </cell>
        </row>
        <row r="386">
          <cell r="A386" t="str">
            <v>SID305P</v>
          </cell>
          <cell r="B386" t="str">
            <v>PLL_LOCK</v>
          </cell>
          <cell r="C386" t="str">
            <v>Time to achieve PLL Lock</v>
          </cell>
          <cell r="E386">
            <v>16</v>
          </cell>
          <cell r="F386">
            <v>35</v>
          </cell>
          <cell r="G386" t="str">
            <v>µS</v>
          </cell>
          <cell r="I386" t="str">
            <v>PLL_LOCK</v>
          </cell>
          <cell r="K386">
            <v>16</v>
          </cell>
          <cell r="L386">
            <v>35</v>
          </cell>
        </row>
        <row r="387">
          <cell r="A387" t="str">
            <v>SID306P</v>
          </cell>
          <cell r="B387" t="str">
            <v>PLL_OUT</v>
          </cell>
          <cell r="C387" t="str">
            <v>Output frequency from PLL Block</v>
          </cell>
          <cell r="F387">
            <v>150</v>
          </cell>
          <cell r="G387" t="str">
            <v>MHz</v>
          </cell>
          <cell r="I387" t="str">
            <v>PLL_OUT</v>
          </cell>
          <cell r="L387">
            <v>150</v>
          </cell>
        </row>
        <row r="388">
          <cell r="A388" t="str">
            <v>SID307P</v>
          </cell>
          <cell r="B388" t="str">
            <v>PLL_IDD</v>
          </cell>
          <cell r="C388" t="str">
            <v>PLL Current</v>
          </cell>
          <cell r="E388">
            <v>0.55000000000000004</v>
          </cell>
          <cell r="F388">
            <v>1.1000000000000001</v>
          </cell>
          <cell r="G388" t="str">
            <v>mA</v>
          </cell>
          <cell r="H388" t="str">
            <v>Typ. At 100 MHz out.</v>
          </cell>
          <cell r="I388" t="str">
            <v>PLL_IDD</v>
          </cell>
          <cell r="K388">
            <v>0.55000000000000004</v>
          </cell>
          <cell r="L388">
            <v>1.1000000000000001</v>
          </cell>
          <cell r="M388" t="str">
            <v>Typ. At 100 MHz out.</v>
          </cell>
        </row>
        <row r="389">
          <cell r="A389" t="str">
            <v>SID308P</v>
          </cell>
          <cell r="B389" t="str">
            <v>PLL_JTR</v>
          </cell>
          <cell r="C389" t="str">
            <v>Period jitter</v>
          </cell>
          <cell r="F389">
            <v>150</v>
          </cell>
          <cell r="G389" t="str">
            <v>pS</v>
          </cell>
          <cell r="H389" t="str">
            <v>100 MHz output frequency</v>
          </cell>
          <cell r="I389" t="str">
            <v>PLL_JTR</v>
          </cell>
          <cell r="L389">
            <v>150</v>
          </cell>
          <cell r="M389" t="str">
            <v>100 MHz output frequency</v>
          </cell>
        </row>
        <row r="390">
          <cell r="A390" t="str">
            <v>Clock Source Switching Time</v>
          </cell>
        </row>
        <row r="391">
          <cell r="A391" t="str">
            <v>SID262</v>
          </cell>
          <cell r="B391" t="str">
            <v>TCLKSWITCH</v>
          </cell>
          <cell r="C391" t="str">
            <v>Clock switching from clk1 to clk2 in clock periods</v>
          </cell>
          <cell r="D391" t="str">
            <v xml:space="preserve">- </v>
          </cell>
          <cell r="E391" t="str">
            <v xml:space="preserve">- </v>
          </cell>
          <cell r="F391" t="str">
            <v>4 clk1 + 3 clk2</v>
          </cell>
          <cell r="G391" t="str">
            <v>periods</v>
          </cell>
          <cell r="I391" t="str">
            <v>TCLKSWITCH</v>
          </cell>
          <cell r="J391" t="str">
            <v xml:space="preserve">- </v>
          </cell>
          <cell r="K391" t="str">
            <v xml:space="preserve">- </v>
          </cell>
          <cell r="L391" t="str">
            <v>4 clk1 + 3 clk2</v>
          </cell>
        </row>
        <row r="392">
          <cell r="A392" t="str">
            <v>Table 20. USB Block Specifications</v>
          </cell>
        </row>
        <row r="393">
          <cell r="A393" t="str">
            <v>SID322U</v>
          </cell>
          <cell r="B393" t="str">
            <v>Vusb_3.3</v>
          </cell>
          <cell r="C393" t="str">
            <v>Device supply for USB operation</v>
          </cell>
          <cell r="D393">
            <v>3.15</v>
          </cell>
          <cell r="E393" t="str">
            <v xml:space="preserve">- </v>
          </cell>
          <cell r="F393">
            <v>3.6</v>
          </cell>
          <cell r="G393" t="str">
            <v>V</v>
          </cell>
          <cell r="H393" t="str">
            <v>USB Configured, USB Reg. bypassed</v>
          </cell>
          <cell r="I393" t="str">
            <v>Vusb_3.3</v>
          </cell>
          <cell r="J393">
            <v>3.15</v>
          </cell>
          <cell r="K393" t="str">
            <v xml:space="preserve">- </v>
          </cell>
          <cell r="L393">
            <v>3.6</v>
          </cell>
          <cell r="M393" t="str">
            <v>USB Configured, USB Reg. bypassed</v>
          </cell>
        </row>
        <row r="394">
          <cell r="A394" t="str">
            <v>SID323U</v>
          </cell>
          <cell r="B394" t="str">
            <v>Vusb_3.3</v>
          </cell>
          <cell r="C394" t="str">
            <v>Device supply for USB operation (Functional operation only)</v>
          </cell>
          <cell r="D394">
            <v>2.85</v>
          </cell>
          <cell r="E394" t="str">
            <v xml:space="preserve">- </v>
          </cell>
          <cell r="F394">
            <v>3.6</v>
          </cell>
          <cell r="G394" t="str">
            <v>V</v>
          </cell>
          <cell r="H394" t="str">
            <v>USB Configured, USB Reg. bypassed</v>
          </cell>
          <cell r="I394" t="str">
            <v>Vusb_3.3</v>
          </cell>
          <cell r="J394">
            <v>2.85</v>
          </cell>
          <cell r="K394" t="str">
            <v xml:space="preserve">- </v>
          </cell>
          <cell r="L394">
            <v>3.6</v>
          </cell>
          <cell r="M394" t="str">
            <v>USB Configured, USB Reg. bypassed</v>
          </cell>
        </row>
        <row r="395">
          <cell r="A395" t="str">
            <v>SID325U</v>
          </cell>
          <cell r="B395" t="str">
            <v>Iusb_config</v>
          </cell>
          <cell r="C395" t="str">
            <v>Device supply current in Active mode</v>
          </cell>
          <cell r="E395">
            <v>8</v>
          </cell>
          <cell r="G395" t="str">
            <v>mA</v>
          </cell>
          <cell r="H395" t="str">
            <v>VDDD = 3.3V</v>
          </cell>
          <cell r="I395" t="str">
            <v>Iusb_config</v>
          </cell>
          <cell r="K395">
            <v>8</v>
          </cell>
          <cell r="M395" t="str">
            <v>VDDD = 3.3V</v>
          </cell>
        </row>
        <row r="396">
          <cell r="A396" t="str">
            <v>SID328</v>
          </cell>
          <cell r="B396" t="str">
            <v>Isub_suspend</v>
          </cell>
          <cell r="C396" t="str">
            <v>Device supply current in Sleep mode</v>
          </cell>
          <cell r="E396">
            <v>0.5</v>
          </cell>
          <cell r="G396" t="str">
            <v>mA</v>
          </cell>
          <cell r="H396" t="str">
            <v>VDDD = 3.3V, PICU wakep</v>
          </cell>
          <cell r="I396" t="str">
            <v>Isub_suspend</v>
          </cell>
          <cell r="K396">
            <v>0.5</v>
          </cell>
          <cell r="M396" t="str">
            <v>VDDD = 3.3V, PICU wakep</v>
          </cell>
        </row>
        <row r="397">
          <cell r="A397" t="str">
            <v>SID329</v>
          </cell>
          <cell r="B397" t="str">
            <v>Isub_suspend</v>
          </cell>
          <cell r="C397" t="str">
            <v>Device supply current in Sleep mode</v>
          </cell>
          <cell r="E397">
            <v>0.3</v>
          </cell>
          <cell r="G397" t="str">
            <v>mA</v>
          </cell>
          <cell r="H397" t="str">
            <v>VDDD = 3.3V, Device disconnected</v>
          </cell>
          <cell r="I397" t="str">
            <v>Isub_suspend</v>
          </cell>
          <cell r="K397">
            <v>0.3</v>
          </cell>
          <cell r="M397" t="str">
            <v>VDDD = 3.3V, Device disconnected</v>
          </cell>
        </row>
        <row r="398">
          <cell r="A398" t="str">
            <v>SID330U</v>
          </cell>
          <cell r="B398" t="str">
            <v>USB_Drive_Res</v>
          </cell>
          <cell r="C398" t="str">
            <v>USB driver impedance</v>
          </cell>
          <cell r="D398">
            <v>28</v>
          </cell>
          <cell r="F398">
            <v>44</v>
          </cell>
          <cell r="G398" t="str">
            <v>Ω</v>
          </cell>
          <cell r="H398" t="str">
            <v>Series resistors are on chip</v>
          </cell>
          <cell r="I398" t="str">
            <v>USB_Drive_Res</v>
          </cell>
          <cell r="J398">
            <v>28</v>
          </cell>
          <cell r="L398">
            <v>44</v>
          </cell>
          <cell r="M398" t="str">
            <v>Series resistors are on chip</v>
          </cell>
        </row>
        <row r="399">
          <cell r="A399" t="str">
            <v>SID332U</v>
          </cell>
          <cell r="B399" t="str">
            <v>USB_Pullup_Idle</v>
          </cell>
          <cell r="C399" t="str">
            <v>Idle mode range</v>
          </cell>
          <cell r="D399">
            <v>900</v>
          </cell>
          <cell r="F399">
            <v>1575</v>
          </cell>
          <cell r="G399" t="str">
            <v>Ω</v>
          </cell>
          <cell r="H399" t="str">
            <v>Bus idle</v>
          </cell>
          <cell r="I399" t="str">
            <v>USB_Pullup_Idle</v>
          </cell>
          <cell r="J399">
            <v>900</v>
          </cell>
          <cell r="L399">
            <v>1575</v>
          </cell>
          <cell r="M399" t="str">
            <v>Bus idle</v>
          </cell>
        </row>
        <row r="400">
          <cell r="A400" t="str">
            <v>SID333U</v>
          </cell>
          <cell r="B400" t="str">
            <v>USB_Pullup</v>
          </cell>
          <cell r="C400" t="str">
            <v>Active mode</v>
          </cell>
          <cell r="D400">
            <v>1425</v>
          </cell>
          <cell r="F400">
            <v>3090</v>
          </cell>
          <cell r="G400" t="str">
            <v>Ω</v>
          </cell>
          <cell r="H400" t="str">
            <v>Upstream device transmitting</v>
          </cell>
          <cell r="I400" t="str">
            <v>USB_Pullup</v>
          </cell>
          <cell r="J400">
            <v>1425</v>
          </cell>
          <cell r="L400">
            <v>3090</v>
          </cell>
          <cell r="M400" t="str">
            <v>Upstream device transmitting</v>
          </cell>
        </row>
        <row r="401">
          <cell r="A401" t="str">
            <v>Table 21. SMIF QSPI Specifications. All specs with 15 pF Load.</v>
          </cell>
        </row>
        <row r="402">
          <cell r="A402" t="str">
            <v>SID390Q</v>
          </cell>
          <cell r="B402" t="str">
            <v>Fsmifclock</v>
          </cell>
          <cell r="C402" t="str">
            <v>SMIF QSPI output clock frequency</v>
          </cell>
          <cell r="D402" t="str">
            <v xml:space="preserve">- </v>
          </cell>
          <cell r="E402" t="str">
            <v xml:space="preserve">- </v>
          </cell>
          <cell r="F402">
            <v>80</v>
          </cell>
          <cell r="G402" t="str">
            <v>MHz</v>
          </cell>
          <cell r="H402" t="str">
            <v>LP mode (1.1V)</v>
          </cell>
          <cell r="I402" t="str">
            <v>Fsmifclock</v>
          </cell>
          <cell r="J402" t="str">
            <v xml:space="preserve">- </v>
          </cell>
          <cell r="K402" t="str">
            <v xml:space="preserve">- </v>
          </cell>
          <cell r="L402">
            <v>80</v>
          </cell>
          <cell r="M402" t="str">
            <v>LP mode (1.1V)</v>
          </cell>
        </row>
        <row r="403">
          <cell r="A403" t="str">
            <v>SID390QU</v>
          </cell>
          <cell r="B403" t="str">
            <v>Fsmifclocku</v>
          </cell>
          <cell r="C403" t="str">
            <v>SMIF QSPI output clock frequency</v>
          </cell>
          <cell r="D403" t="str">
            <v xml:space="preserve">- </v>
          </cell>
          <cell r="E403" t="str">
            <v xml:space="preserve">- </v>
          </cell>
          <cell r="F403">
            <v>50</v>
          </cell>
          <cell r="G403" t="str">
            <v>MHz</v>
          </cell>
          <cell r="H403" t="str">
            <v>ULP mode (0.9V)</v>
          </cell>
          <cell r="I403" t="str">
            <v>Fsmifclocku</v>
          </cell>
          <cell r="J403" t="str">
            <v xml:space="preserve">- </v>
          </cell>
          <cell r="K403" t="str">
            <v xml:space="preserve">- </v>
          </cell>
          <cell r="L403">
            <v>50</v>
          </cell>
          <cell r="M403" t="str">
            <v>ULP mode (0.9V)</v>
          </cell>
        </row>
        <row r="404">
          <cell r="A404" t="str">
            <v>SID397Q</v>
          </cell>
          <cell r="B404" t="str">
            <v>Idd_qspi</v>
          </cell>
          <cell r="C404" t="str">
            <v>Block current in LP mode (1.1V)</v>
          </cell>
          <cell r="F404">
            <v>1900</v>
          </cell>
          <cell r="G404" t="str">
            <v>µA</v>
          </cell>
          <cell r="H404" t="str">
            <v>LP mode (1.1V)</v>
          </cell>
          <cell r="I404" t="str">
            <v>Idd_qspi</v>
          </cell>
          <cell r="L404">
            <v>1900</v>
          </cell>
          <cell r="M404" t="str">
            <v>LP mode (1.1V)</v>
          </cell>
        </row>
        <row r="405">
          <cell r="A405" t="str">
            <v>SID398Q</v>
          </cell>
          <cell r="B405" t="str">
            <v>Idd_qspi_u</v>
          </cell>
          <cell r="C405" t="str">
            <v>Block current in ULP mode (0.9V)</v>
          </cell>
          <cell r="F405">
            <v>590</v>
          </cell>
          <cell r="G405" t="str">
            <v>µA</v>
          </cell>
          <cell r="H405" t="str">
            <v>ULP mode (0.9V)</v>
          </cell>
          <cell r="I405" t="str">
            <v>Idd_qspi_u</v>
          </cell>
          <cell r="L405">
            <v>590</v>
          </cell>
          <cell r="M405" t="str">
            <v>ULP mode (0.9V)</v>
          </cell>
        </row>
        <row r="406">
          <cell r="A406" t="str">
            <v>SID391Q</v>
          </cell>
          <cell r="B406" t="str">
            <v>Tsetup</v>
          </cell>
          <cell r="C406" t="str">
            <v>Input data set-up time with respect to clock capturing edge</v>
          </cell>
          <cell r="D406">
            <v>4.5</v>
          </cell>
          <cell r="E406" t="str">
            <v xml:space="preserve">- </v>
          </cell>
          <cell r="F406" t="str">
            <v xml:space="preserve">- </v>
          </cell>
          <cell r="G406" t="str">
            <v>ns</v>
          </cell>
          <cell r="I406" t="str">
            <v>Tsetup</v>
          </cell>
          <cell r="J406">
            <v>4.5</v>
          </cell>
          <cell r="K406" t="str">
            <v xml:space="preserve">- </v>
          </cell>
          <cell r="L406" t="str">
            <v xml:space="preserve">- </v>
          </cell>
        </row>
        <row r="407">
          <cell r="A407" t="str">
            <v>SID392Q</v>
          </cell>
          <cell r="B407" t="str">
            <v>Tdatahold</v>
          </cell>
          <cell r="C407" t="str">
            <v>Input data hold time with respect to clock capturing edge</v>
          </cell>
          <cell r="D407">
            <v>0</v>
          </cell>
          <cell r="E407" t="str">
            <v xml:space="preserve">- </v>
          </cell>
          <cell r="F407" t="str">
            <v xml:space="preserve">- </v>
          </cell>
          <cell r="G407" t="str">
            <v>ns</v>
          </cell>
          <cell r="I407" t="str">
            <v>Tdatahold</v>
          </cell>
          <cell r="J407">
            <v>0</v>
          </cell>
          <cell r="K407" t="str">
            <v xml:space="preserve">- </v>
          </cell>
          <cell r="L407" t="str">
            <v xml:space="preserve">- </v>
          </cell>
        </row>
        <row r="408">
          <cell r="A408" t="str">
            <v>SID393Q</v>
          </cell>
          <cell r="B408" t="str">
            <v>Tdataoutvalid</v>
          </cell>
          <cell r="C408" t="str">
            <v>Output data valid time with respect to clock falling edge</v>
          </cell>
          <cell r="D408" t="str">
            <v xml:space="preserve">- </v>
          </cell>
          <cell r="E408" t="str">
            <v xml:space="preserve">- </v>
          </cell>
          <cell r="F408">
            <v>3.7</v>
          </cell>
          <cell r="G408" t="str">
            <v>ns</v>
          </cell>
          <cell r="I408" t="str">
            <v>Tdataoutvalid</v>
          </cell>
          <cell r="J408" t="str">
            <v xml:space="preserve">- </v>
          </cell>
          <cell r="K408" t="str">
            <v xml:space="preserve">- </v>
          </cell>
          <cell r="L408">
            <v>3.7</v>
          </cell>
        </row>
        <row r="409">
          <cell r="A409" t="str">
            <v>SID394Q</v>
          </cell>
          <cell r="B409" t="str">
            <v>Tholdtime</v>
          </cell>
          <cell r="C409" t="str">
            <v>Output data hold time with respect to clock rising edge</v>
          </cell>
          <cell r="D409">
            <v>3</v>
          </cell>
          <cell r="E409" t="str">
            <v xml:space="preserve">- </v>
          </cell>
          <cell r="F409" t="str">
            <v xml:space="preserve">- </v>
          </cell>
          <cell r="G409" t="str">
            <v>ns</v>
          </cell>
          <cell r="I409" t="str">
            <v>Tholdtime</v>
          </cell>
          <cell r="J409">
            <v>3</v>
          </cell>
          <cell r="K409" t="str">
            <v xml:space="preserve">- </v>
          </cell>
          <cell r="L409" t="str">
            <v xml:space="preserve">- </v>
          </cell>
        </row>
        <row r="410">
          <cell r="A410" t="str">
            <v>SID395Q</v>
          </cell>
          <cell r="B410" t="str">
            <v>Tseloutvalid</v>
          </cell>
          <cell r="C410" t="str">
            <v>Output Select valid time with respect to clock rising edge</v>
          </cell>
          <cell r="D410" t="str">
            <v xml:space="preserve">- </v>
          </cell>
          <cell r="E410" t="str">
            <v>-</v>
          </cell>
          <cell r="F410">
            <v>7.5</v>
          </cell>
          <cell r="G410" t="str">
            <v>ns</v>
          </cell>
          <cell r="I410" t="str">
            <v>Tseloutvalid</v>
          </cell>
          <cell r="J410" t="str">
            <v xml:space="preserve">- </v>
          </cell>
          <cell r="K410" t="str">
            <v>-</v>
          </cell>
          <cell r="L410">
            <v>7.5</v>
          </cell>
        </row>
        <row r="411">
          <cell r="A411" t="str">
            <v>SID396Q</v>
          </cell>
          <cell r="B411" t="str">
            <v>Tselouthold</v>
          </cell>
          <cell r="C411" t="str">
            <v>Output Select hold time with respect to clock rising edge</v>
          </cell>
          <cell r="D411" t="str">
            <v>Tsclk</v>
          </cell>
          <cell r="E411" t="str">
            <v xml:space="preserve">- </v>
          </cell>
          <cell r="F411" t="str">
            <v xml:space="preserve">- </v>
          </cell>
          <cell r="G411" t="str">
            <v>ns</v>
          </cell>
          <cell r="H411" t="str">
            <v>Tsclk = Fsmifclk cycle time</v>
          </cell>
          <cell r="I411" t="str">
            <v>Tselouthold</v>
          </cell>
          <cell r="J411" t="str">
            <v>Tsclk</v>
          </cell>
          <cell r="K411" t="str">
            <v xml:space="preserve">- </v>
          </cell>
          <cell r="L411" t="str">
            <v xml:space="preserve">- </v>
          </cell>
          <cell r="M411" t="str">
            <v>Tsclk = Fsmifclk cycle time</v>
          </cell>
        </row>
        <row r="412">
          <cell r="A412" t="str">
            <v>Table 22. Smart I/O Sub-system specifications</v>
          </cell>
        </row>
        <row r="413">
          <cell r="A413" t="str">
            <v>SID420</v>
          </cell>
          <cell r="B413" t="str">
            <v>SMIO_BYP</v>
          </cell>
          <cell r="C413" t="str">
            <v>Smart I/O Bypass delay</v>
          </cell>
          <cell r="F413">
            <v>2</v>
          </cell>
          <cell r="G413" t="str">
            <v>nS</v>
          </cell>
          <cell r="I413" t="str">
            <v>SMIO_BYP</v>
          </cell>
          <cell r="L413">
            <v>2</v>
          </cell>
        </row>
        <row r="414">
          <cell r="A414" t="str">
            <v>SID421</v>
          </cell>
          <cell r="B414" t="str">
            <v>SMIO_LUT</v>
          </cell>
          <cell r="C414" t="str">
            <v>Smart I/O LUT prop delay</v>
          </cell>
          <cell r="E414" t="str">
            <v>TBD</v>
          </cell>
          <cell r="G414" t="str">
            <v>nS</v>
          </cell>
          <cell r="I414" t="str">
            <v>SMIO_LUT</v>
          </cell>
          <cell r="K414" t="str">
            <v>TBD</v>
          </cell>
        </row>
        <row r="415">
          <cell r="A415" t="str">
            <v>Table 23. JTAG Boundary Scan specifications</v>
          </cell>
        </row>
        <row r="416">
          <cell r="A416" t="str">
            <v>JTAG:</v>
          </cell>
        </row>
        <row r="417">
          <cell r="A417" t="str">
            <v>SID460</v>
          </cell>
          <cell r="B417" t="str">
            <v>TCKLOW</v>
          </cell>
          <cell r="C417" t="str">
            <v>TCK low Mmnimum</v>
          </cell>
          <cell r="D417">
            <v>34</v>
          </cell>
          <cell r="I417" t="str">
            <v>TCKLOW</v>
          </cell>
          <cell r="J417">
            <v>34</v>
          </cell>
        </row>
        <row r="418">
          <cell r="A418" t="str">
            <v>SID461</v>
          </cell>
          <cell r="B418" t="str">
            <v>TCKHIGH</v>
          </cell>
          <cell r="C418" t="str">
            <v>TCK high</v>
          </cell>
          <cell r="D418">
            <v>10</v>
          </cell>
          <cell r="I418" t="str">
            <v>TCKHIGH</v>
          </cell>
          <cell r="J418">
            <v>10</v>
          </cell>
        </row>
        <row r="419">
          <cell r="A419" t="str">
            <v>SID462</v>
          </cell>
          <cell r="B419" t="str">
            <v>TCK_TDO</v>
          </cell>
          <cell r="C419" t="str">
            <v>TDO clock-to-out (max) from falling TCK</v>
          </cell>
          <cell r="F419">
            <v>22</v>
          </cell>
          <cell r="I419" t="str">
            <v>TCK_TDO</v>
          </cell>
          <cell r="L419">
            <v>22</v>
          </cell>
        </row>
        <row r="420">
          <cell r="A420" t="str">
            <v>SID463</v>
          </cell>
          <cell r="B420" t="str">
            <v>TSU_TCK</v>
          </cell>
          <cell r="C420" t="str">
            <v>TDI, TMS Setup time before rising TCK.</v>
          </cell>
          <cell r="D420">
            <v>12</v>
          </cell>
          <cell r="I420" t="str">
            <v>TSU_TCK</v>
          </cell>
          <cell r="J420">
            <v>12</v>
          </cell>
        </row>
        <row r="421">
          <cell r="A421" t="str">
            <v>SID464</v>
          </cell>
          <cell r="B421" t="str">
            <v>TCk_THD</v>
          </cell>
          <cell r="C421" t="str">
            <v>TDI, TMS Hold time after rising TCK.</v>
          </cell>
          <cell r="D421">
            <v>10</v>
          </cell>
          <cell r="I421" t="str">
            <v>TCk_THD</v>
          </cell>
          <cell r="J421">
            <v>10</v>
          </cell>
        </row>
        <row r="422">
          <cell r="A422" t="str">
            <v>SID465</v>
          </cell>
          <cell r="B422" t="str">
            <v>TCK_TDOV</v>
          </cell>
          <cell r="C422" t="str">
            <v>TCK to TDO Data Valid (high-Z to active).</v>
          </cell>
          <cell r="D422">
            <v>22</v>
          </cell>
          <cell r="I422" t="str">
            <v>TCK_TDOV</v>
          </cell>
          <cell r="J422">
            <v>22</v>
          </cell>
        </row>
        <row r="423">
          <cell r="A423" t="str">
            <v>SID466</v>
          </cell>
          <cell r="B423" t="str">
            <v>TCK_TDOZ</v>
          </cell>
          <cell r="C423" t="str">
            <v>TCK to TDO Data Valid (active to high-Z).</v>
          </cell>
          <cell r="D423">
            <v>22</v>
          </cell>
          <cell r="I423" t="str">
            <v>TCK_TDOZ</v>
          </cell>
          <cell r="J423">
            <v>22</v>
          </cell>
        </row>
        <row r="424">
          <cell r="A424" t="str">
            <v>JTAG Boundary Scan Parameters for 1.1V (LP) mode operation:</v>
          </cell>
        </row>
        <row r="425">
          <cell r="A425" t="str">
            <v>SID468</v>
          </cell>
          <cell r="B425" t="str">
            <v>TCKLOW</v>
          </cell>
          <cell r="C425" t="str">
            <v>TCK low</v>
          </cell>
          <cell r="D425">
            <v>52</v>
          </cell>
          <cell r="I425" t="str">
            <v>TCKLOW</v>
          </cell>
          <cell r="J425">
            <v>52</v>
          </cell>
        </row>
        <row r="426">
          <cell r="A426" t="str">
            <v>SID469</v>
          </cell>
          <cell r="B426" t="str">
            <v>TCKHIGH</v>
          </cell>
          <cell r="C426" t="str">
            <v>TCK high</v>
          </cell>
          <cell r="D426">
            <v>10</v>
          </cell>
          <cell r="I426" t="str">
            <v>TCKHIGH</v>
          </cell>
          <cell r="J426">
            <v>10</v>
          </cell>
        </row>
        <row r="427">
          <cell r="A427" t="str">
            <v>SID470</v>
          </cell>
          <cell r="B427" t="str">
            <v>TCK_TDO</v>
          </cell>
          <cell r="C427" t="str">
            <v>TCK falling edge to output valid</v>
          </cell>
          <cell r="F427">
            <v>40</v>
          </cell>
          <cell r="I427" t="str">
            <v>TCK_TDO</v>
          </cell>
          <cell r="L427">
            <v>40</v>
          </cell>
        </row>
        <row r="428">
          <cell r="A428" t="str">
            <v>SID471</v>
          </cell>
          <cell r="B428" t="str">
            <v>TSU_TCK</v>
          </cell>
          <cell r="C428" t="str">
            <v>Input valid to TCK rising edge</v>
          </cell>
          <cell r="D428">
            <v>12</v>
          </cell>
          <cell r="I428" t="str">
            <v>TSU_TCK</v>
          </cell>
          <cell r="J428">
            <v>12</v>
          </cell>
        </row>
        <row r="429">
          <cell r="A429" t="str">
            <v>SID472</v>
          </cell>
          <cell r="B429" t="str">
            <v>TCk_THD</v>
          </cell>
          <cell r="C429" t="str">
            <v>Input hold time to TCK rising edge</v>
          </cell>
          <cell r="D429">
            <v>10</v>
          </cell>
          <cell r="I429" t="str">
            <v>TCk_THD</v>
          </cell>
          <cell r="J429">
            <v>10</v>
          </cell>
        </row>
        <row r="430">
          <cell r="A430" t="str">
            <v>SID473</v>
          </cell>
          <cell r="B430" t="str">
            <v>TCK_TDOV</v>
          </cell>
          <cell r="C430" t="str">
            <v>TCK falling edge to output valid (high-Z to active).</v>
          </cell>
          <cell r="D430">
            <v>40</v>
          </cell>
          <cell r="I430" t="str">
            <v>TCK_TDOV</v>
          </cell>
          <cell r="J430">
            <v>40</v>
          </cell>
        </row>
        <row r="431">
          <cell r="A431" t="str">
            <v>SID474</v>
          </cell>
          <cell r="B431" t="str">
            <v>TCK_TDOZ</v>
          </cell>
          <cell r="C431" t="str">
            <v>TCK falling edge to output valid (active to high-Z ).</v>
          </cell>
          <cell r="D431">
            <v>40</v>
          </cell>
          <cell r="I431" t="str">
            <v>TCK_TDOZ</v>
          </cell>
          <cell r="J431">
            <v>40</v>
          </cell>
        </row>
        <row r="432">
          <cell r="A432" t="str">
            <v>JTAG Boundary Scan Parameters for 0.9V (ULP) mode operation:</v>
          </cell>
        </row>
        <row r="433">
          <cell r="A433" t="str">
            <v>SID468A</v>
          </cell>
          <cell r="B433" t="str">
            <v>TCKLOW</v>
          </cell>
          <cell r="C433" t="str">
            <v>TCK low</v>
          </cell>
          <cell r="D433">
            <v>102</v>
          </cell>
          <cell r="I433" t="str">
            <v>TCKLOW</v>
          </cell>
          <cell r="J433">
            <v>102</v>
          </cell>
        </row>
        <row r="434">
          <cell r="A434" t="str">
            <v>SID469A</v>
          </cell>
          <cell r="B434" t="str">
            <v>TCKHIGH</v>
          </cell>
          <cell r="C434" t="str">
            <v>TCK high</v>
          </cell>
          <cell r="D434">
            <v>20</v>
          </cell>
          <cell r="I434" t="str">
            <v>TCKHIGH</v>
          </cell>
          <cell r="J434">
            <v>20</v>
          </cell>
        </row>
        <row r="435">
          <cell r="A435" t="str">
            <v>SID470A</v>
          </cell>
          <cell r="B435" t="str">
            <v>TCK_TDO</v>
          </cell>
          <cell r="C435" t="str">
            <v>TCK falling edge to output valid</v>
          </cell>
          <cell r="F435">
            <v>80</v>
          </cell>
          <cell r="I435" t="str">
            <v>TCK_TDO</v>
          </cell>
          <cell r="L435">
            <v>80</v>
          </cell>
        </row>
        <row r="436">
          <cell r="A436" t="str">
            <v>SID471A</v>
          </cell>
          <cell r="B436" t="str">
            <v>TSU_TCK</v>
          </cell>
          <cell r="C436" t="str">
            <v>Input valid to TCK rising edge</v>
          </cell>
          <cell r="D436">
            <v>22</v>
          </cell>
          <cell r="I436" t="str">
            <v>TSU_TCK</v>
          </cell>
          <cell r="J436">
            <v>22</v>
          </cell>
        </row>
        <row r="437">
          <cell r="A437" t="str">
            <v>SID472A</v>
          </cell>
          <cell r="B437" t="str">
            <v>TCk_THD</v>
          </cell>
          <cell r="C437" t="str">
            <v>Input hold time to TCK rising edge</v>
          </cell>
          <cell r="D437">
            <v>20</v>
          </cell>
          <cell r="I437" t="str">
            <v>TCk_THD</v>
          </cell>
          <cell r="J437">
            <v>20</v>
          </cell>
        </row>
        <row r="438">
          <cell r="A438" t="str">
            <v>SID473A</v>
          </cell>
          <cell r="B438" t="str">
            <v>TCK_TDOV</v>
          </cell>
          <cell r="C438" t="str">
            <v>TCK falling edge to output valid (high-Z to active).</v>
          </cell>
          <cell r="D438">
            <v>80</v>
          </cell>
          <cell r="I438" t="str">
            <v>TCK_TDOV</v>
          </cell>
          <cell r="J438">
            <v>80</v>
          </cell>
        </row>
        <row r="439">
          <cell r="A439" t="str">
            <v>SID474A</v>
          </cell>
          <cell r="B439" t="str">
            <v>TCK_TDOZ</v>
          </cell>
          <cell r="C439" t="str">
            <v>TCK falling edge to output valid (active to high-Z ).</v>
          </cell>
          <cell r="D439">
            <v>80</v>
          </cell>
          <cell r="I439" t="str">
            <v>TCK_TDOZ</v>
          </cell>
          <cell r="J439">
            <v>80</v>
          </cell>
        </row>
        <row r="440">
          <cell r="A440" t="str">
            <v>Boilerplate Specs</v>
          </cell>
        </row>
        <row r="441">
          <cell r="A441" t="str">
            <v>BID1</v>
          </cell>
          <cell r="B441" t="str">
            <v>TSTG_AMAX</v>
          </cell>
          <cell r="C441" t="str">
            <v>Storage Temperature</v>
          </cell>
          <cell r="D441">
            <v>-55</v>
          </cell>
          <cell r="E441">
            <v>25</v>
          </cell>
          <cell r="F441">
            <v>100</v>
          </cell>
          <cell r="G441" t="str">
            <v>°C</v>
          </cell>
          <cell r="H441" t="str">
            <v>Non-operating temperature without impacting data retention</v>
          </cell>
          <cell r="I441" t="str">
            <v>TSTG_AMAX</v>
          </cell>
          <cell r="J441">
            <v>-55</v>
          </cell>
          <cell r="K441">
            <v>25</v>
          </cell>
          <cell r="L441">
            <v>100</v>
          </cell>
          <cell r="M441" t="str">
            <v>Non-operating temperature without impacting data retention</v>
          </cell>
        </row>
        <row r="442">
          <cell r="A442" t="str">
            <v>BID2</v>
          </cell>
          <cell r="B442" t="str">
            <v>TO</v>
          </cell>
          <cell r="C442" t="str">
            <v>Operating Temperature</v>
          </cell>
          <cell r="D442">
            <v>-40</v>
          </cell>
          <cell r="E442">
            <v>25</v>
          </cell>
          <cell r="F442">
            <v>85</v>
          </cell>
          <cell r="G442" t="str">
            <v>°C</v>
          </cell>
          <cell r="H442" t="str">
            <v>Ambient temp inside system enclosure</v>
          </cell>
          <cell r="I442" t="str">
            <v>TO</v>
          </cell>
          <cell r="J442">
            <v>-40</v>
          </cell>
          <cell r="K442">
            <v>25</v>
          </cell>
          <cell r="L442">
            <v>85</v>
          </cell>
          <cell r="M442" t="str">
            <v>Ambient temp inside system enclosure</v>
          </cell>
        </row>
        <row r="443">
          <cell r="A443" t="str">
            <v>BID8</v>
          </cell>
          <cell r="B443" t="str">
            <v>PRG</v>
          </cell>
          <cell r="C443" t="str">
            <v>Device is programmable</v>
          </cell>
          <cell r="F443" t="str">
            <v>YES</v>
          </cell>
          <cell r="G443" t="str">
            <v>---</v>
          </cell>
          <cell r="I443" t="str">
            <v>PRG</v>
          </cell>
          <cell r="L443" t="str">
            <v>YES</v>
          </cell>
        </row>
        <row r="444">
          <cell r="A444" t="str">
            <v>BID14</v>
          </cell>
          <cell r="B444" t="str">
            <v>TA</v>
          </cell>
          <cell r="C444" t="str">
            <v>Internal System Ambient Temperature</v>
          </cell>
          <cell r="D444">
            <v>-40</v>
          </cell>
          <cell r="F444">
            <v>85</v>
          </cell>
          <cell r="G444" t="str">
            <v>°C</v>
          </cell>
          <cell r="H444" t="str">
            <v>Ambient temp inside system enclosure</v>
          </cell>
          <cell r="I444" t="str">
            <v>TA</v>
          </cell>
          <cell r="J444">
            <v>-40</v>
          </cell>
          <cell r="L444">
            <v>85</v>
          </cell>
          <cell r="M444" t="str">
            <v>Ambient temp inside system enclosure</v>
          </cell>
        </row>
        <row r="445">
          <cell r="A445" t="str">
            <v>BID17</v>
          </cell>
          <cell r="B445" t="str">
            <v>TJ</v>
          </cell>
          <cell r="C445" t="str">
            <v>Junction Temperature</v>
          </cell>
          <cell r="D445">
            <v>-40</v>
          </cell>
          <cell r="F445">
            <v>100</v>
          </cell>
          <cell r="G445" t="str">
            <v>°C</v>
          </cell>
          <cell r="I445" t="str">
            <v>TJ</v>
          </cell>
          <cell r="J445">
            <v>-40</v>
          </cell>
          <cell r="L445">
            <v>100</v>
          </cell>
        </row>
        <row r="446">
          <cell r="A446" t="str">
            <v>BID34B</v>
          </cell>
          <cell r="B446" t="str">
            <v>PKG_5A</v>
          </cell>
          <cell r="C446" t="str">
            <v>Package5: Type</v>
          </cell>
          <cell r="G446" t="str">
            <v>80 WLCSP</v>
          </cell>
          <cell r="I446" t="str">
            <v>PKG_5A</v>
          </cell>
        </row>
        <row r="447">
          <cell r="A447" t="str">
            <v>BID35B</v>
          </cell>
          <cell r="B447" t="str">
            <v>PKG_5Z</v>
          </cell>
          <cell r="C447" t="str">
            <v>Package5: Height</v>
          </cell>
          <cell r="E447">
            <v>0.43</v>
          </cell>
          <cell r="G447" t="str">
            <v>mm</v>
          </cell>
          <cell r="I447" t="str">
            <v>PKG_5Z</v>
          </cell>
          <cell r="K447">
            <v>0.43</v>
          </cell>
        </row>
        <row r="448">
          <cell r="A448" t="str">
            <v>BID36B</v>
          </cell>
          <cell r="B448" t="str">
            <v>PKG_5W</v>
          </cell>
          <cell r="C448" t="str">
            <v>Package5: Width</v>
          </cell>
          <cell r="E448">
            <v>3.2</v>
          </cell>
          <cell r="G448" t="str">
            <v>mm</v>
          </cell>
          <cell r="I448" t="str">
            <v>PKG_5W</v>
          </cell>
          <cell r="K448">
            <v>3.2</v>
          </cell>
        </row>
        <row r="449">
          <cell r="A449" t="str">
            <v>BID37B</v>
          </cell>
          <cell r="B449" t="str">
            <v>PKG_5L</v>
          </cell>
          <cell r="C449" t="str">
            <v>Package5:  Length</v>
          </cell>
          <cell r="E449">
            <v>3.7</v>
          </cell>
          <cell r="G449" t="str">
            <v>mm</v>
          </cell>
          <cell r="I449" t="str">
            <v>PKG_5L</v>
          </cell>
          <cell r="K449">
            <v>3.7</v>
          </cell>
        </row>
        <row r="450">
          <cell r="A450" t="str">
            <v>BID38B</v>
          </cell>
          <cell r="B450" t="str">
            <v>PKG_5PTCH</v>
          </cell>
          <cell r="C450" t="str">
            <v>Package5: Pin / Bump Pitch</v>
          </cell>
          <cell r="E450">
            <v>0.35</v>
          </cell>
          <cell r="G450" t="str">
            <v>mm</v>
          </cell>
          <cell r="I450" t="str">
            <v>PKG_5PTCH</v>
          </cell>
          <cell r="K450">
            <v>0.35</v>
          </cell>
        </row>
        <row r="451">
          <cell r="A451" t="str">
            <v>BID39B</v>
          </cell>
          <cell r="B451" t="str">
            <v>PKG_5CNT</v>
          </cell>
          <cell r="C451" t="str">
            <v>Package5: Total signal Pins</v>
          </cell>
          <cell r="E451">
            <v>80</v>
          </cell>
          <cell r="I451" t="str">
            <v>PKG_5CNT</v>
          </cell>
          <cell r="K451">
            <v>80</v>
          </cell>
        </row>
        <row r="452">
          <cell r="A452" t="str">
            <v>BID40B</v>
          </cell>
          <cell r="B452" t="str">
            <v>PKG_5TJA</v>
          </cell>
          <cell r="C452" t="str">
            <v>Package5: Theta-JA</v>
          </cell>
          <cell r="E452" t="str">
            <v>TBD</v>
          </cell>
          <cell r="G452" t="str">
            <v>°C/W</v>
          </cell>
          <cell r="I452" t="str">
            <v>PKG_5TJA</v>
          </cell>
          <cell r="K452" t="str">
            <v>TBD</v>
          </cell>
        </row>
        <row r="453">
          <cell r="A453" t="str">
            <v>BID34C</v>
          </cell>
          <cell r="B453" t="str">
            <v>PKG_6A</v>
          </cell>
          <cell r="C453" t="str">
            <v>Package6: Type</v>
          </cell>
          <cell r="E453" t="str">
            <v>TBD</v>
          </cell>
          <cell r="G453" t="str">
            <v>56 QFN</v>
          </cell>
          <cell r="I453" t="str">
            <v>PKG_6A</v>
          </cell>
          <cell r="K453" t="str">
            <v>TBD</v>
          </cell>
        </row>
        <row r="454">
          <cell r="A454" t="str">
            <v>BID35C</v>
          </cell>
          <cell r="B454" t="str">
            <v>PKG_6Z</v>
          </cell>
          <cell r="C454" t="str">
            <v>Package6: Height</v>
          </cell>
          <cell r="G454" t="str">
            <v>mm</v>
          </cell>
          <cell r="I454" t="str">
            <v>PKG_6Z</v>
          </cell>
        </row>
        <row r="455">
          <cell r="A455" t="str">
            <v>BID36C</v>
          </cell>
          <cell r="B455" t="str">
            <v>PKG_6W</v>
          </cell>
          <cell r="C455" t="str">
            <v>Package6: Width</v>
          </cell>
          <cell r="G455" t="str">
            <v>mm</v>
          </cell>
          <cell r="I455" t="str">
            <v>PKG_6W</v>
          </cell>
        </row>
        <row r="456">
          <cell r="A456" t="str">
            <v>BID37C</v>
          </cell>
          <cell r="B456" t="str">
            <v>PKG_6L</v>
          </cell>
          <cell r="C456" t="str">
            <v>Package6:  Length</v>
          </cell>
          <cell r="G456" t="str">
            <v>mm</v>
          </cell>
          <cell r="I456" t="str">
            <v>PKG_6L</v>
          </cell>
        </row>
        <row r="457">
          <cell r="A457" t="str">
            <v>BID38C</v>
          </cell>
          <cell r="B457" t="str">
            <v>PKG_6PTCH</v>
          </cell>
          <cell r="C457" t="str">
            <v>Package6: Pin / Bump Pitch</v>
          </cell>
          <cell r="G457" t="str">
            <v>mm</v>
          </cell>
          <cell r="I457" t="str">
            <v>PKG_6PTCH</v>
          </cell>
        </row>
        <row r="458">
          <cell r="A458" t="str">
            <v>BID39C</v>
          </cell>
          <cell r="B458" t="str">
            <v>PKG_6CNT</v>
          </cell>
          <cell r="C458" t="str">
            <v>Package6: Total signal Pins</v>
          </cell>
          <cell r="I458" t="str">
            <v>PKG_6CNT</v>
          </cell>
        </row>
        <row r="459">
          <cell r="A459" t="str">
            <v>BID40C</v>
          </cell>
          <cell r="B459" t="str">
            <v>PKG_6TJA</v>
          </cell>
          <cell r="C459" t="str">
            <v>Package6: Theta-JA</v>
          </cell>
          <cell r="G459" t="str">
            <v>°C/W</v>
          </cell>
          <cell r="I459" t="str">
            <v>PKG_6TJA</v>
          </cell>
        </row>
        <row r="460">
          <cell r="A460" t="str">
            <v>BID46</v>
          </cell>
          <cell r="B460" t="str">
            <v>I_LU</v>
          </cell>
          <cell r="C460" t="str">
            <v>Latch-Up Current limits</v>
          </cell>
          <cell r="D460">
            <v>-100</v>
          </cell>
          <cell r="F460">
            <v>100</v>
          </cell>
          <cell r="G460" t="str">
            <v>mA</v>
          </cell>
          <cell r="H460" t="str">
            <v>Max/min current into any input or output, pin-to-pin, pin-to-supply</v>
          </cell>
          <cell r="I460" t="str">
            <v>I_LU</v>
          </cell>
          <cell r="J460">
            <v>-100</v>
          </cell>
          <cell r="L460">
            <v>100</v>
          </cell>
          <cell r="M460" t="str">
            <v>Max/min current into any input or output, pin-to-pin, pin-to-supply</v>
          </cell>
        </row>
        <row r="461">
          <cell r="A461" t="str">
            <v>BID47</v>
          </cell>
          <cell r="B461" t="str">
            <v>C_IN</v>
          </cell>
          <cell r="C461" t="str">
            <v>I/O Capacitance - Input</v>
          </cell>
          <cell r="F461">
            <v>7</v>
          </cell>
          <cell r="G461" t="str">
            <v>pF</v>
          </cell>
          <cell r="I461" t="str">
            <v>C_IN</v>
          </cell>
          <cell r="L461">
            <v>7</v>
          </cell>
        </row>
        <row r="462">
          <cell r="A462" t="str">
            <v>BID47A</v>
          </cell>
          <cell r="B462" t="str">
            <v>C_OUT</v>
          </cell>
          <cell r="C462" t="str">
            <v>I/O Capacitance - output</v>
          </cell>
          <cell r="F462">
            <v>7</v>
          </cell>
          <cell r="G462" t="str">
            <v>pF</v>
          </cell>
          <cell r="I462" t="str">
            <v>C_OUT</v>
          </cell>
          <cell r="L462">
            <v>7</v>
          </cell>
        </row>
        <row r="463">
          <cell r="A463" t="str">
            <v>BID48</v>
          </cell>
          <cell r="C463" t="str">
            <v>Are there any external active components needed for device operation</v>
          </cell>
          <cell r="F463" t="str">
            <v>NO</v>
          </cell>
          <cell r="G463" t="str">
            <v>---</v>
          </cell>
          <cell r="L463" t="str">
            <v>NO</v>
          </cell>
        </row>
        <row r="464">
          <cell r="A464" t="str">
            <v>BID49</v>
          </cell>
          <cell r="B464" t="str">
            <v>PASSIVES</v>
          </cell>
          <cell r="C464" t="str">
            <v>Are there any external passive components needed for device operation</v>
          </cell>
          <cell r="F464" t="str">
            <v>YES</v>
          </cell>
          <cell r="G464" t="str">
            <v>---</v>
          </cell>
          <cell r="H464" t="str">
            <v>Bypass Capacitors required for power supplies</v>
          </cell>
          <cell r="I464" t="str">
            <v>PASSIVES</v>
          </cell>
          <cell r="L464" t="str">
            <v>YES</v>
          </cell>
          <cell r="M464" t="str">
            <v>Bypass Capacitors required for power supplies</v>
          </cell>
        </row>
        <row r="465">
          <cell r="A465" t="str">
            <v>BID53</v>
          </cell>
          <cell r="B465" t="str">
            <v>PWR_NXRES</v>
          </cell>
          <cell r="C465" t="str">
            <v>Can this part power-up without RESET?</v>
          </cell>
          <cell r="F465" t="str">
            <v>YES</v>
          </cell>
          <cell r="G465" t="str">
            <v>---</v>
          </cell>
          <cell r="I465" t="str">
            <v>PWR_NXRES</v>
          </cell>
          <cell r="L465" t="str">
            <v>YES</v>
          </cell>
        </row>
        <row r="466">
          <cell r="A466" t="str">
            <v>BID54</v>
          </cell>
          <cell r="C466" t="str">
            <v>Is the clock in this device used for UART applications?</v>
          </cell>
          <cell r="F466" t="str">
            <v>YES</v>
          </cell>
          <cell r="G466" t="str">
            <v>---</v>
          </cell>
          <cell r="L466" t="str">
            <v>YES</v>
          </cell>
        </row>
        <row r="467">
          <cell r="A467" t="str">
            <v>BID55</v>
          </cell>
          <cell r="B467" t="str">
            <v>Svdd</v>
          </cell>
          <cell r="C467" t="str">
            <v>Power supply power-on profile edge rate (dv/dt)</v>
          </cell>
          <cell r="F467">
            <v>100</v>
          </cell>
          <cell r="G467" t="str">
            <v>kV/sec</v>
          </cell>
          <cell r="H467" t="str">
            <v>Maximum ramp rate</v>
          </cell>
          <cell r="I467" t="str">
            <v>Svdd</v>
          </cell>
          <cell r="L467">
            <v>100</v>
          </cell>
          <cell r="M467" t="str">
            <v>Maximum ramp rate</v>
          </cell>
        </row>
        <row r="468">
          <cell r="A468" t="str">
            <v>BID56</v>
          </cell>
          <cell r="C468" t="str">
            <v>Are there any limitations for Power Supply application orders?</v>
          </cell>
          <cell r="F468" t="str">
            <v>NO</v>
          </cell>
          <cell r="G468" t="str">
            <v>---</v>
          </cell>
          <cell r="H468" t="str">
            <v>Analysis to be completed</v>
          </cell>
          <cell r="L468" t="str">
            <v>NO</v>
          </cell>
          <cell r="M468" t="str">
            <v>Analysis to be completed</v>
          </cell>
        </row>
        <row r="469">
          <cell r="A469" t="str">
            <v>BID62</v>
          </cell>
          <cell r="B469" t="str">
            <v>PWR_DOM</v>
          </cell>
          <cell r="C469" t="str">
            <v>Number of Power Domains   (External perspective)</v>
          </cell>
          <cell r="F469">
            <v>7</v>
          </cell>
          <cell r="G469" t="str">
            <v>(Number)</v>
          </cell>
          <cell r="I469" t="str">
            <v>PWR_DOM</v>
          </cell>
          <cell r="L469">
            <v>7</v>
          </cell>
        </row>
        <row r="470">
          <cell r="A470" t="str">
            <v>BID61</v>
          </cell>
          <cell r="B470" t="str">
            <v>ISSP_INIT4</v>
          </cell>
          <cell r="C470" t="str">
            <v>Are there any requirements for Initialization behavior?</v>
          </cell>
          <cell r="F470" t="str">
            <v>YES</v>
          </cell>
          <cell r="G470" t="str">
            <v>---</v>
          </cell>
          <cell r="H470" t="str">
            <v>GPIO must go to Hi-Z state during POR initialization</v>
          </cell>
          <cell r="I470" t="str">
            <v>ISSP_INIT4</v>
          </cell>
          <cell r="L470" t="str">
            <v>YES</v>
          </cell>
          <cell r="M470" t="str">
            <v>GPIO must go to Hi-Z state during POR initialization</v>
          </cell>
        </row>
        <row r="471">
          <cell r="A471" t="str">
            <v>BID63</v>
          </cell>
          <cell r="C471" t="str">
            <v>Are there any circuits under the Power Supply that do not have a POR?</v>
          </cell>
          <cell r="G471" t="str">
            <v>No</v>
          </cell>
        </row>
        <row r="472">
          <cell r="A472" t="str">
            <v>BID65</v>
          </cell>
          <cell r="C472" t="str">
            <v>Does the product need to pass this USB Compliance Test (Windows Compliance)?</v>
          </cell>
          <cell r="D472" t="str">
            <v>Yes</v>
          </cell>
          <cell r="G472" t="str">
            <v>---</v>
          </cell>
          <cell r="H472" t="str">
            <v>Yes. USB Certification is done on Windows Host</v>
          </cell>
          <cell r="J472" t="str">
            <v>Yes</v>
          </cell>
          <cell r="M472" t="str">
            <v>Yes. USB Certification is done on Windows Host</v>
          </cell>
        </row>
        <row r="473">
          <cell r="A473" t="str">
            <v>BID66</v>
          </cell>
          <cell r="C473" t="str">
            <v>Does the product need to pass this USB Compliance Test (Mac Compatibility)?</v>
          </cell>
          <cell r="D473" t="str">
            <v>Yes</v>
          </cell>
          <cell r="G473" t="str">
            <v>---</v>
          </cell>
          <cell r="J473" t="str">
            <v>Yes</v>
          </cell>
        </row>
        <row r="474">
          <cell r="A474" t="str">
            <v>BID67</v>
          </cell>
          <cell r="C474" t="str">
            <v>Does the product need to pass this USB Compliance Test: (Chapter 8 Compliance – improving compliance with USB protocol layer)?</v>
          </cell>
          <cell r="D474" t="str">
            <v>Yes</v>
          </cell>
          <cell r="G474" t="str">
            <v>---</v>
          </cell>
          <cell r="H474" t="str">
            <v>Pass all</v>
          </cell>
          <cell r="J474" t="str">
            <v>Yes</v>
          </cell>
          <cell r="M474" t="str">
            <v>Pass all</v>
          </cell>
        </row>
        <row r="475">
          <cell r="A475" t="str">
            <v>BID68</v>
          </cell>
          <cell r="C475" t="str">
            <v>Does the product need to pass this USB Compliance Test: USB (USB Command Verifier, Chapter 9 compliance. [USB-CV, Chapter 9])?</v>
          </cell>
          <cell r="D475" t="str">
            <v>Yes</v>
          </cell>
          <cell r="G475" t="str">
            <v>---</v>
          </cell>
          <cell r="H475" t="str">
            <v>Pass all</v>
          </cell>
          <cell r="J475" t="str">
            <v>Yes</v>
          </cell>
          <cell r="M475" t="str">
            <v>Pass all</v>
          </cell>
        </row>
        <row r="476">
          <cell r="A476" t="str">
            <v>BID69</v>
          </cell>
          <cell r="C476" t="str">
            <v>Does the product need to pass this USB Compliance Test: (USB-CV, HID)?</v>
          </cell>
          <cell r="D476" t="str">
            <v>Yes</v>
          </cell>
          <cell r="G476" t="str">
            <v>---</v>
          </cell>
          <cell r="H476" t="str">
            <v>Pass all</v>
          </cell>
          <cell r="J476" t="str">
            <v>Yes</v>
          </cell>
          <cell r="M476" t="str">
            <v>Pass all</v>
          </cell>
        </row>
        <row r="477">
          <cell r="A477" t="str">
            <v>BID64</v>
          </cell>
          <cell r="B477" t="str">
            <v>SER</v>
          </cell>
          <cell r="C477" t="str">
            <v>Is the part either a SRAM or have embedded SRAM blocks?</v>
          </cell>
          <cell r="F477">
            <v>1000</v>
          </cell>
          <cell r="G477" t="str">
            <v>FITs/Mb</v>
          </cell>
          <cell r="H477" t="str">
            <v>As per Cypress Spec 25-00055</v>
          </cell>
          <cell r="I477" t="str">
            <v>SER</v>
          </cell>
          <cell r="L477">
            <v>1000</v>
          </cell>
          <cell r="M477" t="str">
            <v>As per Cypress Spec 25-00055</v>
          </cell>
        </row>
      </sheetData>
      <sheetData sheetId="5" refreshError="1"/>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1.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3.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vmlDrawing" Target="../drawings/vmlDrawing2.v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4"/>
  <sheetViews>
    <sheetView workbookViewId="0">
      <selection activeCell="C4" sqref="C4"/>
    </sheetView>
  </sheetViews>
  <sheetFormatPr defaultColWidth="9.36328125" defaultRowHeight="14" x14ac:dyDescent="0.3"/>
  <cols>
    <col min="1" max="1" width="21" style="14" bestFit="1" customWidth="1"/>
    <col min="2" max="2" width="14.36328125" style="14" customWidth="1"/>
    <col min="3" max="16384" width="9.36328125" style="14"/>
  </cols>
  <sheetData>
    <row r="1" spans="1:2" x14ac:dyDescent="0.3">
      <c r="A1" s="16" t="s">
        <v>432</v>
      </c>
    </row>
    <row r="3" spans="1:2" x14ac:dyDescent="0.3">
      <c r="A3" s="14" t="s">
        <v>433</v>
      </c>
      <c r="B3" s="85" t="s">
        <v>1887</v>
      </c>
    </row>
    <row r="4" spans="1:2" x14ac:dyDescent="0.3">
      <c r="A4" s="14" t="s">
        <v>434</v>
      </c>
      <c r="B4" s="95" t="s">
        <v>1888</v>
      </c>
    </row>
  </sheetData>
  <customSheetViews>
    <customSheetView guid="{00D35A15-206C-4C0C-8347-C5B4FB706EF6}" showPageBreaks="1">
      <selection activeCell="B4" sqref="B4"/>
      <pageMargins left="0.7" right="0.7" top="0.75" bottom="0.75" header="0.3" footer="0.3"/>
      <pageSetup orientation="portrait" r:id="rId1"/>
    </customSheetView>
  </customSheetViews>
  <phoneticPr fontId="0" type="noConversion"/>
  <pageMargins left="0.7" right="0.7" top="0.75" bottom="0.75" header="0.3" footer="0.3"/>
  <pageSetup orientation="portrait" r:id="rId2"/>
  <customProperties>
    <customPr name="DVSECTIONID" r:id="rId3"/>
  </customPropertie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U52"/>
  <sheetViews>
    <sheetView topLeftCell="A35" zoomScaleNormal="85" workbookViewId="0">
      <selection activeCell="E25" sqref="E25"/>
    </sheetView>
  </sheetViews>
  <sheetFormatPr defaultColWidth="9.36328125" defaultRowHeight="14" x14ac:dyDescent="0.3"/>
  <cols>
    <col min="1" max="16384" width="9.36328125" style="14"/>
  </cols>
  <sheetData>
    <row r="1" spans="1:21" x14ac:dyDescent="0.3">
      <c r="A1" s="53" t="s">
        <v>592</v>
      </c>
      <c r="B1" s="53"/>
      <c r="C1" s="53"/>
      <c r="D1" s="53"/>
      <c r="E1" s="53"/>
      <c r="F1" s="53"/>
      <c r="G1" s="53"/>
      <c r="H1" s="53"/>
      <c r="I1" s="53"/>
      <c r="J1" s="53"/>
      <c r="K1" s="53"/>
      <c r="L1" s="53"/>
      <c r="M1" s="53"/>
      <c r="N1" s="53"/>
      <c r="O1" s="53"/>
      <c r="P1" s="53"/>
      <c r="Q1" s="53"/>
      <c r="R1" s="53"/>
      <c r="S1" s="53"/>
      <c r="T1" s="53"/>
      <c r="U1" s="53"/>
    </row>
    <row r="2" spans="1:21" x14ac:dyDescent="0.3">
      <c r="A2" s="53" t="s">
        <v>593</v>
      </c>
      <c r="B2" s="53"/>
      <c r="C2" s="53"/>
      <c r="D2" s="53"/>
      <c r="E2" s="53"/>
      <c r="F2" s="53"/>
      <c r="G2" s="53"/>
      <c r="H2" s="53"/>
      <c r="I2" s="53"/>
      <c r="J2" s="53"/>
      <c r="K2" s="53"/>
      <c r="L2" s="53"/>
      <c r="M2" s="53"/>
      <c r="N2" s="53"/>
      <c r="O2" s="53"/>
      <c r="P2" s="53"/>
      <c r="Q2" s="53"/>
      <c r="R2" s="53"/>
      <c r="S2" s="53"/>
      <c r="T2" s="53"/>
      <c r="U2" s="53"/>
    </row>
    <row r="3" spans="1:21" x14ac:dyDescent="0.3">
      <c r="A3" s="53"/>
      <c r="B3" s="53"/>
      <c r="C3" s="53"/>
      <c r="D3" s="53"/>
      <c r="E3" s="53"/>
      <c r="F3" s="53"/>
      <c r="G3" s="53"/>
      <c r="H3" s="53"/>
      <c r="I3" s="53"/>
      <c r="J3" s="53"/>
      <c r="K3" s="53"/>
      <c r="L3" s="53"/>
      <c r="M3" s="53"/>
      <c r="N3" s="53"/>
      <c r="O3" s="53"/>
      <c r="P3" s="53"/>
      <c r="Q3" s="53"/>
      <c r="R3" s="53"/>
      <c r="S3" s="53"/>
      <c r="T3" s="53"/>
      <c r="U3" s="53"/>
    </row>
    <row r="4" spans="1:21" x14ac:dyDescent="0.3">
      <c r="A4" s="53" t="s">
        <v>594</v>
      </c>
      <c r="B4" s="53"/>
      <c r="C4" s="53"/>
      <c r="D4" s="53"/>
      <c r="E4" s="53"/>
      <c r="F4" s="53"/>
      <c r="G4" s="53"/>
      <c r="H4" s="53"/>
      <c r="I4" s="53"/>
      <c r="J4" s="53"/>
      <c r="K4" s="53"/>
      <c r="L4" s="53"/>
      <c r="M4" s="53"/>
      <c r="N4" s="53"/>
      <c r="O4" s="53"/>
      <c r="P4" s="53"/>
      <c r="Q4" s="53"/>
      <c r="R4" s="53"/>
      <c r="S4" s="53"/>
      <c r="T4" s="53"/>
      <c r="U4" s="53"/>
    </row>
    <row r="5" spans="1:21" x14ac:dyDescent="0.3">
      <c r="A5" s="53" t="s">
        <v>595</v>
      </c>
      <c r="B5" s="53"/>
      <c r="C5" s="53"/>
      <c r="D5" s="53"/>
      <c r="E5" s="53"/>
      <c r="F5" s="53"/>
      <c r="G5" s="53"/>
      <c r="H5" s="53"/>
      <c r="I5" s="53"/>
      <c r="J5" s="53"/>
      <c r="K5" s="53"/>
      <c r="L5" s="53"/>
      <c r="M5" s="53"/>
      <c r="N5" s="53"/>
      <c r="O5" s="53"/>
      <c r="P5" s="53"/>
      <c r="Q5" s="53"/>
      <c r="R5" s="53"/>
      <c r="S5" s="53"/>
      <c r="T5" s="53"/>
      <c r="U5" s="53"/>
    </row>
    <row r="6" spans="1:21" x14ac:dyDescent="0.3">
      <c r="A6" s="53"/>
      <c r="B6" s="53"/>
      <c r="C6" s="53"/>
      <c r="D6" s="53"/>
      <c r="E6" s="53"/>
      <c r="F6" s="53"/>
      <c r="G6" s="53"/>
      <c r="H6" s="53"/>
      <c r="I6" s="53"/>
      <c r="J6" s="53"/>
      <c r="K6" s="53"/>
      <c r="L6" s="53"/>
      <c r="M6" s="53"/>
      <c r="N6" s="53"/>
      <c r="O6" s="53"/>
      <c r="P6" s="53"/>
      <c r="Q6" s="53"/>
      <c r="R6" s="53"/>
      <c r="S6" s="53"/>
      <c r="T6" s="53"/>
      <c r="U6" s="53"/>
    </row>
    <row r="7" spans="1:21" x14ac:dyDescent="0.3">
      <c r="A7" s="53" t="s">
        <v>954</v>
      </c>
      <c r="B7" s="53"/>
      <c r="C7" s="53"/>
      <c r="D7" s="53"/>
      <c r="E7" s="53"/>
      <c r="F7" s="53"/>
      <c r="G7" s="53"/>
      <c r="H7" s="53"/>
      <c r="I7" s="53"/>
      <c r="J7" s="53"/>
      <c r="K7" s="53"/>
      <c r="L7" s="53"/>
      <c r="M7" s="53"/>
      <c r="N7" s="53"/>
      <c r="O7" s="53"/>
      <c r="P7" s="53"/>
      <c r="Q7" s="53"/>
      <c r="R7" s="53"/>
      <c r="S7" s="53"/>
      <c r="T7" s="53"/>
      <c r="U7" s="53"/>
    </row>
    <row r="8" spans="1:21" x14ac:dyDescent="0.3">
      <c r="A8" s="53" t="s">
        <v>955</v>
      </c>
      <c r="B8" s="53"/>
      <c r="C8" s="53"/>
      <c r="D8" s="53"/>
      <c r="E8" s="53"/>
      <c r="F8" s="53"/>
      <c r="G8" s="53"/>
      <c r="H8" s="53"/>
      <c r="I8" s="53"/>
      <c r="J8" s="53"/>
      <c r="K8" s="53"/>
      <c r="L8" s="53"/>
      <c r="M8" s="53"/>
      <c r="N8" s="53"/>
      <c r="O8" s="53"/>
      <c r="P8" s="53"/>
      <c r="Q8" s="53"/>
      <c r="R8" s="53"/>
      <c r="S8" s="53"/>
      <c r="T8" s="53"/>
      <c r="U8" s="53"/>
    </row>
    <row r="9" spans="1:21" x14ac:dyDescent="0.3">
      <c r="A9" s="53"/>
      <c r="B9" s="53"/>
      <c r="C9" s="53"/>
      <c r="D9" s="53"/>
      <c r="E9" s="53"/>
      <c r="F9" s="53"/>
      <c r="G9" s="53"/>
      <c r="H9" s="53"/>
      <c r="I9" s="53"/>
      <c r="J9" s="53"/>
      <c r="K9" s="53"/>
      <c r="L9" s="53"/>
      <c r="M9" s="53"/>
      <c r="N9" s="53"/>
      <c r="O9" s="53"/>
      <c r="P9" s="53"/>
      <c r="Q9" s="53"/>
      <c r="R9" s="53"/>
      <c r="S9" s="53"/>
      <c r="T9" s="53"/>
      <c r="U9" s="53"/>
    </row>
    <row r="10" spans="1:21" x14ac:dyDescent="0.3">
      <c r="A10" s="53" t="s">
        <v>596</v>
      </c>
      <c r="B10" s="53"/>
      <c r="C10" s="53"/>
      <c r="D10" s="53"/>
      <c r="E10" s="53"/>
      <c r="F10" s="53"/>
      <c r="G10" s="53"/>
      <c r="H10" s="53"/>
      <c r="I10" s="53"/>
      <c r="J10" s="53"/>
      <c r="K10" s="53"/>
      <c r="L10" s="53"/>
      <c r="M10" s="53"/>
      <c r="N10" s="53"/>
      <c r="O10" s="53"/>
      <c r="P10" s="53"/>
      <c r="Q10" s="53"/>
      <c r="R10" s="53"/>
      <c r="S10" s="53"/>
      <c r="T10" s="53"/>
      <c r="U10" s="53"/>
    </row>
    <row r="11" spans="1:21" x14ac:dyDescent="0.3">
      <c r="A11" s="53"/>
      <c r="B11" s="53"/>
      <c r="C11" s="53"/>
      <c r="D11" s="53"/>
      <c r="E11" s="53"/>
      <c r="F11" s="53"/>
      <c r="G11" s="53"/>
      <c r="H11" s="53"/>
      <c r="I11" s="53"/>
      <c r="J11" s="53"/>
      <c r="K11" s="53"/>
      <c r="L11" s="53"/>
      <c r="M11" s="53"/>
      <c r="N11" s="53"/>
      <c r="O11" s="53"/>
      <c r="P11" s="53"/>
      <c r="Q11" s="53"/>
      <c r="R11" s="53"/>
      <c r="S11" s="53"/>
      <c r="T11" s="53"/>
      <c r="U11" s="53"/>
    </row>
    <row r="12" spans="1:21" x14ac:dyDescent="0.3">
      <c r="A12" s="53" t="s">
        <v>956</v>
      </c>
      <c r="B12" s="53"/>
      <c r="C12" s="53"/>
      <c r="D12" s="53"/>
      <c r="E12" s="53"/>
      <c r="F12" s="53"/>
      <c r="G12" s="53"/>
      <c r="H12" s="53"/>
      <c r="I12" s="53"/>
      <c r="J12" s="53"/>
      <c r="K12" s="53"/>
      <c r="L12" s="53"/>
      <c r="M12" s="53"/>
      <c r="N12" s="53"/>
      <c r="O12" s="53"/>
      <c r="P12" s="53"/>
      <c r="Q12" s="53"/>
      <c r="R12" s="53"/>
      <c r="S12" s="53"/>
      <c r="T12" s="53"/>
      <c r="U12" s="53"/>
    </row>
    <row r="13" spans="1:21" x14ac:dyDescent="0.3">
      <c r="A13" s="53"/>
      <c r="B13" s="53" t="s">
        <v>431</v>
      </c>
      <c r="C13" s="53"/>
      <c r="D13" s="53"/>
      <c r="E13" s="53"/>
      <c r="F13" s="53"/>
      <c r="G13" s="53"/>
      <c r="H13" s="53"/>
      <c r="I13" s="53"/>
      <c r="J13" s="53"/>
      <c r="K13" s="53"/>
      <c r="L13" s="53"/>
      <c r="M13" s="53"/>
      <c r="N13" s="53"/>
      <c r="O13" s="53"/>
      <c r="P13" s="53"/>
      <c r="Q13" s="53"/>
      <c r="R13" s="53"/>
      <c r="S13" s="53"/>
      <c r="T13" s="53"/>
      <c r="U13" s="53"/>
    </row>
    <row r="14" spans="1:21" x14ac:dyDescent="0.3">
      <c r="A14" s="53"/>
      <c r="B14" s="53" t="s">
        <v>439</v>
      </c>
      <c r="C14" s="53"/>
      <c r="D14" s="53"/>
      <c r="E14" s="53"/>
      <c r="F14" s="53"/>
      <c r="G14" s="53"/>
      <c r="H14" s="53"/>
      <c r="I14" s="53"/>
      <c r="J14" s="53"/>
      <c r="K14" s="53"/>
      <c r="L14" s="53"/>
      <c r="M14" s="53"/>
      <c r="N14" s="53"/>
      <c r="O14" s="53"/>
      <c r="P14" s="53"/>
      <c r="Q14" s="53"/>
      <c r="R14" s="53"/>
      <c r="S14" s="53"/>
      <c r="T14" s="53"/>
      <c r="U14" s="53"/>
    </row>
    <row r="15" spans="1:21" x14ac:dyDescent="0.3">
      <c r="A15" s="53"/>
      <c r="B15" s="53" t="s">
        <v>597</v>
      </c>
      <c r="C15" s="53"/>
      <c r="D15" s="53"/>
      <c r="E15" s="53"/>
      <c r="F15" s="53"/>
      <c r="G15" s="53"/>
      <c r="H15" s="53"/>
      <c r="I15" s="53"/>
      <c r="J15" s="53"/>
      <c r="K15" s="53"/>
      <c r="L15" s="53"/>
      <c r="M15" s="53"/>
      <c r="N15" s="53"/>
      <c r="O15" s="53"/>
      <c r="P15" s="53"/>
      <c r="Q15" s="53"/>
      <c r="R15" s="53"/>
      <c r="S15" s="53"/>
      <c r="T15" s="53"/>
      <c r="U15" s="53"/>
    </row>
    <row r="16" spans="1:21" x14ac:dyDescent="0.3">
      <c r="A16" s="53"/>
      <c r="B16" s="53" t="s">
        <v>598</v>
      </c>
      <c r="C16" s="53"/>
      <c r="D16" s="53"/>
      <c r="E16" s="53"/>
      <c r="F16" s="53"/>
      <c r="G16" s="53"/>
      <c r="H16" s="53"/>
      <c r="I16" s="53"/>
      <c r="J16" s="53"/>
      <c r="K16" s="53"/>
      <c r="L16" s="53"/>
      <c r="M16" s="53"/>
      <c r="N16" s="53"/>
      <c r="O16" s="53"/>
      <c r="P16" s="53"/>
      <c r="Q16" s="53"/>
      <c r="R16" s="53"/>
      <c r="S16" s="53"/>
      <c r="T16" s="53"/>
      <c r="U16" s="53"/>
    </row>
    <row r="17" spans="1:21" x14ac:dyDescent="0.3">
      <c r="A17" s="53"/>
      <c r="B17" s="53" t="s">
        <v>958</v>
      </c>
      <c r="C17" s="53"/>
      <c r="D17" s="53"/>
      <c r="E17" s="53"/>
      <c r="F17" s="53"/>
      <c r="G17" s="53"/>
      <c r="H17" s="53"/>
      <c r="I17" s="53"/>
      <c r="J17" s="53"/>
      <c r="K17" s="53"/>
      <c r="L17" s="53"/>
      <c r="M17" s="53"/>
      <c r="N17" s="53"/>
      <c r="O17" s="53"/>
      <c r="P17" s="53"/>
      <c r="Q17" s="53"/>
      <c r="R17" s="53"/>
      <c r="S17" s="53"/>
      <c r="T17" s="53"/>
      <c r="U17" s="53"/>
    </row>
    <row r="18" spans="1:21" x14ac:dyDescent="0.3">
      <c r="A18" s="53"/>
      <c r="B18" s="53" t="s">
        <v>599</v>
      </c>
      <c r="C18" s="53"/>
      <c r="D18" s="53"/>
      <c r="E18" s="53"/>
      <c r="F18" s="53"/>
      <c r="G18" s="53"/>
      <c r="H18" s="53"/>
      <c r="I18" s="53"/>
      <c r="J18" s="53"/>
      <c r="K18" s="53"/>
      <c r="L18" s="53"/>
      <c r="M18" s="53"/>
      <c r="N18" s="53"/>
      <c r="O18" s="53"/>
      <c r="P18" s="53"/>
      <c r="Q18" s="53"/>
      <c r="R18" s="53"/>
      <c r="S18" s="53"/>
      <c r="T18" s="53"/>
      <c r="U18" s="53"/>
    </row>
    <row r="19" spans="1:21" x14ac:dyDescent="0.3">
      <c r="A19" s="53"/>
      <c r="B19" s="53" t="s">
        <v>600</v>
      </c>
      <c r="C19" s="53"/>
      <c r="D19" s="53"/>
      <c r="E19" s="53"/>
      <c r="F19" s="53"/>
      <c r="G19" s="53"/>
      <c r="H19" s="53"/>
      <c r="I19" s="53"/>
      <c r="J19" s="53"/>
      <c r="K19" s="53"/>
      <c r="L19" s="53"/>
      <c r="M19" s="53"/>
      <c r="N19" s="53"/>
      <c r="O19" s="53"/>
      <c r="P19" s="53"/>
      <c r="Q19" s="53"/>
      <c r="R19" s="53"/>
      <c r="S19" s="53"/>
      <c r="T19" s="53"/>
      <c r="U19" s="53"/>
    </row>
    <row r="20" spans="1:21" x14ac:dyDescent="0.3">
      <c r="A20" s="53"/>
      <c r="B20" s="53" t="s">
        <v>601</v>
      </c>
      <c r="C20" s="53"/>
      <c r="D20" s="53"/>
      <c r="E20" s="53"/>
      <c r="F20" s="53"/>
      <c r="G20" s="53"/>
      <c r="H20" s="53"/>
      <c r="I20" s="53"/>
      <c r="J20" s="53"/>
      <c r="K20" s="53"/>
      <c r="L20" s="53"/>
      <c r="M20" s="53"/>
      <c r="N20" s="53"/>
      <c r="O20" s="53"/>
      <c r="P20" s="53"/>
      <c r="Q20" s="53"/>
      <c r="R20" s="53"/>
      <c r="S20" s="53"/>
      <c r="T20" s="53"/>
      <c r="U20" s="53"/>
    </row>
    <row r="21" spans="1:21" x14ac:dyDescent="0.3">
      <c r="A21" s="53"/>
      <c r="B21" s="53"/>
      <c r="C21" s="53"/>
      <c r="D21" s="53" t="s">
        <v>959</v>
      </c>
      <c r="E21" s="53"/>
      <c r="F21" s="53"/>
      <c r="G21" s="53"/>
      <c r="H21" s="53"/>
      <c r="I21" s="53"/>
      <c r="J21" s="53"/>
      <c r="K21" s="53"/>
      <c r="L21" s="53"/>
      <c r="M21" s="53"/>
      <c r="N21" s="53"/>
      <c r="O21" s="53"/>
      <c r="P21" s="53"/>
      <c r="Q21" s="53"/>
      <c r="R21" s="53"/>
      <c r="S21" s="53"/>
      <c r="T21" s="53"/>
      <c r="U21" s="53"/>
    </row>
    <row r="22" spans="1:21" x14ac:dyDescent="0.3">
      <c r="A22" s="53"/>
      <c r="B22" s="53" t="s">
        <v>960</v>
      </c>
      <c r="C22" s="53"/>
      <c r="D22" s="53"/>
      <c r="E22" s="53"/>
      <c r="F22" s="53"/>
      <c r="G22" s="53"/>
      <c r="H22" s="53"/>
      <c r="I22" s="53"/>
      <c r="J22" s="53"/>
      <c r="K22" s="53"/>
      <c r="L22" s="53"/>
      <c r="M22" s="53"/>
      <c r="N22" s="53"/>
      <c r="O22" s="53"/>
      <c r="P22" s="53"/>
      <c r="Q22" s="53"/>
      <c r="R22" s="53"/>
      <c r="S22" s="53"/>
      <c r="T22" s="53"/>
      <c r="U22" s="53"/>
    </row>
    <row r="23" spans="1:21" x14ac:dyDescent="0.3">
      <c r="A23" s="53"/>
      <c r="B23" s="53" t="s">
        <v>962</v>
      </c>
      <c r="C23" s="53"/>
      <c r="D23" s="53"/>
      <c r="E23" s="53"/>
      <c r="F23" s="53"/>
      <c r="G23" s="53"/>
      <c r="H23" s="53"/>
      <c r="I23" s="53"/>
      <c r="J23" s="53"/>
      <c r="K23" s="53"/>
      <c r="L23" s="53"/>
      <c r="M23" s="53"/>
      <c r="N23" s="53"/>
      <c r="O23" s="53"/>
      <c r="P23" s="53"/>
      <c r="Q23" s="53"/>
      <c r="R23" s="53"/>
      <c r="S23" s="53"/>
      <c r="T23" s="53"/>
      <c r="U23" s="53"/>
    </row>
    <row r="24" spans="1:21" x14ac:dyDescent="0.3">
      <c r="A24" s="53"/>
      <c r="B24" s="53" t="s">
        <v>963</v>
      </c>
      <c r="C24" s="53"/>
      <c r="D24" s="53"/>
      <c r="E24" s="53"/>
      <c r="F24" s="53"/>
      <c r="G24" s="53"/>
      <c r="H24" s="53"/>
      <c r="I24" s="53"/>
      <c r="J24" s="53"/>
      <c r="K24" s="53"/>
      <c r="L24" s="53"/>
      <c r="M24" s="53"/>
      <c r="N24" s="53"/>
      <c r="O24" s="53"/>
      <c r="P24" s="53"/>
      <c r="Q24" s="53"/>
      <c r="R24" s="53"/>
      <c r="S24" s="53"/>
      <c r="T24" s="53"/>
      <c r="U24" s="53"/>
    </row>
    <row r="25" spans="1:21" x14ac:dyDescent="0.3">
      <c r="A25" s="53"/>
      <c r="B25" s="53"/>
      <c r="C25" s="53"/>
      <c r="D25" s="53"/>
      <c r="E25" s="53"/>
      <c r="F25" s="53"/>
      <c r="G25" s="53"/>
      <c r="H25" s="53"/>
      <c r="I25" s="53"/>
      <c r="J25" s="53"/>
      <c r="K25" s="53"/>
      <c r="L25" s="53"/>
      <c r="M25" s="53"/>
      <c r="N25" s="53"/>
      <c r="O25" s="53"/>
      <c r="P25" s="53"/>
      <c r="Q25" s="53"/>
      <c r="R25" s="53"/>
      <c r="S25" s="53"/>
      <c r="T25" s="53"/>
      <c r="U25" s="53"/>
    </row>
    <row r="26" spans="1:21" x14ac:dyDescent="0.3">
      <c r="A26" s="53"/>
      <c r="B26" s="53" t="s">
        <v>966</v>
      </c>
      <c r="C26" s="53"/>
      <c r="D26" s="53"/>
      <c r="E26" s="53"/>
      <c r="F26" s="53"/>
      <c r="G26" s="53"/>
      <c r="H26" s="53"/>
      <c r="I26" s="53"/>
      <c r="J26" s="53"/>
      <c r="K26" s="53"/>
      <c r="L26" s="53"/>
      <c r="M26" s="53"/>
      <c r="N26" s="53"/>
      <c r="O26" s="53"/>
      <c r="P26" s="53"/>
      <c r="Q26" s="53"/>
      <c r="R26" s="53"/>
      <c r="S26" s="53"/>
      <c r="T26" s="53"/>
      <c r="U26" s="53"/>
    </row>
    <row r="27" spans="1:21" x14ac:dyDescent="0.3">
      <c r="A27" s="53"/>
      <c r="B27" s="53"/>
      <c r="C27" s="53"/>
      <c r="D27" s="53"/>
      <c r="E27" s="53"/>
      <c r="F27" s="53"/>
      <c r="G27" s="53"/>
      <c r="H27" s="53"/>
      <c r="I27" s="53"/>
      <c r="J27" s="53"/>
      <c r="K27" s="53"/>
      <c r="L27" s="53"/>
      <c r="M27" s="53"/>
      <c r="N27" s="53"/>
      <c r="O27" s="53"/>
      <c r="P27" s="53"/>
      <c r="Q27" s="53"/>
      <c r="R27" s="53"/>
      <c r="S27" s="53"/>
      <c r="T27" s="53"/>
      <c r="U27" s="53"/>
    </row>
    <row r="28" spans="1:21" x14ac:dyDescent="0.3">
      <c r="A28" s="53" t="s">
        <v>964</v>
      </c>
      <c r="B28" s="53"/>
      <c r="C28" s="53"/>
      <c r="D28" s="53"/>
      <c r="E28" s="53"/>
      <c r="F28" s="53"/>
      <c r="G28" s="53"/>
      <c r="H28" s="53"/>
      <c r="I28" s="53"/>
      <c r="J28" s="53"/>
      <c r="K28" s="53"/>
      <c r="L28" s="53"/>
      <c r="M28" s="53"/>
      <c r="N28" s="53"/>
      <c r="O28" s="53"/>
      <c r="P28" s="53"/>
      <c r="Q28" s="53"/>
      <c r="R28" s="53"/>
      <c r="S28" s="53"/>
      <c r="T28" s="53"/>
      <c r="U28" s="53"/>
    </row>
    <row r="29" spans="1:21" x14ac:dyDescent="0.3">
      <c r="A29" s="53" t="s">
        <v>957</v>
      </c>
      <c r="B29" s="53"/>
      <c r="C29" s="53"/>
      <c r="D29" s="53"/>
      <c r="E29" s="53"/>
      <c r="F29" s="53"/>
      <c r="G29" s="53"/>
      <c r="H29" s="53"/>
      <c r="I29" s="53"/>
      <c r="J29" s="53"/>
      <c r="K29" s="53"/>
      <c r="L29" s="53"/>
      <c r="M29" s="53"/>
      <c r="N29" s="53"/>
      <c r="O29" s="53"/>
      <c r="P29" s="53"/>
      <c r="Q29" s="53"/>
      <c r="R29" s="53"/>
      <c r="S29" s="53"/>
      <c r="T29" s="53"/>
      <c r="U29" s="53"/>
    </row>
    <row r="30" spans="1:21" x14ac:dyDescent="0.3">
      <c r="A30" s="53"/>
      <c r="B30" s="53"/>
      <c r="C30" s="53"/>
      <c r="D30" s="53"/>
      <c r="E30" s="53"/>
      <c r="F30" s="53"/>
      <c r="G30" s="53"/>
      <c r="H30" s="53"/>
      <c r="I30" s="53"/>
      <c r="J30" s="53"/>
      <c r="K30" s="53"/>
      <c r="L30" s="53"/>
      <c r="M30" s="53"/>
      <c r="N30" s="53"/>
      <c r="O30" s="53"/>
      <c r="P30" s="53"/>
      <c r="Q30" s="53"/>
      <c r="R30" s="53"/>
      <c r="S30" s="53"/>
      <c r="T30" s="53"/>
      <c r="U30" s="53"/>
    </row>
    <row r="31" spans="1:21" x14ac:dyDescent="0.3">
      <c r="A31" s="53" t="s">
        <v>965</v>
      </c>
      <c r="B31" s="53"/>
      <c r="C31" s="53"/>
      <c r="D31" s="53"/>
      <c r="E31" s="53"/>
      <c r="F31" s="53"/>
      <c r="G31" s="53"/>
      <c r="H31" s="53"/>
      <c r="I31" s="53"/>
      <c r="J31" s="53"/>
      <c r="K31" s="53"/>
      <c r="L31" s="53"/>
      <c r="M31" s="53"/>
      <c r="N31" s="53"/>
      <c r="O31" s="53"/>
      <c r="P31" s="53"/>
      <c r="Q31" s="53"/>
      <c r="R31" s="53"/>
      <c r="S31" s="53"/>
      <c r="T31" s="53"/>
      <c r="U31" s="53"/>
    </row>
    <row r="32" spans="1:21" x14ac:dyDescent="0.3">
      <c r="A32" s="53" t="s">
        <v>967</v>
      </c>
      <c r="B32" s="53"/>
      <c r="C32" s="53"/>
      <c r="D32" s="53"/>
      <c r="E32" s="53"/>
      <c r="F32" s="53"/>
      <c r="G32" s="53"/>
      <c r="H32" s="53"/>
      <c r="I32" s="53"/>
      <c r="J32" s="53"/>
      <c r="K32" s="53"/>
      <c r="L32" s="53"/>
      <c r="M32" s="53"/>
      <c r="N32" s="53"/>
      <c r="O32" s="53"/>
      <c r="P32" s="53"/>
      <c r="Q32" s="53"/>
      <c r="R32" s="53"/>
      <c r="S32" s="53"/>
      <c r="T32" s="53"/>
      <c r="U32" s="53"/>
    </row>
    <row r="33" spans="1:21" x14ac:dyDescent="0.3">
      <c r="A33" s="53"/>
      <c r="B33" s="53"/>
      <c r="C33" s="53"/>
      <c r="D33" s="53"/>
      <c r="E33" s="53"/>
      <c r="F33" s="53"/>
      <c r="G33" s="53"/>
      <c r="H33" s="53"/>
      <c r="I33" s="53"/>
      <c r="J33" s="53"/>
      <c r="K33" s="53"/>
      <c r="L33" s="53"/>
      <c r="M33" s="53"/>
      <c r="N33" s="53"/>
      <c r="O33" s="53"/>
      <c r="P33" s="53"/>
      <c r="Q33" s="53"/>
      <c r="R33" s="53"/>
      <c r="S33" s="53"/>
      <c r="T33" s="53"/>
      <c r="U33" s="53"/>
    </row>
    <row r="34" spans="1:21" x14ac:dyDescent="0.3">
      <c r="A34" s="53" t="s">
        <v>975</v>
      </c>
      <c r="B34" s="53"/>
      <c r="C34" s="53"/>
      <c r="D34" s="53"/>
      <c r="E34" s="53"/>
      <c r="F34" s="53"/>
      <c r="G34" s="53"/>
      <c r="H34" s="53"/>
      <c r="I34" s="53"/>
      <c r="J34" s="53"/>
      <c r="K34" s="53"/>
      <c r="L34" s="53"/>
      <c r="M34" s="53"/>
      <c r="N34" s="53"/>
      <c r="O34" s="53"/>
      <c r="P34" s="53"/>
      <c r="Q34" s="53"/>
      <c r="R34" s="53"/>
      <c r="S34" s="53"/>
      <c r="T34" s="53"/>
      <c r="U34" s="53"/>
    </row>
    <row r="35" spans="1:21" x14ac:dyDescent="0.3">
      <c r="A35" s="53" t="s">
        <v>976</v>
      </c>
      <c r="B35" s="53"/>
      <c r="C35" s="53"/>
      <c r="D35" s="53"/>
      <c r="E35" s="53"/>
      <c r="F35" s="53"/>
      <c r="G35" s="53"/>
      <c r="H35" s="53"/>
      <c r="I35" s="53"/>
      <c r="J35" s="53"/>
      <c r="K35" s="53"/>
      <c r="L35" s="53"/>
      <c r="M35" s="53"/>
      <c r="N35" s="53"/>
      <c r="O35" s="53"/>
      <c r="P35" s="53"/>
      <c r="Q35" s="53"/>
      <c r="R35" s="53"/>
      <c r="S35" s="53"/>
      <c r="T35" s="53"/>
      <c r="U35" s="53"/>
    </row>
    <row r="36" spans="1:21" x14ac:dyDescent="0.3">
      <c r="A36" s="53" t="s">
        <v>977</v>
      </c>
      <c r="B36" s="53"/>
      <c r="C36" s="53"/>
      <c r="D36" s="53"/>
      <c r="E36" s="53"/>
      <c r="F36" s="53"/>
      <c r="G36" s="53"/>
      <c r="H36" s="53"/>
      <c r="I36" s="53"/>
      <c r="J36" s="53"/>
      <c r="K36" s="53"/>
      <c r="L36" s="53"/>
      <c r="M36" s="53"/>
      <c r="N36" s="53"/>
      <c r="O36" s="53"/>
      <c r="P36" s="53"/>
      <c r="Q36" s="53"/>
      <c r="R36" s="53"/>
      <c r="S36" s="53"/>
      <c r="T36" s="53"/>
      <c r="U36" s="53"/>
    </row>
    <row r="37" spans="1:21" x14ac:dyDescent="0.3">
      <c r="A37" s="53"/>
      <c r="B37" s="53"/>
      <c r="C37" s="53"/>
      <c r="D37" s="53"/>
      <c r="E37" s="53"/>
      <c r="F37" s="53"/>
      <c r="G37" s="53"/>
      <c r="H37" s="53"/>
      <c r="I37" s="53"/>
      <c r="J37" s="53"/>
      <c r="K37" s="53"/>
      <c r="L37" s="53"/>
      <c r="M37" s="53"/>
      <c r="N37" s="53"/>
      <c r="O37" s="53"/>
      <c r="P37" s="53"/>
      <c r="Q37" s="53"/>
      <c r="R37" s="53"/>
      <c r="S37" s="53"/>
      <c r="T37" s="53"/>
      <c r="U37" s="53"/>
    </row>
    <row r="38" spans="1:21" x14ac:dyDescent="0.3">
      <c r="A38" s="53" t="s">
        <v>978</v>
      </c>
      <c r="B38" s="53"/>
      <c r="C38" s="53"/>
      <c r="D38" s="53"/>
      <c r="E38" s="53"/>
      <c r="F38" s="53"/>
      <c r="G38" s="53"/>
      <c r="H38" s="53"/>
      <c r="I38" s="53"/>
      <c r="J38" s="53"/>
      <c r="K38" s="53"/>
      <c r="L38" s="53"/>
      <c r="M38" s="53"/>
      <c r="N38" s="53"/>
      <c r="O38" s="53"/>
      <c r="P38" s="53"/>
      <c r="Q38" s="53"/>
      <c r="R38" s="53"/>
      <c r="S38" s="53"/>
      <c r="T38" s="53"/>
      <c r="U38" s="53"/>
    </row>
    <row r="39" spans="1:21" x14ac:dyDescent="0.3">
      <c r="A39" s="53" t="s">
        <v>435</v>
      </c>
      <c r="B39" s="53"/>
      <c r="C39" s="53"/>
      <c r="D39" s="53"/>
      <c r="E39" s="53"/>
      <c r="F39" s="53"/>
      <c r="G39" s="53"/>
      <c r="H39" s="53"/>
      <c r="I39" s="53"/>
      <c r="J39" s="53"/>
      <c r="K39" s="53"/>
      <c r="L39" s="53"/>
      <c r="M39" s="53"/>
      <c r="N39" s="53"/>
      <c r="O39" s="53"/>
      <c r="P39" s="53"/>
      <c r="Q39" s="53"/>
      <c r="R39" s="53"/>
      <c r="S39" s="53"/>
      <c r="T39" s="53"/>
      <c r="U39" s="53"/>
    </row>
    <row r="40" spans="1:21" x14ac:dyDescent="0.3">
      <c r="A40" s="53"/>
      <c r="B40" s="53"/>
      <c r="C40" s="53"/>
      <c r="D40" s="53"/>
      <c r="E40" s="53"/>
      <c r="F40" s="53"/>
      <c r="G40" s="53"/>
      <c r="H40" s="53"/>
      <c r="I40" s="53"/>
      <c r="J40" s="53"/>
      <c r="K40" s="53"/>
      <c r="L40" s="53"/>
      <c r="M40" s="53"/>
      <c r="N40" s="53"/>
      <c r="O40" s="53"/>
      <c r="P40" s="53"/>
      <c r="Q40" s="53"/>
      <c r="R40" s="53"/>
      <c r="S40" s="53"/>
      <c r="T40" s="53"/>
      <c r="U40" s="53"/>
    </row>
    <row r="41" spans="1:21" x14ac:dyDescent="0.3">
      <c r="A41" s="53" t="s">
        <v>0</v>
      </c>
      <c r="B41" s="53"/>
      <c r="C41" s="53"/>
      <c r="D41" s="53"/>
      <c r="E41" s="53"/>
      <c r="F41" s="53"/>
      <c r="G41" s="53"/>
      <c r="H41" s="53"/>
      <c r="I41" s="53"/>
      <c r="J41" s="53"/>
      <c r="K41" s="53"/>
      <c r="L41" s="53"/>
      <c r="M41" s="53"/>
      <c r="N41" s="53"/>
      <c r="O41" s="53"/>
      <c r="P41" s="53"/>
      <c r="Q41" s="53"/>
      <c r="R41" s="53"/>
      <c r="S41" s="53"/>
      <c r="T41" s="53"/>
      <c r="U41" s="53"/>
    </row>
    <row r="42" spans="1:21" x14ac:dyDescent="0.3">
      <c r="A42" s="53" t="s">
        <v>969</v>
      </c>
      <c r="B42" s="53"/>
      <c r="C42" s="53"/>
      <c r="D42" s="53"/>
      <c r="E42" s="53"/>
      <c r="F42" s="53"/>
      <c r="G42" s="53"/>
      <c r="H42" s="53"/>
      <c r="I42" s="53"/>
      <c r="J42" s="53"/>
      <c r="K42" s="53"/>
      <c r="L42" s="53"/>
      <c r="M42" s="53"/>
      <c r="N42" s="53"/>
      <c r="O42" s="53"/>
      <c r="P42" s="53"/>
      <c r="Q42" s="53"/>
      <c r="R42" s="53"/>
      <c r="S42" s="53"/>
      <c r="T42" s="53"/>
      <c r="U42" s="53"/>
    </row>
    <row r="43" spans="1:21" x14ac:dyDescent="0.3">
      <c r="A43" s="53"/>
      <c r="B43" s="53"/>
      <c r="C43" s="53"/>
      <c r="D43" s="53"/>
      <c r="E43" s="53"/>
      <c r="F43" s="53"/>
      <c r="G43" s="53"/>
      <c r="H43" s="53"/>
      <c r="I43" s="53"/>
      <c r="J43" s="53"/>
      <c r="K43" s="53"/>
      <c r="L43" s="53"/>
      <c r="M43" s="53"/>
      <c r="N43" s="53"/>
      <c r="O43" s="53"/>
      <c r="P43" s="53"/>
      <c r="Q43" s="53"/>
      <c r="R43" s="53"/>
      <c r="S43" s="53"/>
      <c r="T43" s="53"/>
      <c r="U43" s="53"/>
    </row>
    <row r="44" spans="1:21" x14ac:dyDescent="0.3">
      <c r="A44" s="53"/>
      <c r="B44" s="53" t="s">
        <v>968</v>
      </c>
      <c r="C44" s="53"/>
      <c r="D44" s="53"/>
      <c r="E44" s="53"/>
      <c r="F44" s="53"/>
      <c r="G44" s="53"/>
      <c r="H44" s="53"/>
      <c r="I44" s="53"/>
      <c r="J44" s="53"/>
      <c r="K44" s="53"/>
      <c r="L44" s="53"/>
      <c r="M44" s="53"/>
      <c r="N44" s="53"/>
      <c r="O44" s="53"/>
      <c r="P44" s="53"/>
      <c r="Q44" s="53"/>
      <c r="R44" s="53"/>
      <c r="S44" s="53"/>
      <c r="T44" s="53"/>
      <c r="U44" s="53"/>
    </row>
    <row r="45" spans="1:21" x14ac:dyDescent="0.3">
      <c r="A45" s="53"/>
      <c r="B45" s="53"/>
      <c r="C45" s="53"/>
      <c r="D45" s="53"/>
      <c r="E45" s="53"/>
      <c r="F45" s="53"/>
      <c r="G45" s="53"/>
      <c r="H45" s="53"/>
      <c r="I45" s="53"/>
      <c r="J45" s="53"/>
      <c r="K45" s="53"/>
      <c r="L45" s="53"/>
      <c r="M45" s="53"/>
      <c r="N45" s="53"/>
      <c r="O45" s="53"/>
      <c r="P45" s="53"/>
      <c r="Q45" s="53"/>
      <c r="R45" s="53"/>
      <c r="S45" s="53"/>
      <c r="T45" s="53"/>
      <c r="U45" s="53"/>
    </row>
    <row r="46" spans="1:21" x14ac:dyDescent="0.3">
      <c r="A46" s="53"/>
      <c r="B46" s="53"/>
      <c r="C46" s="53" t="s">
        <v>972</v>
      </c>
      <c r="D46" s="53"/>
      <c r="E46" s="53"/>
      <c r="F46" s="53"/>
      <c r="G46" s="53"/>
      <c r="H46" s="53"/>
      <c r="I46" s="53"/>
      <c r="J46" s="53"/>
      <c r="K46" s="53"/>
      <c r="L46" s="53"/>
      <c r="M46" s="53"/>
      <c r="N46" s="53"/>
      <c r="O46" s="53"/>
      <c r="P46" s="53"/>
      <c r="Q46" s="53"/>
      <c r="R46" s="53"/>
      <c r="S46" s="53"/>
      <c r="T46" s="53"/>
      <c r="U46" s="53"/>
    </row>
    <row r="47" spans="1:21" x14ac:dyDescent="0.3">
      <c r="A47" s="53"/>
      <c r="B47" s="53"/>
      <c r="C47" s="53" t="s">
        <v>970</v>
      </c>
      <c r="D47" s="53"/>
      <c r="E47" s="53"/>
      <c r="F47" s="53"/>
      <c r="G47" s="53"/>
      <c r="H47" s="53"/>
      <c r="I47" s="53"/>
      <c r="J47" s="53"/>
      <c r="K47" s="53"/>
      <c r="L47" s="53"/>
      <c r="M47" s="53"/>
      <c r="N47" s="53"/>
      <c r="O47" s="53"/>
      <c r="P47" s="53"/>
      <c r="Q47" s="53"/>
      <c r="R47" s="53"/>
      <c r="S47" s="53"/>
      <c r="T47" s="53"/>
      <c r="U47" s="53"/>
    </row>
    <row r="48" spans="1:21" x14ac:dyDescent="0.3">
      <c r="A48" s="53"/>
      <c r="B48" s="53"/>
      <c r="C48" s="53" t="s">
        <v>971</v>
      </c>
      <c r="D48" s="53"/>
      <c r="E48" s="53"/>
      <c r="F48" s="53"/>
      <c r="G48" s="53"/>
      <c r="H48" s="53"/>
      <c r="I48" s="53"/>
      <c r="J48" s="53"/>
      <c r="K48" s="53"/>
      <c r="L48" s="53"/>
      <c r="M48" s="53"/>
      <c r="N48" s="53"/>
      <c r="O48" s="53"/>
      <c r="P48" s="53"/>
      <c r="Q48" s="53"/>
      <c r="R48" s="53"/>
      <c r="S48" s="53"/>
      <c r="T48" s="53"/>
      <c r="U48" s="53"/>
    </row>
    <row r="49" spans="1:21" x14ac:dyDescent="0.3">
      <c r="A49" s="53"/>
      <c r="B49" s="53"/>
      <c r="C49" s="53" t="s">
        <v>973</v>
      </c>
      <c r="D49" s="53"/>
      <c r="E49" s="53"/>
      <c r="F49" s="53"/>
      <c r="G49" s="53"/>
      <c r="H49" s="53"/>
      <c r="I49" s="53"/>
      <c r="J49" s="53"/>
      <c r="K49" s="53"/>
      <c r="L49" s="53"/>
      <c r="M49" s="53"/>
      <c r="N49" s="53"/>
      <c r="O49" s="53"/>
      <c r="P49" s="53"/>
      <c r="Q49" s="53"/>
      <c r="R49" s="53"/>
      <c r="S49" s="53"/>
      <c r="T49" s="53"/>
      <c r="U49" s="53"/>
    </row>
    <row r="50" spans="1:21" x14ac:dyDescent="0.3">
      <c r="A50" s="53"/>
      <c r="B50" s="53"/>
      <c r="C50" s="53"/>
      <c r="D50" s="53"/>
      <c r="E50" s="53"/>
      <c r="F50" s="53"/>
      <c r="G50" s="53"/>
      <c r="H50" s="53"/>
      <c r="I50" s="53"/>
      <c r="J50" s="53"/>
      <c r="K50" s="53"/>
      <c r="L50" s="53"/>
      <c r="M50" s="53"/>
      <c r="N50" s="53"/>
      <c r="O50" s="53"/>
      <c r="P50" s="53"/>
      <c r="Q50" s="53"/>
      <c r="R50" s="53"/>
      <c r="S50" s="53"/>
      <c r="T50" s="53"/>
      <c r="U50" s="53"/>
    </row>
    <row r="51" spans="1:21" x14ac:dyDescent="0.3">
      <c r="A51" s="53"/>
      <c r="B51" s="53" t="s">
        <v>974</v>
      </c>
      <c r="C51" s="53"/>
      <c r="D51" s="53"/>
      <c r="E51" s="53"/>
      <c r="F51" s="53"/>
      <c r="G51" s="53"/>
      <c r="H51" s="53"/>
      <c r="I51" s="53"/>
      <c r="J51" s="53"/>
      <c r="K51" s="53"/>
      <c r="L51" s="53"/>
      <c r="M51" s="53"/>
      <c r="N51" s="53"/>
      <c r="O51" s="53"/>
      <c r="P51" s="53"/>
      <c r="Q51" s="53"/>
      <c r="R51" s="53"/>
      <c r="S51" s="53"/>
      <c r="T51" s="53"/>
      <c r="U51" s="53"/>
    </row>
    <row r="52" spans="1:21" x14ac:dyDescent="0.3">
      <c r="A52" s="53"/>
      <c r="B52" s="53"/>
      <c r="C52" s="53"/>
      <c r="D52" s="53"/>
      <c r="E52" s="53"/>
      <c r="F52" s="53"/>
      <c r="G52" s="53"/>
      <c r="H52" s="53"/>
      <c r="I52" s="53"/>
      <c r="J52" s="53"/>
      <c r="K52" s="53"/>
      <c r="L52" s="53"/>
      <c r="M52" s="53"/>
      <c r="N52" s="53"/>
      <c r="O52" s="53"/>
      <c r="P52" s="53"/>
      <c r="Q52" s="53"/>
      <c r="R52" s="53"/>
      <c r="S52" s="53"/>
      <c r="T52" s="53"/>
      <c r="U52" s="53"/>
    </row>
  </sheetData>
  <customSheetViews>
    <customSheetView guid="{00D35A15-206C-4C0C-8347-C5B4FB706EF6}" showPageBreaks="1" topLeftCell="A6">
      <selection activeCell="I30" sqref="I30"/>
      <pageMargins left="0.7" right="0.7" top="0.75" bottom="0.75" header="0.3" footer="0.3"/>
      <pageSetup orientation="portrait" r:id="rId1"/>
    </customSheetView>
  </customSheetViews>
  <phoneticPr fontId="0" type="noConversion"/>
  <pageMargins left="0.7" right="0.7" top="0.75" bottom="0.75" header="0.3" footer="0.3"/>
  <pageSetup orientation="portrait" r:id="rId2"/>
  <customProperties>
    <customPr name="DVSECTIONID" r:id="rId3"/>
  </customProperties>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outlinePr summaryRight="0"/>
  </sheetPr>
  <dimension ref="A1:AM456"/>
  <sheetViews>
    <sheetView zoomScale="80" zoomScaleNormal="80" zoomScaleSheetLayoutView="100" workbookViewId="0">
      <selection activeCell="E104" sqref="E104"/>
    </sheetView>
  </sheetViews>
  <sheetFormatPr defaultColWidth="9.36328125" defaultRowHeight="11.5" outlineLevelCol="1" x14ac:dyDescent="0.25"/>
  <cols>
    <col min="1" max="1" width="37" style="103" customWidth="1"/>
    <col min="2" max="2" width="25.54296875" style="260" customWidth="1" outlineLevel="1"/>
    <col min="3" max="3" width="10.08984375" style="260" customWidth="1" outlineLevel="1"/>
    <col min="4" max="4" width="18.453125" style="103" bestFit="1" customWidth="1"/>
    <col min="5" max="5" width="55.453125" style="103" customWidth="1"/>
    <col min="6" max="6" width="7.453125" style="229" bestFit="1" customWidth="1"/>
    <col min="7" max="7" width="11.453125" style="103" bestFit="1" customWidth="1"/>
    <col min="8" max="8" width="9" style="103" bestFit="1" customWidth="1"/>
    <col min="9" max="9" width="20.90625" style="185" bestFit="1" customWidth="1"/>
    <col min="10" max="10" width="8.453125" style="260" bestFit="1" customWidth="1"/>
    <col min="11" max="11" width="55.90625" style="103" customWidth="1" outlineLevel="1"/>
    <col min="12" max="12" width="24.54296875" style="103" customWidth="1" outlineLevel="1"/>
    <col min="13" max="13" width="6.54296875" style="185" bestFit="1" customWidth="1"/>
    <col min="14" max="16" width="6.90625" style="185" bestFit="1" customWidth="1"/>
    <col min="17" max="17" width="10.90625" style="185" bestFit="1" customWidth="1"/>
    <col min="18" max="18" width="13.6328125" style="185" bestFit="1" customWidth="1"/>
    <col min="19" max="22" width="8.453125" style="185" customWidth="1" outlineLevel="1"/>
    <col min="23" max="23" width="13.36328125" style="103" bestFit="1" customWidth="1"/>
    <col min="24" max="24" width="4.90625" style="228" bestFit="1" customWidth="1" outlineLevel="1"/>
    <col min="25" max="25" width="5.36328125" style="228" bestFit="1" customWidth="1" outlineLevel="1"/>
    <col min="26" max="26" width="5.6328125" style="228" bestFit="1" customWidth="1" outlineLevel="1"/>
    <col min="27" max="27" width="23.6328125" style="228" bestFit="1" customWidth="1" outlineLevel="1"/>
    <col min="28" max="28" width="4.90625" style="228" bestFit="1" customWidth="1" outlineLevel="1"/>
    <col min="29" max="29" width="5.36328125" style="228" bestFit="1" customWidth="1" outlineLevel="1"/>
    <col min="30" max="30" width="5.6328125" style="228" bestFit="1" customWidth="1" outlineLevel="1"/>
    <col min="31" max="31" width="4.90625" style="228" bestFit="1" customWidth="1" outlineLevel="1"/>
    <col min="32" max="32" width="5.36328125" style="228" bestFit="1" customWidth="1" outlineLevel="1"/>
    <col min="33" max="33" width="5.6328125" style="228" bestFit="1" customWidth="1" outlineLevel="1"/>
    <col min="34" max="35" width="9.36328125" style="103"/>
    <col min="36" max="39" width="15.6328125" style="103" customWidth="1"/>
    <col min="40" max="16384" width="9.36328125" style="103"/>
  </cols>
  <sheetData>
    <row r="1" spans="1:39" ht="30" customHeight="1" x14ac:dyDescent="0.25">
      <c r="M1" s="379" t="s">
        <v>1640</v>
      </c>
      <c r="N1" s="379"/>
      <c r="O1" s="379"/>
      <c r="P1" s="379"/>
      <c r="S1" s="379" t="s">
        <v>1691</v>
      </c>
      <c r="T1" s="379"/>
      <c r="U1" s="379"/>
      <c r="V1" s="379"/>
      <c r="W1" s="379" t="s">
        <v>953</v>
      </c>
      <c r="X1" s="379"/>
      <c r="Y1" s="379"/>
      <c r="Z1" s="379"/>
      <c r="AA1" s="379"/>
      <c r="AB1" s="383" t="s">
        <v>961</v>
      </c>
      <c r="AC1" s="383"/>
      <c r="AD1" s="383"/>
      <c r="AE1" s="383" t="s">
        <v>828</v>
      </c>
      <c r="AF1" s="383"/>
      <c r="AG1" s="383"/>
      <c r="AJ1" s="380" t="s">
        <v>1541</v>
      </c>
      <c r="AK1" s="380"/>
      <c r="AL1" s="380"/>
      <c r="AM1" s="380"/>
    </row>
    <row r="2" spans="1:39" ht="29.25" customHeight="1" x14ac:dyDescent="0.25">
      <c r="A2" s="114" t="s">
        <v>430</v>
      </c>
      <c r="B2" s="258" t="s">
        <v>1621</v>
      </c>
      <c r="C2" s="258" t="s">
        <v>1641</v>
      </c>
      <c r="D2" s="114" t="s">
        <v>438</v>
      </c>
      <c r="E2" s="114" t="s">
        <v>466</v>
      </c>
      <c r="F2" s="258" t="s">
        <v>1622</v>
      </c>
      <c r="G2" s="114" t="s">
        <v>467</v>
      </c>
      <c r="H2" s="114" t="s">
        <v>442</v>
      </c>
      <c r="I2" s="114" t="s">
        <v>469</v>
      </c>
      <c r="J2" s="258" t="s">
        <v>468</v>
      </c>
      <c r="K2" s="114" t="s">
        <v>590</v>
      </c>
      <c r="L2" s="114" t="s">
        <v>1623</v>
      </c>
      <c r="M2" s="114" t="s">
        <v>1642</v>
      </c>
      <c r="N2" s="114" t="s">
        <v>1643</v>
      </c>
      <c r="O2" s="114" t="s">
        <v>1644</v>
      </c>
      <c r="P2" s="114" t="s">
        <v>1645</v>
      </c>
      <c r="Q2" s="114" t="s">
        <v>1625</v>
      </c>
      <c r="R2" s="114" t="s">
        <v>1626</v>
      </c>
      <c r="S2" s="114" t="s">
        <v>1692</v>
      </c>
      <c r="T2" s="114" t="s">
        <v>1693</v>
      </c>
      <c r="U2" s="114" t="s">
        <v>1694</v>
      </c>
      <c r="V2" s="114" t="s">
        <v>1695</v>
      </c>
      <c r="W2" s="277" t="s">
        <v>438</v>
      </c>
      <c r="X2" s="258" t="s">
        <v>467</v>
      </c>
      <c r="Y2" s="258" t="s">
        <v>442</v>
      </c>
      <c r="Z2" s="258" t="s">
        <v>469</v>
      </c>
      <c r="AA2" s="258" t="s">
        <v>590</v>
      </c>
      <c r="AB2" s="258" t="s">
        <v>467</v>
      </c>
      <c r="AC2" s="258" t="s">
        <v>442</v>
      </c>
      <c r="AD2" s="258" t="s">
        <v>469</v>
      </c>
      <c r="AE2" s="258" t="s">
        <v>467</v>
      </c>
      <c r="AF2" s="258" t="s">
        <v>442</v>
      </c>
      <c r="AG2" s="258" t="s">
        <v>469</v>
      </c>
      <c r="AJ2" s="312"/>
      <c r="AK2" s="312"/>
      <c r="AL2" s="312"/>
      <c r="AM2" s="177">
        <v>45023</v>
      </c>
    </row>
    <row r="3" spans="1:39" x14ac:dyDescent="0.25">
      <c r="A3" s="115" t="s">
        <v>104</v>
      </c>
      <c r="B3" s="261"/>
      <c r="C3" s="261"/>
      <c r="D3" s="99"/>
      <c r="E3" s="99"/>
      <c r="F3" s="228"/>
      <c r="G3" s="101"/>
      <c r="H3" s="101"/>
      <c r="I3" s="266"/>
      <c r="J3" s="249"/>
      <c r="K3" s="99"/>
      <c r="L3" s="99"/>
      <c r="M3" s="111"/>
      <c r="N3" s="111"/>
      <c r="O3" s="111"/>
      <c r="P3" s="328"/>
      <c r="Q3" s="111"/>
      <c r="R3" s="111"/>
      <c r="S3" s="321"/>
      <c r="T3" s="321"/>
      <c r="U3" s="321"/>
      <c r="V3" s="328"/>
      <c r="W3" s="278"/>
      <c r="X3" s="227"/>
      <c r="Y3" s="227"/>
      <c r="Z3" s="227"/>
      <c r="AA3" s="11"/>
      <c r="AJ3" s="312" t="s">
        <v>1624</v>
      </c>
      <c r="AK3" s="312"/>
      <c r="AL3" s="312"/>
      <c r="AM3" s="178">
        <v>0.48554398148148148</v>
      </c>
    </row>
    <row r="4" spans="1:39" x14ac:dyDescent="0.25">
      <c r="A4" s="99" t="s">
        <v>105</v>
      </c>
      <c r="B4" s="249" t="s">
        <v>104</v>
      </c>
      <c r="C4" s="249" t="s">
        <v>1646</v>
      </c>
      <c r="D4" s="99" t="s">
        <v>106</v>
      </c>
      <c r="E4" s="99" t="s">
        <v>107</v>
      </c>
      <c r="F4" s="228"/>
      <c r="G4" s="101">
        <v>-0.5</v>
      </c>
      <c r="H4" s="102" t="s">
        <v>108</v>
      </c>
      <c r="I4" s="266">
        <v>4</v>
      </c>
      <c r="J4" s="249" t="s">
        <v>475</v>
      </c>
      <c r="K4" s="99" t="s">
        <v>109</v>
      </c>
      <c r="L4" s="99"/>
      <c r="M4" s="111"/>
      <c r="N4" s="111" t="s">
        <v>934</v>
      </c>
      <c r="O4" s="111"/>
      <c r="P4" s="328" t="s">
        <v>934</v>
      </c>
      <c r="Q4" s="111"/>
      <c r="R4" s="111"/>
      <c r="S4" s="321"/>
      <c r="T4" s="321"/>
      <c r="U4" s="321"/>
      <c r="V4" s="328" t="s">
        <v>1697</v>
      </c>
      <c r="W4" s="278"/>
      <c r="X4" s="290"/>
      <c r="Y4" s="290"/>
      <c r="Z4" s="290"/>
      <c r="AA4" s="11"/>
    </row>
    <row r="5" spans="1:39" x14ac:dyDescent="0.25">
      <c r="A5" s="99" t="s">
        <v>110</v>
      </c>
      <c r="B5" s="249" t="s">
        <v>104</v>
      </c>
      <c r="C5" s="249" t="s">
        <v>1646</v>
      </c>
      <c r="D5" s="99" t="s">
        <v>111</v>
      </c>
      <c r="E5" s="99" t="s">
        <v>112</v>
      </c>
      <c r="F5" s="228"/>
      <c r="G5" s="101">
        <v>-0.5</v>
      </c>
      <c r="H5" s="102" t="s">
        <v>108</v>
      </c>
      <c r="I5" s="266">
        <v>1.2</v>
      </c>
      <c r="J5" s="249" t="s">
        <v>475</v>
      </c>
      <c r="K5" s="99" t="s">
        <v>109</v>
      </c>
      <c r="L5" s="99"/>
      <c r="M5" s="111"/>
      <c r="N5" s="111" t="s">
        <v>934</v>
      </c>
      <c r="O5" s="111"/>
      <c r="P5" s="328" t="s">
        <v>934</v>
      </c>
      <c r="Q5" s="111"/>
      <c r="R5" s="111"/>
      <c r="S5" s="321"/>
      <c r="T5" s="321"/>
      <c r="U5" s="321"/>
      <c r="V5" s="328" t="s">
        <v>1696</v>
      </c>
      <c r="W5" s="278"/>
      <c r="X5" s="290"/>
      <c r="Y5" s="290"/>
      <c r="Z5" s="290"/>
      <c r="AA5" s="11"/>
    </row>
    <row r="6" spans="1:39" x14ac:dyDescent="0.25">
      <c r="A6" s="99" t="s">
        <v>113</v>
      </c>
      <c r="B6" s="249" t="s">
        <v>104</v>
      </c>
      <c r="C6" s="249" t="s">
        <v>1647</v>
      </c>
      <c r="D6" s="99" t="s">
        <v>114</v>
      </c>
      <c r="E6" s="99" t="s">
        <v>115</v>
      </c>
      <c r="F6" s="228"/>
      <c r="G6" s="101">
        <v>-0.5</v>
      </c>
      <c r="H6" s="102" t="s">
        <v>108</v>
      </c>
      <c r="I6" s="266" t="s">
        <v>116</v>
      </c>
      <c r="J6" s="249" t="s">
        <v>475</v>
      </c>
      <c r="K6" s="99" t="s">
        <v>109</v>
      </c>
      <c r="L6" s="99"/>
      <c r="M6" s="111"/>
      <c r="N6" s="111" t="s">
        <v>934</v>
      </c>
      <c r="O6" s="111"/>
      <c r="P6" s="328" t="s">
        <v>934</v>
      </c>
      <c r="Q6" s="111"/>
      <c r="R6" s="111"/>
      <c r="S6" s="321"/>
      <c r="T6" s="321"/>
      <c r="U6" s="321"/>
      <c r="V6" s="328" t="s">
        <v>1697</v>
      </c>
      <c r="W6" s="278"/>
      <c r="X6" s="290"/>
      <c r="Y6" s="290"/>
      <c r="Z6" s="290"/>
      <c r="AA6" s="11"/>
    </row>
    <row r="7" spans="1:39" x14ac:dyDescent="0.25">
      <c r="A7" s="99" t="s">
        <v>117</v>
      </c>
      <c r="B7" s="249" t="s">
        <v>104</v>
      </c>
      <c r="C7" s="249" t="s">
        <v>1647</v>
      </c>
      <c r="D7" s="99" t="s">
        <v>118</v>
      </c>
      <c r="E7" s="99" t="s">
        <v>119</v>
      </c>
      <c r="F7" s="228"/>
      <c r="G7" s="102" t="s">
        <v>120</v>
      </c>
      <c r="H7" s="102" t="s">
        <v>108</v>
      </c>
      <c r="I7" s="218" t="s">
        <v>121</v>
      </c>
      <c r="J7" s="249" t="s">
        <v>476</v>
      </c>
      <c r="K7" s="99" t="s">
        <v>109</v>
      </c>
      <c r="L7" s="99"/>
      <c r="M7" s="111"/>
      <c r="N7" s="111" t="s">
        <v>934</v>
      </c>
      <c r="O7" s="111"/>
      <c r="P7" s="328" t="s">
        <v>934</v>
      </c>
      <c r="Q7" s="111"/>
      <c r="R7" s="111"/>
      <c r="S7" s="321"/>
      <c r="T7" s="321"/>
      <c r="U7" s="321"/>
      <c r="V7" s="328" t="s">
        <v>1698</v>
      </c>
      <c r="W7" s="278"/>
      <c r="X7" s="290"/>
      <c r="Y7" s="290"/>
      <c r="Z7" s="290"/>
      <c r="AA7" s="11"/>
    </row>
    <row r="8" spans="1:39" x14ac:dyDescent="0.25">
      <c r="A8" s="99" t="s">
        <v>122</v>
      </c>
      <c r="B8" s="249" t="s">
        <v>104</v>
      </c>
      <c r="C8" s="249" t="s">
        <v>1647</v>
      </c>
      <c r="D8" s="99" t="s">
        <v>123</v>
      </c>
      <c r="E8" s="99" t="s">
        <v>124</v>
      </c>
      <c r="F8" s="228"/>
      <c r="G8" s="102" t="s">
        <v>125</v>
      </c>
      <c r="H8" s="102" t="s">
        <v>108</v>
      </c>
      <c r="I8" s="218" t="s">
        <v>126</v>
      </c>
      <c r="J8" s="249" t="s">
        <v>476</v>
      </c>
      <c r="K8" s="99" t="s">
        <v>109</v>
      </c>
      <c r="L8" s="99"/>
      <c r="M8" s="111"/>
      <c r="N8" s="111" t="s">
        <v>934</v>
      </c>
      <c r="O8" s="111"/>
      <c r="P8" s="328" t="s">
        <v>934</v>
      </c>
      <c r="Q8" s="111"/>
      <c r="R8" s="111"/>
      <c r="S8" s="321"/>
      <c r="T8" s="321"/>
      <c r="U8" s="321"/>
      <c r="V8" s="328" t="s">
        <v>1698</v>
      </c>
      <c r="W8" s="278"/>
      <c r="X8" s="227"/>
      <c r="Y8" s="227"/>
      <c r="Z8" s="227"/>
      <c r="AA8" s="11"/>
    </row>
    <row r="9" spans="1:39" x14ac:dyDescent="0.25">
      <c r="A9" s="99" t="s">
        <v>1229</v>
      </c>
      <c r="B9" s="249" t="s">
        <v>104</v>
      </c>
      <c r="C9" s="249" t="s">
        <v>1647</v>
      </c>
      <c r="D9" s="99" t="s">
        <v>1231</v>
      </c>
      <c r="E9" s="99" t="s">
        <v>1245</v>
      </c>
      <c r="F9" s="228"/>
      <c r="G9" s="99">
        <v>2200</v>
      </c>
      <c r="H9" s="99" t="s">
        <v>108</v>
      </c>
      <c r="I9" s="266" t="s">
        <v>108</v>
      </c>
      <c r="J9" s="249" t="s">
        <v>475</v>
      </c>
      <c r="K9" s="99" t="s">
        <v>109</v>
      </c>
      <c r="L9" s="99"/>
      <c r="M9" s="111"/>
      <c r="N9" s="111" t="s">
        <v>934</v>
      </c>
      <c r="O9" s="111"/>
      <c r="P9" s="328" t="s">
        <v>934</v>
      </c>
      <c r="Q9" s="111"/>
      <c r="R9" s="111"/>
      <c r="S9" s="321"/>
      <c r="T9" s="321"/>
      <c r="U9" s="321"/>
      <c r="V9" s="328" t="s">
        <v>1699</v>
      </c>
      <c r="W9" s="278"/>
      <c r="X9" s="227"/>
      <c r="Y9" s="227"/>
      <c r="Z9" s="227"/>
      <c r="AA9" s="11"/>
    </row>
    <row r="10" spans="1:39" x14ac:dyDescent="0.25">
      <c r="A10" s="99" t="s">
        <v>1230</v>
      </c>
      <c r="B10" s="249" t="s">
        <v>104</v>
      </c>
      <c r="C10" s="249" t="s">
        <v>1647</v>
      </c>
      <c r="D10" s="99" t="s">
        <v>1232</v>
      </c>
      <c r="E10" s="99" t="s">
        <v>1246</v>
      </c>
      <c r="F10" s="228"/>
      <c r="G10" s="99">
        <v>500</v>
      </c>
      <c r="H10" s="99" t="s">
        <v>108</v>
      </c>
      <c r="I10" s="266" t="s">
        <v>108</v>
      </c>
      <c r="J10" s="249" t="s">
        <v>475</v>
      </c>
      <c r="K10" s="99" t="s">
        <v>109</v>
      </c>
      <c r="L10" s="99"/>
      <c r="M10" s="111"/>
      <c r="N10" s="111" t="s">
        <v>934</v>
      </c>
      <c r="O10" s="111"/>
      <c r="P10" s="328" t="s">
        <v>934</v>
      </c>
      <c r="Q10" s="111"/>
      <c r="R10" s="111"/>
      <c r="S10" s="321"/>
      <c r="T10" s="321"/>
      <c r="U10" s="321"/>
      <c r="V10" s="328" t="s">
        <v>1698</v>
      </c>
      <c r="W10" s="278"/>
      <c r="X10" s="227"/>
      <c r="Y10" s="227"/>
      <c r="Z10" s="227"/>
      <c r="AA10" s="11"/>
    </row>
    <row r="11" spans="1:39" x14ac:dyDescent="0.25">
      <c r="A11" s="99" t="s">
        <v>1228</v>
      </c>
      <c r="B11" s="249" t="s">
        <v>104</v>
      </c>
      <c r="C11" s="249" t="s">
        <v>1647</v>
      </c>
      <c r="D11" s="99" t="s">
        <v>1233</v>
      </c>
      <c r="E11" s="99" t="s">
        <v>1234</v>
      </c>
      <c r="F11" s="228"/>
      <c r="G11" s="99">
        <v>-100</v>
      </c>
      <c r="H11" s="99" t="s">
        <v>108</v>
      </c>
      <c r="I11" s="266">
        <v>100</v>
      </c>
      <c r="J11" s="249" t="s">
        <v>476</v>
      </c>
      <c r="K11" s="99" t="s">
        <v>109</v>
      </c>
      <c r="L11" s="99"/>
      <c r="M11" s="111"/>
      <c r="N11" s="111" t="s">
        <v>934</v>
      </c>
      <c r="O11" s="111"/>
      <c r="P11" s="328" t="s">
        <v>934</v>
      </c>
      <c r="Q11" s="111"/>
      <c r="R11" s="111"/>
      <c r="S11" s="321"/>
      <c r="T11" s="321"/>
      <c r="U11" s="321"/>
      <c r="V11" s="328" t="s">
        <v>1696</v>
      </c>
      <c r="W11" s="278"/>
      <c r="X11" s="227"/>
      <c r="Y11" s="227"/>
      <c r="Z11" s="227"/>
      <c r="AA11" s="11"/>
    </row>
    <row r="12" spans="1:39" x14ac:dyDescent="0.25">
      <c r="A12" s="9" t="s">
        <v>1487</v>
      </c>
      <c r="B12" s="249" t="s">
        <v>104</v>
      </c>
      <c r="C12" s="249" t="s">
        <v>1647</v>
      </c>
      <c r="D12" s="9" t="s">
        <v>1488</v>
      </c>
      <c r="E12" s="9" t="s">
        <v>1489</v>
      </c>
      <c r="F12" s="303"/>
      <c r="G12" s="9"/>
      <c r="H12" s="9"/>
      <c r="I12" s="1">
        <v>-0.5</v>
      </c>
      <c r="J12" s="268" t="s">
        <v>1490</v>
      </c>
      <c r="K12" s="9" t="s">
        <v>1491</v>
      </c>
      <c r="L12" s="9"/>
      <c r="M12" s="1"/>
      <c r="N12" s="1" t="s">
        <v>934</v>
      </c>
      <c r="O12" s="1"/>
      <c r="P12" s="1" t="s">
        <v>934</v>
      </c>
      <c r="Q12" s="1"/>
      <c r="R12" s="1"/>
      <c r="S12" s="1"/>
      <c r="T12" s="321"/>
      <c r="U12" s="1"/>
      <c r="V12" s="328" t="s">
        <v>1699</v>
      </c>
      <c r="W12" s="278"/>
      <c r="X12" s="227"/>
      <c r="Y12" s="227"/>
      <c r="Z12" s="227"/>
      <c r="AA12" s="11"/>
    </row>
    <row r="13" spans="1:39" x14ac:dyDescent="0.25">
      <c r="A13" s="9" t="s">
        <v>1492</v>
      </c>
      <c r="B13" s="249" t="s">
        <v>104</v>
      </c>
      <c r="C13" s="249" t="s">
        <v>1647</v>
      </c>
      <c r="D13" s="9" t="s">
        <v>1493</v>
      </c>
      <c r="E13" s="9" t="s">
        <v>1494</v>
      </c>
      <c r="F13" s="303"/>
      <c r="G13" s="9"/>
      <c r="H13" s="9"/>
      <c r="I13" s="1" t="s">
        <v>1495</v>
      </c>
      <c r="J13" s="268" t="s">
        <v>1490</v>
      </c>
      <c r="K13" s="9" t="s">
        <v>1491</v>
      </c>
      <c r="L13" s="9"/>
      <c r="M13" s="1"/>
      <c r="N13" s="1" t="s">
        <v>934</v>
      </c>
      <c r="O13" s="1"/>
      <c r="P13" s="1" t="s">
        <v>934</v>
      </c>
      <c r="Q13" s="1"/>
      <c r="R13" s="1"/>
      <c r="S13" s="1"/>
      <c r="T13" s="321"/>
      <c r="U13" s="1"/>
      <c r="V13" s="328" t="s">
        <v>1699</v>
      </c>
      <c r="W13" s="278"/>
      <c r="X13" s="227"/>
      <c r="Y13" s="227"/>
      <c r="Z13" s="227"/>
      <c r="AA13" s="11"/>
    </row>
    <row r="14" spans="1:39" x14ac:dyDescent="0.25">
      <c r="A14" s="9" t="s">
        <v>1496</v>
      </c>
      <c r="B14" s="249" t="s">
        <v>104</v>
      </c>
      <c r="C14" s="249" t="s">
        <v>1646</v>
      </c>
      <c r="D14" s="9" t="s">
        <v>1497</v>
      </c>
      <c r="E14" s="9" t="s">
        <v>1498</v>
      </c>
      <c r="F14" s="303"/>
      <c r="G14" s="9"/>
      <c r="H14" s="9"/>
      <c r="I14" s="1">
        <v>125</v>
      </c>
      <c r="J14" s="268" t="s">
        <v>1499</v>
      </c>
      <c r="K14" s="9"/>
      <c r="L14" s="9"/>
      <c r="M14" s="1"/>
      <c r="N14" s="1" t="s">
        <v>934</v>
      </c>
      <c r="O14" s="1"/>
      <c r="P14" s="1" t="s">
        <v>934</v>
      </c>
      <c r="Q14" s="1"/>
      <c r="R14" s="1"/>
      <c r="S14" s="1"/>
      <c r="T14" s="321"/>
      <c r="U14" s="1"/>
      <c r="V14" s="328" t="s">
        <v>1697</v>
      </c>
      <c r="W14" s="278"/>
      <c r="X14" s="227"/>
      <c r="Y14" s="227"/>
      <c r="Z14" s="227"/>
      <c r="AA14" s="11"/>
    </row>
    <row r="15" spans="1:39" x14ac:dyDescent="0.25">
      <c r="A15" s="179" t="s">
        <v>127</v>
      </c>
      <c r="B15" s="262"/>
      <c r="C15" s="262"/>
      <c r="D15" s="180"/>
      <c r="E15" s="180"/>
      <c r="F15" s="304"/>
      <c r="G15" s="181"/>
      <c r="H15" s="181"/>
      <c r="I15" s="206"/>
      <c r="J15" s="269"/>
      <c r="K15" s="180"/>
      <c r="L15" s="180"/>
      <c r="M15" s="206"/>
      <c r="N15" s="206"/>
      <c r="O15" s="206"/>
      <c r="P15" s="206"/>
      <c r="Q15" s="206"/>
      <c r="R15" s="206"/>
      <c r="S15" s="206"/>
      <c r="T15" s="206"/>
      <c r="U15" s="206"/>
      <c r="V15" s="206"/>
      <c r="W15" s="279"/>
      <c r="X15" s="269"/>
      <c r="Y15" s="269"/>
      <c r="Z15" s="269"/>
      <c r="AA15" s="269"/>
      <c r="AB15" s="269"/>
      <c r="AC15" s="269"/>
      <c r="AD15" s="269"/>
      <c r="AE15" s="269"/>
      <c r="AF15" s="269"/>
      <c r="AG15" s="269"/>
    </row>
    <row r="16" spans="1:39" ht="40.5" x14ac:dyDescent="0.35">
      <c r="A16" s="99" t="s">
        <v>132</v>
      </c>
      <c r="B16" s="249" t="s">
        <v>127</v>
      </c>
      <c r="C16" s="249" t="s">
        <v>1646</v>
      </c>
      <c r="D16" s="99" t="s">
        <v>1098</v>
      </c>
      <c r="E16" s="99" t="s">
        <v>1341</v>
      </c>
      <c r="F16" s="228"/>
      <c r="G16" s="101">
        <v>1.7</v>
      </c>
      <c r="H16" s="101"/>
      <c r="I16" s="266">
        <v>3.6</v>
      </c>
      <c r="J16" s="249" t="s">
        <v>475</v>
      </c>
      <c r="K16" s="363" t="s">
        <v>2112</v>
      </c>
      <c r="L16" s="99"/>
      <c r="M16" s="111"/>
      <c r="N16" s="111" t="s">
        <v>934</v>
      </c>
      <c r="O16" s="111"/>
      <c r="P16" s="328" t="s">
        <v>934</v>
      </c>
      <c r="Q16" s="111"/>
      <c r="R16" s="111"/>
      <c r="S16" s="321"/>
      <c r="T16" s="321"/>
      <c r="U16" s="321"/>
      <c r="V16" s="328" t="s">
        <v>1697</v>
      </c>
      <c r="W16" s="278"/>
      <c r="X16" s="227"/>
      <c r="Y16" s="227"/>
      <c r="Z16" s="227"/>
      <c r="AA16" s="11"/>
    </row>
    <row r="17" spans="1:33" x14ac:dyDescent="0.25">
      <c r="A17" s="99" t="s">
        <v>1190</v>
      </c>
      <c r="B17" s="249" t="s">
        <v>127</v>
      </c>
      <c r="C17" s="249" t="s">
        <v>1647</v>
      </c>
      <c r="D17" s="99" t="s">
        <v>1482</v>
      </c>
      <c r="E17" s="99" t="s">
        <v>1542</v>
      </c>
      <c r="F17" s="228"/>
      <c r="G17" s="101">
        <v>1.7</v>
      </c>
      <c r="H17" s="101"/>
      <c r="I17" s="266">
        <v>3.6</v>
      </c>
      <c r="J17" s="249" t="s">
        <v>475</v>
      </c>
      <c r="K17" s="99"/>
      <c r="L17" s="99"/>
      <c r="M17" s="111"/>
      <c r="N17" s="111" t="s">
        <v>934</v>
      </c>
      <c r="O17" s="111"/>
      <c r="P17" s="328" t="s">
        <v>934</v>
      </c>
      <c r="Q17" s="111"/>
      <c r="R17" s="111"/>
      <c r="S17" s="321"/>
      <c r="T17" s="321"/>
      <c r="U17" s="321"/>
      <c r="V17" s="328" t="s">
        <v>1697</v>
      </c>
      <c r="W17" s="278"/>
      <c r="X17" s="227"/>
      <c r="Y17" s="227"/>
      <c r="Z17" s="227"/>
      <c r="AA17" s="11"/>
    </row>
    <row r="18" spans="1:33" x14ac:dyDescent="0.25">
      <c r="A18" s="99" t="s">
        <v>1350</v>
      </c>
      <c r="B18" s="249" t="s">
        <v>127</v>
      </c>
      <c r="C18" s="249" t="s">
        <v>1648</v>
      </c>
      <c r="D18" s="99" t="s">
        <v>1351</v>
      </c>
      <c r="E18" s="99" t="s">
        <v>1352</v>
      </c>
      <c r="F18" s="228"/>
      <c r="G18" s="101"/>
      <c r="H18" s="101"/>
      <c r="I18" s="318">
        <v>5.5</v>
      </c>
      <c r="J18" s="249" t="s">
        <v>839</v>
      </c>
      <c r="K18" s="99" t="s">
        <v>1669</v>
      </c>
      <c r="L18" s="99"/>
      <c r="M18" s="266"/>
      <c r="N18" s="266" t="s">
        <v>934</v>
      </c>
      <c r="O18" s="266"/>
      <c r="P18" s="328" t="s">
        <v>934</v>
      </c>
      <c r="Q18" s="266"/>
      <c r="R18" s="266"/>
      <c r="S18" s="321"/>
      <c r="T18" s="321"/>
      <c r="U18" s="321"/>
      <c r="V18" s="328" t="s">
        <v>1696</v>
      </c>
      <c r="W18" s="278"/>
      <c r="X18" s="227"/>
      <c r="Y18" s="227"/>
      <c r="Z18" s="227"/>
      <c r="AA18" s="11"/>
    </row>
    <row r="19" spans="1:33" x14ac:dyDescent="0.25">
      <c r="A19" s="99" t="s">
        <v>1191</v>
      </c>
      <c r="B19" s="249" t="s">
        <v>127</v>
      </c>
      <c r="C19" s="249" t="s">
        <v>1647</v>
      </c>
      <c r="D19" s="99" t="s">
        <v>1543</v>
      </c>
      <c r="E19" s="99" t="s">
        <v>1544</v>
      </c>
      <c r="F19" s="228"/>
      <c r="G19" s="101">
        <v>1.7</v>
      </c>
      <c r="H19" s="101"/>
      <c r="I19" s="266">
        <v>3.6</v>
      </c>
      <c r="J19" s="249" t="s">
        <v>475</v>
      </c>
      <c r="K19" s="99"/>
      <c r="L19" s="99"/>
      <c r="M19" s="111"/>
      <c r="N19" s="111" t="s">
        <v>934</v>
      </c>
      <c r="O19" s="111"/>
      <c r="P19" s="328" t="s">
        <v>934</v>
      </c>
      <c r="Q19" s="111"/>
      <c r="R19" s="111"/>
      <c r="S19" s="321"/>
      <c r="T19" s="321"/>
      <c r="U19" s="321"/>
      <c r="V19" s="328" t="s">
        <v>1697</v>
      </c>
      <c r="W19" s="278"/>
      <c r="X19" s="227"/>
      <c r="Y19" s="227"/>
      <c r="Z19" s="227"/>
      <c r="AA19" s="11"/>
    </row>
    <row r="20" spans="1:33" ht="40.5" x14ac:dyDescent="0.35">
      <c r="A20" s="99" t="s">
        <v>1340</v>
      </c>
      <c r="B20" s="249" t="s">
        <v>127</v>
      </c>
      <c r="C20" s="249" t="s">
        <v>1867</v>
      </c>
      <c r="D20" s="99" t="s">
        <v>829</v>
      </c>
      <c r="E20" s="99" t="s">
        <v>1545</v>
      </c>
      <c r="F20" s="228"/>
      <c r="G20" s="101">
        <v>2.6</v>
      </c>
      <c r="H20" s="101"/>
      <c r="I20" s="266">
        <v>3.6</v>
      </c>
      <c r="J20" s="249" t="s">
        <v>475</v>
      </c>
      <c r="K20" s="363" t="s">
        <v>2098</v>
      </c>
      <c r="L20" s="99"/>
      <c r="M20" s="111"/>
      <c r="N20" s="111" t="s">
        <v>934</v>
      </c>
      <c r="O20" s="111"/>
      <c r="P20" s="328" t="s">
        <v>934</v>
      </c>
      <c r="Q20" s="111"/>
      <c r="R20" s="111"/>
      <c r="S20" s="321"/>
      <c r="T20" s="321"/>
      <c r="U20" s="321"/>
      <c r="V20" s="328" t="s">
        <v>1697</v>
      </c>
      <c r="W20" s="278"/>
      <c r="X20" s="227"/>
      <c r="Y20" s="227"/>
      <c r="Z20" s="227"/>
      <c r="AA20" s="11"/>
    </row>
    <row r="21" spans="1:33" x14ac:dyDescent="0.25">
      <c r="A21" s="99" t="s">
        <v>1104</v>
      </c>
      <c r="B21" s="249" t="s">
        <v>127</v>
      </c>
      <c r="C21" s="249" t="s">
        <v>1646</v>
      </c>
      <c r="D21" s="99" t="s">
        <v>1105</v>
      </c>
      <c r="E21" s="99" t="s">
        <v>1546</v>
      </c>
      <c r="F21" s="228"/>
      <c r="G21" s="101">
        <v>1.7</v>
      </c>
      <c r="H21" s="101"/>
      <c r="I21" s="266">
        <v>3.6</v>
      </c>
      <c r="J21" s="249" t="s">
        <v>475</v>
      </c>
      <c r="K21" s="99" t="s">
        <v>1192</v>
      </c>
      <c r="L21" s="99"/>
      <c r="M21" s="111"/>
      <c r="N21" s="111" t="s">
        <v>934</v>
      </c>
      <c r="O21" s="111"/>
      <c r="P21" s="328" t="s">
        <v>934</v>
      </c>
      <c r="Q21" s="111"/>
      <c r="R21" s="111"/>
      <c r="S21" s="321"/>
      <c r="T21" s="321"/>
      <c r="U21" s="321"/>
      <c r="V21" s="328" t="s">
        <v>1697</v>
      </c>
      <c r="W21" s="278"/>
      <c r="X21" s="227"/>
      <c r="Y21" s="227"/>
      <c r="Z21" s="227"/>
      <c r="AA21" s="11"/>
    </row>
    <row r="22" spans="1:33" x14ac:dyDescent="0.25">
      <c r="A22" s="99" t="s">
        <v>133</v>
      </c>
      <c r="B22" s="249" t="s">
        <v>127</v>
      </c>
      <c r="C22" s="249" t="s">
        <v>1646</v>
      </c>
      <c r="D22" s="99" t="s">
        <v>1483</v>
      </c>
      <c r="E22" s="99" t="s">
        <v>1019</v>
      </c>
      <c r="F22" s="228"/>
      <c r="G22" s="102" t="s">
        <v>108</v>
      </c>
      <c r="H22" s="101">
        <v>1.2</v>
      </c>
      <c r="I22" s="218" t="s">
        <v>108</v>
      </c>
      <c r="J22" s="249" t="s">
        <v>475</v>
      </c>
      <c r="K22" s="99" t="s">
        <v>1484</v>
      </c>
      <c r="L22" s="99"/>
      <c r="M22" s="111"/>
      <c r="N22" s="111" t="s">
        <v>934</v>
      </c>
      <c r="O22" s="111"/>
      <c r="P22" s="328" t="s">
        <v>934</v>
      </c>
      <c r="Q22" s="111"/>
      <c r="R22" s="111"/>
      <c r="S22" s="321"/>
      <c r="T22" s="321"/>
      <c r="U22" s="321"/>
      <c r="V22" s="328" t="s">
        <v>1696</v>
      </c>
      <c r="W22" s="278"/>
      <c r="X22" s="227"/>
      <c r="Y22" s="227"/>
      <c r="Z22" s="227"/>
      <c r="AA22" s="11"/>
    </row>
    <row r="23" spans="1:33" x14ac:dyDescent="0.25">
      <c r="A23" s="99" t="s">
        <v>1485</v>
      </c>
      <c r="B23" s="249" t="s">
        <v>127</v>
      </c>
      <c r="C23" s="249" t="s">
        <v>1646</v>
      </c>
      <c r="D23" s="99" t="s">
        <v>1338</v>
      </c>
      <c r="E23" s="99" t="s">
        <v>1019</v>
      </c>
      <c r="F23" s="228"/>
      <c r="G23" s="102" t="s">
        <v>108</v>
      </c>
      <c r="H23" s="101">
        <v>1.1000000000000001</v>
      </c>
      <c r="I23" s="218" t="s">
        <v>108</v>
      </c>
      <c r="J23" s="249" t="s">
        <v>475</v>
      </c>
      <c r="K23" s="99" t="s">
        <v>1020</v>
      </c>
      <c r="L23" s="99"/>
      <c r="M23" s="111"/>
      <c r="N23" s="111" t="s">
        <v>934</v>
      </c>
      <c r="O23" s="111"/>
      <c r="P23" s="328" t="s">
        <v>934</v>
      </c>
      <c r="Q23" s="111"/>
      <c r="R23" s="111"/>
      <c r="S23" s="321"/>
      <c r="T23" s="321"/>
      <c r="U23" s="321"/>
      <c r="V23" s="328" t="s">
        <v>1696</v>
      </c>
      <c r="W23" s="278"/>
      <c r="X23" s="227"/>
      <c r="Y23" s="227"/>
      <c r="Z23" s="227"/>
      <c r="AA23" s="11"/>
    </row>
    <row r="24" spans="1:33" x14ac:dyDescent="0.25">
      <c r="A24" s="99" t="s">
        <v>1486</v>
      </c>
      <c r="B24" s="249" t="s">
        <v>127</v>
      </c>
      <c r="C24" s="249" t="s">
        <v>1646</v>
      </c>
      <c r="D24" s="99" t="s">
        <v>1339</v>
      </c>
      <c r="E24" s="99" t="s">
        <v>1019</v>
      </c>
      <c r="F24" s="228"/>
      <c r="G24" s="102"/>
      <c r="H24" s="101">
        <v>0.9</v>
      </c>
      <c r="I24" s="218"/>
      <c r="J24" s="249" t="s">
        <v>475</v>
      </c>
      <c r="K24" s="99" t="s">
        <v>2051</v>
      </c>
      <c r="L24" s="99"/>
      <c r="M24" s="111"/>
      <c r="N24" s="111" t="s">
        <v>934</v>
      </c>
      <c r="O24" s="111"/>
      <c r="P24" s="328" t="s">
        <v>934</v>
      </c>
      <c r="Q24" s="111"/>
      <c r="R24" s="111"/>
      <c r="S24" s="321"/>
      <c r="T24" s="321"/>
      <c r="U24" s="321"/>
      <c r="V24" s="328" t="s">
        <v>1696</v>
      </c>
      <c r="W24" s="278"/>
      <c r="X24" s="227"/>
      <c r="Y24" s="227"/>
      <c r="Z24" s="227"/>
      <c r="AA24" s="11"/>
    </row>
    <row r="25" spans="1:33" x14ac:dyDescent="0.25">
      <c r="A25" s="99" t="s">
        <v>2049</v>
      </c>
      <c r="B25" s="249" t="s">
        <v>127</v>
      </c>
      <c r="C25" s="249" t="s">
        <v>1646</v>
      </c>
      <c r="D25" s="99" t="s">
        <v>2050</v>
      </c>
      <c r="E25" s="99" t="s">
        <v>1019</v>
      </c>
      <c r="F25" s="228"/>
      <c r="G25" s="102"/>
      <c r="H25" s="101">
        <v>1</v>
      </c>
      <c r="I25" s="218"/>
      <c r="J25" s="249" t="s">
        <v>475</v>
      </c>
      <c r="K25" s="99" t="s">
        <v>2052</v>
      </c>
      <c r="L25" s="99"/>
      <c r="M25" s="328"/>
      <c r="N25" s="328" t="s">
        <v>934</v>
      </c>
      <c r="O25" s="328"/>
      <c r="P25" s="328" t="s">
        <v>934</v>
      </c>
      <c r="Q25" s="328"/>
      <c r="R25" s="328"/>
      <c r="S25" s="328"/>
      <c r="T25" s="328"/>
      <c r="U25" s="328"/>
      <c r="V25" s="328" t="s">
        <v>1696</v>
      </c>
      <c r="W25" s="278"/>
      <c r="X25" s="227"/>
      <c r="Y25" s="227"/>
      <c r="Z25" s="227"/>
      <c r="AA25" s="11"/>
    </row>
    <row r="26" spans="1:33" x14ac:dyDescent="0.25">
      <c r="A26" s="99" t="s">
        <v>134</v>
      </c>
      <c r="B26" s="249" t="s">
        <v>127</v>
      </c>
      <c r="C26" s="249" t="s">
        <v>1646</v>
      </c>
      <c r="D26" s="99" t="s">
        <v>128</v>
      </c>
      <c r="E26" s="99" t="s">
        <v>1184</v>
      </c>
      <c r="F26" s="228"/>
      <c r="G26" s="116">
        <f>H26*0.8</f>
        <v>3.7600000000000002</v>
      </c>
      <c r="H26" s="116">
        <v>4.7</v>
      </c>
      <c r="I26" s="294">
        <f>H26*1.2</f>
        <v>5.64</v>
      </c>
      <c r="J26" s="249" t="s">
        <v>1146</v>
      </c>
      <c r="K26" s="99" t="s">
        <v>1324</v>
      </c>
      <c r="L26" s="99"/>
      <c r="M26" s="111"/>
      <c r="N26" s="111" t="s">
        <v>934</v>
      </c>
      <c r="O26" s="111"/>
      <c r="P26" s="328" t="s">
        <v>934</v>
      </c>
      <c r="Q26" s="111"/>
      <c r="R26" s="111"/>
      <c r="S26" s="321"/>
      <c r="T26" s="321"/>
      <c r="U26" s="321"/>
      <c r="V26" s="328" t="s">
        <v>1696</v>
      </c>
      <c r="W26" s="280"/>
      <c r="X26" s="227"/>
      <c r="Y26" s="227"/>
      <c r="Z26" s="227"/>
      <c r="AA26" s="11"/>
    </row>
    <row r="27" spans="1:33" x14ac:dyDescent="0.25">
      <c r="A27" s="99" t="s">
        <v>135</v>
      </c>
      <c r="B27" s="249" t="s">
        <v>127</v>
      </c>
      <c r="C27" s="249" t="s">
        <v>1646</v>
      </c>
      <c r="D27" s="99" t="s">
        <v>130</v>
      </c>
      <c r="E27" s="99" t="s">
        <v>131</v>
      </c>
      <c r="F27" s="228"/>
      <c r="G27" s="102" t="s">
        <v>108</v>
      </c>
      <c r="H27" s="101">
        <v>10</v>
      </c>
      <c r="I27" s="218" t="s">
        <v>108</v>
      </c>
      <c r="J27" s="249" t="s">
        <v>1146</v>
      </c>
      <c r="K27" s="99" t="s">
        <v>129</v>
      </c>
      <c r="L27" s="99"/>
      <c r="M27" s="111"/>
      <c r="N27" s="111" t="s">
        <v>934</v>
      </c>
      <c r="O27" s="111"/>
      <c r="P27" s="328" t="s">
        <v>934</v>
      </c>
      <c r="Q27" s="111"/>
      <c r="R27" s="111"/>
      <c r="S27" s="321"/>
      <c r="T27" s="321"/>
      <c r="U27" s="321"/>
      <c r="V27" s="328" t="s">
        <v>1696</v>
      </c>
      <c r="W27" s="281"/>
      <c r="X27" s="227"/>
      <c r="Y27" s="227"/>
      <c r="Z27" s="227"/>
      <c r="AA27" s="11"/>
    </row>
    <row r="28" spans="1:33" x14ac:dyDescent="0.25">
      <c r="A28" s="369" t="s">
        <v>1021</v>
      </c>
      <c r="B28" s="370"/>
      <c r="C28" s="370"/>
      <c r="D28" s="370"/>
      <c r="E28" s="370"/>
      <c r="F28" s="370"/>
      <c r="G28" s="370"/>
      <c r="H28" s="370"/>
      <c r="I28" s="370"/>
      <c r="J28" s="370"/>
      <c r="K28" s="371"/>
      <c r="L28" s="194"/>
      <c r="M28" s="209"/>
      <c r="N28" s="209"/>
      <c r="O28" s="209"/>
      <c r="P28" s="209"/>
      <c r="Q28" s="209"/>
      <c r="R28" s="209"/>
      <c r="S28" s="209"/>
      <c r="T28" s="209"/>
      <c r="U28" s="209"/>
      <c r="V28" s="209"/>
      <c r="W28" s="209"/>
      <c r="X28" s="209"/>
      <c r="Y28" s="209"/>
      <c r="Z28" s="209"/>
      <c r="AA28" s="209"/>
      <c r="AB28" s="209"/>
      <c r="AC28" s="209"/>
      <c r="AD28" s="209"/>
      <c r="AE28" s="209"/>
      <c r="AF28" s="209"/>
      <c r="AG28" s="209"/>
    </row>
    <row r="29" spans="1:33" x14ac:dyDescent="0.25">
      <c r="A29" s="134" t="s">
        <v>1029</v>
      </c>
      <c r="B29" s="249" t="s">
        <v>1021</v>
      </c>
      <c r="C29" s="249" t="s">
        <v>1646</v>
      </c>
      <c r="D29" s="134" t="s">
        <v>1869</v>
      </c>
      <c r="E29" s="134" t="s">
        <v>1870</v>
      </c>
      <c r="F29" s="305"/>
      <c r="G29" s="134"/>
      <c r="H29" s="134">
        <v>6</v>
      </c>
      <c r="I29" s="208">
        <v>8</v>
      </c>
      <c r="J29" s="270" t="s">
        <v>849</v>
      </c>
      <c r="K29" s="134" t="s">
        <v>1872</v>
      </c>
      <c r="L29" s="200"/>
      <c r="M29" s="207"/>
      <c r="N29" s="207" t="s">
        <v>934</v>
      </c>
      <c r="O29" s="207"/>
      <c r="P29" s="207" t="s">
        <v>934</v>
      </c>
      <c r="Q29" s="207"/>
      <c r="R29" s="207"/>
      <c r="S29" s="207"/>
      <c r="T29" s="321"/>
      <c r="U29" s="207"/>
      <c r="V29" s="328" t="s">
        <v>1696</v>
      </c>
      <c r="W29" s="278"/>
      <c r="X29" s="227"/>
      <c r="Y29" s="227"/>
      <c r="Z29" s="227"/>
      <c r="AA29" s="11"/>
    </row>
    <row r="30" spans="1:33" x14ac:dyDescent="0.25">
      <c r="A30" s="134" t="s">
        <v>1868</v>
      </c>
      <c r="B30" s="249" t="s">
        <v>1021</v>
      </c>
      <c r="C30" s="249" t="s">
        <v>1646</v>
      </c>
      <c r="D30" s="134" t="s">
        <v>1099</v>
      </c>
      <c r="E30" s="134" t="s">
        <v>1365</v>
      </c>
      <c r="F30" s="305"/>
      <c r="G30" s="134"/>
      <c r="H30" s="134">
        <v>7</v>
      </c>
      <c r="I30" s="208">
        <v>11</v>
      </c>
      <c r="J30" s="270" t="s">
        <v>849</v>
      </c>
      <c r="K30" s="134" t="s">
        <v>1872</v>
      </c>
      <c r="L30" s="200"/>
      <c r="M30" s="207"/>
      <c r="N30" s="207" t="s">
        <v>934</v>
      </c>
      <c r="O30" s="207"/>
      <c r="P30" s="207" t="s">
        <v>934</v>
      </c>
      <c r="Q30" s="207"/>
      <c r="R30" s="207"/>
      <c r="S30" s="207"/>
      <c r="T30" s="328"/>
      <c r="U30" s="207"/>
      <c r="V30" s="328" t="s">
        <v>1696</v>
      </c>
      <c r="W30" s="278"/>
      <c r="X30" s="227"/>
      <c r="Y30" s="227"/>
      <c r="Z30" s="227"/>
      <c r="AA30" s="11"/>
    </row>
    <row r="31" spans="1:33" s="117" customFormat="1" x14ac:dyDescent="0.25">
      <c r="A31" s="134" t="s">
        <v>1250</v>
      </c>
      <c r="B31" s="249" t="s">
        <v>1021</v>
      </c>
      <c r="C31" s="249" t="s">
        <v>1646</v>
      </c>
      <c r="D31" s="134" t="s">
        <v>1251</v>
      </c>
      <c r="E31" s="134" t="s">
        <v>1871</v>
      </c>
      <c r="F31" s="305"/>
      <c r="G31" s="134"/>
      <c r="H31" s="134">
        <v>8</v>
      </c>
      <c r="I31" s="208">
        <v>12</v>
      </c>
      <c r="J31" s="270" t="s">
        <v>849</v>
      </c>
      <c r="K31" s="134" t="s">
        <v>1872</v>
      </c>
      <c r="L31" s="134"/>
      <c r="M31" s="208"/>
      <c r="N31" s="208" t="s">
        <v>934</v>
      </c>
      <c r="O31" s="208"/>
      <c r="P31" s="208" t="s">
        <v>934</v>
      </c>
      <c r="Q31" s="208"/>
      <c r="R31" s="208"/>
      <c r="S31" s="208"/>
      <c r="T31" s="208"/>
      <c r="U31" s="208"/>
      <c r="V31" s="208" t="s">
        <v>1698</v>
      </c>
      <c r="W31" s="280"/>
      <c r="X31" s="231"/>
      <c r="Y31" s="231"/>
      <c r="Z31" s="231"/>
      <c r="AA31" s="232"/>
      <c r="AB31" s="230"/>
      <c r="AC31" s="230"/>
      <c r="AD31" s="230"/>
      <c r="AE31" s="230"/>
      <c r="AF31" s="230"/>
      <c r="AG31" s="230"/>
    </row>
    <row r="32" spans="1:33" s="117" customFormat="1" x14ac:dyDescent="0.25">
      <c r="A32" s="134" t="s">
        <v>1677</v>
      </c>
      <c r="B32" s="249" t="s">
        <v>1021</v>
      </c>
      <c r="C32" s="249" t="s">
        <v>1619</v>
      </c>
      <c r="D32" s="134" t="s">
        <v>1675</v>
      </c>
      <c r="E32" s="134" t="s">
        <v>1676</v>
      </c>
      <c r="F32" s="305"/>
      <c r="G32" s="134"/>
      <c r="H32" s="134">
        <v>0.1</v>
      </c>
      <c r="I32" s="208">
        <v>1.5</v>
      </c>
      <c r="J32" s="270" t="s">
        <v>849</v>
      </c>
      <c r="K32" s="134" t="s">
        <v>1690</v>
      </c>
      <c r="L32" s="134"/>
      <c r="M32" s="208"/>
      <c r="N32" s="208" t="s">
        <v>934</v>
      </c>
      <c r="O32" s="208"/>
      <c r="P32" s="208" t="s">
        <v>934</v>
      </c>
      <c r="Q32" s="208"/>
      <c r="R32" s="208"/>
      <c r="S32" s="208"/>
      <c r="T32" s="321"/>
      <c r="U32" s="208"/>
      <c r="V32" s="328" t="s">
        <v>1696</v>
      </c>
      <c r="W32" s="280"/>
      <c r="X32" s="231"/>
      <c r="Y32" s="231"/>
      <c r="Z32" s="231"/>
      <c r="AA32" s="232"/>
      <c r="AB32" s="230"/>
      <c r="AC32" s="230"/>
      <c r="AD32" s="230"/>
      <c r="AE32" s="230"/>
      <c r="AF32" s="230"/>
      <c r="AG32" s="230"/>
    </row>
    <row r="33" spans="1:33" s="117" customFormat="1" x14ac:dyDescent="0.25">
      <c r="A33" s="369" t="s">
        <v>1022</v>
      </c>
      <c r="B33" s="370"/>
      <c r="C33" s="370"/>
      <c r="D33" s="370"/>
      <c r="E33" s="370"/>
      <c r="F33" s="370"/>
      <c r="G33" s="370"/>
      <c r="H33" s="370"/>
      <c r="I33" s="370"/>
      <c r="J33" s="370"/>
      <c r="K33" s="371"/>
      <c r="L33" s="194"/>
      <c r="M33" s="209"/>
      <c r="N33" s="209"/>
      <c r="O33" s="209"/>
      <c r="P33" s="209"/>
      <c r="Q33" s="209"/>
      <c r="R33" s="209"/>
      <c r="S33" s="209"/>
      <c r="T33" s="209"/>
      <c r="U33" s="209"/>
      <c r="V33" s="209"/>
      <c r="W33" s="209"/>
      <c r="X33" s="209"/>
      <c r="Y33" s="209"/>
      <c r="Z33" s="209"/>
      <c r="AA33" s="209"/>
      <c r="AB33" s="209"/>
      <c r="AC33" s="209"/>
      <c r="AD33" s="209"/>
      <c r="AE33" s="209"/>
      <c r="AF33" s="209"/>
      <c r="AG33" s="209"/>
    </row>
    <row r="34" spans="1:33" s="229" customFormat="1" ht="23" x14ac:dyDescent="0.25">
      <c r="A34" s="224" t="s">
        <v>1030</v>
      </c>
      <c r="B34" s="217" t="s">
        <v>1022</v>
      </c>
      <c r="C34" s="217" t="s">
        <v>1646</v>
      </c>
      <c r="D34" s="224" t="s">
        <v>141</v>
      </c>
      <c r="E34" s="224" t="s">
        <v>1277</v>
      </c>
      <c r="F34" s="224"/>
      <c r="G34" s="224"/>
      <c r="H34" s="224">
        <v>300</v>
      </c>
      <c r="I34" s="217"/>
      <c r="J34" s="217" t="s">
        <v>832</v>
      </c>
      <c r="K34" s="224" t="s">
        <v>1673</v>
      </c>
      <c r="L34" s="225"/>
      <c r="M34" s="226"/>
      <c r="N34" s="226" t="s">
        <v>934</v>
      </c>
      <c r="O34" s="226"/>
      <c r="P34" s="226" t="s">
        <v>934</v>
      </c>
      <c r="Q34" s="226"/>
      <c r="R34" s="226"/>
      <c r="S34" s="226"/>
      <c r="T34" s="321"/>
      <c r="U34" s="226"/>
      <c r="V34" s="328" t="s">
        <v>1698</v>
      </c>
      <c r="W34" s="283"/>
      <c r="X34" s="227"/>
      <c r="Y34" s="227"/>
      <c r="Z34" s="227"/>
      <c r="AA34" s="11"/>
      <c r="AB34" s="228"/>
      <c r="AC34" s="228"/>
      <c r="AD34" s="228"/>
      <c r="AE34" s="228"/>
      <c r="AF34" s="228"/>
      <c r="AG34" s="228"/>
    </row>
    <row r="35" spans="1:33" s="233" customFormat="1" ht="23" x14ac:dyDescent="0.25">
      <c r="A35" s="224" t="s">
        <v>1275</v>
      </c>
      <c r="B35" s="217" t="s">
        <v>1022</v>
      </c>
      <c r="C35" s="217" t="s">
        <v>1646</v>
      </c>
      <c r="D35" s="224" t="s">
        <v>1276</v>
      </c>
      <c r="E35" s="224" t="s">
        <v>419</v>
      </c>
      <c r="F35" s="224"/>
      <c r="G35" s="224"/>
      <c r="H35" s="224">
        <v>500</v>
      </c>
      <c r="I35" s="217"/>
      <c r="J35" s="217" t="s">
        <v>832</v>
      </c>
      <c r="K35" s="224" t="s">
        <v>1673</v>
      </c>
      <c r="L35" s="225"/>
      <c r="M35" s="226"/>
      <c r="N35" s="226" t="s">
        <v>934</v>
      </c>
      <c r="O35" s="226"/>
      <c r="P35" s="226" t="s">
        <v>934</v>
      </c>
      <c r="Q35" s="226"/>
      <c r="R35" s="226"/>
      <c r="S35" s="226"/>
      <c r="T35" s="321"/>
      <c r="U35" s="226"/>
      <c r="V35" s="328" t="s">
        <v>1696</v>
      </c>
      <c r="W35" s="284"/>
      <c r="X35" s="231"/>
      <c r="Y35" s="231"/>
      <c r="Z35" s="231"/>
      <c r="AA35" s="232"/>
      <c r="AB35" s="230"/>
      <c r="AC35" s="230"/>
      <c r="AD35" s="230"/>
      <c r="AE35" s="230"/>
      <c r="AF35" s="230"/>
      <c r="AG35" s="230"/>
    </row>
    <row r="36" spans="1:33" s="233" customFormat="1" ht="23" x14ac:dyDescent="0.35">
      <c r="A36" s="224" t="s">
        <v>1513</v>
      </c>
      <c r="B36" s="217" t="s">
        <v>1022</v>
      </c>
      <c r="C36" s="217" t="s">
        <v>1646</v>
      </c>
      <c r="D36" s="224" t="s">
        <v>1514</v>
      </c>
      <c r="E36" s="224" t="s">
        <v>1277</v>
      </c>
      <c r="F36" s="224"/>
      <c r="G36" s="224"/>
      <c r="H36" s="224">
        <v>800</v>
      </c>
      <c r="I36" s="217"/>
      <c r="J36" s="217" t="s">
        <v>832</v>
      </c>
      <c r="K36" s="224" t="s">
        <v>1674</v>
      </c>
      <c r="L36" s="224"/>
      <c r="M36" s="217"/>
      <c r="N36" s="217" t="s">
        <v>934</v>
      </c>
      <c r="O36" s="217"/>
      <c r="P36" s="217" t="s">
        <v>934</v>
      </c>
      <c r="Q36" s="217"/>
      <c r="R36" s="217"/>
      <c r="S36" s="217"/>
      <c r="T36" s="217"/>
      <c r="U36" s="217"/>
      <c r="V36" s="217" t="s">
        <v>1698</v>
      </c>
      <c r="W36" s="284"/>
      <c r="X36" s="231"/>
      <c r="Y36" s="231"/>
      <c r="Z36" s="231"/>
      <c r="AA36" s="232"/>
      <c r="AB36" s="230"/>
      <c r="AC36" s="230"/>
      <c r="AD36" s="230"/>
      <c r="AE36" s="230"/>
      <c r="AF36" s="230"/>
      <c r="AG36" s="230"/>
    </row>
    <row r="37" spans="1:33" s="233" customFormat="1" ht="23" x14ac:dyDescent="0.35">
      <c r="A37" s="224" t="s">
        <v>1515</v>
      </c>
      <c r="B37" s="217" t="s">
        <v>1022</v>
      </c>
      <c r="C37" s="217" t="s">
        <v>1646</v>
      </c>
      <c r="D37" s="224" t="s">
        <v>1516</v>
      </c>
      <c r="E37" s="224" t="s">
        <v>419</v>
      </c>
      <c r="F37" s="224"/>
      <c r="G37" s="224"/>
      <c r="H37" s="224">
        <v>1000</v>
      </c>
      <c r="I37" s="217"/>
      <c r="J37" s="217" t="s">
        <v>832</v>
      </c>
      <c r="K37" s="224" t="s">
        <v>1674</v>
      </c>
      <c r="L37" s="225"/>
      <c r="M37" s="226"/>
      <c r="N37" s="226" t="s">
        <v>934</v>
      </c>
      <c r="O37" s="226"/>
      <c r="P37" s="226" t="s">
        <v>934</v>
      </c>
      <c r="Q37" s="226"/>
      <c r="R37" s="226"/>
      <c r="S37" s="226"/>
      <c r="T37" s="226"/>
      <c r="U37" s="226"/>
      <c r="V37" s="226" t="s">
        <v>1698</v>
      </c>
      <c r="W37" s="284"/>
      <c r="X37" s="231"/>
      <c r="Y37" s="231"/>
      <c r="Z37" s="231"/>
      <c r="AA37" s="232"/>
      <c r="AB37" s="230"/>
      <c r="AC37" s="230"/>
      <c r="AD37" s="230"/>
      <c r="AE37" s="230"/>
      <c r="AF37" s="230"/>
      <c r="AG37" s="230"/>
    </row>
    <row r="38" spans="1:33" s="233" customFormat="1" ht="23.4" customHeight="1" x14ac:dyDescent="0.25">
      <c r="A38" s="224" t="s">
        <v>1678</v>
      </c>
      <c r="B38" s="217" t="s">
        <v>1022</v>
      </c>
      <c r="C38" s="217" t="s">
        <v>1646</v>
      </c>
      <c r="D38" s="224" t="s">
        <v>1675</v>
      </c>
      <c r="E38" s="350" t="s">
        <v>1679</v>
      </c>
      <c r="F38" s="224"/>
      <c r="G38" s="224"/>
      <c r="H38" s="224">
        <v>100</v>
      </c>
      <c r="I38" s="217">
        <v>1500</v>
      </c>
      <c r="J38" s="217" t="s">
        <v>832</v>
      </c>
      <c r="K38" s="134" t="s">
        <v>1690</v>
      </c>
      <c r="L38" s="225"/>
      <c r="M38" s="226"/>
      <c r="N38" s="226" t="s">
        <v>934</v>
      </c>
      <c r="O38" s="226"/>
      <c r="P38" s="226" t="s">
        <v>934</v>
      </c>
      <c r="Q38" s="226"/>
      <c r="R38" s="226"/>
      <c r="S38" s="226"/>
      <c r="T38" s="321"/>
      <c r="U38" s="226"/>
      <c r="V38" s="328" t="s">
        <v>1696</v>
      </c>
      <c r="W38" s="284"/>
      <c r="X38" s="231"/>
      <c r="Y38" s="231"/>
      <c r="Z38" s="231"/>
      <c r="AA38" s="232"/>
      <c r="AB38" s="230"/>
      <c r="AC38" s="230"/>
      <c r="AD38" s="230"/>
      <c r="AE38" s="230"/>
      <c r="AF38" s="230"/>
      <c r="AG38" s="230"/>
    </row>
    <row r="39" spans="1:33" s="117" customFormat="1" x14ac:dyDescent="0.25">
      <c r="A39" s="381" t="s">
        <v>1519</v>
      </c>
      <c r="B39" s="381"/>
      <c r="C39" s="381"/>
      <c r="D39" s="381"/>
      <c r="E39" s="381"/>
      <c r="F39" s="381"/>
      <c r="G39" s="381"/>
      <c r="H39" s="381"/>
      <c r="I39" s="381"/>
      <c r="J39" s="381"/>
      <c r="K39" s="382"/>
      <c r="L39" s="195"/>
      <c r="M39" s="210"/>
      <c r="N39" s="210"/>
      <c r="O39" s="210"/>
      <c r="P39" s="210"/>
      <c r="Q39" s="210"/>
      <c r="R39" s="210"/>
      <c r="S39" s="210"/>
      <c r="T39" s="210"/>
      <c r="U39" s="210"/>
      <c r="V39" s="210"/>
      <c r="W39" s="279"/>
      <c r="X39" s="269"/>
      <c r="Y39" s="269"/>
      <c r="Z39" s="269"/>
      <c r="AA39" s="269"/>
      <c r="AB39" s="269"/>
      <c r="AC39" s="269"/>
      <c r="AD39" s="269"/>
      <c r="AE39" s="269"/>
      <c r="AF39" s="269"/>
      <c r="AG39" s="269"/>
    </row>
    <row r="40" spans="1:33" s="117" customFormat="1" ht="21.65" customHeight="1" x14ac:dyDescent="0.25">
      <c r="A40" s="348" t="s">
        <v>1520</v>
      </c>
      <c r="B40" s="349" t="s">
        <v>1519</v>
      </c>
      <c r="C40" s="349" t="s">
        <v>35</v>
      </c>
      <c r="D40" s="348" t="s">
        <v>1521</v>
      </c>
      <c r="E40" s="348" t="s">
        <v>1688</v>
      </c>
      <c r="F40" s="224"/>
      <c r="G40" s="224" t="s">
        <v>108</v>
      </c>
      <c r="H40" s="224">
        <v>25</v>
      </c>
      <c r="I40" s="217">
        <v>45</v>
      </c>
      <c r="J40" s="217" t="s">
        <v>476</v>
      </c>
      <c r="K40" s="9" t="s">
        <v>1533</v>
      </c>
      <c r="L40" s="201"/>
      <c r="M40" s="211"/>
      <c r="N40" s="211" t="s">
        <v>934</v>
      </c>
      <c r="O40" s="211"/>
      <c r="P40" s="211" t="s">
        <v>934</v>
      </c>
      <c r="Q40" s="211"/>
      <c r="R40" s="211"/>
      <c r="S40" s="211"/>
      <c r="T40" s="211"/>
      <c r="U40" s="211"/>
      <c r="V40" s="211" t="s">
        <v>1696</v>
      </c>
      <c r="W40" s="282"/>
      <c r="X40" s="231"/>
      <c r="Y40" s="231"/>
      <c r="Z40" s="231"/>
      <c r="AA40" s="232"/>
      <c r="AB40" s="230"/>
      <c r="AC40" s="230"/>
      <c r="AD40" s="230"/>
      <c r="AE40" s="230"/>
      <c r="AF40" s="230"/>
      <c r="AG40" s="230"/>
    </row>
    <row r="41" spans="1:33" s="117" customFormat="1" ht="24.65" customHeight="1" x14ac:dyDescent="0.25">
      <c r="A41" s="348" t="s">
        <v>1809</v>
      </c>
      <c r="B41" s="349" t="s">
        <v>1519</v>
      </c>
      <c r="C41" s="349" t="s">
        <v>35</v>
      </c>
      <c r="D41" s="348" t="s">
        <v>1808</v>
      </c>
      <c r="E41" s="348" t="s">
        <v>1688</v>
      </c>
      <c r="F41" s="224"/>
      <c r="G41" s="224" t="s">
        <v>108</v>
      </c>
      <c r="H41" s="224">
        <v>25</v>
      </c>
      <c r="I41" s="217">
        <v>45</v>
      </c>
      <c r="J41" s="217" t="s">
        <v>476</v>
      </c>
      <c r="K41" s="9" t="s">
        <v>1534</v>
      </c>
      <c r="L41" s="201"/>
      <c r="M41" s="211"/>
      <c r="N41" s="211" t="s">
        <v>934</v>
      </c>
      <c r="O41" s="211"/>
      <c r="P41" s="211" t="s">
        <v>934</v>
      </c>
      <c r="Q41" s="211"/>
      <c r="R41" s="211"/>
      <c r="S41" s="211"/>
      <c r="T41" s="211"/>
      <c r="U41" s="211"/>
      <c r="V41" s="211" t="s">
        <v>1698</v>
      </c>
      <c r="W41" s="282"/>
      <c r="X41" s="231"/>
      <c r="Y41" s="231"/>
      <c r="Z41" s="231"/>
      <c r="AA41" s="232"/>
      <c r="AB41" s="230"/>
      <c r="AC41" s="230"/>
      <c r="AD41" s="230"/>
      <c r="AE41" s="230"/>
      <c r="AF41" s="230"/>
      <c r="AG41" s="230"/>
    </row>
    <row r="42" spans="1:33" s="117" customFormat="1" ht="23.4" customHeight="1" x14ac:dyDescent="0.25">
      <c r="A42" s="348" t="s">
        <v>1522</v>
      </c>
      <c r="B42" s="349" t="s">
        <v>1519</v>
      </c>
      <c r="C42" s="349" t="s">
        <v>35</v>
      </c>
      <c r="D42" s="348" t="s">
        <v>1523</v>
      </c>
      <c r="E42" s="348" t="s">
        <v>1689</v>
      </c>
      <c r="F42" s="224"/>
      <c r="G42" s="224" t="s">
        <v>108</v>
      </c>
      <c r="H42" s="224">
        <v>18</v>
      </c>
      <c r="I42" s="217">
        <v>35</v>
      </c>
      <c r="J42" s="217" t="s">
        <v>476</v>
      </c>
      <c r="K42" s="9" t="s">
        <v>1533</v>
      </c>
      <c r="L42" s="201"/>
      <c r="M42" s="211"/>
      <c r="N42" s="211" t="s">
        <v>934</v>
      </c>
      <c r="O42" s="211"/>
      <c r="P42" s="211" t="s">
        <v>934</v>
      </c>
      <c r="Q42" s="211"/>
      <c r="R42" s="211"/>
      <c r="S42" s="211"/>
      <c r="T42" s="211"/>
      <c r="U42" s="211"/>
      <c r="V42" s="211" t="s">
        <v>1698</v>
      </c>
      <c r="W42" s="282"/>
      <c r="X42" s="231"/>
      <c r="Y42" s="231"/>
      <c r="Z42" s="231"/>
      <c r="AA42" s="232"/>
      <c r="AB42" s="230"/>
      <c r="AC42" s="230"/>
      <c r="AD42" s="230"/>
      <c r="AE42" s="230"/>
      <c r="AF42" s="230"/>
      <c r="AG42" s="230"/>
    </row>
    <row r="43" spans="1:33" s="117" customFormat="1" ht="23.4" customHeight="1" x14ac:dyDescent="0.25">
      <c r="A43" s="348" t="s">
        <v>1811</v>
      </c>
      <c r="B43" s="349" t="s">
        <v>1519</v>
      </c>
      <c r="C43" s="349" t="s">
        <v>35</v>
      </c>
      <c r="D43" s="348" t="s">
        <v>1810</v>
      </c>
      <c r="E43" s="348" t="s">
        <v>1689</v>
      </c>
      <c r="F43" s="224"/>
      <c r="G43" s="224" t="s">
        <v>108</v>
      </c>
      <c r="H43" s="224">
        <v>18</v>
      </c>
      <c r="I43" s="217">
        <v>35</v>
      </c>
      <c r="J43" s="217" t="s">
        <v>476</v>
      </c>
      <c r="K43" s="9" t="s">
        <v>1534</v>
      </c>
      <c r="L43" s="201"/>
      <c r="M43" s="211"/>
      <c r="N43" s="211" t="s">
        <v>934</v>
      </c>
      <c r="O43" s="211"/>
      <c r="P43" s="211" t="s">
        <v>934</v>
      </c>
      <c r="Q43" s="211"/>
      <c r="R43" s="211"/>
      <c r="S43" s="211"/>
      <c r="T43" s="211"/>
      <c r="U43" s="211"/>
      <c r="V43" s="211" t="s">
        <v>1698</v>
      </c>
      <c r="W43" s="282"/>
      <c r="X43" s="231"/>
      <c r="Y43" s="231"/>
      <c r="Z43" s="231"/>
      <c r="AA43" s="232"/>
      <c r="AB43" s="230"/>
      <c r="AC43" s="230"/>
      <c r="AD43" s="230"/>
      <c r="AE43" s="230"/>
      <c r="AF43" s="230"/>
      <c r="AG43" s="230"/>
    </row>
    <row r="44" spans="1:33" s="117" customFormat="1" ht="21.65" customHeight="1" x14ac:dyDescent="0.25">
      <c r="A44" s="348" t="s">
        <v>1524</v>
      </c>
      <c r="B44" s="349" t="s">
        <v>1519</v>
      </c>
      <c r="C44" s="349" t="s">
        <v>35</v>
      </c>
      <c r="D44" s="348" t="s">
        <v>1525</v>
      </c>
      <c r="E44" s="348" t="s">
        <v>1874</v>
      </c>
      <c r="F44" s="224"/>
      <c r="G44" s="224" t="s">
        <v>108</v>
      </c>
      <c r="H44" s="224">
        <v>12</v>
      </c>
      <c r="I44" s="217">
        <v>27</v>
      </c>
      <c r="J44" s="217" t="s">
        <v>476</v>
      </c>
      <c r="K44" s="9" t="s">
        <v>1533</v>
      </c>
      <c r="L44" s="201"/>
      <c r="M44" s="211"/>
      <c r="N44" s="211" t="s">
        <v>934</v>
      </c>
      <c r="O44" s="211"/>
      <c r="P44" s="211" t="s">
        <v>934</v>
      </c>
      <c r="Q44" s="211"/>
      <c r="R44" s="211"/>
      <c r="S44" s="211"/>
      <c r="T44" s="211"/>
      <c r="U44" s="211"/>
      <c r="V44" s="211" t="s">
        <v>1698</v>
      </c>
      <c r="W44" s="282"/>
      <c r="X44" s="231"/>
      <c r="Y44" s="231"/>
      <c r="Z44" s="231"/>
      <c r="AA44" s="232"/>
      <c r="AB44" s="230"/>
      <c r="AC44" s="230"/>
      <c r="AD44" s="230"/>
      <c r="AE44" s="230"/>
      <c r="AF44" s="230"/>
      <c r="AG44" s="230"/>
    </row>
    <row r="45" spans="1:33" s="117" customFormat="1" ht="22.25" customHeight="1" x14ac:dyDescent="0.25">
      <c r="A45" s="348" t="s">
        <v>1812</v>
      </c>
      <c r="B45" s="349" t="s">
        <v>1519</v>
      </c>
      <c r="C45" s="349" t="s">
        <v>35</v>
      </c>
      <c r="D45" s="348" t="s">
        <v>1813</v>
      </c>
      <c r="E45" s="348" t="s">
        <v>1874</v>
      </c>
      <c r="F45" s="224"/>
      <c r="G45" s="224" t="s">
        <v>108</v>
      </c>
      <c r="H45" s="224">
        <v>12</v>
      </c>
      <c r="I45" s="4">
        <v>27</v>
      </c>
      <c r="J45" s="217" t="s">
        <v>476</v>
      </c>
      <c r="K45" s="9" t="s">
        <v>1534</v>
      </c>
      <c r="L45" s="201"/>
      <c r="M45" s="211"/>
      <c r="N45" s="211" t="s">
        <v>934</v>
      </c>
      <c r="O45" s="211"/>
      <c r="P45" s="211" t="s">
        <v>934</v>
      </c>
      <c r="Q45" s="211"/>
      <c r="R45" s="211"/>
      <c r="S45" s="211"/>
      <c r="T45" s="211"/>
      <c r="U45" s="211"/>
      <c r="V45" s="211" t="s">
        <v>1698</v>
      </c>
      <c r="W45" s="282"/>
      <c r="X45" s="231"/>
      <c r="Y45" s="231"/>
      <c r="Z45" s="231"/>
      <c r="AA45" s="232"/>
      <c r="AB45" s="230"/>
      <c r="AC45" s="230"/>
      <c r="AD45" s="230"/>
      <c r="AE45" s="230"/>
      <c r="AF45" s="230"/>
      <c r="AG45" s="230"/>
    </row>
    <row r="46" spans="1:33" s="117" customFormat="1" ht="26" customHeight="1" x14ac:dyDescent="0.25">
      <c r="A46" s="348" t="s">
        <v>1827</v>
      </c>
      <c r="B46" s="349" t="s">
        <v>1519</v>
      </c>
      <c r="C46" s="349" t="s">
        <v>35</v>
      </c>
      <c r="D46" s="348" t="s">
        <v>1815</v>
      </c>
      <c r="E46" s="348" t="s">
        <v>1814</v>
      </c>
      <c r="F46" s="224"/>
      <c r="G46" s="224" t="s">
        <v>108</v>
      </c>
      <c r="H46" s="224">
        <v>7</v>
      </c>
      <c r="I46" s="4">
        <v>18</v>
      </c>
      <c r="J46" s="217" t="s">
        <v>476</v>
      </c>
      <c r="K46" s="9" t="s">
        <v>1533</v>
      </c>
      <c r="L46" s="201"/>
      <c r="M46" s="211"/>
      <c r="N46" s="211" t="s">
        <v>934</v>
      </c>
      <c r="O46" s="211"/>
      <c r="P46" s="211" t="s">
        <v>934</v>
      </c>
      <c r="Q46" s="211"/>
      <c r="R46" s="211"/>
      <c r="S46" s="211"/>
      <c r="T46" s="211"/>
      <c r="U46" s="211"/>
      <c r="V46" s="211" t="s">
        <v>1698</v>
      </c>
      <c r="W46" s="282"/>
      <c r="X46" s="231"/>
      <c r="Y46" s="231"/>
      <c r="Z46" s="231"/>
      <c r="AA46" s="232"/>
      <c r="AB46" s="230"/>
      <c r="AC46" s="230"/>
      <c r="AD46" s="230"/>
      <c r="AE46" s="230"/>
      <c r="AF46" s="230"/>
      <c r="AG46" s="230"/>
    </row>
    <row r="47" spans="1:33" s="117" customFormat="1" ht="30" customHeight="1" x14ac:dyDescent="0.25">
      <c r="A47" s="348" t="s">
        <v>1828</v>
      </c>
      <c r="B47" s="349" t="s">
        <v>1519</v>
      </c>
      <c r="C47" s="349" t="s">
        <v>35</v>
      </c>
      <c r="D47" s="348" t="s">
        <v>1816</v>
      </c>
      <c r="E47" s="348" t="s">
        <v>1814</v>
      </c>
      <c r="F47" s="224"/>
      <c r="G47" s="224" t="s">
        <v>108</v>
      </c>
      <c r="H47" s="224">
        <v>7</v>
      </c>
      <c r="I47" s="4">
        <v>18</v>
      </c>
      <c r="J47" s="217" t="s">
        <v>476</v>
      </c>
      <c r="K47" s="9" t="s">
        <v>1534</v>
      </c>
      <c r="L47" s="201"/>
      <c r="M47" s="211"/>
      <c r="N47" s="211" t="s">
        <v>934</v>
      </c>
      <c r="O47" s="211"/>
      <c r="P47" s="211" t="s">
        <v>934</v>
      </c>
      <c r="Q47" s="211"/>
      <c r="R47" s="211"/>
      <c r="S47" s="211"/>
      <c r="T47" s="211"/>
      <c r="U47" s="211"/>
      <c r="V47" s="211" t="s">
        <v>1698</v>
      </c>
      <c r="W47" s="282"/>
      <c r="X47" s="231"/>
      <c r="Y47" s="231"/>
      <c r="Z47" s="231"/>
      <c r="AA47" s="232"/>
      <c r="AB47" s="230"/>
      <c r="AC47" s="230"/>
      <c r="AD47" s="230"/>
      <c r="AE47" s="230"/>
      <c r="AF47" s="230"/>
      <c r="AG47" s="230"/>
    </row>
    <row r="48" spans="1:33" s="117" customFormat="1" x14ac:dyDescent="0.25">
      <c r="A48" s="377" t="s">
        <v>1526</v>
      </c>
      <c r="B48" s="377"/>
      <c r="C48" s="377"/>
      <c r="D48" s="377"/>
      <c r="E48" s="377"/>
      <c r="F48" s="377"/>
      <c r="G48" s="377"/>
      <c r="H48" s="377"/>
      <c r="I48" s="377"/>
      <c r="J48" s="377"/>
      <c r="K48" s="378"/>
      <c r="L48" s="199"/>
      <c r="M48" s="212"/>
      <c r="N48" s="212"/>
      <c r="O48" s="212"/>
      <c r="P48" s="212"/>
      <c r="Q48" s="212"/>
      <c r="R48" s="212"/>
      <c r="S48" s="212"/>
      <c r="T48" s="212"/>
      <c r="U48" s="212"/>
      <c r="V48" s="212"/>
      <c r="W48" s="279"/>
      <c r="X48" s="269"/>
      <c r="Y48" s="269"/>
      <c r="Z48" s="269"/>
      <c r="AA48" s="269"/>
      <c r="AB48" s="269"/>
      <c r="AC48" s="269"/>
      <c r="AD48" s="269"/>
      <c r="AE48" s="269"/>
      <c r="AF48" s="269"/>
      <c r="AG48" s="269"/>
    </row>
    <row r="49" spans="1:33" s="117" customFormat="1" x14ac:dyDescent="0.25">
      <c r="A49" s="348" t="s">
        <v>1527</v>
      </c>
      <c r="B49" s="349" t="s">
        <v>1526</v>
      </c>
      <c r="C49" s="349" t="s">
        <v>35</v>
      </c>
      <c r="D49" s="348" t="s">
        <v>1528</v>
      </c>
      <c r="E49" s="348" t="s">
        <v>1829</v>
      </c>
      <c r="F49" s="224"/>
      <c r="G49" s="224" t="s">
        <v>108</v>
      </c>
      <c r="H49" s="166">
        <v>4</v>
      </c>
      <c r="I49" s="4">
        <v>15</v>
      </c>
      <c r="J49" s="217" t="s">
        <v>476</v>
      </c>
      <c r="K49" s="9" t="s">
        <v>1535</v>
      </c>
      <c r="L49" s="201"/>
      <c r="M49" s="211"/>
      <c r="N49" s="211" t="s">
        <v>934</v>
      </c>
      <c r="O49" s="211"/>
      <c r="P49" s="211" t="s">
        <v>934</v>
      </c>
      <c r="Q49" s="211"/>
      <c r="R49" s="211"/>
      <c r="S49" s="211"/>
      <c r="T49" s="211"/>
      <c r="U49" s="211"/>
      <c r="V49" s="211" t="s">
        <v>1696</v>
      </c>
      <c r="W49" s="282"/>
      <c r="X49" s="231"/>
      <c r="Y49" s="231"/>
      <c r="Z49" s="231"/>
      <c r="AA49" s="232"/>
      <c r="AB49" s="230"/>
      <c r="AC49" s="230"/>
      <c r="AD49" s="230"/>
      <c r="AE49" s="230"/>
      <c r="AF49" s="230"/>
      <c r="AG49" s="230"/>
    </row>
    <row r="50" spans="1:33" s="117" customFormat="1" x14ac:dyDescent="0.25">
      <c r="A50" s="348" t="s">
        <v>1817</v>
      </c>
      <c r="B50" s="349" t="s">
        <v>1526</v>
      </c>
      <c r="C50" s="349" t="s">
        <v>35</v>
      </c>
      <c r="D50" s="348" t="s">
        <v>1824</v>
      </c>
      <c r="E50" s="348" t="s">
        <v>1829</v>
      </c>
      <c r="F50" s="224"/>
      <c r="G50" s="224" t="s">
        <v>108</v>
      </c>
      <c r="H50" s="166">
        <v>4</v>
      </c>
      <c r="I50" s="4">
        <v>15</v>
      </c>
      <c r="J50" s="217" t="s">
        <v>476</v>
      </c>
      <c r="K50" s="9" t="s">
        <v>1536</v>
      </c>
      <c r="L50" s="201"/>
      <c r="M50" s="211"/>
      <c r="N50" s="211" t="s">
        <v>934</v>
      </c>
      <c r="O50" s="211"/>
      <c r="P50" s="211" t="s">
        <v>934</v>
      </c>
      <c r="Q50" s="211"/>
      <c r="R50" s="211"/>
      <c r="S50" s="211"/>
      <c r="T50" s="211"/>
      <c r="U50" s="211"/>
      <c r="V50" s="211" t="s">
        <v>1698</v>
      </c>
      <c r="W50" s="282"/>
      <c r="X50" s="231"/>
      <c r="Y50" s="231"/>
      <c r="Z50" s="231"/>
      <c r="AA50" s="232"/>
      <c r="AB50" s="230"/>
      <c r="AC50" s="230"/>
      <c r="AD50" s="230"/>
      <c r="AE50" s="230"/>
      <c r="AF50" s="230"/>
      <c r="AG50" s="230"/>
    </row>
    <row r="51" spans="1:33" s="117" customFormat="1" x14ac:dyDescent="0.25">
      <c r="A51" s="348" t="s">
        <v>1529</v>
      </c>
      <c r="B51" s="349" t="s">
        <v>1526</v>
      </c>
      <c r="C51" s="349" t="s">
        <v>35</v>
      </c>
      <c r="D51" s="348" t="s">
        <v>1530</v>
      </c>
      <c r="E51" s="348" t="s">
        <v>1830</v>
      </c>
      <c r="F51" s="224"/>
      <c r="G51" s="224" t="s">
        <v>108</v>
      </c>
      <c r="H51" s="166">
        <v>3.5</v>
      </c>
      <c r="I51" s="4">
        <v>11</v>
      </c>
      <c r="J51" s="217" t="s">
        <v>476</v>
      </c>
      <c r="K51" s="9" t="s">
        <v>1535</v>
      </c>
      <c r="L51" s="201"/>
      <c r="M51" s="211"/>
      <c r="N51" s="211" t="s">
        <v>934</v>
      </c>
      <c r="O51" s="211"/>
      <c r="P51" s="211" t="s">
        <v>934</v>
      </c>
      <c r="Q51" s="211"/>
      <c r="R51" s="211"/>
      <c r="S51" s="211"/>
      <c r="T51" s="211"/>
      <c r="U51" s="211"/>
      <c r="V51" s="211" t="s">
        <v>1698</v>
      </c>
      <c r="W51" s="282"/>
      <c r="X51" s="231"/>
      <c r="Y51" s="231"/>
      <c r="Z51" s="231"/>
      <c r="AA51" s="232"/>
      <c r="AB51" s="230"/>
      <c r="AC51" s="230"/>
      <c r="AD51" s="230"/>
      <c r="AE51" s="230"/>
      <c r="AF51" s="230"/>
      <c r="AG51" s="230"/>
    </row>
    <row r="52" spans="1:33" s="117" customFormat="1" x14ac:dyDescent="0.25">
      <c r="A52" s="348" t="s">
        <v>1818</v>
      </c>
      <c r="B52" s="349" t="s">
        <v>1526</v>
      </c>
      <c r="C52" s="349" t="s">
        <v>35</v>
      </c>
      <c r="D52" s="348" t="s">
        <v>1825</v>
      </c>
      <c r="E52" s="348" t="s">
        <v>1830</v>
      </c>
      <c r="F52" s="224"/>
      <c r="G52" s="224" t="s">
        <v>108</v>
      </c>
      <c r="H52" s="166">
        <v>3.5</v>
      </c>
      <c r="I52" s="4">
        <v>11</v>
      </c>
      <c r="J52" s="217" t="s">
        <v>476</v>
      </c>
      <c r="K52" s="9" t="s">
        <v>1536</v>
      </c>
      <c r="L52" s="201"/>
      <c r="M52" s="211"/>
      <c r="N52" s="211" t="s">
        <v>934</v>
      </c>
      <c r="O52" s="211"/>
      <c r="P52" s="211" t="s">
        <v>934</v>
      </c>
      <c r="Q52" s="211"/>
      <c r="R52" s="211"/>
      <c r="S52" s="211"/>
      <c r="T52" s="211"/>
      <c r="U52" s="211"/>
      <c r="V52" s="211" t="s">
        <v>1698</v>
      </c>
      <c r="W52" s="282"/>
      <c r="X52" s="231"/>
      <c r="Y52" s="231"/>
      <c r="Z52" s="231"/>
      <c r="AA52" s="232"/>
      <c r="AB52" s="230"/>
      <c r="AC52" s="230"/>
      <c r="AD52" s="230"/>
      <c r="AE52" s="230"/>
      <c r="AF52" s="230"/>
      <c r="AG52" s="230"/>
    </row>
    <row r="53" spans="1:33" s="117" customFormat="1" x14ac:dyDescent="0.25">
      <c r="A53" s="348" t="s">
        <v>1531</v>
      </c>
      <c r="B53" s="349" t="s">
        <v>1526</v>
      </c>
      <c r="C53" s="349" t="s">
        <v>35</v>
      </c>
      <c r="D53" s="348" t="s">
        <v>1532</v>
      </c>
      <c r="E53" s="348" t="s">
        <v>1873</v>
      </c>
      <c r="F53" s="224"/>
      <c r="G53" s="224" t="s">
        <v>108</v>
      </c>
      <c r="H53" s="166">
        <v>3</v>
      </c>
      <c r="I53" s="4">
        <v>19</v>
      </c>
      <c r="J53" s="217" t="s">
        <v>476</v>
      </c>
      <c r="K53" s="9" t="s">
        <v>1535</v>
      </c>
      <c r="L53" s="201"/>
      <c r="M53" s="211"/>
      <c r="N53" s="211" t="s">
        <v>934</v>
      </c>
      <c r="O53" s="211"/>
      <c r="P53" s="211" t="s">
        <v>934</v>
      </c>
      <c r="Q53" s="211"/>
      <c r="R53" s="211"/>
      <c r="S53" s="211"/>
      <c r="T53" s="211"/>
      <c r="U53" s="211"/>
      <c r="V53" s="211" t="s">
        <v>1698</v>
      </c>
      <c r="W53" s="282"/>
      <c r="X53" s="231"/>
      <c r="Y53" s="231"/>
      <c r="Z53" s="231"/>
      <c r="AA53" s="232"/>
      <c r="AB53" s="230"/>
      <c r="AC53" s="230"/>
      <c r="AD53" s="230"/>
      <c r="AE53" s="230"/>
      <c r="AF53" s="230"/>
      <c r="AG53" s="230"/>
    </row>
    <row r="54" spans="1:33" s="117" customFormat="1" x14ac:dyDescent="0.25">
      <c r="A54" s="348" t="s">
        <v>1819</v>
      </c>
      <c r="B54" s="349" t="s">
        <v>1526</v>
      </c>
      <c r="C54" s="349" t="s">
        <v>35</v>
      </c>
      <c r="D54" s="348" t="s">
        <v>1826</v>
      </c>
      <c r="E54" s="348" t="s">
        <v>1873</v>
      </c>
      <c r="F54" s="224"/>
      <c r="G54" s="224" t="s">
        <v>108</v>
      </c>
      <c r="H54" s="166">
        <v>3</v>
      </c>
      <c r="I54" s="4">
        <v>10</v>
      </c>
      <c r="J54" s="217" t="s">
        <v>476</v>
      </c>
      <c r="K54" s="9" t="s">
        <v>1536</v>
      </c>
      <c r="L54" s="201"/>
      <c r="M54" s="211"/>
      <c r="N54" s="211" t="s">
        <v>934</v>
      </c>
      <c r="O54" s="211"/>
      <c r="P54" s="211" t="s">
        <v>934</v>
      </c>
      <c r="Q54" s="211"/>
      <c r="R54" s="211"/>
      <c r="S54" s="211"/>
      <c r="T54" s="211"/>
      <c r="U54" s="211"/>
      <c r="V54" s="211" t="s">
        <v>1698</v>
      </c>
      <c r="W54" s="282"/>
      <c r="X54" s="231"/>
      <c r="Y54" s="231"/>
      <c r="Z54" s="231"/>
      <c r="AA54" s="232"/>
      <c r="AB54" s="230"/>
      <c r="AC54" s="230"/>
      <c r="AD54" s="230"/>
      <c r="AE54" s="230"/>
      <c r="AF54" s="230"/>
      <c r="AG54" s="230"/>
    </row>
    <row r="55" spans="1:33" s="117" customFormat="1" x14ac:dyDescent="0.25">
      <c r="A55" s="348" t="s">
        <v>1820</v>
      </c>
      <c r="B55" s="349" t="s">
        <v>1526</v>
      </c>
      <c r="C55" s="349" t="s">
        <v>35</v>
      </c>
      <c r="D55" s="348" t="s">
        <v>1822</v>
      </c>
      <c r="E55" s="348" t="s">
        <v>1831</v>
      </c>
      <c r="F55" s="224"/>
      <c r="G55" s="224" t="s">
        <v>108</v>
      </c>
      <c r="H55" s="166">
        <v>2</v>
      </c>
      <c r="I55" s="4">
        <v>10</v>
      </c>
      <c r="J55" s="217" t="s">
        <v>476</v>
      </c>
      <c r="K55" s="9" t="s">
        <v>1535</v>
      </c>
      <c r="L55" s="201"/>
      <c r="M55" s="211"/>
      <c r="N55" s="211" t="s">
        <v>934</v>
      </c>
      <c r="O55" s="211"/>
      <c r="P55" s="211" t="s">
        <v>934</v>
      </c>
      <c r="Q55" s="211"/>
      <c r="R55" s="211"/>
      <c r="S55" s="211"/>
      <c r="T55" s="211"/>
      <c r="U55" s="211"/>
      <c r="V55" s="211" t="s">
        <v>1698</v>
      </c>
      <c r="W55" s="282"/>
      <c r="X55" s="231"/>
      <c r="Y55" s="231"/>
      <c r="Z55" s="231"/>
      <c r="AA55" s="232"/>
      <c r="AB55" s="230"/>
      <c r="AC55" s="230"/>
      <c r="AD55" s="230"/>
      <c r="AE55" s="230"/>
      <c r="AF55" s="230"/>
      <c r="AG55" s="230"/>
    </row>
    <row r="56" spans="1:33" s="117" customFormat="1" x14ac:dyDescent="0.25">
      <c r="A56" s="348" t="s">
        <v>1821</v>
      </c>
      <c r="B56" s="349" t="s">
        <v>1526</v>
      </c>
      <c r="C56" s="349" t="s">
        <v>35</v>
      </c>
      <c r="D56" s="348" t="s">
        <v>1823</v>
      </c>
      <c r="E56" s="348" t="s">
        <v>1831</v>
      </c>
      <c r="F56" s="224"/>
      <c r="G56" s="224" t="s">
        <v>108</v>
      </c>
      <c r="H56" s="166">
        <v>2</v>
      </c>
      <c r="I56" s="4">
        <v>10</v>
      </c>
      <c r="J56" s="217" t="s">
        <v>476</v>
      </c>
      <c r="K56" s="9" t="s">
        <v>1536</v>
      </c>
      <c r="L56" s="201"/>
      <c r="M56" s="211"/>
      <c r="N56" s="211" t="s">
        <v>934</v>
      </c>
      <c r="O56" s="211"/>
      <c r="P56" s="211" t="s">
        <v>934</v>
      </c>
      <c r="Q56" s="211"/>
      <c r="R56" s="211"/>
      <c r="S56" s="211"/>
      <c r="T56" s="211"/>
      <c r="U56" s="211"/>
      <c r="V56" s="211" t="s">
        <v>1698</v>
      </c>
      <c r="W56" s="282"/>
      <c r="X56" s="231"/>
      <c r="Y56" s="231"/>
      <c r="Z56" s="231"/>
      <c r="AA56" s="232"/>
      <c r="AB56" s="230"/>
      <c r="AC56" s="230"/>
      <c r="AD56" s="230"/>
      <c r="AE56" s="230"/>
      <c r="AF56" s="230"/>
      <c r="AG56" s="230"/>
    </row>
    <row r="57" spans="1:33" s="117" customFormat="1" x14ac:dyDescent="0.25">
      <c r="A57" s="369" t="s">
        <v>1833</v>
      </c>
      <c r="B57" s="370"/>
      <c r="C57" s="370"/>
      <c r="D57" s="370"/>
      <c r="E57" s="370"/>
      <c r="F57" s="370"/>
      <c r="G57" s="370"/>
      <c r="H57" s="370"/>
      <c r="I57" s="370"/>
      <c r="J57" s="370"/>
      <c r="K57" s="371"/>
      <c r="L57" s="194"/>
      <c r="M57" s="209"/>
      <c r="N57" s="209"/>
      <c r="O57" s="209"/>
      <c r="P57" s="209"/>
      <c r="Q57" s="209"/>
      <c r="R57" s="209"/>
      <c r="S57" s="209"/>
      <c r="T57" s="209"/>
      <c r="U57" s="209"/>
      <c r="V57" s="209"/>
      <c r="W57" s="209"/>
      <c r="X57" s="209"/>
      <c r="Y57" s="209"/>
      <c r="Z57" s="209"/>
      <c r="AA57" s="209"/>
      <c r="AB57" s="209"/>
      <c r="AC57" s="209"/>
      <c r="AD57" s="209"/>
      <c r="AE57" s="209"/>
      <c r="AF57" s="209"/>
      <c r="AG57" s="209"/>
    </row>
    <row r="58" spans="1:33" s="117" customFormat="1" x14ac:dyDescent="0.25">
      <c r="A58" s="348" t="s">
        <v>1834</v>
      </c>
      <c r="B58" s="349" t="s">
        <v>1835</v>
      </c>
      <c r="C58" s="349" t="s">
        <v>35</v>
      </c>
      <c r="D58" s="348" t="s">
        <v>1836</v>
      </c>
      <c r="E58" s="348" t="s">
        <v>1837</v>
      </c>
      <c r="F58" s="224"/>
      <c r="G58" s="224" t="s">
        <v>140</v>
      </c>
      <c r="H58" s="235" t="s">
        <v>140</v>
      </c>
      <c r="I58" s="4">
        <v>3000000</v>
      </c>
      <c r="J58" s="217" t="s">
        <v>465</v>
      </c>
      <c r="K58" s="9" t="s">
        <v>1838</v>
      </c>
      <c r="L58" s="201"/>
      <c r="M58" s="211"/>
      <c r="N58" s="211" t="s">
        <v>934</v>
      </c>
      <c r="O58" s="211"/>
      <c r="P58" s="211" t="s">
        <v>934</v>
      </c>
      <c r="Q58" s="211"/>
      <c r="R58" s="211"/>
      <c r="S58" s="211"/>
      <c r="T58" s="211"/>
      <c r="U58" s="211"/>
      <c r="V58" s="211" t="s">
        <v>1698</v>
      </c>
      <c r="W58" s="282"/>
      <c r="X58" s="231"/>
      <c r="Y58" s="231"/>
      <c r="Z58" s="231"/>
      <c r="AA58" s="232"/>
      <c r="AB58" s="230"/>
      <c r="AC58" s="230"/>
      <c r="AD58" s="230"/>
      <c r="AE58" s="230"/>
      <c r="AF58" s="230"/>
      <c r="AG58" s="230"/>
    </row>
    <row r="59" spans="1:33" s="117" customFormat="1" x14ac:dyDescent="0.25">
      <c r="A59" s="369" t="s">
        <v>1023</v>
      </c>
      <c r="B59" s="370"/>
      <c r="C59" s="370"/>
      <c r="D59" s="370"/>
      <c r="E59" s="370"/>
      <c r="F59" s="370"/>
      <c r="G59" s="370"/>
      <c r="H59" s="370"/>
      <c r="I59" s="370"/>
      <c r="J59" s="370"/>
      <c r="K59" s="371"/>
      <c r="L59" s="351"/>
      <c r="M59" s="209"/>
      <c r="N59" s="209"/>
      <c r="O59" s="209"/>
      <c r="P59" s="209"/>
      <c r="Q59" s="209"/>
      <c r="R59" s="209"/>
      <c r="S59" s="209"/>
      <c r="T59" s="209"/>
      <c r="U59" s="209"/>
      <c r="V59" s="209"/>
      <c r="W59" s="352"/>
      <c r="X59" s="209"/>
      <c r="Y59" s="209"/>
      <c r="Z59" s="209"/>
      <c r="AA59" s="209"/>
      <c r="AB59" s="209"/>
      <c r="AC59" s="209"/>
      <c r="AD59" s="209"/>
      <c r="AE59" s="209"/>
      <c r="AF59" s="209"/>
      <c r="AG59" s="209"/>
    </row>
    <row r="60" spans="1:33" x14ac:dyDescent="0.25">
      <c r="A60" s="165" t="s">
        <v>1500</v>
      </c>
      <c r="B60" s="249" t="s">
        <v>1023</v>
      </c>
      <c r="C60" s="249" t="s">
        <v>1646</v>
      </c>
      <c r="D60" s="165" t="s">
        <v>1501</v>
      </c>
      <c r="E60" s="165" t="s">
        <v>1502</v>
      </c>
      <c r="F60" s="306"/>
      <c r="G60" s="165"/>
      <c r="H60" s="165"/>
      <c r="I60" s="295">
        <v>45</v>
      </c>
      <c r="J60" s="271" t="s">
        <v>142</v>
      </c>
      <c r="K60" s="96" t="s">
        <v>1670</v>
      </c>
      <c r="L60" s="96"/>
      <c r="M60" s="236"/>
      <c r="N60" s="236" t="s">
        <v>934</v>
      </c>
      <c r="O60" s="236"/>
      <c r="P60" s="236" t="s">
        <v>934</v>
      </c>
      <c r="Q60" s="236"/>
      <c r="R60" s="236"/>
      <c r="S60" s="236"/>
      <c r="T60" s="211"/>
      <c r="U60" s="236"/>
      <c r="V60" s="211" t="s">
        <v>1696</v>
      </c>
      <c r="W60" s="282"/>
      <c r="X60" s="291"/>
      <c r="Y60" s="227"/>
      <c r="Z60" s="227"/>
      <c r="AA60" s="11"/>
    </row>
    <row r="61" spans="1:33" s="117" customFormat="1" x14ac:dyDescent="0.25">
      <c r="A61" s="165" t="s">
        <v>1503</v>
      </c>
      <c r="B61" s="249" t="s">
        <v>1023</v>
      </c>
      <c r="C61" s="249" t="s">
        <v>1646</v>
      </c>
      <c r="D61" s="165" t="s">
        <v>1504</v>
      </c>
      <c r="E61" s="165" t="s">
        <v>1505</v>
      </c>
      <c r="F61" s="306"/>
      <c r="G61" s="165"/>
      <c r="H61" s="165"/>
      <c r="I61" s="295">
        <v>20</v>
      </c>
      <c r="J61" s="271" t="s">
        <v>142</v>
      </c>
      <c r="K61" s="96" t="s">
        <v>1671</v>
      </c>
      <c r="L61" s="96"/>
      <c r="M61" s="236"/>
      <c r="N61" s="236" t="s">
        <v>934</v>
      </c>
      <c r="O61" s="236"/>
      <c r="P61" s="236" t="s">
        <v>934</v>
      </c>
      <c r="Q61" s="236"/>
      <c r="R61" s="236"/>
      <c r="S61" s="236"/>
      <c r="T61" s="211"/>
      <c r="U61" s="236"/>
      <c r="V61" s="211" t="s">
        <v>1698</v>
      </c>
      <c r="W61" s="282"/>
      <c r="X61" s="291"/>
      <c r="Y61" s="231"/>
      <c r="Z61" s="231"/>
      <c r="AA61" s="232"/>
      <c r="AB61" s="230"/>
      <c r="AC61" s="230"/>
      <c r="AD61" s="230"/>
      <c r="AE61" s="230"/>
      <c r="AF61" s="230"/>
      <c r="AG61" s="230"/>
    </row>
    <row r="62" spans="1:33" s="117" customFormat="1" x14ac:dyDescent="0.25">
      <c r="A62" s="165" t="s">
        <v>1506</v>
      </c>
      <c r="B62" s="249" t="s">
        <v>1023</v>
      </c>
      <c r="C62" s="249" t="s">
        <v>1646</v>
      </c>
      <c r="D62" s="165" t="s">
        <v>1507</v>
      </c>
      <c r="E62" s="165" t="s">
        <v>1508</v>
      </c>
      <c r="F62" s="306"/>
      <c r="G62" s="165"/>
      <c r="H62" s="165"/>
      <c r="I62" s="295">
        <v>800</v>
      </c>
      <c r="J62" s="271" t="s">
        <v>142</v>
      </c>
      <c r="K62" s="96" t="s">
        <v>1670</v>
      </c>
      <c r="L62" s="96"/>
      <c r="M62" s="236"/>
      <c r="N62" s="236" t="s">
        <v>934</v>
      </c>
      <c r="O62" s="236"/>
      <c r="P62" s="236" t="s">
        <v>934</v>
      </c>
      <c r="Q62" s="236"/>
      <c r="R62" s="236"/>
      <c r="S62" s="236"/>
      <c r="T62" s="236"/>
      <c r="U62" s="236"/>
      <c r="V62" s="236" t="s">
        <v>1696</v>
      </c>
      <c r="W62" s="282"/>
      <c r="X62" s="291"/>
      <c r="Y62" s="231"/>
      <c r="Z62" s="231"/>
      <c r="AA62" s="232"/>
      <c r="AB62" s="230"/>
      <c r="AC62" s="230"/>
      <c r="AD62" s="230"/>
      <c r="AE62" s="230"/>
      <c r="AF62" s="230"/>
      <c r="AG62" s="230"/>
    </row>
    <row r="63" spans="1:33" s="117" customFormat="1" x14ac:dyDescent="0.25">
      <c r="A63" s="165" t="s">
        <v>1509</v>
      </c>
      <c r="B63" s="249" t="s">
        <v>1023</v>
      </c>
      <c r="C63" s="249" t="s">
        <v>1646</v>
      </c>
      <c r="D63" s="165" t="s">
        <v>1510</v>
      </c>
      <c r="E63" s="165" t="s">
        <v>1511</v>
      </c>
      <c r="F63" s="306"/>
      <c r="G63" s="165"/>
      <c r="H63" s="165"/>
      <c r="I63" s="295">
        <v>800</v>
      </c>
      <c r="J63" s="271" t="s">
        <v>142</v>
      </c>
      <c r="K63" s="96" t="s">
        <v>1512</v>
      </c>
      <c r="L63" s="96"/>
      <c r="M63" s="236"/>
      <c r="N63" s="236" t="s">
        <v>934</v>
      </c>
      <c r="O63" s="236"/>
      <c r="P63" s="236" t="s">
        <v>934</v>
      </c>
      <c r="Q63" s="236"/>
      <c r="R63" s="236"/>
      <c r="S63" s="236"/>
      <c r="T63" s="236"/>
      <c r="U63" s="236"/>
      <c r="V63" s="236" t="s">
        <v>1698</v>
      </c>
      <c r="W63" s="282"/>
      <c r="X63" s="291"/>
      <c r="Y63" s="231"/>
      <c r="Z63" s="231"/>
      <c r="AA63" s="232"/>
      <c r="AB63" s="230"/>
      <c r="AC63" s="230"/>
      <c r="AD63" s="230"/>
      <c r="AE63" s="230"/>
      <c r="AF63" s="230"/>
      <c r="AG63" s="230"/>
    </row>
    <row r="64" spans="1:33" s="117" customFormat="1" x14ac:dyDescent="0.25">
      <c r="A64" s="99" t="s">
        <v>136</v>
      </c>
      <c r="B64" s="249" t="s">
        <v>1023</v>
      </c>
      <c r="C64" s="249" t="s">
        <v>1646</v>
      </c>
      <c r="D64" s="99" t="s">
        <v>1024</v>
      </c>
      <c r="E64" s="99" t="s">
        <v>1031</v>
      </c>
      <c r="F64" s="228"/>
      <c r="G64" s="99"/>
      <c r="H64" s="99">
        <v>2000</v>
      </c>
      <c r="I64" s="266"/>
      <c r="J64" s="249" t="s">
        <v>1059</v>
      </c>
      <c r="K64" s="99" t="s">
        <v>1034</v>
      </c>
      <c r="L64" s="99"/>
      <c r="M64" s="111"/>
      <c r="N64" s="111" t="s">
        <v>934</v>
      </c>
      <c r="O64" s="111"/>
      <c r="P64" s="328" t="s">
        <v>934</v>
      </c>
      <c r="Q64" s="111"/>
      <c r="R64" s="111"/>
      <c r="S64" s="321"/>
      <c r="T64" s="321"/>
      <c r="U64" s="321"/>
      <c r="V64" s="328" t="s">
        <v>1696</v>
      </c>
      <c r="W64" s="282"/>
      <c r="X64" s="291"/>
      <c r="Y64" s="231"/>
      <c r="Z64" s="231"/>
      <c r="AA64" s="232"/>
      <c r="AB64" s="230"/>
      <c r="AC64" s="230"/>
      <c r="AD64" s="230"/>
      <c r="AE64" s="230"/>
      <c r="AF64" s="230"/>
      <c r="AG64" s="230"/>
    </row>
    <row r="65" spans="1:33" x14ac:dyDescent="0.25">
      <c r="A65" s="369" t="s">
        <v>1026</v>
      </c>
      <c r="B65" s="370"/>
      <c r="C65" s="370"/>
      <c r="D65" s="370"/>
      <c r="E65" s="370"/>
      <c r="F65" s="370"/>
      <c r="G65" s="370"/>
      <c r="H65" s="370"/>
      <c r="I65" s="370"/>
      <c r="J65" s="370"/>
      <c r="K65" s="371"/>
      <c r="L65" s="194"/>
      <c r="M65" s="209"/>
      <c r="N65" s="209"/>
      <c r="O65" s="209"/>
      <c r="P65" s="209"/>
      <c r="Q65" s="209"/>
      <c r="R65" s="209"/>
      <c r="S65" s="209"/>
      <c r="T65" s="209"/>
      <c r="U65" s="209"/>
      <c r="V65" s="209"/>
      <c r="W65" s="209"/>
      <c r="X65" s="209"/>
      <c r="Y65" s="209"/>
      <c r="Z65" s="209"/>
      <c r="AA65" s="209"/>
      <c r="AB65" s="209"/>
      <c r="AC65" s="209"/>
      <c r="AD65" s="209"/>
      <c r="AE65" s="209"/>
      <c r="AF65" s="209"/>
      <c r="AG65" s="209"/>
    </row>
    <row r="66" spans="1:33" x14ac:dyDescent="0.25">
      <c r="A66" s="179" t="s">
        <v>217</v>
      </c>
      <c r="B66" s="263"/>
      <c r="C66" s="263"/>
      <c r="D66" s="182"/>
      <c r="E66" s="182"/>
      <c r="F66" s="307"/>
      <c r="G66" s="182"/>
      <c r="H66" s="182"/>
      <c r="I66" s="296"/>
      <c r="J66" s="272"/>
      <c r="K66" s="183"/>
      <c r="L66" s="183"/>
      <c r="M66" s="214"/>
      <c r="N66" s="214"/>
      <c r="O66" s="214"/>
      <c r="P66" s="214"/>
      <c r="Q66" s="214"/>
      <c r="R66" s="214"/>
      <c r="S66" s="214"/>
      <c r="T66" s="214"/>
      <c r="U66" s="214"/>
      <c r="V66" s="214"/>
      <c r="W66" s="279"/>
      <c r="X66" s="269"/>
      <c r="Y66" s="269"/>
      <c r="Z66" s="269"/>
      <c r="AA66" s="269"/>
      <c r="AB66" s="269"/>
      <c r="AC66" s="269"/>
      <c r="AD66" s="269"/>
      <c r="AE66" s="269"/>
      <c r="AF66" s="269"/>
      <c r="AG66" s="269"/>
    </row>
    <row r="67" spans="1:33" x14ac:dyDescent="0.25">
      <c r="A67" s="99" t="s">
        <v>137</v>
      </c>
      <c r="B67" s="249" t="s">
        <v>217</v>
      </c>
      <c r="C67" s="249" t="s">
        <v>1646</v>
      </c>
      <c r="D67" s="99" t="s">
        <v>1025</v>
      </c>
      <c r="E67" s="99" t="s">
        <v>1263</v>
      </c>
      <c r="F67" s="228"/>
      <c r="G67" s="99"/>
      <c r="H67" s="99">
        <v>750</v>
      </c>
      <c r="I67" s="266"/>
      <c r="J67" s="249" t="s">
        <v>1059</v>
      </c>
      <c r="K67" s="99"/>
      <c r="L67" s="108"/>
      <c r="M67" s="213"/>
      <c r="N67" s="213" t="s">
        <v>934</v>
      </c>
      <c r="O67" s="213"/>
      <c r="P67" s="213" t="s">
        <v>934</v>
      </c>
      <c r="Q67" s="213"/>
      <c r="R67" s="213"/>
      <c r="S67" s="213"/>
      <c r="T67" s="213"/>
      <c r="U67" s="213"/>
      <c r="V67" s="213" t="s">
        <v>1696</v>
      </c>
      <c r="W67" s="278"/>
      <c r="X67" s="227"/>
      <c r="Y67" s="227"/>
      <c r="Z67" s="227"/>
      <c r="AA67" s="11"/>
    </row>
    <row r="68" spans="1:33" x14ac:dyDescent="0.25">
      <c r="A68" s="99" t="s">
        <v>138</v>
      </c>
      <c r="B68" s="249" t="s">
        <v>217</v>
      </c>
      <c r="C68" s="249" t="s">
        <v>1646</v>
      </c>
      <c r="D68" s="99" t="s">
        <v>1027</v>
      </c>
      <c r="E68" s="99" t="s">
        <v>1032</v>
      </c>
      <c r="F68" s="228"/>
      <c r="G68" s="102">
        <v>5</v>
      </c>
      <c r="H68" s="102"/>
      <c r="I68" s="218"/>
      <c r="J68" s="249" t="s">
        <v>1059</v>
      </c>
      <c r="K68" s="99"/>
      <c r="L68" s="99"/>
      <c r="M68" s="111"/>
      <c r="N68" s="111" t="s">
        <v>934</v>
      </c>
      <c r="O68" s="111"/>
      <c r="P68" s="328" t="s">
        <v>934</v>
      </c>
      <c r="Q68" s="111"/>
      <c r="R68" s="111"/>
      <c r="S68" s="321"/>
      <c r="T68" s="321"/>
      <c r="U68" s="321"/>
      <c r="V68" s="328" t="s">
        <v>1696</v>
      </c>
      <c r="W68" s="282"/>
      <c r="X68" s="291"/>
      <c r="Y68" s="227"/>
      <c r="Z68" s="227"/>
      <c r="AA68" s="11"/>
    </row>
    <row r="69" spans="1:33" x14ac:dyDescent="0.25">
      <c r="A69" s="179" t="s">
        <v>208</v>
      </c>
      <c r="B69" s="262"/>
      <c r="C69" s="262"/>
      <c r="D69" s="180"/>
      <c r="E69" s="180"/>
      <c r="F69" s="304"/>
      <c r="G69" s="181"/>
      <c r="H69" s="181"/>
      <c r="I69" s="206"/>
      <c r="J69" s="269"/>
      <c r="K69" s="180"/>
      <c r="L69" s="180"/>
      <c r="M69" s="206"/>
      <c r="N69" s="206"/>
      <c r="O69" s="206"/>
      <c r="P69" s="206"/>
      <c r="Q69" s="206"/>
      <c r="R69" s="206"/>
      <c r="S69" s="206"/>
      <c r="T69" s="206"/>
      <c r="U69" s="206"/>
      <c r="V69" s="206"/>
      <c r="W69" s="279"/>
      <c r="X69" s="269"/>
      <c r="Y69" s="269"/>
      <c r="Z69" s="269"/>
      <c r="AA69" s="269"/>
      <c r="AB69" s="269"/>
      <c r="AC69" s="269"/>
      <c r="AD69" s="269"/>
      <c r="AE69" s="269"/>
      <c r="AF69" s="269"/>
      <c r="AG69" s="269"/>
    </row>
    <row r="70" spans="1:33" x14ac:dyDescent="0.25">
      <c r="A70" s="99" t="s">
        <v>139</v>
      </c>
      <c r="B70" s="249" t="s">
        <v>208</v>
      </c>
      <c r="C70" s="249" t="s">
        <v>1646</v>
      </c>
      <c r="D70" s="99" t="s">
        <v>1028</v>
      </c>
      <c r="E70" s="99" t="s">
        <v>1280</v>
      </c>
      <c r="F70" s="228"/>
      <c r="G70" s="102"/>
      <c r="H70" s="102">
        <v>300</v>
      </c>
      <c r="I70" s="218"/>
      <c r="J70" s="249" t="s">
        <v>832</v>
      </c>
      <c r="K70" s="99" t="s">
        <v>1277</v>
      </c>
      <c r="L70" s="100"/>
      <c r="M70" s="215"/>
      <c r="N70" s="215" t="s">
        <v>934</v>
      </c>
      <c r="O70" s="215"/>
      <c r="P70" s="215" t="s">
        <v>934</v>
      </c>
      <c r="Q70" s="215"/>
      <c r="R70" s="215"/>
      <c r="S70" s="215"/>
      <c r="T70" s="215"/>
      <c r="U70" s="215"/>
      <c r="V70" s="215" t="s">
        <v>1698</v>
      </c>
      <c r="W70" s="278"/>
      <c r="X70" s="290"/>
      <c r="Y70" s="290"/>
      <c r="Z70" s="290"/>
      <c r="AA70" s="11"/>
    </row>
    <row r="71" spans="1:33" x14ac:dyDescent="0.25">
      <c r="A71" s="99" t="s">
        <v>1278</v>
      </c>
      <c r="B71" s="249" t="s">
        <v>208</v>
      </c>
      <c r="C71" s="249" t="s">
        <v>1646</v>
      </c>
      <c r="D71" s="99" t="s">
        <v>1279</v>
      </c>
      <c r="E71" s="99" t="s">
        <v>1033</v>
      </c>
      <c r="F71" s="228"/>
      <c r="G71" s="102"/>
      <c r="H71" s="102">
        <v>800</v>
      </c>
      <c r="I71" s="218"/>
      <c r="J71" s="249" t="s">
        <v>832</v>
      </c>
      <c r="K71" s="99" t="s">
        <v>419</v>
      </c>
      <c r="L71" s="99"/>
      <c r="M71" s="111"/>
      <c r="N71" s="111" t="s">
        <v>934</v>
      </c>
      <c r="O71" s="111"/>
      <c r="P71" s="328" t="s">
        <v>934</v>
      </c>
      <c r="Q71" s="111"/>
      <c r="R71" s="111"/>
      <c r="S71" s="321"/>
      <c r="T71" s="321"/>
      <c r="U71" s="321"/>
      <c r="V71" s="328" t="s">
        <v>1696</v>
      </c>
      <c r="W71" s="282"/>
      <c r="X71" s="227"/>
      <c r="Y71" s="227"/>
      <c r="Z71" s="227"/>
      <c r="AA71" s="11"/>
    </row>
    <row r="72" spans="1:33" x14ac:dyDescent="0.25">
      <c r="A72" s="99" t="s">
        <v>209</v>
      </c>
      <c r="B72" s="249" t="s">
        <v>208</v>
      </c>
      <c r="C72" s="249" t="s">
        <v>1646</v>
      </c>
      <c r="D72" s="99" t="s">
        <v>145</v>
      </c>
      <c r="E72" s="99" t="s">
        <v>146</v>
      </c>
      <c r="F72" s="228"/>
      <c r="G72" s="101" t="s">
        <v>147</v>
      </c>
      <c r="H72" s="102" t="s">
        <v>108</v>
      </c>
      <c r="I72" s="218" t="s">
        <v>108</v>
      </c>
      <c r="J72" s="249" t="s">
        <v>475</v>
      </c>
      <c r="K72" s="99" t="s">
        <v>148</v>
      </c>
      <c r="L72" s="99"/>
      <c r="M72" s="111"/>
      <c r="N72" s="111" t="s">
        <v>934</v>
      </c>
      <c r="O72" s="111"/>
      <c r="P72" s="328" t="s">
        <v>934</v>
      </c>
      <c r="Q72" s="111"/>
      <c r="R72" s="111"/>
      <c r="S72" s="321"/>
      <c r="T72" s="321"/>
      <c r="U72" s="321"/>
      <c r="V72" s="328" t="s">
        <v>1698</v>
      </c>
      <c r="W72" s="282"/>
      <c r="X72" s="227"/>
      <c r="Y72" s="227"/>
      <c r="Z72" s="227"/>
      <c r="AA72" s="11"/>
    </row>
    <row r="73" spans="1:33" x14ac:dyDescent="0.25">
      <c r="A73" s="99" t="s">
        <v>210</v>
      </c>
      <c r="B73" s="249" t="s">
        <v>208</v>
      </c>
      <c r="C73" s="249" t="s">
        <v>1646</v>
      </c>
      <c r="D73" s="99" t="s">
        <v>150</v>
      </c>
      <c r="E73" s="99" t="s">
        <v>151</v>
      </c>
      <c r="F73" s="228"/>
      <c r="G73" s="102" t="s">
        <v>108</v>
      </c>
      <c r="H73" s="102" t="s">
        <v>108</v>
      </c>
      <c r="I73" s="266" t="s">
        <v>152</v>
      </c>
      <c r="J73" s="249" t="s">
        <v>475</v>
      </c>
      <c r="K73" s="99" t="s">
        <v>148</v>
      </c>
      <c r="L73" s="99"/>
      <c r="M73" s="111"/>
      <c r="N73" s="111" t="s">
        <v>934</v>
      </c>
      <c r="O73" s="111"/>
      <c r="P73" s="328" t="s">
        <v>934</v>
      </c>
      <c r="Q73" s="111"/>
      <c r="R73" s="111"/>
      <c r="S73" s="321"/>
      <c r="T73" s="321"/>
      <c r="U73" s="321"/>
      <c r="V73" s="328" t="s">
        <v>1698</v>
      </c>
      <c r="W73" s="278"/>
      <c r="X73" s="227"/>
      <c r="Y73" s="227"/>
      <c r="Z73" s="227"/>
      <c r="AA73" s="11"/>
    </row>
    <row r="74" spans="1:33" x14ac:dyDescent="0.25">
      <c r="A74" s="99" t="s">
        <v>211</v>
      </c>
      <c r="B74" s="249" t="s">
        <v>208</v>
      </c>
      <c r="C74" s="249" t="s">
        <v>1646</v>
      </c>
      <c r="D74" s="99" t="s">
        <v>174</v>
      </c>
      <c r="E74" s="99" t="s">
        <v>175</v>
      </c>
      <c r="F74" s="228"/>
      <c r="G74" s="102" t="s">
        <v>108</v>
      </c>
      <c r="H74" s="101">
        <v>3</v>
      </c>
      <c r="I74" s="218" t="s">
        <v>108</v>
      </c>
      <c r="J74" s="249" t="s">
        <v>478</v>
      </c>
      <c r="K74" s="99" t="s">
        <v>1194</v>
      </c>
      <c r="L74" s="99"/>
      <c r="M74" s="111"/>
      <c r="N74" s="111" t="s">
        <v>934</v>
      </c>
      <c r="O74" s="111"/>
      <c r="P74" s="328" t="s">
        <v>934</v>
      </c>
      <c r="Q74" s="111"/>
      <c r="R74" s="111"/>
      <c r="S74" s="321"/>
      <c r="T74" s="321"/>
      <c r="U74" s="321"/>
      <c r="V74" s="328" t="s">
        <v>1698</v>
      </c>
      <c r="W74" s="278"/>
      <c r="X74" s="227"/>
      <c r="Y74" s="227"/>
      <c r="Z74" s="227"/>
      <c r="AA74" s="11"/>
    </row>
    <row r="75" spans="1:33" x14ac:dyDescent="0.25">
      <c r="A75" s="99" t="s">
        <v>212</v>
      </c>
      <c r="B75" s="249" t="s">
        <v>208</v>
      </c>
      <c r="C75" s="249" t="s">
        <v>1646</v>
      </c>
      <c r="D75" s="99" t="s">
        <v>213</v>
      </c>
      <c r="E75" s="99" t="s">
        <v>214</v>
      </c>
      <c r="F75" s="228"/>
      <c r="G75" s="102" t="s">
        <v>108</v>
      </c>
      <c r="H75" s="101">
        <v>100</v>
      </c>
      <c r="I75" s="218" t="s">
        <v>108</v>
      </c>
      <c r="J75" s="249" t="s">
        <v>831</v>
      </c>
      <c r="K75" s="99"/>
      <c r="L75" s="99"/>
      <c r="M75" s="111"/>
      <c r="N75" s="111" t="s">
        <v>934</v>
      </c>
      <c r="O75" s="111"/>
      <c r="P75" s="328" t="s">
        <v>934</v>
      </c>
      <c r="Q75" s="111"/>
      <c r="R75" s="111"/>
      <c r="S75" s="321"/>
      <c r="T75" s="321"/>
      <c r="U75" s="321"/>
      <c r="V75" s="328" t="s">
        <v>1698</v>
      </c>
      <c r="W75" s="278"/>
      <c r="X75" s="227"/>
      <c r="Y75" s="227"/>
      <c r="Z75" s="227"/>
      <c r="AA75" s="11"/>
    </row>
    <row r="76" spans="1:33" x14ac:dyDescent="0.25">
      <c r="A76" s="99" t="s">
        <v>215</v>
      </c>
      <c r="B76" s="249" t="s">
        <v>208</v>
      </c>
      <c r="C76" s="249" t="s">
        <v>1646</v>
      </c>
      <c r="D76" s="99" t="s">
        <v>184</v>
      </c>
      <c r="E76" s="99" t="s">
        <v>216</v>
      </c>
      <c r="F76" s="228"/>
      <c r="G76" s="101"/>
      <c r="H76" s="101"/>
      <c r="I76" s="266">
        <v>100</v>
      </c>
      <c r="J76" s="249" t="s">
        <v>849</v>
      </c>
      <c r="K76" s="99"/>
      <c r="L76" s="99"/>
      <c r="M76" s="111"/>
      <c r="N76" s="111" t="s">
        <v>934</v>
      </c>
      <c r="O76" s="111"/>
      <c r="P76" s="328" t="s">
        <v>934</v>
      </c>
      <c r="Q76" s="111"/>
      <c r="R76" s="111"/>
      <c r="S76" s="321"/>
      <c r="T76" s="321"/>
      <c r="U76" s="321"/>
      <c r="V76" s="328" t="s">
        <v>1698</v>
      </c>
      <c r="W76" s="278"/>
      <c r="X76" s="292"/>
      <c r="Y76" s="227"/>
      <c r="Z76" s="227"/>
      <c r="AA76" s="11"/>
    </row>
    <row r="77" spans="1:33" x14ac:dyDescent="0.25">
      <c r="A77" s="369" t="s">
        <v>1832</v>
      </c>
      <c r="B77" s="370"/>
      <c r="C77" s="370"/>
      <c r="D77" s="370"/>
      <c r="E77" s="370"/>
      <c r="F77" s="370"/>
      <c r="G77" s="370"/>
      <c r="H77" s="370"/>
      <c r="I77" s="370"/>
      <c r="J77" s="370"/>
      <c r="K77" s="371"/>
      <c r="L77" s="194"/>
      <c r="M77" s="209"/>
      <c r="N77" s="209"/>
      <c r="O77" s="209"/>
      <c r="P77" s="209"/>
      <c r="Q77" s="209"/>
      <c r="R77" s="209"/>
      <c r="S77" s="209"/>
      <c r="T77" s="209"/>
      <c r="U77" s="209"/>
      <c r="V77" s="209"/>
      <c r="W77" s="223"/>
      <c r="X77" s="264"/>
      <c r="Y77" s="264"/>
      <c r="Z77" s="264"/>
      <c r="AA77" s="264"/>
      <c r="AB77" s="264"/>
      <c r="AC77" s="264"/>
      <c r="AD77" s="264"/>
      <c r="AE77" s="264"/>
      <c r="AF77" s="264"/>
      <c r="AG77" s="264"/>
    </row>
    <row r="78" spans="1:33" x14ac:dyDescent="0.25">
      <c r="A78" s="179" t="s">
        <v>143</v>
      </c>
      <c r="B78" s="262"/>
      <c r="C78" s="262"/>
      <c r="D78" s="180"/>
      <c r="E78" s="180"/>
      <c r="F78" s="304"/>
      <c r="G78" s="181"/>
      <c r="H78" s="181"/>
      <c r="I78" s="206"/>
      <c r="J78" s="269"/>
      <c r="K78" s="180"/>
      <c r="L78" s="202"/>
      <c r="M78" s="216"/>
      <c r="N78" s="216"/>
      <c r="O78" s="216"/>
      <c r="P78" s="216"/>
      <c r="Q78" s="216"/>
      <c r="R78" s="216"/>
      <c r="S78" s="216"/>
      <c r="T78" s="216"/>
      <c r="U78" s="216"/>
      <c r="V78" s="216"/>
      <c r="W78" s="279"/>
      <c r="X78" s="269"/>
      <c r="Y78" s="269"/>
      <c r="Z78" s="269"/>
      <c r="AA78" s="269"/>
      <c r="AB78" s="269"/>
      <c r="AC78" s="269"/>
      <c r="AD78" s="269"/>
      <c r="AE78" s="269"/>
      <c r="AF78" s="269"/>
      <c r="AG78" s="269"/>
    </row>
    <row r="79" spans="1:33" x14ac:dyDescent="0.25">
      <c r="A79" s="99" t="s">
        <v>144</v>
      </c>
      <c r="B79" s="249" t="s">
        <v>143</v>
      </c>
      <c r="C79" s="249" t="s">
        <v>1647</v>
      </c>
      <c r="D79" s="118" t="s">
        <v>145</v>
      </c>
      <c r="E79" s="99" t="s">
        <v>146</v>
      </c>
      <c r="F79" s="228"/>
      <c r="G79" s="101" t="s">
        <v>147</v>
      </c>
      <c r="H79" s="102" t="s">
        <v>108</v>
      </c>
      <c r="I79" s="218" t="s">
        <v>108</v>
      </c>
      <c r="J79" s="249" t="s">
        <v>475</v>
      </c>
      <c r="K79" s="99" t="s">
        <v>148</v>
      </c>
      <c r="L79" s="99"/>
      <c r="M79" s="111"/>
      <c r="N79" s="111" t="s">
        <v>934</v>
      </c>
      <c r="O79" s="111"/>
      <c r="P79" s="328" t="s">
        <v>934</v>
      </c>
      <c r="Q79" s="111"/>
      <c r="R79" s="111"/>
      <c r="S79" s="321"/>
      <c r="T79" s="321"/>
      <c r="U79" s="321"/>
      <c r="V79" s="328" t="s">
        <v>1698</v>
      </c>
      <c r="W79" s="278"/>
      <c r="X79" s="227"/>
      <c r="Y79" s="227"/>
      <c r="Z79" s="227"/>
      <c r="AA79" s="11"/>
    </row>
    <row r="80" spans="1:33" x14ac:dyDescent="0.25">
      <c r="A80" s="99" t="s">
        <v>1006</v>
      </c>
      <c r="B80" s="249" t="s">
        <v>143</v>
      </c>
      <c r="C80" s="249" t="s">
        <v>1647</v>
      </c>
      <c r="D80" s="118" t="s">
        <v>1007</v>
      </c>
      <c r="E80" s="99" t="s">
        <v>1009</v>
      </c>
      <c r="F80" s="228"/>
      <c r="G80" s="102" t="s">
        <v>108</v>
      </c>
      <c r="H80" s="102" t="s">
        <v>108</v>
      </c>
      <c r="I80" s="218">
        <v>10</v>
      </c>
      <c r="J80" s="249" t="s">
        <v>849</v>
      </c>
      <c r="K80" s="99" t="s">
        <v>1008</v>
      </c>
      <c r="L80" s="99"/>
      <c r="M80" s="111"/>
      <c r="N80" s="111" t="s">
        <v>934</v>
      </c>
      <c r="O80" s="111"/>
      <c r="P80" s="328" t="s">
        <v>934</v>
      </c>
      <c r="Q80" s="111"/>
      <c r="R80" s="111"/>
      <c r="S80" s="321"/>
      <c r="T80" s="321"/>
      <c r="U80" s="321"/>
      <c r="V80" s="328" t="s">
        <v>1698</v>
      </c>
      <c r="W80" s="278"/>
      <c r="X80" s="227"/>
      <c r="Y80" s="227"/>
      <c r="Z80" s="227"/>
      <c r="AA80" s="11"/>
    </row>
    <row r="81" spans="1:33" x14ac:dyDescent="0.25">
      <c r="A81" s="99" t="s">
        <v>149</v>
      </c>
      <c r="B81" s="249" t="s">
        <v>143</v>
      </c>
      <c r="C81" s="249" t="s">
        <v>1647</v>
      </c>
      <c r="D81" s="118" t="s">
        <v>150</v>
      </c>
      <c r="E81" s="99" t="s">
        <v>151</v>
      </c>
      <c r="F81" s="228"/>
      <c r="G81" s="102" t="s">
        <v>108</v>
      </c>
      <c r="H81" s="102" t="s">
        <v>108</v>
      </c>
      <c r="I81" s="266" t="s">
        <v>152</v>
      </c>
      <c r="J81" s="249" t="s">
        <v>475</v>
      </c>
      <c r="K81" s="99" t="s">
        <v>148</v>
      </c>
      <c r="L81" s="99"/>
      <c r="M81" s="111"/>
      <c r="N81" s="111" t="s">
        <v>934</v>
      </c>
      <c r="O81" s="111"/>
      <c r="P81" s="328" t="s">
        <v>934</v>
      </c>
      <c r="Q81" s="111"/>
      <c r="R81" s="111"/>
      <c r="S81" s="321"/>
      <c r="T81" s="321"/>
      <c r="U81" s="321"/>
      <c r="V81" s="328" t="s">
        <v>1698</v>
      </c>
      <c r="W81" s="278"/>
      <c r="X81" s="227"/>
      <c r="Y81" s="227"/>
      <c r="Z81" s="227"/>
      <c r="AA81" s="11"/>
    </row>
    <row r="82" spans="1:33" x14ac:dyDescent="0.25">
      <c r="A82" s="99" t="s">
        <v>153</v>
      </c>
      <c r="B82" s="249" t="s">
        <v>143</v>
      </c>
      <c r="C82" s="249" t="s">
        <v>1647</v>
      </c>
      <c r="D82" s="118" t="s">
        <v>145</v>
      </c>
      <c r="E82" s="99" t="s">
        <v>154</v>
      </c>
      <c r="F82" s="228"/>
      <c r="G82" s="119">
        <v>2</v>
      </c>
      <c r="H82" s="102" t="s">
        <v>108</v>
      </c>
      <c r="I82" s="218" t="s">
        <v>108</v>
      </c>
      <c r="J82" s="249" t="s">
        <v>475</v>
      </c>
      <c r="K82" s="99"/>
      <c r="L82" s="99"/>
      <c r="M82" s="111"/>
      <c r="N82" s="111" t="s">
        <v>934</v>
      </c>
      <c r="O82" s="111"/>
      <c r="P82" s="328" t="s">
        <v>934</v>
      </c>
      <c r="Q82" s="111"/>
      <c r="R82" s="111"/>
      <c r="S82" s="321"/>
      <c r="T82" s="321"/>
      <c r="U82" s="321"/>
      <c r="V82" s="328" t="s">
        <v>1698</v>
      </c>
      <c r="W82" s="278"/>
      <c r="X82" s="227"/>
      <c r="Y82" s="292"/>
      <c r="Z82" s="227"/>
      <c r="AA82" s="11"/>
    </row>
    <row r="83" spans="1:33" x14ac:dyDescent="0.25">
      <c r="A83" s="120" t="s">
        <v>155</v>
      </c>
      <c r="B83" s="249" t="s">
        <v>143</v>
      </c>
      <c r="C83" s="249" t="s">
        <v>1647</v>
      </c>
      <c r="D83" s="118" t="s">
        <v>150</v>
      </c>
      <c r="E83" s="99" t="s">
        <v>154</v>
      </c>
      <c r="F83" s="228"/>
      <c r="G83" s="102" t="s">
        <v>108</v>
      </c>
      <c r="H83" s="102" t="s">
        <v>108</v>
      </c>
      <c r="I83" s="218">
        <v>0.8</v>
      </c>
      <c r="J83" s="249" t="s">
        <v>475</v>
      </c>
      <c r="K83" s="99"/>
      <c r="L83" s="99"/>
      <c r="M83" s="111"/>
      <c r="N83" s="111" t="s">
        <v>934</v>
      </c>
      <c r="O83" s="111"/>
      <c r="P83" s="328" t="s">
        <v>934</v>
      </c>
      <c r="Q83" s="111"/>
      <c r="R83" s="111"/>
      <c r="S83" s="321"/>
      <c r="T83" s="321"/>
      <c r="U83" s="321"/>
      <c r="V83" s="328" t="s">
        <v>1698</v>
      </c>
      <c r="W83" s="278"/>
      <c r="X83" s="227"/>
      <c r="Y83" s="227"/>
      <c r="Z83" s="227"/>
      <c r="AA83" s="11"/>
    </row>
    <row r="84" spans="1:33" x14ac:dyDescent="0.25">
      <c r="A84" s="99" t="s">
        <v>156</v>
      </c>
      <c r="B84" s="249" t="s">
        <v>143</v>
      </c>
      <c r="C84" s="249" t="s">
        <v>1647</v>
      </c>
      <c r="D84" s="118" t="s">
        <v>157</v>
      </c>
      <c r="E84" s="99" t="s">
        <v>158</v>
      </c>
      <c r="F84" s="228"/>
      <c r="G84" s="101" t="s">
        <v>159</v>
      </c>
      <c r="H84" s="102" t="s">
        <v>108</v>
      </c>
      <c r="I84" s="218" t="s">
        <v>108</v>
      </c>
      <c r="J84" s="249" t="s">
        <v>475</v>
      </c>
      <c r="K84" s="99" t="s">
        <v>1347</v>
      </c>
      <c r="L84" s="99"/>
      <c r="M84" s="111"/>
      <c r="N84" s="111" t="s">
        <v>934</v>
      </c>
      <c r="O84" s="111"/>
      <c r="P84" s="328" t="s">
        <v>934</v>
      </c>
      <c r="Q84" s="111"/>
      <c r="R84" s="111"/>
      <c r="S84" s="321"/>
      <c r="T84" s="321"/>
      <c r="U84" s="321"/>
      <c r="V84" s="328" t="s">
        <v>1698</v>
      </c>
      <c r="W84" s="278"/>
      <c r="X84" s="227"/>
      <c r="Y84" s="227"/>
      <c r="Z84" s="227"/>
      <c r="AA84" s="11"/>
    </row>
    <row r="85" spans="1:33" x14ac:dyDescent="0.25">
      <c r="A85" s="99" t="s">
        <v>162</v>
      </c>
      <c r="B85" s="249" t="s">
        <v>143</v>
      </c>
      <c r="C85" s="249" t="s">
        <v>1647</v>
      </c>
      <c r="D85" s="118" t="s">
        <v>160</v>
      </c>
      <c r="E85" s="99" t="s">
        <v>161</v>
      </c>
      <c r="F85" s="228"/>
      <c r="G85" s="102" t="s">
        <v>108</v>
      </c>
      <c r="H85" s="102" t="s">
        <v>108</v>
      </c>
      <c r="I85" s="266">
        <v>0.4</v>
      </c>
      <c r="J85" s="249" t="s">
        <v>475</v>
      </c>
      <c r="K85" s="99" t="s">
        <v>1348</v>
      </c>
      <c r="L85" s="99"/>
      <c r="M85" s="111"/>
      <c r="N85" s="111" t="s">
        <v>934</v>
      </c>
      <c r="O85" s="111"/>
      <c r="P85" s="328" t="s">
        <v>934</v>
      </c>
      <c r="Q85" s="111"/>
      <c r="R85" s="111"/>
      <c r="S85" s="321"/>
      <c r="T85" s="321"/>
      <c r="U85" s="321"/>
      <c r="V85" s="328" t="s">
        <v>1698</v>
      </c>
      <c r="W85" s="278"/>
      <c r="X85" s="227"/>
      <c r="Y85" s="227"/>
      <c r="Z85" s="227"/>
      <c r="AA85" s="11"/>
    </row>
    <row r="86" spans="1:33" x14ac:dyDescent="0.25">
      <c r="A86" s="99" t="s">
        <v>163</v>
      </c>
      <c r="B86" s="249" t="s">
        <v>143</v>
      </c>
      <c r="C86" s="249" t="s">
        <v>1647</v>
      </c>
      <c r="D86" s="118" t="s">
        <v>164</v>
      </c>
      <c r="E86" s="99" t="s">
        <v>165</v>
      </c>
      <c r="F86" s="228"/>
      <c r="G86" s="101">
        <v>3.5</v>
      </c>
      <c r="H86" s="101">
        <v>5.6</v>
      </c>
      <c r="I86" s="266">
        <v>8.5</v>
      </c>
      <c r="J86" s="249" t="s">
        <v>1147</v>
      </c>
      <c r="K86" s="99"/>
      <c r="L86" s="99"/>
      <c r="M86" s="111"/>
      <c r="N86" s="111" t="s">
        <v>934</v>
      </c>
      <c r="O86" s="111"/>
      <c r="P86" s="328" t="s">
        <v>934</v>
      </c>
      <c r="Q86" s="111"/>
      <c r="R86" s="111"/>
      <c r="S86" s="321"/>
      <c r="T86" s="321"/>
      <c r="U86" s="321"/>
      <c r="V86" s="328" t="s">
        <v>1698</v>
      </c>
      <c r="W86" s="278"/>
      <c r="X86" s="227"/>
      <c r="Y86" s="227"/>
      <c r="Z86" s="227"/>
      <c r="AA86" s="11"/>
    </row>
    <row r="87" spans="1:33" x14ac:dyDescent="0.25">
      <c r="A87" s="99" t="s">
        <v>166</v>
      </c>
      <c r="B87" s="249" t="s">
        <v>143</v>
      </c>
      <c r="C87" s="249" t="s">
        <v>1647</v>
      </c>
      <c r="D87" s="118" t="s">
        <v>167</v>
      </c>
      <c r="E87" s="99" t="s">
        <v>168</v>
      </c>
      <c r="F87" s="228"/>
      <c r="G87" s="101">
        <v>3.5</v>
      </c>
      <c r="H87" s="101">
        <v>5.6</v>
      </c>
      <c r="I87" s="266">
        <v>8.5</v>
      </c>
      <c r="J87" s="249" t="s">
        <v>1147</v>
      </c>
      <c r="K87" s="99"/>
      <c r="L87" s="99"/>
      <c r="M87" s="111"/>
      <c r="N87" s="111" t="s">
        <v>934</v>
      </c>
      <c r="O87" s="111"/>
      <c r="P87" s="328" t="s">
        <v>934</v>
      </c>
      <c r="Q87" s="111"/>
      <c r="R87" s="111"/>
      <c r="S87" s="321"/>
      <c r="T87" s="321"/>
      <c r="U87" s="321"/>
      <c r="V87" s="328" t="s">
        <v>1698</v>
      </c>
      <c r="W87" s="278"/>
      <c r="X87" s="227"/>
      <c r="Y87" s="227"/>
      <c r="Z87" s="227"/>
      <c r="AA87" s="11"/>
    </row>
    <row r="88" spans="1:33" x14ac:dyDescent="0.25">
      <c r="A88" s="99" t="s">
        <v>169</v>
      </c>
      <c r="B88" s="249" t="s">
        <v>143</v>
      </c>
      <c r="C88" s="249" t="s">
        <v>1647</v>
      </c>
      <c r="D88" s="118" t="s">
        <v>170</v>
      </c>
      <c r="E88" s="99" t="s">
        <v>171</v>
      </c>
      <c r="F88" s="228"/>
      <c r="G88" s="102" t="s">
        <v>108</v>
      </c>
      <c r="H88" s="102" t="s">
        <v>108</v>
      </c>
      <c r="I88" s="266">
        <v>2</v>
      </c>
      <c r="J88" s="249" t="s">
        <v>832</v>
      </c>
      <c r="K88" s="99" t="s">
        <v>172</v>
      </c>
      <c r="L88" s="99"/>
      <c r="M88" s="111"/>
      <c r="N88" s="111" t="s">
        <v>934</v>
      </c>
      <c r="O88" s="111"/>
      <c r="P88" s="328" t="s">
        <v>934</v>
      </c>
      <c r="Q88" s="111"/>
      <c r="R88" s="111"/>
      <c r="S88" s="321"/>
      <c r="T88" s="321"/>
      <c r="U88" s="321"/>
      <c r="V88" s="328" t="s">
        <v>1698</v>
      </c>
      <c r="W88" s="278"/>
      <c r="X88" s="292"/>
      <c r="Y88" s="227"/>
      <c r="Z88" s="227"/>
      <c r="AA88" s="11"/>
    </row>
    <row r="89" spans="1:33" x14ac:dyDescent="0.25">
      <c r="A89" s="99" t="s">
        <v>173</v>
      </c>
      <c r="B89" s="249" t="s">
        <v>143</v>
      </c>
      <c r="C89" s="249" t="s">
        <v>1647</v>
      </c>
      <c r="D89" s="118" t="s">
        <v>174</v>
      </c>
      <c r="E89" s="99" t="s">
        <v>175</v>
      </c>
      <c r="F89" s="228"/>
      <c r="G89" s="102" t="s">
        <v>108</v>
      </c>
      <c r="H89" s="102" t="s">
        <v>108</v>
      </c>
      <c r="I89" s="266">
        <v>5</v>
      </c>
      <c r="J89" s="249" t="s">
        <v>478</v>
      </c>
      <c r="K89" s="99"/>
      <c r="L89" s="99"/>
      <c r="M89" s="111"/>
      <c r="N89" s="111" t="s">
        <v>934</v>
      </c>
      <c r="O89" s="111"/>
      <c r="P89" s="328" t="s">
        <v>934</v>
      </c>
      <c r="Q89" s="111"/>
      <c r="R89" s="111"/>
      <c r="S89" s="321"/>
      <c r="T89" s="321"/>
      <c r="U89" s="321"/>
      <c r="V89" s="328" t="s">
        <v>1698</v>
      </c>
      <c r="W89" s="278"/>
      <c r="X89" s="227"/>
      <c r="Y89" s="227"/>
      <c r="Z89" s="227"/>
      <c r="AA89" s="11"/>
    </row>
    <row r="90" spans="1:33" x14ac:dyDescent="0.25">
      <c r="A90" s="99" t="s">
        <v>176</v>
      </c>
      <c r="B90" s="249" t="s">
        <v>143</v>
      </c>
      <c r="C90" s="249" t="s">
        <v>1647</v>
      </c>
      <c r="D90" s="118" t="s">
        <v>177</v>
      </c>
      <c r="E90" s="99" t="s">
        <v>178</v>
      </c>
      <c r="F90" s="228"/>
      <c r="G90" s="101">
        <v>100</v>
      </c>
      <c r="H90" s="102">
        <f>-I806</f>
        <v>0</v>
      </c>
      <c r="I90" s="218" t="s">
        <v>140</v>
      </c>
      <c r="J90" s="249" t="s">
        <v>831</v>
      </c>
      <c r="K90" s="99"/>
      <c r="L90" s="99"/>
      <c r="M90" s="111"/>
      <c r="N90" s="111" t="s">
        <v>934</v>
      </c>
      <c r="O90" s="111"/>
      <c r="P90" s="328" t="s">
        <v>934</v>
      </c>
      <c r="Q90" s="111"/>
      <c r="R90" s="111"/>
      <c r="S90" s="321"/>
      <c r="T90" s="321"/>
      <c r="U90" s="321"/>
      <c r="V90" s="328" t="s">
        <v>1698</v>
      </c>
      <c r="W90" s="278"/>
      <c r="X90" s="227"/>
      <c r="Y90" s="227"/>
      <c r="Z90" s="227"/>
      <c r="AA90" s="11"/>
    </row>
    <row r="91" spans="1:33" x14ac:dyDescent="0.25">
      <c r="A91" s="99" t="s">
        <v>179</v>
      </c>
      <c r="B91" s="249" t="s">
        <v>143</v>
      </c>
      <c r="C91" s="249" t="s">
        <v>1647</v>
      </c>
      <c r="D91" s="118" t="s">
        <v>180</v>
      </c>
      <c r="E91" s="99" t="s">
        <v>181</v>
      </c>
      <c r="F91" s="228"/>
      <c r="G91" s="101" t="s">
        <v>182</v>
      </c>
      <c r="H91" s="102" t="s">
        <v>108</v>
      </c>
      <c r="I91" s="218" t="s">
        <v>140</v>
      </c>
      <c r="J91" s="249" t="s">
        <v>831</v>
      </c>
      <c r="K91" s="99"/>
      <c r="L91" s="99"/>
      <c r="M91" s="111"/>
      <c r="N91" s="111" t="s">
        <v>934</v>
      </c>
      <c r="O91" s="111"/>
      <c r="P91" s="328" t="s">
        <v>934</v>
      </c>
      <c r="Q91" s="111"/>
      <c r="R91" s="111"/>
      <c r="S91" s="321"/>
      <c r="T91" s="321"/>
      <c r="U91" s="321"/>
      <c r="V91" s="328" t="s">
        <v>1698</v>
      </c>
      <c r="W91" s="278"/>
      <c r="X91" s="227"/>
      <c r="Y91" s="227"/>
      <c r="Z91" s="227"/>
      <c r="AA91" s="11"/>
    </row>
    <row r="92" spans="1:33" x14ac:dyDescent="0.25">
      <c r="A92" s="99" t="s">
        <v>183</v>
      </c>
      <c r="B92" s="249" t="s">
        <v>143</v>
      </c>
      <c r="C92" s="249" t="s">
        <v>1647</v>
      </c>
      <c r="D92" s="118" t="s">
        <v>184</v>
      </c>
      <c r="E92" s="99" t="s">
        <v>185</v>
      </c>
      <c r="F92" s="228"/>
      <c r="G92" s="102" t="s">
        <v>108</v>
      </c>
      <c r="H92" s="102" t="s">
        <v>108</v>
      </c>
      <c r="I92" s="266">
        <v>100</v>
      </c>
      <c r="J92" s="249" t="s">
        <v>849</v>
      </c>
      <c r="K92" s="99"/>
      <c r="L92" s="99"/>
      <c r="M92" s="111"/>
      <c r="N92" s="111" t="s">
        <v>934</v>
      </c>
      <c r="O92" s="111"/>
      <c r="P92" s="328" t="s">
        <v>934</v>
      </c>
      <c r="Q92" s="111"/>
      <c r="R92" s="111"/>
      <c r="S92" s="321"/>
      <c r="T92" s="321"/>
      <c r="U92" s="321"/>
      <c r="V92" s="328" t="s">
        <v>1698</v>
      </c>
      <c r="W92" s="278"/>
      <c r="X92" s="227"/>
      <c r="Y92" s="227"/>
      <c r="Z92" s="227"/>
      <c r="AA92" s="11"/>
    </row>
    <row r="93" spans="1:33" x14ac:dyDescent="0.25">
      <c r="A93" s="99" t="s">
        <v>186</v>
      </c>
      <c r="B93" s="249" t="s">
        <v>143</v>
      </c>
      <c r="C93" s="249" t="s">
        <v>1647</v>
      </c>
      <c r="D93" s="118" t="s">
        <v>187</v>
      </c>
      <c r="E93" s="99" t="s">
        <v>188</v>
      </c>
      <c r="F93" s="228"/>
      <c r="G93" s="102"/>
      <c r="H93" s="102"/>
      <c r="I93" s="266">
        <v>200</v>
      </c>
      <c r="J93" s="249" t="s">
        <v>476</v>
      </c>
      <c r="K93" s="99"/>
      <c r="L93" s="99"/>
      <c r="M93" s="111"/>
      <c r="N93" s="111" t="s">
        <v>934</v>
      </c>
      <c r="O93" s="111"/>
      <c r="P93" s="328" t="s">
        <v>934</v>
      </c>
      <c r="Q93" s="111"/>
      <c r="R93" s="111"/>
      <c r="S93" s="321"/>
      <c r="T93" s="321"/>
      <c r="U93" s="321"/>
      <c r="V93" s="328" t="s">
        <v>1698</v>
      </c>
      <c r="W93" s="278"/>
      <c r="X93" s="290"/>
      <c r="Y93" s="290"/>
      <c r="Z93" s="290"/>
      <c r="AA93" s="11"/>
    </row>
    <row r="94" spans="1:33" x14ac:dyDescent="0.25">
      <c r="A94" s="115" t="s">
        <v>189</v>
      </c>
      <c r="B94" s="249"/>
      <c r="C94" s="249"/>
      <c r="D94" s="99"/>
      <c r="E94" s="99"/>
      <c r="F94" s="228"/>
      <c r="G94" s="101"/>
      <c r="H94" s="101"/>
      <c r="I94" s="266"/>
      <c r="J94" s="249"/>
      <c r="K94" s="99"/>
      <c r="L94" s="99"/>
      <c r="M94" s="111"/>
      <c r="N94" s="111"/>
      <c r="O94" s="111"/>
      <c r="P94" s="328"/>
      <c r="Q94" s="111"/>
      <c r="R94" s="111"/>
      <c r="S94" s="321"/>
      <c r="T94" s="321"/>
      <c r="U94" s="321"/>
      <c r="V94" s="328"/>
      <c r="W94" s="285"/>
      <c r="X94" s="227"/>
      <c r="Y94" s="227"/>
      <c r="Z94" s="227"/>
      <c r="AA94" s="250"/>
    </row>
    <row r="95" spans="1:33" x14ac:dyDescent="0.25">
      <c r="A95" s="99" t="s">
        <v>190</v>
      </c>
      <c r="B95" s="249" t="s">
        <v>143</v>
      </c>
      <c r="C95" s="249" t="s">
        <v>1647</v>
      </c>
      <c r="D95" s="99" t="s">
        <v>191</v>
      </c>
      <c r="E95" s="99" t="s">
        <v>1102</v>
      </c>
      <c r="F95" s="228"/>
      <c r="G95" s="102" t="s">
        <v>108</v>
      </c>
      <c r="H95" s="102" t="s">
        <v>108</v>
      </c>
      <c r="I95" s="266">
        <v>2.5</v>
      </c>
      <c r="J95" s="249" t="s">
        <v>446</v>
      </c>
      <c r="K95" s="99" t="s">
        <v>1154</v>
      </c>
      <c r="L95" s="99"/>
      <c r="M95" s="111"/>
      <c r="N95" s="111" t="s">
        <v>934</v>
      </c>
      <c r="O95" s="111"/>
      <c r="P95" s="328" t="s">
        <v>934</v>
      </c>
      <c r="Q95" s="111"/>
      <c r="R95" s="111"/>
      <c r="S95" s="321"/>
      <c r="T95" s="321"/>
      <c r="U95" s="321"/>
      <c r="V95" s="328" t="s">
        <v>1698</v>
      </c>
      <c r="W95" s="285"/>
      <c r="X95" s="227"/>
      <c r="Y95" s="227"/>
      <c r="Z95" s="227"/>
      <c r="AA95" s="250"/>
    </row>
    <row r="96" spans="1:33" s="229" customFormat="1" x14ac:dyDescent="0.35">
      <c r="A96" s="228" t="s">
        <v>192</v>
      </c>
      <c r="B96" s="249" t="s">
        <v>143</v>
      </c>
      <c r="C96" s="249" t="s">
        <v>1647</v>
      </c>
      <c r="D96" s="228" t="s">
        <v>193</v>
      </c>
      <c r="E96" s="228" t="s">
        <v>1103</v>
      </c>
      <c r="F96" s="228"/>
      <c r="G96" s="248" t="s">
        <v>108</v>
      </c>
      <c r="H96" s="248" t="s">
        <v>108</v>
      </c>
      <c r="I96" s="249">
        <v>2.5</v>
      </c>
      <c r="J96" s="249" t="s">
        <v>446</v>
      </c>
      <c r="K96" s="228" t="s">
        <v>1155</v>
      </c>
      <c r="L96" s="228"/>
      <c r="M96" s="249"/>
      <c r="N96" s="249" t="s">
        <v>934</v>
      </c>
      <c r="O96" s="249"/>
      <c r="P96" s="249" t="s">
        <v>934</v>
      </c>
      <c r="Q96" s="249"/>
      <c r="R96" s="249"/>
      <c r="S96" s="249"/>
      <c r="T96" s="249"/>
      <c r="U96" s="249"/>
      <c r="V96" s="249" t="s">
        <v>1698</v>
      </c>
      <c r="W96" s="286"/>
      <c r="X96" s="227"/>
      <c r="Y96" s="227"/>
      <c r="Z96" s="227"/>
      <c r="AA96" s="250"/>
      <c r="AB96" s="228"/>
      <c r="AC96" s="228"/>
      <c r="AD96" s="228"/>
      <c r="AE96" s="228"/>
      <c r="AF96" s="228"/>
      <c r="AG96" s="228"/>
    </row>
    <row r="97" spans="1:33" x14ac:dyDescent="0.25">
      <c r="A97" s="99" t="s">
        <v>194</v>
      </c>
      <c r="B97" s="249" t="s">
        <v>143</v>
      </c>
      <c r="C97" s="249" t="s">
        <v>1647</v>
      </c>
      <c r="D97" s="99" t="s">
        <v>1222</v>
      </c>
      <c r="E97" s="99" t="s">
        <v>1159</v>
      </c>
      <c r="F97" s="228"/>
      <c r="G97" s="101">
        <v>52</v>
      </c>
      <c r="H97" s="102" t="s">
        <v>108</v>
      </c>
      <c r="I97" s="266">
        <v>142</v>
      </c>
      <c r="J97" s="249" t="s">
        <v>446</v>
      </c>
      <c r="K97" s="99" t="s">
        <v>1226</v>
      </c>
      <c r="L97" s="99"/>
      <c r="M97" s="111"/>
      <c r="N97" s="111" t="s">
        <v>934</v>
      </c>
      <c r="O97" s="111"/>
      <c r="P97" s="328" t="s">
        <v>934</v>
      </c>
      <c r="Q97" s="111"/>
      <c r="R97" s="111"/>
      <c r="S97" s="321"/>
      <c r="T97" s="321"/>
      <c r="U97" s="321"/>
      <c r="V97" s="328" t="s">
        <v>1698</v>
      </c>
      <c r="W97" s="285"/>
      <c r="X97" s="227"/>
      <c r="Y97" s="227"/>
      <c r="Z97" s="227"/>
      <c r="AA97" s="250"/>
    </row>
    <row r="98" spans="1:33" x14ac:dyDescent="0.25">
      <c r="A98" s="99" t="s">
        <v>1220</v>
      </c>
      <c r="B98" s="249" t="s">
        <v>143</v>
      </c>
      <c r="C98" s="249" t="s">
        <v>1647</v>
      </c>
      <c r="D98" s="99" t="s">
        <v>1223</v>
      </c>
      <c r="E98" s="99" t="s">
        <v>1159</v>
      </c>
      <c r="F98" s="228"/>
      <c r="G98" s="101">
        <v>48</v>
      </c>
      <c r="H98" s="102" t="s">
        <v>108</v>
      </c>
      <c r="I98" s="266">
        <v>102</v>
      </c>
      <c r="J98" s="249" t="s">
        <v>446</v>
      </c>
      <c r="K98" s="99" t="s">
        <v>1227</v>
      </c>
      <c r="L98" s="99"/>
      <c r="M98" s="266"/>
      <c r="N98" s="266" t="s">
        <v>934</v>
      </c>
      <c r="O98" s="266"/>
      <c r="P98" s="328" t="s">
        <v>934</v>
      </c>
      <c r="Q98" s="266"/>
      <c r="R98" s="266"/>
      <c r="S98" s="321"/>
      <c r="T98" s="321"/>
      <c r="U98" s="321"/>
      <c r="V98" s="328" t="s">
        <v>1698</v>
      </c>
      <c r="W98" s="278"/>
      <c r="X98" s="290"/>
      <c r="Y98" s="290"/>
      <c r="Z98" s="290"/>
      <c r="AA98" s="11"/>
    </row>
    <row r="99" spans="1:33" x14ac:dyDescent="0.25">
      <c r="A99" s="99" t="s">
        <v>195</v>
      </c>
      <c r="B99" s="249" t="s">
        <v>143</v>
      </c>
      <c r="C99" s="249" t="s">
        <v>1647</v>
      </c>
      <c r="D99" s="99" t="s">
        <v>1224</v>
      </c>
      <c r="E99" s="99" t="s">
        <v>1160</v>
      </c>
      <c r="F99" s="228"/>
      <c r="G99" s="101">
        <v>44</v>
      </c>
      <c r="H99" s="102" t="s">
        <v>108</v>
      </c>
      <c r="I99" s="266">
        <v>211</v>
      </c>
      <c r="J99" s="249" t="s">
        <v>446</v>
      </c>
      <c r="K99" s="99" t="s">
        <v>1226</v>
      </c>
      <c r="L99" s="99"/>
      <c r="M99" s="266"/>
      <c r="N99" s="266" t="s">
        <v>934</v>
      </c>
      <c r="O99" s="266"/>
      <c r="P99" s="328" t="s">
        <v>934</v>
      </c>
      <c r="Q99" s="266"/>
      <c r="R99" s="266"/>
      <c r="S99" s="321"/>
      <c r="T99" s="321"/>
      <c r="U99" s="321"/>
      <c r="V99" s="328" t="s">
        <v>1698</v>
      </c>
      <c r="W99" s="278"/>
      <c r="X99" s="290"/>
      <c r="Y99" s="290"/>
      <c r="Z99" s="290"/>
      <c r="AA99" s="11"/>
    </row>
    <row r="100" spans="1:33" x14ac:dyDescent="0.25">
      <c r="A100" s="99" t="s">
        <v>1221</v>
      </c>
      <c r="B100" s="249" t="s">
        <v>143</v>
      </c>
      <c r="C100" s="249" t="s">
        <v>1647</v>
      </c>
      <c r="D100" s="99" t="s">
        <v>1225</v>
      </c>
      <c r="E100" s="99" t="s">
        <v>1160</v>
      </c>
      <c r="F100" s="228"/>
      <c r="G100" s="101">
        <v>42</v>
      </c>
      <c r="H100" s="102" t="s">
        <v>108</v>
      </c>
      <c r="I100" s="266">
        <v>93</v>
      </c>
      <c r="J100" s="249" t="s">
        <v>446</v>
      </c>
      <c r="K100" s="99" t="s">
        <v>1227</v>
      </c>
      <c r="L100" s="99"/>
      <c r="M100" s="111"/>
      <c r="N100" s="111" t="s">
        <v>934</v>
      </c>
      <c r="O100" s="111"/>
      <c r="P100" s="328" t="s">
        <v>934</v>
      </c>
      <c r="Q100" s="111"/>
      <c r="R100" s="111"/>
      <c r="S100" s="321"/>
      <c r="T100" s="321"/>
      <c r="U100" s="321"/>
      <c r="V100" s="328" t="s">
        <v>1698</v>
      </c>
      <c r="W100" s="278"/>
      <c r="X100" s="227"/>
      <c r="Y100" s="227"/>
      <c r="Z100" s="227"/>
      <c r="AA100" s="11"/>
    </row>
    <row r="101" spans="1:33" s="229" customFormat="1" x14ac:dyDescent="0.35">
      <c r="A101" s="11" t="s">
        <v>1152</v>
      </c>
      <c r="B101" s="249" t="s">
        <v>143</v>
      </c>
      <c r="C101" s="249" t="s">
        <v>1647</v>
      </c>
      <c r="D101" s="11" t="s">
        <v>1153</v>
      </c>
      <c r="E101" s="11" t="s">
        <v>1157</v>
      </c>
      <c r="F101" s="11"/>
      <c r="G101" s="121" t="s">
        <v>1158</v>
      </c>
      <c r="H101" s="248"/>
      <c r="I101" s="249">
        <v>250</v>
      </c>
      <c r="J101" s="249" t="s">
        <v>446</v>
      </c>
      <c r="K101" s="11" t="s">
        <v>1156</v>
      </c>
      <c r="L101" s="11"/>
      <c r="M101" s="217"/>
      <c r="N101" s="217" t="s">
        <v>934</v>
      </c>
      <c r="O101" s="217"/>
      <c r="P101" s="217" t="s">
        <v>934</v>
      </c>
      <c r="Q101" s="217"/>
      <c r="R101" s="217"/>
      <c r="S101" s="217"/>
      <c r="T101" s="217"/>
      <c r="U101" s="217"/>
      <c r="V101" s="217" t="s">
        <v>1698</v>
      </c>
      <c r="W101" s="283"/>
      <c r="X101" s="227"/>
      <c r="Y101" s="227"/>
      <c r="Z101" s="227"/>
      <c r="AA101" s="11"/>
      <c r="AB101" s="228"/>
      <c r="AC101" s="228"/>
      <c r="AD101" s="228"/>
      <c r="AE101" s="228"/>
      <c r="AF101" s="228"/>
      <c r="AG101" s="228"/>
    </row>
    <row r="102" spans="1:33" x14ac:dyDescent="0.25">
      <c r="A102" s="99" t="s">
        <v>196</v>
      </c>
      <c r="B102" s="249" t="s">
        <v>143</v>
      </c>
      <c r="C102" s="249" t="s">
        <v>1647</v>
      </c>
      <c r="D102" s="99" t="s">
        <v>197</v>
      </c>
      <c r="E102" s="99" t="s">
        <v>1035</v>
      </c>
      <c r="F102" s="228"/>
      <c r="G102" s="102" t="s">
        <v>108</v>
      </c>
      <c r="H102" s="102" t="s">
        <v>108</v>
      </c>
      <c r="I102" s="266">
        <v>100</v>
      </c>
      <c r="J102" s="249" t="s">
        <v>529</v>
      </c>
      <c r="K102" s="99" t="s">
        <v>1036</v>
      </c>
      <c r="L102" s="99"/>
      <c r="M102" s="111"/>
      <c r="N102" s="111" t="s">
        <v>934</v>
      </c>
      <c r="O102" s="111"/>
      <c r="P102" s="328" t="s">
        <v>934</v>
      </c>
      <c r="Q102" s="111"/>
      <c r="R102" s="111"/>
      <c r="S102" s="321"/>
      <c r="T102" s="321"/>
      <c r="U102" s="321"/>
      <c r="V102" s="328" t="s">
        <v>1698</v>
      </c>
      <c r="W102" s="278"/>
      <c r="X102" s="227"/>
      <c r="Y102" s="227"/>
      <c r="Z102" s="227"/>
      <c r="AA102" s="11"/>
    </row>
    <row r="103" spans="1:33" x14ac:dyDescent="0.25">
      <c r="A103" s="99" t="s">
        <v>199</v>
      </c>
      <c r="B103" s="249" t="s">
        <v>143</v>
      </c>
      <c r="C103" s="249" t="s">
        <v>1647</v>
      </c>
      <c r="D103" s="99" t="s">
        <v>200</v>
      </c>
      <c r="E103" s="99" t="s">
        <v>1037</v>
      </c>
      <c r="F103" s="228"/>
      <c r="G103" s="102" t="s">
        <v>108</v>
      </c>
      <c r="H103" s="102" t="s">
        <v>108</v>
      </c>
      <c r="I103" s="266">
        <v>16.7</v>
      </c>
      <c r="J103" s="249" t="s">
        <v>529</v>
      </c>
      <c r="K103" s="99" t="s">
        <v>1036</v>
      </c>
      <c r="L103" s="99"/>
      <c r="M103" s="111"/>
      <c r="N103" s="111" t="s">
        <v>934</v>
      </c>
      <c r="O103" s="111"/>
      <c r="P103" s="328" t="s">
        <v>934</v>
      </c>
      <c r="Q103" s="111"/>
      <c r="R103" s="111"/>
      <c r="S103" s="321"/>
      <c r="T103" s="321"/>
      <c r="U103" s="321"/>
      <c r="V103" s="328" t="s">
        <v>1698</v>
      </c>
      <c r="W103" s="278"/>
      <c r="X103" s="227"/>
      <c r="Y103" s="227"/>
      <c r="Z103" s="227"/>
      <c r="AA103" s="11"/>
    </row>
    <row r="104" spans="1:33" x14ac:dyDescent="0.25">
      <c r="A104" s="99" t="s">
        <v>201</v>
      </c>
      <c r="B104" s="249" t="s">
        <v>143</v>
      </c>
      <c r="C104" s="249" t="s">
        <v>1647</v>
      </c>
      <c r="D104" s="99" t="s">
        <v>202</v>
      </c>
      <c r="E104" s="99" t="s">
        <v>1038</v>
      </c>
      <c r="F104" s="228"/>
      <c r="G104" s="102" t="s">
        <v>108</v>
      </c>
      <c r="H104" s="102" t="s">
        <v>108</v>
      </c>
      <c r="I104" s="266">
        <v>7</v>
      </c>
      <c r="J104" s="249" t="s">
        <v>529</v>
      </c>
      <c r="K104" s="99" t="s">
        <v>198</v>
      </c>
      <c r="L104" s="99"/>
      <c r="M104" s="111"/>
      <c r="N104" s="111" t="s">
        <v>934</v>
      </c>
      <c r="O104" s="111"/>
      <c r="P104" s="328" t="s">
        <v>934</v>
      </c>
      <c r="Q104" s="111"/>
      <c r="R104" s="111"/>
      <c r="S104" s="321"/>
      <c r="T104" s="321"/>
      <c r="U104" s="321"/>
      <c r="V104" s="328" t="s">
        <v>1698</v>
      </c>
      <c r="W104" s="278"/>
      <c r="X104" s="227"/>
      <c r="Y104" s="227"/>
      <c r="Z104" s="227"/>
      <c r="AA104" s="11"/>
    </row>
    <row r="105" spans="1:33" x14ac:dyDescent="0.25">
      <c r="A105" s="99" t="s">
        <v>203</v>
      </c>
      <c r="B105" s="249" t="s">
        <v>143</v>
      </c>
      <c r="C105" s="249" t="s">
        <v>1647</v>
      </c>
      <c r="D105" s="99" t="s">
        <v>204</v>
      </c>
      <c r="E105" s="99" t="s">
        <v>1039</v>
      </c>
      <c r="F105" s="228"/>
      <c r="G105" s="102" t="s">
        <v>108</v>
      </c>
      <c r="H105" s="102" t="s">
        <v>108</v>
      </c>
      <c r="I105" s="266">
        <v>3.5</v>
      </c>
      <c r="J105" s="249" t="s">
        <v>529</v>
      </c>
      <c r="K105" s="99" t="s">
        <v>198</v>
      </c>
      <c r="L105" s="99"/>
      <c r="M105" s="111"/>
      <c r="N105" s="111" t="s">
        <v>934</v>
      </c>
      <c r="O105" s="111"/>
      <c r="P105" s="328" t="s">
        <v>934</v>
      </c>
      <c r="Q105" s="111"/>
      <c r="R105" s="111"/>
      <c r="S105" s="321"/>
      <c r="T105" s="321"/>
      <c r="U105" s="321"/>
      <c r="V105" s="328" t="s">
        <v>1698</v>
      </c>
      <c r="W105" s="278"/>
      <c r="X105" s="227"/>
      <c r="Y105" s="227"/>
      <c r="Z105" s="227"/>
      <c r="AA105" s="11"/>
    </row>
    <row r="106" spans="1:33" x14ac:dyDescent="0.25">
      <c r="A106" s="99" t="s">
        <v>205</v>
      </c>
      <c r="B106" s="249" t="s">
        <v>143</v>
      </c>
      <c r="C106" s="249" t="s">
        <v>1647</v>
      </c>
      <c r="D106" s="99" t="s">
        <v>206</v>
      </c>
      <c r="E106" s="99" t="s">
        <v>1283</v>
      </c>
      <c r="F106" s="228"/>
      <c r="G106" s="102" t="s">
        <v>108</v>
      </c>
      <c r="H106" s="102" t="s">
        <v>108</v>
      </c>
      <c r="I106" s="266">
        <v>100</v>
      </c>
      <c r="J106" s="249" t="s">
        <v>529</v>
      </c>
      <c r="K106" s="99" t="s">
        <v>207</v>
      </c>
      <c r="L106" s="99"/>
      <c r="M106" s="111"/>
      <c r="N106" s="111" t="s">
        <v>934</v>
      </c>
      <c r="O106" s="111"/>
      <c r="P106" s="328" t="s">
        <v>934</v>
      </c>
      <c r="Q106" s="111"/>
      <c r="R106" s="111"/>
      <c r="S106" s="321"/>
      <c r="T106" s="321"/>
      <c r="U106" s="321"/>
      <c r="V106" s="328" t="s">
        <v>1698</v>
      </c>
      <c r="W106" s="278"/>
      <c r="X106" s="227"/>
      <c r="Y106" s="227"/>
      <c r="Z106" s="227"/>
      <c r="AA106" s="11"/>
    </row>
    <row r="107" spans="1:33" x14ac:dyDescent="0.25">
      <c r="A107" s="369" t="s">
        <v>218</v>
      </c>
      <c r="B107" s="370"/>
      <c r="C107" s="370"/>
      <c r="D107" s="370"/>
      <c r="E107" s="370"/>
      <c r="F107" s="370"/>
      <c r="G107" s="370"/>
      <c r="H107" s="370"/>
      <c r="I107" s="370"/>
      <c r="J107" s="370"/>
      <c r="K107" s="371"/>
      <c r="L107" s="194"/>
      <c r="M107" s="209"/>
      <c r="N107" s="209"/>
      <c r="O107" s="209"/>
      <c r="P107" s="209"/>
      <c r="Q107" s="209"/>
      <c r="R107" s="209"/>
      <c r="S107" s="209"/>
      <c r="T107" s="209"/>
      <c r="U107" s="209"/>
      <c r="V107" s="209"/>
      <c r="W107" s="223"/>
      <c r="X107" s="264"/>
      <c r="Y107" s="264"/>
      <c r="Z107" s="264"/>
      <c r="AA107" s="264"/>
      <c r="AB107" s="264"/>
      <c r="AC107" s="264"/>
      <c r="AD107" s="264"/>
      <c r="AE107" s="264"/>
      <c r="AF107" s="264"/>
      <c r="AG107" s="264"/>
    </row>
    <row r="108" spans="1:33" x14ac:dyDescent="0.25">
      <c r="A108" s="179" t="s">
        <v>1680</v>
      </c>
      <c r="B108" s="262"/>
      <c r="C108" s="262"/>
      <c r="D108" s="180"/>
      <c r="E108" s="180"/>
      <c r="F108" s="304"/>
      <c r="G108" s="181"/>
      <c r="H108" s="181"/>
      <c r="I108" s="206"/>
      <c r="J108" s="269"/>
      <c r="K108" s="180"/>
      <c r="L108" s="180"/>
      <c r="M108" s="206"/>
      <c r="N108" s="206"/>
      <c r="O108" s="206"/>
      <c r="P108" s="206"/>
      <c r="Q108" s="206"/>
      <c r="R108" s="206"/>
      <c r="S108" s="206"/>
      <c r="T108" s="206"/>
      <c r="U108" s="206"/>
      <c r="V108" s="206"/>
      <c r="W108" s="279"/>
      <c r="X108" s="269"/>
      <c r="Y108" s="269"/>
      <c r="Z108" s="269"/>
      <c r="AA108" s="269"/>
      <c r="AB108" s="269"/>
      <c r="AC108" s="269"/>
      <c r="AD108" s="269"/>
      <c r="AE108" s="269"/>
      <c r="AF108" s="269"/>
      <c r="AG108" s="269"/>
    </row>
    <row r="109" spans="1:33" x14ac:dyDescent="0.25">
      <c r="A109" s="99" t="s">
        <v>1681</v>
      </c>
      <c r="B109" s="249" t="s">
        <v>1682</v>
      </c>
      <c r="C109" s="249" t="s">
        <v>1619</v>
      </c>
      <c r="D109" s="99" t="s">
        <v>1683</v>
      </c>
      <c r="E109" s="99" t="s">
        <v>1684</v>
      </c>
      <c r="F109" s="228"/>
      <c r="G109" s="102"/>
      <c r="H109" s="102">
        <v>0.32</v>
      </c>
      <c r="I109" s="319">
        <v>12</v>
      </c>
      <c r="J109" s="249" t="s">
        <v>832</v>
      </c>
      <c r="K109" s="99" t="s">
        <v>1685</v>
      </c>
      <c r="L109" s="99"/>
      <c r="M109" s="319"/>
      <c r="N109" s="319" t="s">
        <v>934</v>
      </c>
      <c r="O109" s="319"/>
      <c r="P109" s="328" t="s">
        <v>934</v>
      </c>
      <c r="Q109" s="319"/>
      <c r="R109" s="319"/>
      <c r="S109" s="321"/>
      <c r="T109" s="321"/>
      <c r="U109" s="321"/>
      <c r="V109" s="328" t="s">
        <v>1696</v>
      </c>
      <c r="W109" s="278"/>
      <c r="X109" s="227"/>
      <c r="Y109" s="227"/>
      <c r="Z109" s="227"/>
      <c r="AA109" s="11"/>
    </row>
    <row r="110" spans="1:33" x14ac:dyDescent="0.25">
      <c r="A110" s="99" t="s">
        <v>1736</v>
      </c>
      <c r="B110" s="249" t="s">
        <v>1682</v>
      </c>
      <c r="C110" s="249" t="s">
        <v>1619</v>
      </c>
      <c r="D110" s="99" t="s">
        <v>1737</v>
      </c>
      <c r="E110" s="99" t="s">
        <v>1875</v>
      </c>
      <c r="F110" s="228"/>
      <c r="G110" s="102"/>
      <c r="H110" s="102"/>
      <c r="I110" s="318" t="s">
        <v>1354</v>
      </c>
      <c r="J110" s="249" t="s">
        <v>478</v>
      </c>
      <c r="K110" s="99"/>
      <c r="L110" s="99"/>
      <c r="M110" s="323"/>
      <c r="N110" s="323"/>
      <c r="O110" s="323"/>
      <c r="P110" s="328" t="s">
        <v>934</v>
      </c>
      <c r="Q110" s="323"/>
      <c r="R110" s="323"/>
      <c r="S110" s="323"/>
      <c r="T110" s="323"/>
      <c r="U110" s="323"/>
      <c r="V110" s="328" t="s">
        <v>1696</v>
      </c>
      <c r="W110" s="278"/>
      <c r="X110" s="227"/>
      <c r="Y110" s="227"/>
      <c r="Z110" s="227"/>
      <c r="AA110" s="11"/>
    </row>
    <row r="111" spans="1:33" x14ac:dyDescent="0.25">
      <c r="A111" s="99" t="s">
        <v>1738</v>
      </c>
      <c r="B111" s="249" t="s">
        <v>1682</v>
      </c>
      <c r="C111" s="249" t="s">
        <v>1619</v>
      </c>
      <c r="D111" s="99" t="s">
        <v>1739</v>
      </c>
      <c r="E111" s="99" t="s">
        <v>1740</v>
      </c>
      <c r="F111" s="228"/>
      <c r="G111" s="102"/>
      <c r="H111" s="102"/>
      <c r="I111" s="318" t="s">
        <v>1354</v>
      </c>
      <c r="J111" s="249" t="s">
        <v>478</v>
      </c>
      <c r="K111" s="99"/>
      <c r="L111" s="99"/>
      <c r="M111" s="323"/>
      <c r="N111" s="323" t="s">
        <v>934</v>
      </c>
      <c r="O111" s="323"/>
      <c r="P111" s="328" t="s">
        <v>934</v>
      </c>
      <c r="Q111" s="323"/>
      <c r="R111" s="323"/>
      <c r="S111" s="323"/>
      <c r="T111" s="323"/>
      <c r="U111" s="323"/>
      <c r="V111" s="328" t="s">
        <v>1696</v>
      </c>
      <c r="W111" s="278"/>
      <c r="X111" s="227"/>
      <c r="Y111" s="227"/>
      <c r="Z111" s="227"/>
      <c r="AA111" s="11"/>
    </row>
    <row r="112" spans="1:33" x14ac:dyDescent="0.25">
      <c r="A112" s="99" t="s">
        <v>1741</v>
      </c>
      <c r="B112" s="249" t="s">
        <v>1682</v>
      </c>
      <c r="C112" s="249" t="s">
        <v>1619</v>
      </c>
      <c r="D112" s="99" t="s">
        <v>1742</v>
      </c>
      <c r="E112" s="99" t="s">
        <v>1876</v>
      </c>
      <c r="F112" s="228"/>
      <c r="G112" s="102"/>
      <c r="H112" s="102"/>
      <c r="I112" s="318" t="s">
        <v>1354</v>
      </c>
      <c r="J112" s="326" t="s">
        <v>1743</v>
      </c>
      <c r="K112" s="99"/>
      <c r="L112" s="99"/>
      <c r="M112" s="323"/>
      <c r="N112" s="323"/>
      <c r="O112" s="323"/>
      <c r="P112" s="328" t="s">
        <v>934</v>
      </c>
      <c r="Q112" s="323"/>
      <c r="R112" s="323"/>
      <c r="S112" s="323"/>
      <c r="T112" s="323"/>
      <c r="U112" s="323"/>
      <c r="V112" s="328" t="s">
        <v>1696</v>
      </c>
      <c r="W112" s="278"/>
      <c r="X112" s="227"/>
      <c r="Y112" s="227"/>
      <c r="Z112" s="227"/>
      <c r="AA112" s="11"/>
    </row>
    <row r="113" spans="1:33" x14ac:dyDescent="0.25">
      <c r="A113" s="99" t="s">
        <v>1744</v>
      </c>
      <c r="B113" s="249" t="s">
        <v>1682</v>
      </c>
      <c r="C113" s="249" t="s">
        <v>1619</v>
      </c>
      <c r="D113" s="99" t="s">
        <v>1745</v>
      </c>
      <c r="E113" s="99" t="s">
        <v>1877</v>
      </c>
      <c r="F113" s="228"/>
      <c r="G113" s="102"/>
      <c r="H113" s="102"/>
      <c r="I113" s="318" t="s">
        <v>1354</v>
      </c>
      <c r="J113" s="326" t="s">
        <v>241</v>
      </c>
      <c r="K113" s="99"/>
      <c r="L113" s="99"/>
      <c r="M113" s="323"/>
      <c r="N113" s="323"/>
      <c r="O113" s="323"/>
      <c r="P113" s="328" t="s">
        <v>934</v>
      </c>
      <c r="Q113" s="323"/>
      <c r="R113" s="323"/>
      <c r="S113" s="323"/>
      <c r="T113" s="323"/>
      <c r="U113" s="323"/>
      <c r="V113" s="328" t="s">
        <v>1696</v>
      </c>
      <c r="W113" s="278"/>
      <c r="X113" s="227"/>
      <c r="Y113" s="227"/>
      <c r="Z113" s="227"/>
      <c r="AA113" s="11"/>
    </row>
    <row r="114" spans="1:33" x14ac:dyDescent="0.25">
      <c r="A114" s="99" t="s">
        <v>1746</v>
      </c>
      <c r="B114" s="249" t="s">
        <v>1682</v>
      </c>
      <c r="C114" s="249" t="s">
        <v>1619</v>
      </c>
      <c r="D114" s="99" t="s">
        <v>1747</v>
      </c>
      <c r="E114" s="99" t="s">
        <v>1748</v>
      </c>
      <c r="F114" s="228"/>
      <c r="G114" s="102"/>
      <c r="H114" s="102"/>
      <c r="I114" s="318" t="s">
        <v>1354</v>
      </c>
      <c r="J114" s="326" t="s">
        <v>1743</v>
      </c>
      <c r="K114" s="99"/>
      <c r="L114" s="99"/>
      <c r="M114" s="323"/>
      <c r="N114" s="323" t="s">
        <v>934</v>
      </c>
      <c r="O114" s="323"/>
      <c r="P114" s="328" t="s">
        <v>934</v>
      </c>
      <c r="Q114" s="323"/>
      <c r="R114" s="323"/>
      <c r="S114" s="323"/>
      <c r="T114" s="323"/>
      <c r="U114" s="323"/>
      <c r="V114" s="328" t="s">
        <v>1696</v>
      </c>
      <c r="W114" s="278"/>
      <c r="X114" s="227"/>
      <c r="Y114" s="227"/>
      <c r="Z114" s="227"/>
      <c r="AA114" s="11"/>
    </row>
    <row r="115" spans="1:33" x14ac:dyDescent="0.25">
      <c r="A115" s="99" t="s">
        <v>1749</v>
      </c>
      <c r="B115" s="249" t="s">
        <v>1682</v>
      </c>
      <c r="C115" s="249" t="s">
        <v>1619</v>
      </c>
      <c r="D115" s="99" t="s">
        <v>1747</v>
      </c>
      <c r="E115" s="99" t="s">
        <v>1750</v>
      </c>
      <c r="F115" s="228"/>
      <c r="G115" s="102"/>
      <c r="H115" s="102"/>
      <c r="I115" s="318" t="s">
        <v>1354</v>
      </c>
      <c r="J115" s="326" t="s">
        <v>1743</v>
      </c>
      <c r="K115" s="99"/>
      <c r="L115" s="99"/>
      <c r="M115" s="323"/>
      <c r="N115" s="323" t="s">
        <v>934</v>
      </c>
      <c r="O115" s="323"/>
      <c r="P115" s="328" t="s">
        <v>934</v>
      </c>
      <c r="Q115" s="323"/>
      <c r="R115" s="323"/>
      <c r="S115" s="323"/>
      <c r="T115" s="323"/>
      <c r="U115" s="323"/>
      <c r="V115" s="328" t="s">
        <v>1696</v>
      </c>
      <c r="W115" s="278"/>
      <c r="X115" s="227"/>
      <c r="Y115" s="227"/>
      <c r="Z115" s="227"/>
      <c r="AA115" s="11"/>
    </row>
    <row r="116" spans="1:33" x14ac:dyDescent="0.25">
      <c r="A116" s="179" t="s">
        <v>1044</v>
      </c>
      <c r="B116" s="262"/>
      <c r="C116" s="262"/>
      <c r="D116" s="180"/>
      <c r="E116" s="180"/>
      <c r="F116" s="304"/>
      <c r="G116" s="181"/>
      <c r="H116" s="181"/>
      <c r="I116" s="206"/>
      <c r="J116" s="269"/>
      <c r="K116" s="180"/>
      <c r="L116" s="180"/>
      <c r="M116" s="206"/>
      <c r="N116" s="206"/>
      <c r="O116" s="206"/>
      <c r="P116" s="206"/>
      <c r="Q116" s="206"/>
      <c r="R116" s="206"/>
      <c r="S116" s="206"/>
      <c r="T116" s="206"/>
      <c r="U116" s="206"/>
      <c r="V116" s="206"/>
      <c r="W116" s="279"/>
      <c r="X116" s="269"/>
      <c r="Y116" s="269"/>
      <c r="Z116" s="269"/>
      <c r="AA116" s="269"/>
      <c r="AB116" s="269"/>
      <c r="AC116" s="269"/>
      <c r="AD116" s="269"/>
      <c r="AE116" s="269"/>
      <c r="AF116" s="269"/>
      <c r="AG116" s="269"/>
    </row>
    <row r="117" spans="1:33" x14ac:dyDescent="0.25">
      <c r="A117" s="99" t="s">
        <v>221</v>
      </c>
      <c r="B117" s="249" t="s">
        <v>1044</v>
      </c>
      <c r="C117" s="249" t="s">
        <v>1649</v>
      </c>
      <c r="D117" s="99" t="s">
        <v>222</v>
      </c>
      <c r="E117" s="99" t="s">
        <v>1254</v>
      </c>
      <c r="F117" s="228"/>
      <c r="G117" s="102">
        <v>-10</v>
      </c>
      <c r="H117" s="102" t="s">
        <v>108</v>
      </c>
      <c r="I117" s="266">
        <v>10</v>
      </c>
      <c r="J117" s="249" t="s">
        <v>831</v>
      </c>
      <c r="K117" s="99"/>
      <c r="L117" s="99"/>
      <c r="M117" s="111"/>
      <c r="N117" s="111" t="s">
        <v>934</v>
      </c>
      <c r="O117" s="111"/>
      <c r="P117" s="328" t="s">
        <v>934</v>
      </c>
      <c r="Q117" s="111"/>
      <c r="R117" s="111"/>
      <c r="S117" s="321"/>
      <c r="T117" s="321"/>
      <c r="U117" s="321"/>
      <c r="V117" s="328" t="s">
        <v>1698</v>
      </c>
      <c r="W117" s="278"/>
      <c r="X117" s="227"/>
      <c r="Y117" s="227"/>
      <c r="Z117" s="227"/>
      <c r="AA117" s="11"/>
    </row>
    <row r="118" spans="1:33" s="117" customFormat="1" x14ac:dyDescent="0.25">
      <c r="A118" s="99" t="s">
        <v>1010</v>
      </c>
      <c r="B118" s="249" t="s">
        <v>1044</v>
      </c>
      <c r="C118" s="249" t="s">
        <v>1649</v>
      </c>
      <c r="D118" s="99" t="s">
        <v>223</v>
      </c>
      <c r="E118" s="99" t="s">
        <v>1202</v>
      </c>
      <c r="F118" s="228"/>
      <c r="G118" s="102">
        <v>-25</v>
      </c>
      <c r="H118" s="102" t="s">
        <v>1012</v>
      </c>
      <c r="I118" s="218">
        <v>25</v>
      </c>
      <c r="J118" s="249" t="s">
        <v>831</v>
      </c>
      <c r="K118" s="99"/>
      <c r="L118" s="99"/>
      <c r="M118" s="111"/>
      <c r="N118" s="111" t="s">
        <v>934</v>
      </c>
      <c r="O118" s="111"/>
      <c r="P118" s="328" t="s">
        <v>934</v>
      </c>
      <c r="Q118" s="111"/>
      <c r="R118" s="111"/>
      <c r="S118" s="321"/>
      <c r="T118" s="321"/>
      <c r="U118" s="321"/>
      <c r="V118" s="328" t="s">
        <v>1698</v>
      </c>
      <c r="W118" s="280"/>
      <c r="X118" s="231"/>
      <c r="Y118" s="231"/>
      <c r="Z118" s="231"/>
      <c r="AA118" s="232"/>
      <c r="AB118" s="230"/>
      <c r="AC118" s="230"/>
      <c r="AD118" s="230"/>
      <c r="AE118" s="230"/>
      <c r="AF118" s="230"/>
      <c r="AG118" s="230"/>
    </row>
    <row r="119" spans="1:33" s="117" customFormat="1" x14ac:dyDescent="0.25">
      <c r="A119" s="99" t="s">
        <v>1201</v>
      </c>
      <c r="B119" s="249" t="s">
        <v>1044</v>
      </c>
      <c r="C119" s="249" t="s">
        <v>1649</v>
      </c>
      <c r="D119" s="99" t="s">
        <v>1203</v>
      </c>
      <c r="E119" s="99" t="s">
        <v>1011</v>
      </c>
      <c r="F119" s="228"/>
      <c r="G119" s="102">
        <v>-25</v>
      </c>
      <c r="H119" s="102" t="s">
        <v>1012</v>
      </c>
      <c r="I119" s="218">
        <v>25</v>
      </c>
      <c r="J119" s="249" t="s">
        <v>831</v>
      </c>
      <c r="K119" s="99"/>
      <c r="L119" s="99"/>
      <c r="M119" s="111"/>
      <c r="N119" s="111" t="s">
        <v>934</v>
      </c>
      <c r="O119" s="111"/>
      <c r="P119" s="328" t="s">
        <v>934</v>
      </c>
      <c r="Q119" s="111"/>
      <c r="R119" s="111"/>
      <c r="S119" s="321"/>
      <c r="T119" s="321"/>
      <c r="U119" s="321"/>
      <c r="V119" s="328" t="s">
        <v>1698</v>
      </c>
      <c r="W119" s="280"/>
      <c r="X119" s="231"/>
      <c r="Y119" s="231"/>
      <c r="Z119" s="231"/>
      <c r="AA119" s="232"/>
      <c r="AB119" s="230"/>
      <c r="AC119" s="230"/>
      <c r="AD119" s="230"/>
      <c r="AE119" s="230"/>
      <c r="AF119" s="230"/>
      <c r="AG119" s="230"/>
    </row>
    <row r="120" spans="1:33" s="117" customFormat="1" x14ac:dyDescent="0.25">
      <c r="A120" s="99" t="s">
        <v>224</v>
      </c>
      <c r="B120" s="249" t="s">
        <v>1044</v>
      </c>
      <c r="C120" s="249" t="s">
        <v>1649</v>
      </c>
      <c r="D120" s="99" t="s">
        <v>1205</v>
      </c>
      <c r="E120" s="99" t="s">
        <v>1207</v>
      </c>
      <c r="F120" s="228"/>
      <c r="G120" s="102" t="s">
        <v>108</v>
      </c>
      <c r="H120" s="102" t="s">
        <v>108</v>
      </c>
      <c r="I120" s="218">
        <v>60</v>
      </c>
      <c r="J120" s="249" t="s">
        <v>831</v>
      </c>
      <c r="K120" s="99"/>
      <c r="L120" s="99"/>
      <c r="M120" s="111"/>
      <c r="N120" s="111" t="s">
        <v>934</v>
      </c>
      <c r="O120" s="111"/>
      <c r="P120" s="328" t="s">
        <v>934</v>
      </c>
      <c r="Q120" s="111"/>
      <c r="R120" s="111"/>
      <c r="S120" s="321"/>
      <c r="T120" s="321"/>
      <c r="U120" s="321"/>
      <c r="V120" s="328" t="s">
        <v>1698</v>
      </c>
      <c r="W120" s="280"/>
      <c r="X120" s="231"/>
      <c r="Y120" s="231"/>
      <c r="Z120" s="231"/>
      <c r="AA120" s="232"/>
      <c r="AB120" s="230"/>
      <c r="AC120" s="230"/>
      <c r="AD120" s="230"/>
      <c r="AE120" s="230"/>
      <c r="AF120" s="230"/>
      <c r="AG120" s="230"/>
    </row>
    <row r="121" spans="1:33" s="117" customFormat="1" x14ac:dyDescent="0.25">
      <c r="A121" s="99" t="s">
        <v>1204</v>
      </c>
      <c r="B121" s="249" t="s">
        <v>1044</v>
      </c>
      <c r="C121" s="249" t="s">
        <v>1649</v>
      </c>
      <c r="D121" s="99" t="s">
        <v>1206</v>
      </c>
      <c r="E121" s="99" t="s">
        <v>1208</v>
      </c>
      <c r="F121" s="228"/>
      <c r="G121" s="102" t="s">
        <v>108</v>
      </c>
      <c r="H121" s="102" t="s">
        <v>108</v>
      </c>
      <c r="I121" s="218">
        <v>80</v>
      </c>
      <c r="J121" s="249" t="s">
        <v>831</v>
      </c>
      <c r="K121" s="99"/>
      <c r="L121" s="99"/>
      <c r="M121" s="111"/>
      <c r="N121" s="111" t="s">
        <v>934</v>
      </c>
      <c r="O121" s="111"/>
      <c r="P121" s="328" t="s">
        <v>934</v>
      </c>
      <c r="Q121" s="111"/>
      <c r="R121" s="111"/>
      <c r="S121" s="321"/>
      <c r="T121" s="321"/>
      <c r="U121" s="321"/>
      <c r="V121" s="328" t="s">
        <v>1698</v>
      </c>
      <c r="W121" s="280"/>
      <c r="X121" s="231"/>
      <c r="Y121" s="231"/>
      <c r="Z121" s="231"/>
      <c r="AA121" s="232"/>
      <c r="AB121" s="230"/>
      <c r="AC121" s="230"/>
      <c r="AD121" s="230"/>
      <c r="AE121" s="230"/>
      <c r="AF121" s="230"/>
      <c r="AG121" s="230"/>
    </row>
    <row r="122" spans="1:33" s="117" customFormat="1" x14ac:dyDescent="0.25">
      <c r="A122" s="99" t="s">
        <v>225</v>
      </c>
      <c r="B122" s="249" t="s">
        <v>1044</v>
      </c>
      <c r="C122" s="249" t="s">
        <v>1649</v>
      </c>
      <c r="D122" s="99" t="s">
        <v>226</v>
      </c>
      <c r="E122" s="99" t="s">
        <v>1211</v>
      </c>
      <c r="F122" s="228"/>
      <c r="G122" s="101">
        <v>0</v>
      </c>
      <c r="H122" s="102" t="s">
        <v>108</v>
      </c>
      <c r="I122" s="266" t="s">
        <v>1209</v>
      </c>
      <c r="J122" s="249" t="s">
        <v>475</v>
      </c>
      <c r="K122" s="99"/>
      <c r="L122" s="99"/>
      <c r="M122" s="111"/>
      <c r="N122" s="111" t="s">
        <v>934</v>
      </c>
      <c r="O122" s="111"/>
      <c r="P122" s="328" t="s">
        <v>934</v>
      </c>
      <c r="Q122" s="111"/>
      <c r="R122" s="111"/>
      <c r="S122" s="321"/>
      <c r="T122" s="321"/>
      <c r="U122" s="321"/>
      <c r="V122" s="328" t="s">
        <v>1698</v>
      </c>
      <c r="W122" s="280"/>
      <c r="X122" s="231"/>
      <c r="Y122" s="231"/>
      <c r="Z122" s="231"/>
      <c r="AA122" s="232"/>
      <c r="AB122" s="230"/>
      <c r="AC122" s="230"/>
      <c r="AD122" s="230"/>
      <c r="AE122" s="230"/>
      <c r="AF122" s="230"/>
      <c r="AG122" s="230"/>
    </row>
    <row r="123" spans="1:33" s="117" customFormat="1" x14ac:dyDescent="0.25">
      <c r="A123" s="99" t="s">
        <v>227</v>
      </c>
      <c r="B123" s="249" t="s">
        <v>1044</v>
      </c>
      <c r="C123" s="249" t="s">
        <v>1649</v>
      </c>
      <c r="D123" s="99" t="s">
        <v>228</v>
      </c>
      <c r="E123" s="99" t="s">
        <v>1212</v>
      </c>
      <c r="F123" s="228"/>
      <c r="G123" s="102">
        <v>0</v>
      </c>
      <c r="H123" s="102" t="s">
        <v>108</v>
      </c>
      <c r="I123" s="266" t="s">
        <v>1209</v>
      </c>
      <c r="J123" s="249" t="s">
        <v>475</v>
      </c>
      <c r="K123" s="99"/>
      <c r="L123" s="99"/>
      <c r="M123" s="111"/>
      <c r="N123" s="111" t="s">
        <v>934</v>
      </c>
      <c r="O123" s="111"/>
      <c r="P123" s="328" t="s">
        <v>934</v>
      </c>
      <c r="Q123" s="111"/>
      <c r="R123" s="111"/>
      <c r="S123" s="321"/>
      <c r="T123" s="321"/>
      <c r="U123" s="321"/>
      <c r="V123" s="328" t="s">
        <v>1698</v>
      </c>
      <c r="W123" s="280"/>
      <c r="X123" s="231"/>
      <c r="Y123" s="231"/>
      <c r="Z123" s="231"/>
      <c r="AA123" s="232"/>
      <c r="AB123" s="230"/>
      <c r="AC123" s="230"/>
      <c r="AD123" s="230"/>
      <c r="AE123" s="230"/>
      <c r="AF123" s="230"/>
      <c r="AG123" s="230"/>
    </row>
    <row r="124" spans="1:33" s="117" customFormat="1" x14ac:dyDescent="0.25">
      <c r="A124" s="99" t="s">
        <v>229</v>
      </c>
      <c r="B124" s="249" t="s">
        <v>1044</v>
      </c>
      <c r="C124" s="249" t="s">
        <v>1649</v>
      </c>
      <c r="D124" s="99" t="s">
        <v>230</v>
      </c>
      <c r="E124" s="99" t="s">
        <v>1213</v>
      </c>
      <c r="F124" s="228"/>
      <c r="G124" s="102">
        <v>0</v>
      </c>
      <c r="H124" s="102" t="s">
        <v>108</v>
      </c>
      <c r="I124" s="266" t="s">
        <v>1209</v>
      </c>
      <c r="J124" s="249" t="s">
        <v>475</v>
      </c>
      <c r="K124" s="99"/>
      <c r="L124" s="99"/>
      <c r="M124" s="111"/>
      <c r="N124" s="111" t="s">
        <v>934</v>
      </c>
      <c r="O124" s="111"/>
      <c r="P124" s="328" t="s">
        <v>934</v>
      </c>
      <c r="Q124" s="111"/>
      <c r="R124" s="111"/>
      <c r="S124" s="321"/>
      <c r="T124" s="321"/>
      <c r="U124" s="321"/>
      <c r="V124" s="328" t="s">
        <v>1698</v>
      </c>
      <c r="W124" s="280"/>
      <c r="X124" s="231"/>
      <c r="Y124" s="231"/>
      <c r="Z124" s="231"/>
      <c r="AA124" s="232"/>
      <c r="AB124" s="230"/>
      <c r="AC124" s="230"/>
      <c r="AD124" s="230"/>
      <c r="AE124" s="230"/>
      <c r="AF124" s="230"/>
      <c r="AG124" s="230"/>
    </row>
    <row r="125" spans="1:33" s="117" customFormat="1" x14ac:dyDescent="0.25">
      <c r="A125" s="99" t="s">
        <v>231</v>
      </c>
      <c r="B125" s="249" t="s">
        <v>1044</v>
      </c>
      <c r="C125" s="249" t="s">
        <v>1649</v>
      </c>
      <c r="D125" s="99" t="s">
        <v>220</v>
      </c>
      <c r="E125" s="99" t="s">
        <v>1210</v>
      </c>
      <c r="F125" s="228"/>
      <c r="G125" s="101">
        <v>50</v>
      </c>
      <c r="H125" s="102" t="s">
        <v>108</v>
      </c>
      <c r="I125" s="218" t="s">
        <v>108</v>
      </c>
      <c r="J125" s="249" t="s">
        <v>751</v>
      </c>
      <c r="K125" s="99"/>
      <c r="L125" s="99"/>
      <c r="M125" s="111"/>
      <c r="N125" s="111" t="s">
        <v>934</v>
      </c>
      <c r="O125" s="111"/>
      <c r="P125" s="328" t="s">
        <v>934</v>
      </c>
      <c r="Q125" s="111"/>
      <c r="R125" s="111"/>
      <c r="S125" s="321"/>
      <c r="T125" s="321"/>
      <c r="U125" s="321"/>
      <c r="V125" s="328" t="s">
        <v>1698</v>
      </c>
      <c r="W125" s="280"/>
      <c r="X125" s="231"/>
      <c r="Y125" s="231"/>
      <c r="Z125" s="231"/>
      <c r="AA125" s="232"/>
      <c r="AB125" s="230"/>
      <c r="AC125" s="230"/>
      <c r="AD125" s="230"/>
      <c r="AE125" s="230"/>
      <c r="AF125" s="230"/>
      <c r="AG125" s="230"/>
    </row>
    <row r="126" spans="1:33" s="117" customFormat="1" x14ac:dyDescent="0.25">
      <c r="A126" s="99" t="s">
        <v>232</v>
      </c>
      <c r="B126" s="249" t="s">
        <v>1044</v>
      </c>
      <c r="C126" s="249" t="s">
        <v>1649</v>
      </c>
      <c r="D126" s="99" t="s">
        <v>233</v>
      </c>
      <c r="E126" s="99" t="s">
        <v>1214</v>
      </c>
      <c r="F126" s="228"/>
      <c r="G126" s="102" t="s">
        <v>108</v>
      </c>
      <c r="H126" s="102" t="s">
        <v>108</v>
      </c>
      <c r="I126" s="218">
        <v>150</v>
      </c>
      <c r="J126" s="249" t="s">
        <v>849</v>
      </c>
      <c r="K126" s="99"/>
      <c r="L126" s="99"/>
      <c r="M126" s="111"/>
      <c r="N126" s="111" t="s">
        <v>934</v>
      </c>
      <c r="O126" s="111"/>
      <c r="P126" s="328" t="s">
        <v>934</v>
      </c>
      <c r="Q126" s="111"/>
      <c r="R126" s="111"/>
      <c r="S126" s="321"/>
      <c r="T126" s="321"/>
      <c r="U126" s="321"/>
      <c r="V126" s="328" t="s">
        <v>1698</v>
      </c>
      <c r="W126" s="280"/>
      <c r="X126" s="231"/>
      <c r="Y126" s="231"/>
      <c r="Z126" s="231"/>
      <c r="AA126" s="232"/>
      <c r="AB126" s="230"/>
      <c r="AC126" s="230"/>
      <c r="AD126" s="230"/>
      <c r="AE126" s="230"/>
      <c r="AF126" s="230"/>
      <c r="AG126" s="230"/>
    </row>
    <row r="127" spans="1:33" x14ac:dyDescent="0.25">
      <c r="A127" s="99" t="s">
        <v>234</v>
      </c>
      <c r="B127" s="249" t="s">
        <v>1044</v>
      </c>
      <c r="C127" s="249" t="s">
        <v>1649</v>
      </c>
      <c r="D127" s="99" t="s">
        <v>235</v>
      </c>
      <c r="E127" s="99" t="s">
        <v>1215</v>
      </c>
      <c r="F127" s="228"/>
      <c r="G127" s="102" t="s">
        <v>108</v>
      </c>
      <c r="H127" s="102" t="s">
        <v>108</v>
      </c>
      <c r="I127" s="218">
        <v>10</v>
      </c>
      <c r="J127" s="249" t="s">
        <v>849</v>
      </c>
      <c r="K127" s="99"/>
      <c r="L127" s="99"/>
      <c r="M127" s="111"/>
      <c r="N127" s="111" t="s">
        <v>934</v>
      </c>
      <c r="O127" s="111"/>
      <c r="P127" s="328" t="s">
        <v>934</v>
      </c>
      <c r="Q127" s="111"/>
      <c r="R127" s="111"/>
      <c r="S127" s="321"/>
      <c r="T127" s="321"/>
      <c r="U127" s="321"/>
      <c r="V127" s="328" t="s">
        <v>1698</v>
      </c>
      <c r="W127" s="278"/>
      <c r="X127" s="227"/>
      <c r="Y127" s="227"/>
      <c r="Z127" s="227"/>
      <c r="AA127" s="11"/>
    </row>
    <row r="128" spans="1:33" x14ac:dyDescent="0.25">
      <c r="A128" s="99" t="s">
        <v>236</v>
      </c>
      <c r="B128" s="249" t="s">
        <v>1044</v>
      </c>
      <c r="C128" s="249" t="s">
        <v>1649</v>
      </c>
      <c r="D128" s="99" t="s">
        <v>237</v>
      </c>
      <c r="E128" s="99" t="s">
        <v>1216</v>
      </c>
      <c r="F128" s="228"/>
      <c r="G128" s="102" t="s">
        <v>108</v>
      </c>
      <c r="H128" s="102">
        <v>0.3</v>
      </c>
      <c r="I128" s="218">
        <v>0.85</v>
      </c>
      <c r="J128" s="249" t="s">
        <v>849</v>
      </c>
      <c r="K128" s="99"/>
      <c r="L128" s="99"/>
      <c r="M128" s="111"/>
      <c r="N128" s="111" t="s">
        <v>934</v>
      </c>
      <c r="O128" s="111"/>
      <c r="P128" s="328" t="s">
        <v>934</v>
      </c>
      <c r="Q128" s="111"/>
      <c r="R128" s="111"/>
      <c r="S128" s="321"/>
      <c r="T128" s="321"/>
      <c r="U128" s="321"/>
      <c r="V128" s="328" t="s">
        <v>1698</v>
      </c>
      <c r="W128" s="278"/>
      <c r="X128" s="227"/>
      <c r="Y128" s="227"/>
      <c r="Z128" s="227"/>
      <c r="AA128" s="11"/>
    </row>
    <row r="129" spans="1:33" s="117" customFormat="1" x14ac:dyDescent="0.25">
      <c r="A129" s="99" t="s">
        <v>238</v>
      </c>
      <c r="B129" s="249" t="s">
        <v>1044</v>
      </c>
      <c r="C129" s="249" t="s">
        <v>1649</v>
      </c>
      <c r="D129" s="99" t="s">
        <v>239</v>
      </c>
      <c r="E129" s="99" t="s">
        <v>240</v>
      </c>
      <c r="F129" s="228"/>
      <c r="G129" s="101">
        <v>35</v>
      </c>
      <c r="H129" s="102" t="s">
        <v>108</v>
      </c>
      <c r="I129" s="218" t="s">
        <v>108</v>
      </c>
      <c r="J129" s="249" t="s">
        <v>241</v>
      </c>
      <c r="K129" s="99"/>
      <c r="L129" s="99"/>
      <c r="M129" s="111"/>
      <c r="N129" s="111" t="s">
        <v>934</v>
      </c>
      <c r="O129" s="111"/>
      <c r="P129" s="328" t="s">
        <v>934</v>
      </c>
      <c r="Q129" s="111"/>
      <c r="R129" s="111"/>
      <c r="S129" s="321"/>
      <c r="T129" s="321"/>
      <c r="U129" s="321"/>
      <c r="V129" s="328" t="s">
        <v>1698</v>
      </c>
      <c r="W129" s="280"/>
      <c r="X129" s="231"/>
      <c r="Y129" s="231"/>
      <c r="Z129" s="231"/>
      <c r="AA129" s="232"/>
      <c r="AB129" s="230"/>
      <c r="AC129" s="230"/>
      <c r="AD129" s="230"/>
      <c r="AE129" s="230"/>
      <c r="AF129" s="230"/>
      <c r="AG129" s="230"/>
    </row>
    <row r="130" spans="1:33" x14ac:dyDescent="0.25">
      <c r="A130" s="179" t="s">
        <v>1045</v>
      </c>
      <c r="B130" s="262"/>
      <c r="C130" s="262"/>
      <c r="D130" s="180"/>
      <c r="E130" s="180"/>
      <c r="F130" s="304"/>
      <c r="G130" s="181"/>
      <c r="H130" s="181"/>
      <c r="I130" s="206"/>
      <c r="J130" s="269"/>
      <c r="K130" s="180"/>
      <c r="L130" s="180"/>
      <c r="M130" s="206"/>
      <c r="N130" s="206"/>
      <c r="O130" s="206"/>
      <c r="P130" s="206"/>
      <c r="Q130" s="206"/>
      <c r="R130" s="206"/>
      <c r="S130" s="206"/>
      <c r="T130" s="206"/>
      <c r="U130" s="206"/>
      <c r="V130" s="206"/>
      <c r="W130" s="279"/>
      <c r="X130" s="269"/>
      <c r="Y130" s="269"/>
      <c r="Z130" s="269"/>
      <c r="AA130" s="269"/>
      <c r="AB130" s="269"/>
      <c r="AC130" s="269"/>
      <c r="AD130" s="269"/>
      <c r="AE130" s="269"/>
      <c r="AF130" s="269"/>
      <c r="AG130" s="269"/>
    </row>
    <row r="131" spans="1:33" x14ac:dyDescent="0.25">
      <c r="A131" s="99" t="s">
        <v>242</v>
      </c>
      <c r="B131" s="249" t="s">
        <v>1045</v>
      </c>
      <c r="C131" s="249" t="s">
        <v>1649</v>
      </c>
      <c r="D131" s="99" t="s">
        <v>243</v>
      </c>
      <c r="E131" s="99" t="s">
        <v>1217</v>
      </c>
      <c r="F131" s="228"/>
      <c r="G131" s="102" t="s">
        <v>108</v>
      </c>
      <c r="H131" s="102" t="s">
        <v>108</v>
      </c>
      <c r="I131" s="218">
        <v>100</v>
      </c>
      <c r="J131" s="249" t="s">
        <v>446</v>
      </c>
      <c r="K131" s="99"/>
      <c r="L131" s="99"/>
      <c r="M131" s="111"/>
      <c r="N131" s="111" t="s">
        <v>934</v>
      </c>
      <c r="O131" s="111"/>
      <c r="P131" s="328" t="s">
        <v>934</v>
      </c>
      <c r="Q131" s="111"/>
      <c r="R131" s="111"/>
      <c r="S131" s="321"/>
      <c r="T131" s="321"/>
      <c r="U131" s="321"/>
      <c r="V131" s="328" t="s">
        <v>1696</v>
      </c>
      <c r="W131" s="278"/>
      <c r="X131" s="227"/>
      <c r="Y131" s="227"/>
      <c r="Z131" s="227"/>
      <c r="AA131" s="11"/>
    </row>
    <row r="132" spans="1:33" x14ac:dyDescent="0.25">
      <c r="A132" s="99" t="s">
        <v>244</v>
      </c>
      <c r="B132" s="249" t="s">
        <v>1045</v>
      </c>
      <c r="C132" s="249" t="s">
        <v>1649</v>
      </c>
      <c r="D132" s="99" t="s">
        <v>245</v>
      </c>
      <c r="E132" s="99" t="s">
        <v>1218</v>
      </c>
      <c r="F132" s="228"/>
      <c r="G132" s="102" t="s">
        <v>108</v>
      </c>
      <c r="H132" s="102" t="s">
        <v>108</v>
      </c>
      <c r="I132" s="218">
        <v>1000</v>
      </c>
      <c r="J132" s="249" t="s">
        <v>446</v>
      </c>
      <c r="K132" s="99"/>
      <c r="L132" s="99"/>
      <c r="M132" s="111"/>
      <c r="N132" s="111" t="s">
        <v>934</v>
      </c>
      <c r="O132" s="111"/>
      <c r="P132" s="328" t="s">
        <v>934</v>
      </c>
      <c r="Q132" s="111"/>
      <c r="R132" s="111"/>
      <c r="S132" s="321"/>
      <c r="T132" s="321"/>
      <c r="U132" s="321"/>
      <c r="V132" s="328" t="s">
        <v>1698</v>
      </c>
      <c r="W132" s="278"/>
      <c r="X132" s="227"/>
      <c r="Y132" s="227"/>
      <c r="Z132" s="227"/>
      <c r="AA132" s="11"/>
    </row>
    <row r="133" spans="1:33" x14ac:dyDescent="0.25">
      <c r="A133" s="99" t="s">
        <v>246</v>
      </c>
      <c r="B133" s="249" t="s">
        <v>1045</v>
      </c>
      <c r="C133" s="249" t="s">
        <v>1649</v>
      </c>
      <c r="D133" s="99" t="s">
        <v>247</v>
      </c>
      <c r="E133" s="99" t="s">
        <v>1219</v>
      </c>
      <c r="F133" s="228"/>
      <c r="G133" s="102" t="s">
        <v>108</v>
      </c>
      <c r="H133" s="102" t="s">
        <v>108</v>
      </c>
      <c r="I133" s="218">
        <v>20</v>
      </c>
      <c r="J133" s="249" t="s">
        <v>142</v>
      </c>
      <c r="K133" s="99"/>
      <c r="L133" s="99"/>
      <c r="M133" s="111"/>
      <c r="N133" s="111" t="s">
        <v>934</v>
      </c>
      <c r="O133" s="111"/>
      <c r="P133" s="328" t="s">
        <v>934</v>
      </c>
      <c r="Q133" s="111"/>
      <c r="R133" s="111"/>
      <c r="S133" s="321"/>
      <c r="T133" s="321"/>
      <c r="U133" s="321"/>
      <c r="V133" s="328" t="s">
        <v>1698</v>
      </c>
      <c r="W133" s="278"/>
      <c r="X133" s="227"/>
      <c r="Y133" s="227"/>
      <c r="Z133" s="227"/>
      <c r="AA133" s="11"/>
    </row>
    <row r="134" spans="1:33" s="117" customFormat="1" x14ac:dyDescent="0.25">
      <c r="A134" s="99" t="s">
        <v>1161</v>
      </c>
      <c r="B134" s="249" t="s">
        <v>1045</v>
      </c>
      <c r="C134" s="249" t="s">
        <v>1649</v>
      </c>
      <c r="D134" s="99" t="s">
        <v>1164</v>
      </c>
      <c r="E134" s="99" t="s">
        <v>1166</v>
      </c>
      <c r="F134" s="228"/>
      <c r="G134" s="102" t="s">
        <v>108</v>
      </c>
      <c r="H134" s="102" t="s">
        <v>108</v>
      </c>
      <c r="I134" s="218">
        <v>10</v>
      </c>
      <c r="J134" s="249" t="s">
        <v>142</v>
      </c>
      <c r="K134" s="99" t="s">
        <v>1165</v>
      </c>
      <c r="L134" s="99"/>
      <c r="M134" s="111"/>
      <c r="N134" s="111" t="s">
        <v>934</v>
      </c>
      <c r="O134" s="111"/>
      <c r="P134" s="328" t="s">
        <v>934</v>
      </c>
      <c r="Q134" s="111"/>
      <c r="R134" s="111"/>
      <c r="S134" s="321"/>
      <c r="T134" s="321"/>
      <c r="U134" s="321"/>
      <c r="V134" s="328" t="s">
        <v>1696</v>
      </c>
      <c r="W134" s="280"/>
      <c r="X134" s="231"/>
      <c r="Y134" s="231"/>
      <c r="Z134" s="231"/>
      <c r="AA134" s="232"/>
      <c r="AB134" s="230"/>
      <c r="AC134" s="230"/>
      <c r="AD134" s="230"/>
      <c r="AE134" s="230"/>
      <c r="AF134" s="230"/>
      <c r="AG134" s="230"/>
    </row>
    <row r="135" spans="1:33" x14ac:dyDescent="0.25">
      <c r="A135" s="99" t="s">
        <v>1162</v>
      </c>
      <c r="B135" s="249" t="s">
        <v>1045</v>
      </c>
      <c r="C135" s="249" t="s">
        <v>1649</v>
      </c>
      <c r="D135" s="99" t="s">
        <v>1163</v>
      </c>
      <c r="E135" s="99" t="s">
        <v>1166</v>
      </c>
      <c r="F135" s="228"/>
      <c r="G135" s="102" t="s">
        <v>108</v>
      </c>
      <c r="H135" s="102" t="s">
        <v>108</v>
      </c>
      <c r="I135" s="218">
        <v>50</v>
      </c>
      <c r="J135" s="249" t="s">
        <v>142</v>
      </c>
      <c r="K135" s="99" t="s">
        <v>1167</v>
      </c>
      <c r="L135" s="99"/>
      <c r="M135" s="111"/>
      <c r="N135" s="111" t="s">
        <v>934</v>
      </c>
      <c r="O135" s="111"/>
      <c r="P135" s="328" t="s">
        <v>934</v>
      </c>
      <c r="Q135" s="111"/>
      <c r="R135" s="111"/>
      <c r="S135" s="321"/>
      <c r="T135" s="321"/>
      <c r="U135" s="321"/>
      <c r="V135" s="328" t="s">
        <v>1698</v>
      </c>
      <c r="W135" s="278"/>
      <c r="X135" s="227"/>
      <c r="Y135" s="227"/>
      <c r="Z135" s="227"/>
      <c r="AA135" s="11"/>
    </row>
    <row r="136" spans="1:33" x14ac:dyDescent="0.25">
      <c r="A136" s="179" t="s">
        <v>1878</v>
      </c>
      <c r="B136" s="262"/>
      <c r="C136" s="262"/>
      <c r="D136" s="180"/>
      <c r="E136" s="180"/>
      <c r="F136" s="304"/>
      <c r="G136" s="181"/>
      <c r="H136" s="181"/>
      <c r="I136" s="206"/>
      <c r="J136" s="269"/>
      <c r="K136" s="180"/>
      <c r="L136" s="180"/>
      <c r="M136" s="206"/>
      <c r="N136" s="206"/>
      <c r="O136" s="206"/>
      <c r="P136" s="206"/>
      <c r="Q136" s="206"/>
      <c r="R136" s="206"/>
      <c r="S136" s="206"/>
      <c r="T136" s="206"/>
      <c r="U136" s="206"/>
      <c r="V136" s="206"/>
      <c r="W136" s="279"/>
      <c r="X136" s="269"/>
      <c r="Y136" s="269"/>
      <c r="Z136" s="269"/>
      <c r="AA136" s="269"/>
      <c r="AB136" s="269"/>
      <c r="AC136" s="269"/>
      <c r="AD136" s="269"/>
      <c r="AE136" s="269"/>
      <c r="AF136" s="269"/>
      <c r="AG136" s="269"/>
    </row>
    <row r="137" spans="1:33" x14ac:dyDescent="0.25">
      <c r="A137" s="99" t="s">
        <v>1889</v>
      </c>
      <c r="B137" s="249" t="s">
        <v>1878</v>
      </c>
      <c r="C137" s="249" t="s">
        <v>1890</v>
      </c>
      <c r="D137" s="99" t="s">
        <v>1547</v>
      </c>
      <c r="E137" s="99" t="s">
        <v>1548</v>
      </c>
      <c r="F137" s="228"/>
      <c r="G137" s="102"/>
      <c r="H137" s="102">
        <v>1.2</v>
      </c>
      <c r="I137" s="328"/>
      <c r="J137" s="249" t="s">
        <v>475</v>
      </c>
      <c r="K137" s="99" t="s">
        <v>1891</v>
      </c>
      <c r="L137" s="99"/>
      <c r="M137" s="328"/>
      <c r="N137" s="328"/>
      <c r="O137" s="328"/>
      <c r="P137" s="328" t="s">
        <v>934</v>
      </c>
      <c r="Q137" s="328"/>
      <c r="R137" s="328"/>
      <c r="S137" s="328"/>
      <c r="U137" s="328"/>
      <c r="V137" s="328" t="s">
        <v>1696</v>
      </c>
      <c r="W137" s="278"/>
      <c r="X137" s="227"/>
      <c r="Y137" s="227"/>
      <c r="Z137" s="227"/>
      <c r="AA137" s="11"/>
    </row>
    <row r="138" spans="1:33" s="117" customFormat="1" x14ac:dyDescent="0.25">
      <c r="A138" s="99" t="s">
        <v>1892</v>
      </c>
      <c r="B138" s="249" t="s">
        <v>1878</v>
      </c>
      <c r="C138" s="249" t="s">
        <v>1890</v>
      </c>
      <c r="D138" s="99" t="s">
        <v>1549</v>
      </c>
      <c r="E138" s="99" t="s">
        <v>1550</v>
      </c>
      <c r="F138" s="228"/>
      <c r="G138" s="102">
        <v>-3</v>
      </c>
      <c r="H138" s="102" t="s">
        <v>108</v>
      </c>
      <c r="I138" s="328">
        <v>3</v>
      </c>
      <c r="J138" s="249" t="s">
        <v>831</v>
      </c>
      <c r="K138" s="99"/>
      <c r="L138" s="99"/>
      <c r="M138" s="328"/>
      <c r="N138" s="328"/>
      <c r="O138" s="328"/>
      <c r="P138" s="328" t="s">
        <v>934</v>
      </c>
      <c r="Q138" s="328"/>
      <c r="R138" s="328"/>
      <c r="S138" s="328"/>
      <c r="U138" s="328"/>
      <c r="V138" s="328" t="s">
        <v>1696</v>
      </c>
      <c r="W138" s="280"/>
      <c r="X138" s="231"/>
      <c r="Y138" s="231"/>
      <c r="Z138" s="231"/>
      <c r="AA138" s="232"/>
      <c r="AB138" s="230"/>
      <c r="AC138" s="230"/>
      <c r="AD138" s="230"/>
      <c r="AE138" s="230"/>
      <c r="AF138" s="230"/>
      <c r="AG138" s="230"/>
    </row>
    <row r="139" spans="1:33" s="117" customFormat="1" x14ac:dyDescent="0.25">
      <c r="A139" s="342" t="s">
        <v>1893</v>
      </c>
      <c r="B139" s="361" t="s">
        <v>1878</v>
      </c>
      <c r="C139" s="361" t="s">
        <v>1890</v>
      </c>
      <c r="D139" s="342" t="s">
        <v>1551</v>
      </c>
      <c r="E139" s="99" t="s">
        <v>1894</v>
      </c>
      <c r="F139" s="228"/>
      <c r="G139" s="101">
        <v>-0.2</v>
      </c>
      <c r="H139" s="102" t="s">
        <v>108</v>
      </c>
      <c r="I139" s="328">
        <v>0.2</v>
      </c>
      <c r="J139" s="249" t="s">
        <v>475</v>
      </c>
      <c r="K139" s="99"/>
      <c r="L139" s="99"/>
      <c r="M139" s="328"/>
      <c r="N139" s="328"/>
      <c r="O139" s="328"/>
      <c r="P139" s="328" t="s">
        <v>934</v>
      </c>
      <c r="Q139" s="328"/>
      <c r="R139" s="328"/>
      <c r="S139" s="328"/>
      <c r="U139" s="328"/>
      <c r="V139" s="328" t="s">
        <v>1696</v>
      </c>
      <c r="W139" s="280"/>
      <c r="X139" s="231"/>
      <c r="Y139" s="231"/>
      <c r="Z139" s="231"/>
      <c r="AA139" s="232"/>
      <c r="AB139" s="230"/>
      <c r="AC139" s="230"/>
      <c r="AD139" s="230"/>
      <c r="AE139" s="230"/>
      <c r="AF139" s="230"/>
      <c r="AG139" s="230"/>
    </row>
    <row r="140" spans="1:33" s="117" customFormat="1" x14ac:dyDescent="0.25">
      <c r="A140" s="342" t="s">
        <v>2064</v>
      </c>
      <c r="B140" s="361" t="s">
        <v>1878</v>
      </c>
      <c r="C140" s="361" t="s">
        <v>1890</v>
      </c>
      <c r="D140" s="342" t="s">
        <v>2063</v>
      </c>
      <c r="E140" s="99" t="s">
        <v>1895</v>
      </c>
      <c r="F140" s="228"/>
      <c r="G140" s="101">
        <v>0</v>
      </c>
      <c r="H140" s="102"/>
      <c r="I140" s="328" t="s">
        <v>829</v>
      </c>
      <c r="J140" s="249" t="s">
        <v>475</v>
      </c>
      <c r="K140" s="99"/>
      <c r="L140" s="99"/>
      <c r="M140" s="328"/>
      <c r="N140" s="328"/>
      <c r="O140" s="328"/>
      <c r="P140" s="328" t="s">
        <v>934</v>
      </c>
      <c r="Q140" s="328"/>
      <c r="R140" s="328"/>
      <c r="S140" s="328"/>
      <c r="U140" s="328"/>
      <c r="V140" s="328" t="s">
        <v>1696</v>
      </c>
      <c r="W140" s="280"/>
      <c r="X140" s="231"/>
      <c r="Y140" s="231"/>
      <c r="Z140" s="231"/>
      <c r="AA140" s="232"/>
      <c r="AB140" s="230"/>
      <c r="AC140" s="230"/>
      <c r="AD140" s="230"/>
      <c r="AE140" s="230"/>
      <c r="AF140" s="230"/>
      <c r="AG140" s="230"/>
    </row>
    <row r="141" spans="1:33" s="117" customFormat="1" x14ac:dyDescent="0.25">
      <c r="A141" s="99" t="s">
        <v>1896</v>
      </c>
      <c r="B141" s="249" t="s">
        <v>1878</v>
      </c>
      <c r="C141" s="249" t="s">
        <v>1890</v>
      </c>
      <c r="D141" s="99" t="s">
        <v>1552</v>
      </c>
      <c r="E141" s="99" t="s">
        <v>1924</v>
      </c>
      <c r="F141" s="228"/>
      <c r="G141" s="101"/>
      <c r="H141" s="102"/>
      <c r="I141" s="328">
        <v>600</v>
      </c>
      <c r="J141" s="249" t="s">
        <v>219</v>
      </c>
      <c r="K141" s="99" t="s">
        <v>1897</v>
      </c>
      <c r="L141" s="99"/>
      <c r="M141" s="328"/>
      <c r="N141" s="328"/>
      <c r="O141" s="328"/>
      <c r="P141" s="328" t="s">
        <v>934</v>
      </c>
      <c r="Q141" s="328"/>
      <c r="R141" s="328"/>
      <c r="S141" s="328"/>
      <c r="U141" s="328"/>
      <c r="V141" s="328" t="s">
        <v>1696</v>
      </c>
      <c r="W141" s="280"/>
      <c r="X141" s="231"/>
      <c r="Y141" s="231"/>
      <c r="Z141" s="231"/>
      <c r="AA141" s="232"/>
      <c r="AB141" s="230"/>
      <c r="AC141" s="230"/>
      <c r="AD141" s="230"/>
      <c r="AE141" s="230"/>
      <c r="AF141" s="230"/>
      <c r="AG141" s="230"/>
    </row>
    <row r="142" spans="1:33" x14ac:dyDescent="0.25">
      <c r="A142" s="99" t="s">
        <v>1898</v>
      </c>
      <c r="B142" s="249" t="s">
        <v>1878</v>
      </c>
      <c r="C142" s="249" t="s">
        <v>1890</v>
      </c>
      <c r="D142" s="99" t="s">
        <v>1553</v>
      </c>
      <c r="E142" s="99" t="s">
        <v>1925</v>
      </c>
      <c r="F142" s="228"/>
      <c r="G142" s="101"/>
      <c r="H142" s="102"/>
      <c r="I142" s="328">
        <v>100</v>
      </c>
      <c r="J142" s="249" t="s">
        <v>219</v>
      </c>
      <c r="K142" s="99" t="s">
        <v>1899</v>
      </c>
      <c r="L142" s="99"/>
      <c r="M142" s="328"/>
      <c r="N142" s="328"/>
      <c r="O142" s="328"/>
      <c r="P142" s="328" t="s">
        <v>934</v>
      </c>
      <c r="Q142" s="328"/>
      <c r="R142" s="328"/>
      <c r="S142" s="328"/>
      <c r="U142" s="328"/>
      <c r="V142" s="328" t="s">
        <v>1696</v>
      </c>
      <c r="W142" s="278"/>
      <c r="X142" s="227"/>
      <c r="Y142" s="227"/>
      <c r="Z142" s="227"/>
      <c r="AA142" s="11"/>
    </row>
    <row r="143" spans="1:33" x14ac:dyDescent="0.25">
      <c r="A143" s="99" t="s">
        <v>1900</v>
      </c>
      <c r="B143" s="249" t="s">
        <v>1878</v>
      </c>
      <c r="C143" s="249" t="s">
        <v>1890</v>
      </c>
      <c r="D143" s="99" t="s">
        <v>1901</v>
      </c>
      <c r="E143" s="99" t="s">
        <v>1926</v>
      </c>
      <c r="F143" s="228"/>
      <c r="G143" s="101">
        <v>2</v>
      </c>
      <c r="H143" s="102" t="s">
        <v>108</v>
      </c>
      <c r="I143" s="102" t="s">
        <v>108</v>
      </c>
      <c r="J143" s="249" t="s">
        <v>258</v>
      </c>
      <c r="K143" s="99" t="s">
        <v>1903</v>
      </c>
      <c r="L143" s="99"/>
      <c r="M143" s="328"/>
      <c r="N143" s="328"/>
      <c r="O143" s="328"/>
      <c r="P143" s="328" t="s">
        <v>934</v>
      </c>
      <c r="Q143" s="328"/>
      <c r="R143" s="328"/>
      <c r="S143" s="328"/>
      <c r="U143" s="328"/>
      <c r="V143" s="328" t="s">
        <v>1696</v>
      </c>
      <c r="W143" s="278"/>
      <c r="X143" s="227"/>
      <c r="Y143" s="227"/>
      <c r="Z143" s="227"/>
      <c r="AA143" s="11"/>
    </row>
    <row r="144" spans="1:33" x14ac:dyDescent="0.25">
      <c r="A144" s="99" t="s">
        <v>1904</v>
      </c>
      <c r="B144" s="249" t="s">
        <v>1878</v>
      </c>
      <c r="C144" s="249" t="s">
        <v>1890</v>
      </c>
      <c r="D144" s="99" t="s">
        <v>1905</v>
      </c>
      <c r="E144" s="99" t="s">
        <v>1902</v>
      </c>
      <c r="F144" s="228"/>
      <c r="G144" s="101">
        <v>1</v>
      </c>
      <c r="H144" s="102" t="s">
        <v>108</v>
      </c>
      <c r="I144" s="102" t="s">
        <v>108</v>
      </c>
      <c r="J144" s="249" t="s">
        <v>258</v>
      </c>
      <c r="K144" s="99" t="s">
        <v>1903</v>
      </c>
      <c r="L144" s="99"/>
      <c r="M144" s="328"/>
      <c r="N144" s="328"/>
      <c r="O144" s="328"/>
      <c r="P144" s="328" t="s">
        <v>934</v>
      </c>
      <c r="Q144" s="328"/>
      <c r="R144" s="328"/>
      <c r="S144" s="328"/>
      <c r="U144" s="328"/>
      <c r="V144" s="328" t="s">
        <v>1696</v>
      </c>
      <c r="W144" s="278"/>
      <c r="X144" s="227"/>
      <c r="Y144" s="227"/>
      <c r="Z144" s="227"/>
      <c r="AA144" s="11"/>
    </row>
    <row r="145" spans="1:33" x14ac:dyDescent="0.25">
      <c r="A145" s="99" t="s">
        <v>1906</v>
      </c>
      <c r="B145" s="249" t="s">
        <v>1878</v>
      </c>
      <c r="C145" s="249" t="s">
        <v>1890</v>
      </c>
      <c r="D145" s="99" t="s">
        <v>1907</v>
      </c>
      <c r="E145" s="99" t="s">
        <v>1908</v>
      </c>
      <c r="F145" s="228"/>
      <c r="G145" s="101">
        <v>50</v>
      </c>
      <c r="H145" s="102"/>
      <c r="I145" s="218"/>
      <c r="J145" s="249" t="s">
        <v>446</v>
      </c>
      <c r="K145" s="99" t="s">
        <v>1909</v>
      </c>
      <c r="L145" s="99"/>
      <c r="M145" s="328"/>
      <c r="N145" s="328"/>
      <c r="O145" s="328"/>
      <c r="P145" s="328" t="s">
        <v>934</v>
      </c>
      <c r="Q145" s="328"/>
      <c r="R145" s="328"/>
      <c r="S145" s="328"/>
      <c r="U145" s="328"/>
      <c r="V145" s="328" t="s">
        <v>1696</v>
      </c>
      <c r="W145" s="278"/>
      <c r="X145" s="227"/>
      <c r="Y145" s="227"/>
      <c r="Z145" s="227"/>
      <c r="AA145" s="11"/>
    </row>
    <row r="146" spans="1:33" x14ac:dyDescent="0.25">
      <c r="A146" s="99" t="s">
        <v>1910</v>
      </c>
      <c r="B146" s="249" t="s">
        <v>1878</v>
      </c>
      <c r="C146" s="249" t="s">
        <v>1890</v>
      </c>
      <c r="D146" s="99" t="s">
        <v>1554</v>
      </c>
      <c r="E146" s="99" t="s">
        <v>1555</v>
      </c>
      <c r="F146" s="228"/>
      <c r="G146" s="102">
        <v>-2</v>
      </c>
      <c r="H146" s="102" t="s">
        <v>108</v>
      </c>
      <c r="I146" s="218">
        <v>2</v>
      </c>
      <c r="J146" s="249" t="s">
        <v>258</v>
      </c>
      <c r="K146" s="99" t="s">
        <v>1911</v>
      </c>
      <c r="L146" s="99"/>
      <c r="M146" s="328"/>
      <c r="N146" s="328"/>
      <c r="O146" s="328"/>
      <c r="P146" s="328" t="s">
        <v>934</v>
      </c>
      <c r="Q146" s="328"/>
      <c r="R146" s="328"/>
      <c r="S146" s="328"/>
      <c r="U146" s="328"/>
      <c r="V146" s="328" t="s">
        <v>1696</v>
      </c>
      <c r="W146" s="278"/>
      <c r="X146" s="227"/>
      <c r="Y146" s="227"/>
      <c r="Z146" s="227"/>
      <c r="AA146" s="11"/>
    </row>
    <row r="147" spans="1:33" x14ac:dyDescent="0.25">
      <c r="A147" s="99" t="s">
        <v>1912</v>
      </c>
      <c r="B147" s="249" t="s">
        <v>1878</v>
      </c>
      <c r="C147" s="249" t="s">
        <v>1890</v>
      </c>
      <c r="D147" s="99" t="s">
        <v>1556</v>
      </c>
      <c r="E147" s="99" t="s">
        <v>1557</v>
      </c>
      <c r="F147" s="228"/>
      <c r="G147" s="102">
        <v>-1</v>
      </c>
      <c r="H147" s="102" t="s">
        <v>108</v>
      </c>
      <c r="I147" s="218">
        <v>1</v>
      </c>
      <c r="J147" s="249" t="s">
        <v>258</v>
      </c>
      <c r="K147" s="99" t="s">
        <v>1911</v>
      </c>
      <c r="L147" s="99"/>
      <c r="M147" s="328"/>
      <c r="N147" s="328"/>
      <c r="O147" s="328"/>
      <c r="P147" s="328" t="s">
        <v>934</v>
      </c>
      <c r="Q147" s="328"/>
      <c r="R147" s="328"/>
      <c r="S147" s="328"/>
      <c r="U147" s="328"/>
      <c r="V147" s="328" t="s">
        <v>1696</v>
      </c>
      <c r="W147" s="278"/>
      <c r="X147" s="227"/>
      <c r="Y147" s="227"/>
      <c r="Z147" s="227"/>
      <c r="AA147" s="11"/>
    </row>
    <row r="148" spans="1:33" x14ac:dyDescent="0.25">
      <c r="A148" s="99" t="s">
        <v>1913</v>
      </c>
      <c r="B148" s="249" t="s">
        <v>1878</v>
      </c>
      <c r="C148" s="249" t="s">
        <v>1890</v>
      </c>
      <c r="D148" s="99" t="s">
        <v>1914</v>
      </c>
      <c r="E148" s="99" t="s">
        <v>1584</v>
      </c>
      <c r="F148" s="228"/>
      <c r="G148" s="102"/>
      <c r="H148" s="102"/>
      <c r="I148" s="218">
        <v>50</v>
      </c>
      <c r="J148" s="249" t="s">
        <v>1915</v>
      </c>
      <c r="K148" s="99"/>
      <c r="L148" s="99"/>
      <c r="M148" s="328"/>
      <c r="N148" s="328"/>
      <c r="O148" s="328"/>
      <c r="P148" s="328" t="s">
        <v>934</v>
      </c>
      <c r="Q148" s="328"/>
      <c r="R148" s="328"/>
      <c r="S148" s="328"/>
      <c r="U148" s="328"/>
      <c r="V148" s="328" t="s">
        <v>1696</v>
      </c>
      <c r="W148" s="278"/>
      <c r="X148" s="227"/>
      <c r="Y148" s="227"/>
      <c r="Z148" s="227"/>
      <c r="AA148" s="11"/>
    </row>
    <row r="149" spans="1:33" x14ac:dyDescent="0.25">
      <c r="A149" s="99" t="s">
        <v>1913</v>
      </c>
      <c r="B149" s="249" t="s">
        <v>1878</v>
      </c>
      <c r="C149" s="249" t="s">
        <v>1890</v>
      </c>
      <c r="D149" s="99" t="s">
        <v>1916</v>
      </c>
      <c r="E149" s="99" t="s">
        <v>1917</v>
      </c>
      <c r="F149" s="228"/>
      <c r="G149" s="102"/>
      <c r="H149" s="102"/>
      <c r="I149" s="218">
        <v>50</v>
      </c>
      <c r="J149" s="249" t="s">
        <v>446</v>
      </c>
      <c r="K149" s="99" t="s">
        <v>1918</v>
      </c>
      <c r="L149" s="99"/>
      <c r="M149" s="328"/>
      <c r="N149" s="328"/>
      <c r="O149" s="328"/>
      <c r="P149" s="328" t="s">
        <v>934</v>
      </c>
      <c r="Q149" s="328"/>
      <c r="R149" s="328"/>
      <c r="S149" s="328"/>
      <c r="U149" s="328"/>
      <c r="V149" s="328" t="s">
        <v>1696</v>
      </c>
      <c r="W149" s="278"/>
      <c r="X149" s="227"/>
      <c r="Y149" s="227"/>
      <c r="Z149" s="227"/>
      <c r="AA149" s="11"/>
    </row>
    <row r="150" spans="1:33" x14ac:dyDescent="0.25">
      <c r="A150" s="99" t="s">
        <v>1919</v>
      </c>
      <c r="B150" s="249" t="s">
        <v>1878</v>
      </c>
      <c r="C150" s="249" t="s">
        <v>1890</v>
      </c>
      <c r="D150" s="99" t="s">
        <v>1920</v>
      </c>
      <c r="E150" s="99" t="s">
        <v>1921</v>
      </c>
      <c r="F150" s="228"/>
      <c r="G150" s="102"/>
      <c r="H150" s="218">
        <v>12</v>
      </c>
      <c r="I150" s="218"/>
      <c r="J150" s="249" t="s">
        <v>448</v>
      </c>
      <c r="K150" s="99"/>
      <c r="L150" s="99"/>
      <c r="M150" s="328"/>
      <c r="N150" s="328"/>
      <c r="O150" s="328"/>
      <c r="P150" s="328" t="s">
        <v>934</v>
      </c>
      <c r="Q150" s="328"/>
      <c r="R150" s="328"/>
      <c r="S150" s="328"/>
      <c r="U150" s="328"/>
      <c r="V150" s="328" t="s">
        <v>1696</v>
      </c>
      <c r="W150" s="278"/>
      <c r="X150" s="227"/>
      <c r="Y150" s="227"/>
      <c r="Z150" s="227"/>
      <c r="AA150" s="11"/>
    </row>
    <row r="151" spans="1:33" x14ac:dyDescent="0.25">
      <c r="A151" s="99" t="s">
        <v>1922</v>
      </c>
      <c r="B151" s="249" t="s">
        <v>1878</v>
      </c>
      <c r="C151" s="249" t="s">
        <v>1890</v>
      </c>
      <c r="D151" s="99" t="s">
        <v>1595</v>
      </c>
      <c r="E151" s="99" t="s">
        <v>1923</v>
      </c>
      <c r="F151" s="228"/>
      <c r="G151" s="102"/>
      <c r="H151" s="218">
        <v>10</v>
      </c>
      <c r="I151" s="103"/>
      <c r="J151" s="249" t="s">
        <v>448</v>
      </c>
      <c r="K151" s="99"/>
      <c r="L151" s="99"/>
      <c r="M151" s="328"/>
      <c r="N151" s="328"/>
      <c r="O151" s="328"/>
      <c r="P151" s="328" t="s">
        <v>934</v>
      </c>
      <c r="Q151" s="328"/>
      <c r="R151" s="328"/>
      <c r="S151" s="328"/>
      <c r="U151" s="328"/>
      <c r="V151" s="328" t="s">
        <v>1696</v>
      </c>
      <c r="W151" s="278"/>
      <c r="X151" s="227"/>
      <c r="Y151" s="227"/>
      <c r="Z151" s="227"/>
      <c r="AA151" s="11"/>
    </row>
    <row r="152" spans="1:33" x14ac:dyDescent="0.25">
      <c r="A152" s="179" t="s">
        <v>1879</v>
      </c>
      <c r="B152" s="262"/>
      <c r="C152" s="262"/>
      <c r="D152" s="180"/>
      <c r="E152" s="180"/>
      <c r="F152" s="304"/>
      <c r="G152" s="304"/>
      <c r="H152" s="304"/>
      <c r="I152" s="304"/>
      <c r="J152" s="269"/>
      <c r="K152" s="180"/>
      <c r="L152" s="180"/>
      <c r="M152" s="206"/>
      <c r="N152" s="206"/>
      <c r="O152" s="206"/>
      <c r="P152" s="206"/>
      <c r="Q152" s="206"/>
      <c r="R152" s="206"/>
      <c r="S152" s="206"/>
      <c r="T152" s="206"/>
      <c r="U152" s="206"/>
      <c r="V152" s="206"/>
      <c r="W152" s="279"/>
      <c r="X152" s="269"/>
      <c r="Y152" s="269"/>
      <c r="Z152" s="269"/>
      <c r="AA152" s="269"/>
      <c r="AB152" s="269"/>
      <c r="AC152" s="269"/>
      <c r="AD152" s="269"/>
      <c r="AE152" s="269"/>
      <c r="AF152" s="269"/>
      <c r="AG152" s="269"/>
    </row>
    <row r="153" spans="1:33" x14ac:dyDescent="0.25">
      <c r="A153" s="99" t="s">
        <v>1687</v>
      </c>
      <c r="B153" s="249" t="s">
        <v>1879</v>
      </c>
      <c r="C153" s="249" t="s">
        <v>1890</v>
      </c>
      <c r="D153" s="99" t="s">
        <v>1558</v>
      </c>
      <c r="E153" s="99" t="s">
        <v>1559</v>
      </c>
      <c r="F153" s="228"/>
      <c r="G153" s="102" t="s">
        <v>108</v>
      </c>
      <c r="H153" s="102" t="s">
        <v>108</v>
      </c>
      <c r="I153" s="218">
        <v>400</v>
      </c>
      <c r="J153" s="249" t="s">
        <v>1560</v>
      </c>
      <c r="K153" s="99"/>
      <c r="L153" s="99"/>
      <c r="M153" s="328"/>
      <c r="N153" s="328"/>
      <c r="O153" s="328"/>
      <c r="P153" s="328" t="s">
        <v>934</v>
      </c>
      <c r="Q153" s="328"/>
      <c r="R153" s="328"/>
      <c r="S153" s="328"/>
      <c r="U153" s="328"/>
      <c r="V153" s="328" t="s">
        <v>1696</v>
      </c>
      <c r="W153" s="278"/>
      <c r="X153" s="227"/>
      <c r="Y153" s="227"/>
      <c r="Z153" s="227"/>
      <c r="AA153" s="11"/>
    </row>
    <row r="154" spans="1:33" x14ac:dyDescent="0.25">
      <c r="A154" s="127" t="s">
        <v>1927</v>
      </c>
      <c r="B154" s="328" t="s">
        <v>1879</v>
      </c>
      <c r="C154" s="328" t="s">
        <v>1890</v>
      </c>
      <c r="D154" s="127" t="s">
        <v>1561</v>
      </c>
      <c r="E154" s="99" t="s">
        <v>2109</v>
      </c>
      <c r="F154" s="228"/>
      <c r="G154" s="102" t="s">
        <v>108</v>
      </c>
      <c r="H154" s="102" t="s">
        <v>108</v>
      </c>
      <c r="I154" s="218">
        <v>50</v>
      </c>
      <c r="J154" s="249" t="s">
        <v>446</v>
      </c>
      <c r="K154" s="99"/>
      <c r="L154" s="99"/>
      <c r="M154" s="328"/>
      <c r="N154" s="328"/>
      <c r="O154" s="328"/>
      <c r="P154" s="328" t="s">
        <v>934</v>
      </c>
      <c r="Q154" s="328"/>
      <c r="R154" s="328"/>
      <c r="S154" s="328"/>
      <c r="U154" s="328"/>
      <c r="V154" s="328" t="s">
        <v>1696</v>
      </c>
      <c r="W154" s="278"/>
      <c r="X154" s="227"/>
      <c r="Y154" s="227"/>
      <c r="Z154" s="227"/>
      <c r="AA154" s="11"/>
    </row>
    <row r="155" spans="1:33" x14ac:dyDescent="0.25">
      <c r="A155" s="127" t="s">
        <v>1928</v>
      </c>
      <c r="B155" s="328" t="s">
        <v>1879</v>
      </c>
      <c r="C155" s="328" t="s">
        <v>1890</v>
      </c>
      <c r="D155" s="127" t="s">
        <v>1562</v>
      </c>
      <c r="E155" s="99" t="s">
        <v>2110</v>
      </c>
      <c r="F155" s="228"/>
      <c r="G155" s="102" t="s">
        <v>140</v>
      </c>
      <c r="H155" s="102" t="s">
        <v>140</v>
      </c>
      <c r="I155" s="218">
        <v>100</v>
      </c>
      <c r="J155" s="249" t="s">
        <v>446</v>
      </c>
      <c r="K155" s="99"/>
      <c r="L155" s="99"/>
      <c r="M155" s="328"/>
      <c r="N155" s="328"/>
      <c r="O155" s="328"/>
      <c r="P155" s="328" t="s">
        <v>934</v>
      </c>
      <c r="Q155" s="328"/>
      <c r="R155" s="328"/>
      <c r="S155" s="328"/>
      <c r="U155" s="328"/>
      <c r="V155" s="328" t="s">
        <v>1696</v>
      </c>
      <c r="W155" s="278"/>
      <c r="X155" s="227"/>
      <c r="Y155" s="227"/>
      <c r="Z155" s="227"/>
      <c r="AA155" s="11"/>
    </row>
    <row r="156" spans="1:33" x14ac:dyDescent="0.25">
      <c r="A156" s="99" t="s">
        <v>2061</v>
      </c>
      <c r="B156" s="328" t="s">
        <v>1879</v>
      </c>
      <c r="C156" s="328" t="s">
        <v>1890</v>
      </c>
      <c r="D156" s="99" t="s">
        <v>2062</v>
      </c>
      <c r="E156" s="99" t="s">
        <v>2111</v>
      </c>
      <c r="F156" s="228"/>
      <c r="G156" s="102" t="s">
        <v>140</v>
      </c>
      <c r="H156" s="102" t="s">
        <v>140</v>
      </c>
      <c r="I156" s="218">
        <v>20</v>
      </c>
      <c r="J156" s="249" t="s">
        <v>446</v>
      </c>
      <c r="K156" s="99"/>
      <c r="L156" s="99"/>
      <c r="M156" s="328"/>
      <c r="N156" s="328"/>
      <c r="O156" s="328"/>
      <c r="P156" s="328" t="s">
        <v>934</v>
      </c>
      <c r="Q156" s="328"/>
      <c r="R156" s="328"/>
      <c r="S156" s="328"/>
      <c r="U156" s="328"/>
      <c r="V156" s="328" t="s">
        <v>1696</v>
      </c>
      <c r="W156" s="280"/>
      <c r="X156" s="231"/>
      <c r="Y156" s="231"/>
      <c r="Z156" s="231"/>
      <c r="AA156" s="232"/>
      <c r="AB156" s="230"/>
      <c r="AC156" s="230"/>
      <c r="AD156" s="230"/>
      <c r="AE156" s="230"/>
      <c r="AF156" s="230"/>
      <c r="AG156" s="230"/>
    </row>
    <row r="157" spans="1:33" ht="23" x14ac:dyDescent="0.25">
      <c r="A157" s="99" t="s">
        <v>2068</v>
      </c>
      <c r="B157" s="328" t="s">
        <v>1879</v>
      </c>
      <c r="C157" s="328" t="s">
        <v>1890</v>
      </c>
      <c r="D157" s="99" t="s">
        <v>2070</v>
      </c>
      <c r="E157" s="99" t="s">
        <v>2071</v>
      </c>
      <c r="F157" s="228"/>
      <c r="G157" s="102"/>
      <c r="H157" s="102"/>
      <c r="I157" s="218">
        <v>50</v>
      </c>
      <c r="J157" s="249" t="s">
        <v>1915</v>
      </c>
      <c r="K157" s="362" t="s">
        <v>2072</v>
      </c>
      <c r="L157" s="99"/>
      <c r="M157" s="328"/>
      <c r="N157" s="328"/>
      <c r="O157" s="328"/>
      <c r="P157" s="328" t="s">
        <v>934</v>
      </c>
      <c r="Q157" s="328"/>
      <c r="R157" s="328"/>
      <c r="S157" s="328"/>
      <c r="U157" s="328"/>
      <c r="V157" s="328" t="s">
        <v>1696</v>
      </c>
      <c r="W157" s="280"/>
      <c r="X157" s="231"/>
      <c r="Y157" s="231"/>
      <c r="Z157" s="231"/>
      <c r="AA157" s="232"/>
      <c r="AB157" s="230"/>
      <c r="AC157" s="230"/>
      <c r="AD157" s="230"/>
      <c r="AE157" s="230"/>
      <c r="AF157" s="230"/>
      <c r="AG157" s="230"/>
    </row>
    <row r="158" spans="1:33" ht="23" x14ac:dyDescent="0.25">
      <c r="A158" s="99" t="s">
        <v>2069</v>
      </c>
      <c r="B158" s="328" t="s">
        <v>1879</v>
      </c>
      <c r="C158" s="328" t="s">
        <v>1890</v>
      </c>
      <c r="D158" s="99" t="s">
        <v>2065</v>
      </c>
      <c r="E158" s="99" t="s">
        <v>2066</v>
      </c>
      <c r="F158" s="228"/>
      <c r="G158" s="102"/>
      <c r="H158" s="102"/>
      <c r="I158" s="218">
        <v>50</v>
      </c>
      <c r="J158" s="249" t="s">
        <v>446</v>
      </c>
      <c r="K158" s="362" t="s">
        <v>2067</v>
      </c>
      <c r="L158" s="99"/>
      <c r="M158" s="328"/>
      <c r="N158" s="328"/>
      <c r="O158" s="328"/>
      <c r="P158" s="328" t="s">
        <v>934</v>
      </c>
      <c r="Q158" s="328"/>
      <c r="R158" s="328"/>
      <c r="S158" s="328"/>
      <c r="U158" s="328"/>
      <c r="V158" s="328" t="s">
        <v>1696</v>
      </c>
      <c r="W158" s="280"/>
      <c r="X158" s="231"/>
      <c r="Y158" s="231"/>
      <c r="Z158" s="231"/>
      <c r="AA158" s="232"/>
      <c r="AB158" s="230"/>
      <c r="AC158" s="230"/>
      <c r="AD158" s="230"/>
      <c r="AE158" s="230"/>
      <c r="AF158" s="230"/>
      <c r="AG158" s="230"/>
    </row>
    <row r="159" spans="1:33" x14ac:dyDescent="0.25">
      <c r="A159" s="179" t="s">
        <v>1929</v>
      </c>
      <c r="B159" s="262"/>
      <c r="C159" s="262"/>
      <c r="D159" s="180"/>
      <c r="E159" s="180"/>
      <c r="F159" s="304"/>
      <c r="G159" s="181"/>
      <c r="H159" s="181"/>
      <c r="I159" s="206"/>
      <c r="J159" s="269"/>
      <c r="K159" s="180"/>
      <c r="L159" s="180"/>
      <c r="M159" s="206"/>
      <c r="N159" s="206"/>
      <c r="O159" s="206"/>
      <c r="P159" s="206"/>
      <c r="Q159" s="206"/>
      <c r="R159" s="206"/>
      <c r="S159" s="206"/>
      <c r="T159" s="206"/>
      <c r="U159" s="206"/>
      <c r="V159" s="366"/>
      <c r="W159" s="279"/>
      <c r="X159" s="269"/>
      <c r="Y159" s="269"/>
      <c r="Z159" s="269"/>
      <c r="AA159" s="269"/>
      <c r="AB159" s="269"/>
      <c r="AC159" s="269"/>
      <c r="AD159" s="269"/>
      <c r="AE159" s="269"/>
      <c r="AF159" s="269"/>
      <c r="AG159" s="269"/>
    </row>
    <row r="160" spans="1:33" x14ac:dyDescent="0.25">
      <c r="A160" s="103" t="s">
        <v>1563</v>
      </c>
      <c r="B160" s="249" t="s">
        <v>1062</v>
      </c>
      <c r="C160" s="249" t="s">
        <v>1650</v>
      </c>
      <c r="D160" s="103" t="s">
        <v>1564</v>
      </c>
      <c r="E160" s="103" t="s">
        <v>1565</v>
      </c>
      <c r="G160" s="239"/>
      <c r="H160" s="185">
        <v>1.2</v>
      </c>
      <c r="I160" s="320">
        <v>1.26</v>
      </c>
      <c r="J160" s="260" t="s">
        <v>475</v>
      </c>
      <c r="K160" s="238" t="s">
        <v>2100</v>
      </c>
      <c r="L160" s="238"/>
      <c r="M160" s="218"/>
      <c r="N160" s="218"/>
      <c r="O160" s="218"/>
      <c r="P160" s="218" t="s">
        <v>934</v>
      </c>
      <c r="Q160" s="218"/>
      <c r="R160" s="218"/>
      <c r="S160" s="218"/>
      <c r="U160" s="218"/>
      <c r="V160" s="328" t="s">
        <v>1696</v>
      </c>
      <c r="W160" s="278"/>
      <c r="X160" s="227"/>
      <c r="Y160" s="227"/>
      <c r="Z160" s="227"/>
      <c r="AA160" s="11"/>
    </row>
    <row r="161" spans="1:33" x14ac:dyDescent="0.25">
      <c r="A161" s="243" t="s">
        <v>1566</v>
      </c>
      <c r="B161" s="249" t="s">
        <v>1062</v>
      </c>
      <c r="C161" s="249" t="s">
        <v>1650</v>
      </c>
      <c r="D161" s="314" t="s">
        <v>1567</v>
      </c>
      <c r="E161" s="237" t="s">
        <v>1930</v>
      </c>
      <c r="F161" s="251"/>
      <c r="G161" s="239" t="s">
        <v>108</v>
      </c>
      <c r="H161" s="239" t="s">
        <v>108</v>
      </c>
      <c r="I161" s="320">
        <v>12</v>
      </c>
      <c r="J161" s="255" t="s">
        <v>448</v>
      </c>
      <c r="K161" s="240"/>
      <c r="L161" s="240"/>
      <c r="M161" s="218"/>
      <c r="N161" s="218"/>
      <c r="O161" s="218"/>
      <c r="P161" s="218" t="s">
        <v>934</v>
      </c>
      <c r="Q161" s="218"/>
      <c r="R161" s="218"/>
      <c r="S161" s="218"/>
      <c r="U161" s="218"/>
      <c r="V161" s="328" t="s">
        <v>1696</v>
      </c>
      <c r="W161" s="278"/>
      <c r="X161" s="227"/>
      <c r="Y161" s="227"/>
      <c r="Z161" s="227"/>
      <c r="AA161" s="11"/>
    </row>
    <row r="162" spans="1:33" x14ac:dyDescent="0.25">
      <c r="A162" s="243" t="s">
        <v>1568</v>
      </c>
      <c r="B162" s="249" t="s">
        <v>1062</v>
      </c>
      <c r="C162" s="249" t="s">
        <v>1650</v>
      </c>
      <c r="D162" s="314" t="s">
        <v>1931</v>
      </c>
      <c r="E162" s="237" t="s">
        <v>1569</v>
      </c>
      <c r="F162" s="251"/>
      <c r="G162" s="239">
        <v>-1</v>
      </c>
      <c r="H162" s="239" t="s">
        <v>108</v>
      </c>
      <c r="I162" s="320">
        <v>1</v>
      </c>
      <c r="J162" s="255" t="s">
        <v>530</v>
      </c>
      <c r="L162" s="240"/>
      <c r="M162" s="218"/>
      <c r="N162" s="218"/>
      <c r="O162" s="218"/>
      <c r="P162" s="218" t="s">
        <v>934</v>
      </c>
      <c r="Q162" s="218"/>
      <c r="R162" s="218"/>
      <c r="S162" s="218"/>
      <c r="U162" s="218"/>
      <c r="V162" s="328" t="s">
        <v>1696</v>
      </c>
      <c r="W162" s="278"/>
      <c r="X162" s="227"/>
      <c r="Y162" s="227"/>
      <c r="Z162" s="227"/>
      <c r="AA162" s="11"/>
    </row>
    <row r="163" spans="1:33" x14ac:dyDescent="0.25">
      <c r="A163" s="243" t="s">
        <v>1571</v>
      </c>
      <c r="B163" s="249" t="s">
        <v>1062</v>
      </c>
      <c r="C163" s="249" t="s">
        <v>1650</v>
      </c>
      <c r="D163" s="314" t="s">
        <v>1662</v>
      </c>
      <c r="E163" s="237" t="s">
        <v>1663</v>
      </c>
      <c r="F163" s="251"/>
      <c r="G163" s="239">
        <v>-4</v>
      </c>
      <c r="H163" s="239" t="s">
        <v>108</v>
      </c>
      <c r="I163" s="320">
        <v>4</v>
      </c>
      <c r="J163" s="255" t="s">
        <v>258</v>
      </c>
      <c r="K163" s="240" t="s">
        <v>2073</v>
      </c>
      <c r="L163" s="240"/>
      <c r="M163" s="218"/>
      <c r="N163" s="218"/>
      <c r="O163" s="218"/>
      <c r="P163" s="218" t="s">
        <v>934</v>
      </c>
      <c r="Q163" s="218"/>
      <c r="R163" s="218"/>
      <c r="S163" s="218"/>
      <c r="U163" s="218"/>
      <c r="V163" s="328" t="s">
        <v>1696</v>
      </c>
      <c r="W163" s="278"/>
      <c r="X163" s="227"/>
      <c r="Y163" s="227"/>
      <c r="Z163" s="227"/>
      <c r="AA163" s="11"/>
    </row>
    <row r="164" spans="1:33" s="229" customFormat="1" ht="12.75" customHeight="1" x14ac:dyDescent="0.25">
      <c r="A164" s="313" t="s">
        <v>1572</v>
      </c>
      <c r="B164" s="249" t="s">
        <v>1062</v>
      </c>
      <c r="C164" s="249" t="s">
        <v>1650</v>
      </c>
      <c r="D164" s="315" t="s">
        <v>257</v>
      </c>
      <c r="E164" s="308" t="s">
        <v>1355</v>
      </c>
      <c r="F164" s="308"/>
      <c r="G164" s="254">
        <v>-3</v>
      </c>
      <c r="H164" s="254" t="s">
        <v>140</v>
      </c>
      <c r="I164" s="255">
        <v>3</v>
      </c>
      <c r="J164" s="255" t="s">
        <v>258</v>
      </c>
      <c r="K164" s="311" t="s">
        <v>1932</v>
      </c>
      <c r="L164" s="311"/>
      <c r="M164" s="257"/>
      <c r="N164" s="257"/>
      <c r="O164" s="257"/>
      <c r="P164" s="257" t="s">
        <v>934</v>
      </c>
      <c r="Q164" s="257"/>
      <c r="R164" s="257"/>
      <c r="S164" s="257"/>
      <c r="U164" s="257"/>
      <c r="V164" s="328" t="s">
        <v>1696</v>
      </c>
      <c r="W164" s="283"/>
      <c r="X164" s="292"/>
      <c r="Y164" s="292"/>
      <c r="Z164" s="292"/>
      <c r="AA164" s="228"/>
      <c r="AB164" s="228"/>
      <c r="AC164" s="228"/>
      <c r="AD164" s="228"/>
      <c r="AE164" s="228"/>
      <c r="AF164" s="228"/>
      <c r="AG164" s="228"/>
    </row>
    <row r="165" spans="1:33" x14ac:dyDescent="0.25">
      <c r="A165" s="243" t="s">
        <v>1573</v>
      </c>
      <c r="B165" s="249" t="s">
        <v>1062</v>
      </c>
      <c r="C165" s="249" t="s">
        <v>1650</v>
      </c>
      <c r="D165" s="314" t="s">
        <v>259</v>
      </c>
      <c r="E165" s="241" t="s">
        <v>1368</v>
      </c>
      <c r="F165" s="308"/>
      <c r="G165" s="239">
        <v>-1</v>
      </c>
      <c r="H165" s="239" t="s">
        <v>140</v>
      </c>
      <c r="I165" s="320">
        <v>2</v>
      </c>
      <c r="J165" s="255" t="s">
        <v>258</v>
      </c>
      <c r="K165" s="240" t="s">
        <v>1932</v>
      </c>
      <c r="L165" s="240"/>
      <c r="M165" s="218"/>
      <c r="N165" s="218"/>
      <c r="O165" s="218"/>
      <c r="P165" s="218" t="s">
        <v>934</v>
      </c>
      <c r="Q165" s="218"/>
      <c r="R165" s="218"/>
      <c r="S165" s="218"/>
      <c r="U165" s="218"/>
      <c r="V165" s="328" t="s">
        <v>1696</v>
      </c>
      <c r="W165" s="278"/>
      <c r="X165" s="292"/>
      <c r="Y165" s="292"/>
      <c r="Z165" s="292"/>
    </row>
    <row r="166" spans="1:33" x14ac:dyDescent="0.25">
      <c r="A166" s="243" t="s">
        <v>1574</v>
      </c>
      <c r="B166" s="249" t="s">
        <v>1062</v>
      </c>
      <c r="C166" s="249" t="s">
        <v>1650</v>
      </c>
      <c r="D166" s="314" t="s">
        <v>1040</v>
      </c>
      <c r="E166" s="237" t="s">
        <v>1575</v>
      </c>
      <c r="F166" s="251"/>
      <c r="G166" s="239" t="s">
        <v>108</v>
      </c>
      <c r="H166" s="239" t="s">
        <v>108</v>
      </c>
      <c r="I166" s="320">
        <v>17</v>
      </c>
      <c r="J166" s="255" t="s">
        <v>476</v>
      </c>
      <c r="K166" s="240" t="s">
        <v>1933</v>
      </c>
      <c r="L166" s="240"/>
      <c r="M166" s="218"/>
      <c r="N166" s="218"/>
      <c r="O166" s="218"/>
      <c r="P166" s="218" t="s">
        <v>934</v>
      </c>
      <c r="Q166" s="218"/>
      <c r="R166" s="218"/>
      <c r="S166" s="218"/>
      <c r="U166" s="218"/>
      <c r="V166" s="328" t="s">
        <v>1696</v>
      </c>
      <c r="W166" s="278"/>
      <c r="X166" s="292"/>
      <c r="Y166" s="292"/>
      <c r="Z166" s="292"/>
    </row>
    <row r="167" spans="1:33" x14ac:dyDescent="0.25">
      <c r="A167" s="243" t="s">
        <v>1576</v>
      </c>
      <c r="B167" s="249" t="s">
        <v>1062</v>
      </c>
      <c r="C167" s="249" t="s">
        <v>1650</v>
      </c>
      <c r="D167" s="314" t="s">
        <v>255</v>
      </c>
      <c r="E167" s="237" t="s">
        <v>1672</v>
      </c>
      <c r="F167" s="251"/>
      <c r="G167" s="239">
        <v>-0.25</v>
      </c>
      <c r="H167" s="239" t="s">
        <v>108</v>
      </c>
      <c r="I167" s="320" t="s">
        <v>2074</v>
      </c>
      <c r="J167" s="255" t="s">
        <v>475</v>
      </c>
      <c r="K167" s="240" t="s">
        <v>1934</v>
      </c>
      <c r="L167" s="240"/>
      <c r="M167" s="218"/>
      <c r="N167" s="218"/>
      <c r="O167" s="218"/>
      <c r="P167" s="218" t="s">
        <v>934</v>
      </c>
      <c r="Q167" s="218"/>
      <c r="R167" s="218"/>
      <c r="S167" s="218"/>
      <c r="U167" s="218"/>
      <c r="V167" s="328" t="s">
        <v>1696</v>
      </c>
      <c r="W167" s="278"/>
      <c r="X167" s="292"/>
      <c r="Y167" s="292"/>
      <c r="Z167" s="292"/>
    </row>
    <row r="168" spans="1:33" ht="12" x14ac:dyDescent="0.3">
      <c r="A168" s="243" t="s">
        <v>1686</v>
      </c>
      <c r="B168" s="249" t="s">
        <v>1062</v>
      </c>
      <c r="C168" s="249" t="s">
        <v>1650</v>
      </c>
      <c r="D168" s="314" t="s">
        <v>1935</v>
      </c>
      <c r="E168" s="237" t="s">
        <v>1936</v>
      </c>
      <c r="F168" s="251"/>
      <c r="G168" s="358" t="s">
        <v>2079</v>
      </c>
      <c r="H168" s="239" t="s">
        <v>108</v>
      </c>
      <c r="I168" s="320">
        <v>3.3</v>
      </c>
      <c r="J168" s="255" t="s">
        <v>475</v>
      </c>
      <c r="K168" s="240" t="s">
        <v>2080</v>
      </c>
      <c r="L168" s="240"/>
      <c r="M168" s="218"/>
      <c r="N168" s="218"/>
      <c r="O168" s="218"/>
      <c r="P168" s="218" t="s">
        <v>934</v>
      </c>
      <c r="Q168" s="218"/>
      <c r="R168" s="218"/>
      <c r="S168" s="218"/>
      <c r="U168" s="218"/>
      <c r="V168" s="328" t="s">
        <v>1696</v>
      </c>
      <c r="W168" s="278"/>
      <c r="X168" s="292"/>
      <c r="Y168" s="292"/>
      <c r="Z168" s="292"/>
    </row>
    <row r="169" spans="1:33" ht="12" x14ac:dyDescent="0.3">
      <c r="A169" s="243" t="s">
        <v>1938</v>
      </c>
      <c r="B169" s="249" t="s">
        <v>1062</v>
      </c>
      <c r="C169" s="249" t="s">
        <v>1650</v>
      </c>
      <c r="D169" s="314" t="s">
        <v>1939</v>
      </c>
      <c r="E169" s="237" t="s">
        <v>1940</v>
      </c>
      <c r="F169" s="251"/>
      <c r="G169" s="239">
        <v>0</v>
      </c>
      <c r="H169" s="239" t="s">
        <v>108</v>
      </c>
      <c r="I169" s="320">
        <v>3.3</v>
      </c>
      <c r="J169" s="255" t="s">
        <v>475</v>
      </c>
      <c r="K169" s="240" t="s">
        <v>2080</v>
      </c>
      <c r="L169" s="240"/>
      <c r="M169" s="218"/>
      <c r="N169" s="218"/>
      <c r="O169" s="218"/>
      <c r="P169" s="218" t="s">
        <v>934</v>
      </c>
      <c r="Q169" s="218"/>
      <c r="R169" s="218"/>
      <c r="S169" s="218"/>
      <c r="U169" s="218"/>
      <c r="V169" s="328" t="s">
        <v>1696</v>
      </c>
      <c r="W169" s="278"/>
      <c r="X169" s="292"/>
      <c r="Y169" s="292"/>
      <c r="Z169" s="292"/>
    </row>
    <row r="170" spans="1:33" x14ac:dyDescent="0.25">
      <c r="A170" s="243" t="s">
        <v>1941</v>
      </c>
      <c r="B170" s="249" t="s">
        <v>1062</v>
      </c>
      <c r="C170" s="249" t="s">
        <v>1650</v>
      </c>
      <c r="D170" s="314" t="s">
        <v>1942</v>
      </c>
      <c r="E170" s="237" t="s">
        <v>1943</v>
      </c>
      <c r="F170" s="251"/>
      <c r="G170" s="359" t="s">
        <v>108</v>
      </c>
      <c r="H170" s="359"/>
      <c r="I170" s="24">
        <v>3.5</v>
      </c>
      <c r="J170" s="255" t="s">
        <v>1944</v>
      </c>
      <c r="K170" s="240" t="s">
        <v>2053</v>
      </c>
      <c r="L170" s="240"/>
      <c r="M170" s="218"/>
      <c r="N170" s="218"/>
      <c r="O170" s="218"/>
      <c r="P170" s="218" t="s">
        <v>934</v>
      </c>
      <c r="Q170" s="218"/>
      <c r="R170" s="218"/>
      <c r="S170" s="218"/>
      <c r="U170" s="218"/>
      <c r="V170" s="328" t="s">
        <v>1696</v>
      </c>
      <c r="W170" s="278"/>
      <c r="X170" s="292"/>
      <c r="Y170" s="292"/>
      <c r="Z170" s="292"/>
    </row>
    <row r="171" spans="1:33" x14ac:dyDescent="0.25">
      <c r="A171" s="243" t="s">
        <v>1945</v>
      </c>
      <c r="B171" s="249" t="s">
        <v>1062</v>
      </c>
      <c r="C171" s="249" t="s">
        <v>1650</v>
      </c>
      <c r="D171" s="314" t="s">
        <v>1946</v>
      </c>
      <c r="E171" s="237" t="s">
        <v>1947</v>
      </c>
      <c r="F171" s="251"/>
      <c r="G171" s="359" t="s">
        <v>108</v>
      </c>
      <c r="H171" s="359">
        <v>1.5</v>
      </c>
      <c r="I171" s="24" t="s">
        <v>108</v>
      </c>
      <c r="J171" s="255" t="s">
        <v>478</v>
      </c>
      <c r="K171" s="240"/>
      <c r="L171" s="240"/>
      <c r="M171" s="218"/>
      <c r="N171" s="218"/>
      <c r="O171" s="218"/>
      <c r="P171" s="218" t="s">
        <v>934</v>
      </c>
      <c r="Q171" s="218"/>
      <c r="R171" s="218"/>
      <c r="S171" s="218"/>
      <c r="U171" s="218"/>
      <c r="V171" s="328" t="s">
        <v>1696</v>
      </c>
      <c r="W171" s="278"/>
      <c r="X171" s="292"/>
      <c r="Y171" s="292"/>
      <c r="Z171" s="292"/>
    </row>
    <row r="172" spans="1:33" x14ac:dyDescent="0.25">
      <c r="A172" s="243" t="s">
        <v>2101</v>
      </c>
      <c r="B172" s="249" t="s">
        <v>1062</v>
      </c>
      <c r="C172" s="249" t="s">
        <v>1650</v>
      </c>
      <c r="D172" s="314" t="s">
        <v>2103</v>
      </c>
      <c r="E172" s="237" t="s">
        <v>2106</v>
      </c>
      <c r="F172" s="251"/>
      <c r="G172" s="359">
        <v>-41</v>
      </c>
      <c r="H172" s="359"/>
      <c r="I172" s="24">
        <v>41</v>
      </c>
      <c r="J172" s="255" t="s">
        <v>258</v>
      </c>
      <c r="K172" s="240" t="s">
        <v>2102</v>
      </c>
      <c r="L172" s="240"/>
      <c r="M172" s="218"/>
      <c r="N172" s="218"/>
      <c r="O172" s="218"/>
      <c r="P172" s="218" t="s">
        <v>934</v>
      </c>
      <c r="Q172" s="218"/>
      <c r="R172" s="218"/>
      <c r="S172" s="218"/>
      <c r="U172" s="218"/>
      <c r="V172" s="328" t="s">
        <v>1696</v>
      </c>
      <c r="W172" s="278"/>
      <c r="X172" s="292"/>
      <c r="Y172" s="292"/>
      <c r="Z172" s="292"/>
    </row>
    <row r="173" spans="1:33" ht="23" x14ac:dyDescent="0.25">
      <c r="A173" s="243" t="s">
        <v>2104</v>
      </c>
      <c r="B173" s="249" t="s">
        <v>1062</v>
      </c>
      <c r="C173" s="249" t="s">
        <v>1650</v>
      </c>
      <c r="D173" s="314" t="s">
        <v>2105</v>
      </c>
      <c r="E173" s="237" t="s">
        <v>2107</v>
      </c>
      <c r="F173" s="251"/>
      <c r="G173" s="359">
        <v>-20</v>
      </c>
      <c r="H173" s="359"/>
      <c r="I173" s="24">
        <v>20</v>
      </c>
      <c r="J173" s="255" t="s">
        <v>258</v>
      </c>
      <c r="K173" s="238" t="s">
        <v>2108</v>
      </c>
      <c r="L173" s="240"/>
      <c r="M173" s="218"/>
      <c r="N173" s="218"/>
      <c r="O173" s="218"/>
      <c r="P173" s="218" t="s">
        <v>934</v>
      </c>
      <c r="Q173" s="218"/>
      <c r="R173" s="218"/>
      <c r="S173" s="218"/>
      <c r="U173" s="218"/>
      <c r="V173" s="328" t="s">
        <v>1696</v>
      </c>
      <c r="W173" s="278"/>
      <c r="X173" s="292"/>
      <c r="Y173" s="292"/>
      <c r="Z173" s="292"/>
    </row>
    <row r="174" spans="1:33" x14ac:dyDescent="0.25">
      <c r="A174" s="179" t="s">
        <v>1948</v>
      </c>
      <c r="B174" s="262"/>
      <c r="C174" s="262"/>
      <c r="D174" s="180"/>
      <c r="E174" s="180"/>
      <c r="F174" s="304"/>
      <c r="G174" s="184"/>
      <c r="H174" s="184"/>
      <c r="I174" s="220"/>
      <c r="J174" s="269"/>
      <c r="K174" s="180"/>
      <c r="L174" s="180"/>
      <c r="M174" s="206"/>
      <c r="N174" s="206"/>
      <c r="O174" s="206"/>
      <c r="P174" s="206"/>
      <c r="Q174" s="206"/>
      <c r="R174" s="206"/>
      <c r="S174" s="206"/>
      <c r="T174" s="206"/>
      <c r="U174" s="206"/>
      <c r="V174" s="366"/>
      <c r="W174" s="279"/>
      <c r="X174" s="269"/>
      <c r="Y174" s="269"/>
      <c r="Z174" s="269"/>
      <c r="AA174" s="269"/>
      <c r="AB174" s="269"/>
      <c r="AC174" s="269"/>
      <c r="AD174" s="269"/>
      <c r="AE174" s="269"/>
      <c r="AF174" s="269"/>
      <c r="AG174" s="269"/>
    </row>
    <row r="175" spans="1:33" x14ac:dyDescent="0.25">
      <c r="A175" s="237" t="s">
        <v>1577</v>
      </c>
      <c r="B175" s="255" t="s">
        <v>1063</v>
      </c>
      <c r="C175" s="255" t="s">
        <v>1650</v>
      </c>
      <c r="D175" s="99" t="s">
        <v>1578</v>
      </c>
      <c r="E175" s="99" t="s">
        <v>1949</v>
      </c>
      <c r="F175" s="228"/>
      <c r="G175" s="99">
        <v>-2</v>
      </c>
      <c r="H175" s="99"/>
      <c r="I175" s="328">
        <v>2</v>
      </c>
      <c r="J175" s="249" t="s">
        <v>1579</v>
      </c>
      <c r="K175" s="240" t="s">
        <v>2075</v>
      </c>
      <c r="L175" s="240"/>
      <c r="M175" s="218"/>
      <c r="N175" s="218"/>
      <c r="O175" s="218"/>
      <c r="P175" s="218" t="s">
        <v>934</v>
      </c>
      <c r="Q175" s="218"/>
      <c r="R175" s="218"/>
      <c r="S175" s="218"/>
      <c r="U175" s="218"/>
      <c r="V175" s="328" t="s">
        <v>1696</v>
      </c>
      <c r="W175" s="278"/>
      <c r="X175" s="292"/>
      <c r="Y175" s="292"/>
      <c r="Z175" s="292"/>
    </row>
    <row r="176" spans="1:33" s="117" customFormat="1" x14ac:dyDescent="0.25">
      <c r="A176" s="237" t="s">
        <v>1580</v>
      </c>
      <c r="B176" s="255" t="s">
        <v>1063</v>
      </c>
      <c r="C176" s="255" t="s">
        <v>1650</v>
      </c>
      <c r="D176" s="237" t="s">
        <v>1005</v>
      </c>
      <c r="E176" s="241" t="s">
        <v>1367</v>
      </c>
      <c r="F176" s="308"/>
      <c r="G176" s="239" t="s">
        <v>140</v>
      </c>
      <c r="H176" s="239"/>
      <c r="I176" s="320">
        <v>25</v>
      </c>
      <c r="J176" s="255" t="s">
        <v>1349</v>
      </c>
      <c r="K176" s="242" t="s">
        <v>1950</v>
      </c>
      <c r="L176" s="242"/>
      <c r="M176" s="218"/>
      <c r="N176" s="218"/>
      <c r="O176" s="218"/>
      <c r="P176" s="218" t="s">
        <v>934</v>
      </c>
      <c r="Q176" s="218"/>
      <c r="R176" s="218"/>
      <c r="S176" s="218"/>
      <c r="U176" s="218"/>
      <c r="V176" s="328" t="s">
        <v>1696</v>
      </c>
      <c r="W176" s="280"/>
      <c r="X176" s="293"/>
      <c r="Y176" s="293"/>
      <c r="Z176" s="293"/>
      <c r="AA176" s="230"/>
      <c r="AB176" s="230"/>
      <c r="AC176" s="230"/>
      <c r="AD176" s="230"/>
      <c r="AE176" s="230"/>
      <c r="AF176" s="230"/>
      <c r="AG176" s="230"/>
    </row>
    <row r="177" spans="1:33" x14ac:dyDescent="0.25">
      <c r="A177" s="237" t="s">
        <v>1581</v>
      </c>
      <c r="B177" s="255" t="s">
        <v>1063</v>
      </c>
      <c r="C177" s="255" t="s">
        <v>1650</v>
      </c>
      <c r="D177" s="237" t="s">
        <v>2057</v>
      </c>
      <c r="E177" s="241" t="s">
        <v>2058</v>
      </c>
      <c r="F177" s="308"/>
      <c r="G177" s="239">
        <v>10</v>
      </c>
      <c r="H177" s="239" t="s">
        <v>140</v>
      </c>
      <c r="I177" s="320" t="s">
        <v>140</v>
      </c>
      <c r="J177" s="255" t="s">
        <v>2059</v>
      </c>
      <c r="K177" s="240" t="s">
        <v>2060</v>
      </c>
      <c r="L177" s="240"/>
      <c r="M177" s="218"/>
      <c r="N177" s="218"/>
      <c r="O177" s="218"/>
      <c r="P177" s="218" t="s">
        <v>934</v>
      </c>
      <c r="Q177" s="218"/>
      <c r="R177" s="218"/>
      <c r="S177" s="218"/>
      <c r="U177" s="218"/>
      <c r="V177" s="328" t="s">
        <v>1696</v>
      </c>
      <c r="W177" s="278"/>
      <c r="X177" s="292"/>
      <c r="Y177" s="292"/>
      <c r="Z177" s="292"/>
    </row>
    <row r="178" spans="1:33" s="117" customFormat="1" x14ac:dyDescent="0.25">
      <c r="A178" s="237" t="s">
        <v>1582</v>
      </c>
      <c r="B178" s="255" t="s">
        <v>1063</v>
      </c>
      <c r="C178" s="255" t="s">
        <v>1650</v>
      </c>
      <c r="D178" s="244" t="s">
        <v>1583</v>
      </c>
      <c r="E178" s="245" t="s">
        <v>1584</v>
      </c>
      <c r="F178" s="253"/>
      <c r="G178" s="239"/>
      <c r="H178" s="239"/>
      <c r="I178" s="320">
        <v>100</v>
      </c>
      <c r="J178" s="255" t="s">
        <v>1915</v>
      </c>
      <c r="K178" s="240" t="s">
        <v>1951</v>
      </c>
      <c r="L178" s="240"/>
      <c r="M178" s="218"/>
      <c r="N178" s="218"/>
      <c r="O178" s="218"/>
      <c r="P178" s="218" t="s">
        <v>934</v>
      </c>
      <c r="Q178" s="218"/>
      <c r="R178" s="218"/>
      <c r="S178" s="218"/>
      <c r="U178" s="218"/>
      <c r="V178" s="328" t="s">
        <v>1696</v>
      </c>
      <c r="W178" s="280"/>
      <c r="X178" s="231"/>
      <c r="Y178" s="231"/>
      <c r="Z178" s="231"/>
      <c r="AA178" s="232"/>
      <c r="AB178" s="230"/>
      <c r="AC178" s="230"/>
      <c r="AD178" s="230"/>
      <c r="AE178" s="230"/>
      <c r="AF178" s="230"/>
      <c r="AG178" s="230"/>
    </row>
    <row r="179" spans="1:33" s="229" customFormat="1" x14ac:dyDescent="0.25">
      <c r="A179" s="251" t="s">
        <v>1585</v>
      </c>
      <c r="B179" s="255" t="s">
        <v>1063</v>
      </c>
      <c r="C179" s="255" t="s">
        <v>1650</v>
      </c>
      <c r="D179" s="252" t="s">
        <v>1586</v>
      </c>
      <c r="E179" s="253" t="s">
        <v>1587</v>
      </c>
      <c r="F179" s="253"/>
      <c r="G179" s="254"/>
      <c r="H179" s="254"/>
      <c r="I179" s="255" t="s">
        <v>1354</v>
      </c>
      <c r="J179" s="255" t="s">
        <v>1588</v>
      </c>
      <c r="K179" s="256"/>
      <c r="L179" s="256"/>
      <c r="M179" s="257"/>
      <c r="N179" s="257"/>
      <c r="O179" s="257"/>
      <c r="P179" s="257" t="s">
        <v>934</v>
      </c>
      <c r="Q179" s="257"/>
      <c r="R179" s="257"/>
      <c r="S179" s="257"/>
      <c r="U179" s="257"/>
      <c r="V179" s="328" t="s">
        <v>1696</v>
      </c>
      <c r="W179" s="287"/>
      <c r="X179" s="228"/>
      <c r="Y179" s="228"/>
      <c r="Z179" s="228"/>
      <c r="AA179" s="228"/>
      <c r="AB179" s="228"/>
      <c r="AC179" s="228"/>
      <c r="AD179" s="228"/>
      <c r="AE179" s="228"/>
      <c r="AF179" s="228"/>
      <c r="AG179" s="228"/>
    </row>
    <row r="180" spans="1:33" s="229" customFormat="1" ht="23" x14ac:dyDescent="0.35">
      <c r="A180" s="313" t="s">
        <v>1858</v>
      </c>
      <c r="B180" s="255" t="s">
        <v>1063</v>
      </c>
      <c r="C180" s="360" t="s">
        <v>1650</v>
      </c>
      <c r="D180" s="252" t="s">
        <v>1866</v>
      </c>
      <c r="E180" s="253" t="s">
        <v>1865</v>
      </c>
      <c r="F180" s="253"/>
      <c r="G180" s="254">
        <v>1</v>
      </c>
      <c r="H180" s="254"/>
      <c r="I180" s="255"/>
      <c r="J180" s="255" t="s">
        <v>465</v>
      </c>
      <c r="K180" s="256" t="s">
        <v>2048</v>
      </c>
      <c r="L180" s="256"/>
      <c r="M180" s="257"/>
      <c r="N180" s="257"/>
      <c r="O180" s="257"/>
      <c r="P180" s="257" t="s">
        <v>934</v>
      </c>
      <c r="Q180" s="257"/>
      <c r="R180" s="257"/>
      <c r="S180" s="257"/>
      <c r="T180" s="257"/>
      <c r="U180" s="257"/>
      <c r="V180" s="257" t="s">
        <v>1696</v>
      </c>
      <c r="W180" s="287"/>
      <c r="X180" s="228"/>
      <c r="Y180" s="228"/>
      <c r="Z180" s="228"/>
      <c r="AA180" s="228"/>
      <c r="AB180" s="228"/>
      <c r="AC180" s="228"/>
      <c r="AD180" s="228"/>
      <c r="AE180" s="228"/>
      <c r="AF180" s="228"/>
      <c r="AG180" s="228"/>
    </row>
    <row r="181" spans="1:33" s="229" customFormat="1" ht="23" x14ac:dyDescent="0.35">
      <c r="A181" s="313" t="s">
        <v>1859</v>
      </c>
      <c r="B181" s="255" t="s">
        <v>1063</v>
      </c>
      <c r="C181" s="360" t="s">
        <v>1650</v>
      </c>
      <c r="D181" s="252" t="s">
        <v>1860</v>
      </c>
      <c r="E181" s="253" t="s">
        <v>1863</v>
      </c>
      <c r="F181" s="253"/>
      <c r="G181" s="254">
        <v>4</v>
      </c>
      <c r="H181" s="254"/>
      <c r="I181" s="255"/>
      <c r="J181" s="255" t="s">
        <v>465</v>
      </c>
      <c r="K181" s="256" t="s">
        <v>2048</v>
      </c>
      <c r="L181" s="256"/>
      <c r="M181" s="257"/>
      <c r="N181" s="257"/>
      <c r="O181" s="257"/>
      <c r="P181" s="257" t="s">
        <v>934</v>
      </c>
      <c r="Q181" s="257"/>
      <c r="R181" s="257"/>
      <c r="S181" s="257"/>
      <c r="T181" s="257"/>
      <c r="U181" s="257"/>
      <c r="V181" s="257" t="s">
        <v>1696</v>
      </c>
      <c r="W181" s="287"/>
      <c r="X181" s="228"/>
      <c r="Y181" s="228"/>
      <c r="Z181" s="228"/>
      <c r="AA181" s="228"/>
      <c r="AB181" s="228"/>
      <c r="AC181" s="228"/>
      <c r="AD181" s="228"/>
      <c r="AE181" s="228"/>
      <c r="AF181" s="228"/>
      <c r="AG181" s="228"/>
    </row>
    <row r="182" spans="1:33" s="229" customFormat="1" ht="23" x14ac:dyDescent="0.35">
      <c r="A182" s="313" t="s">
        <v>1861</v>
      </c>
      <c r="B182" s="255" t="s">
        <v>1063</v>
      </c>
      <c r="C182" s="360" t="s">
        <v>1650</v>
      </c>
      <c r="D182" s="252" t="s">
        <v>1862</v>
      </c>
      <c r="E182" s="253" t="s">
        <v>1864</v>
      </c>
      <c r="F182" s="253"/>
      <c r="G182" s="254">
        <v>10</v>
      </c>
      <c r="H182" s="254"/>
      <c r="I182" s="255"/>
      <c r="J182" s="255" t="s">
        <v>465</v>
      </c>
      <c r="K182" s="256" t="s">
        <v>2048</v>
      </c>
      <c r="L182" s="256"/>
      <c r="M182" s="257"/>
      <c r="N182" s="257"/>
      <c r="O182" s="257"/>
      <c r="P182" s="257" t="s">
        <v>934</v>
      </c>
      <c r="Q182" s="257"/>
      <c r="R182" s="257"/>
      <c r="S182" s="257"/>
      <c r="T182" s="257"/>
      <c r="U182" s="257"/>
      <c r="V182" s="257" t="s">
        <v>1696</v>
      </c>
      <c r="W182" s="287"/>
      <c r="X182" s="228"/>
      <c r="Y182" s="228"/>
      <c r="Z182" s="228"/>
      <c r="AA182" s="228"/>
      <c r="AB182" s="228"/>
      <c r="AC182" s="228"/>
      <c r="AD182" s="228"/>
      <c r="AE182" s="228"/>
      <c r="AF182" s="228"/>
      <c r="AG182" s="228"/>
    </row>
    <row r="183" spans="1:33" x14ac:dyDescent="0.25">
      <c r="A183" s="179" t="s">
        <v>1952</v>
      </c>
      <c r="B183" s="262"/>
      <c r="C183" s="262"/>
      <c r="D183" s="180"/>
      <c r="E183" s="180"/>
      <c r="F183" s="304"/>
      <c r="G183" s="184"/>
      <c r="H183" s="184"/>
      <c r="I183" s="220"/>
      <c r="J183" s="269"/>
      <c r="K183" s="180"/>
      <c r="L183" s="180"/>
      <c r="M183" s="206"/>
      <c r="N183" s="206"/>
      <c r="O183" s="206"/>
      <c r="P183" s="206"/>
      <c r="Q183" s="206"/>
      <c r="R183" s="206"/>
      <c r="S183" s="206"/>
      <c r="T183" s="206"/>
      <c r="U183" s="206"/>
      <c r="V183" s="366"/>
      <c r="W183" s="279"/>
      <c r="X183" s="269"/>
      <c r="Y183" s="269"/>
      <c r="Z183" s="269"/>
      <c r="AA183" s="269"/>
      <c r="AB183" s="269"/>
      <c r="AC183" s="269"/>
      <c r="AD183" s="269"/>
      <c r="AE183" s="269"/>
      <c r="AF183" s="269"/>
      <c r="AG183" s="269"/>
    </row>
    <row r="184" spans="1:33" x14ac:dyDescent="0.25">
      <c r="A184" s="237" t="s">
        <v>1953</v>
      </c>
      <c r="B184" s="255" t="s">
        <v>1954</v>
      </c>
      <c r="C184" s="255" t="s">
        <v>1955</v>
      </c>
      <c r="D184" s="237" t="s">
        <v>1956</v>
      </c>
      <c r="E184" s="237" t="s">
        <v>2088</v>
      </c>
      <c r="F184" s="251"/>
      <c r="G184" s="239"/>
      <c r="H184" s="239"/>
      <c r="I184" s="320">
        <v>100</v>
      </c>
      <c r="J184" s="255" t="s">
        <v>256</v>
      </c>
      <c r="K184" s="240" t="s">
        <v>1957</v>
      </c>
      <c r="L184" s="240"/>
      <c r="M184" s="218"/>
      <c r="N184" s="218"/>
      <c r="O184" s="218"/>
      <c r="P184" s="218" t="s">
        <v>934</v>
      </c>
      <c r="Q184" s="218"/>
      <c r="R184" s="218"/>
      <c r="S184" s="218"/>
      <c r="U184" s="218"/>
      <c r="V184" s="328" t="s">
        <v>1696</v>
      </c>
      <c r="W184" s="278"/>
      <c r="X184" s="292"/>
      <c r="Y184" s="292"/>
      <c r="Z184" s="292"/>
    </row>
    <row r="185" spans="1:33" x14ac:dyDescent="0.25">
      <c r="A185" s="237" t="s">
        <v>1958</v>
      </c>
      <c r="B185" s="255" t="s">
        <v>1954</v>
      </c>
      <c r="C185" s="255" t="s">
        <v>1955</v>
      </c>
      <c r="D185" s="237" t="s">
        <v>1959</v>
      </c>
      <c r="E185" s="237" t="s">
        <v>2089</v>
      </c>
      <c r="F185" s="251"/>
      <c r="G185" s="239"/>
      <c r="H185" s="239"/>
      <c r="I185" s="320">
        <v>10000</v>
      </c>
      <c r="J185" s="255" t="s">
        <v>256</v>
      </c>
      <c r="K185" s="240" t="s">
        <v>1960</v>
      </c>
      <c r="L185" s="240"/>
      <c r="M185" s="218"/>
      <c r="N185" s="218"/>
      <c r="O185" s="218"/>
      <c r="P185" s="218" t="s">
        <v>934</v>
      </c>
      <c r="Q185" s="218"/>
      <c r="R185" s="218"/>
      <c r="S185" s="218"/>
      <c r="U185" s="218"/>
      <c r="V185" s="328" t="s">
        <v>1696</v>
      </c>
      <c r="W185" s="278"/>
      <c r="X185" s="292"/>
      <c r="Y185" s="292"/>
      <c r="Z185" s="292"/>
    </row>
    <row r="186" spans="1:33" x14ac:dyDescent="0.25">
      <c r="A186" s="237" t="s">
        <v>1961</v>
      </c>
      <c r="B186" s="255" t="s">
        <v>1954</v>
      </c>
      <c r="C186" s="255" t="s">
        <v>1955</v>
      </c>
      <c r="D186" s="237" t="s">
        <v>1962</v>
      </c>
      <c r="E186" s="237" t="s">
        <v>2090</v>
      </c>
      <c r="F186" s="251"/>
      <c r="G186" s="239"/>
      <c r="H186" s="239"/>
      <c r="I186" s="320">
        <v>5000</v>
      </c>
      <c r="J186" s="255" t="s">
        <v>256</v>
      </c>
      <c r="K186" s="240" t="s">
        <v>1963</v>
      </c>
      <c r="L186" s="240"/>
      <c r="M186" s="218"/>
      <c r="N186" s="218"/>
      <c r="O186" s="218"/>
      <c r="P186" s="218" t="s">
        <v>934</v>
      </c>
      <c r="Q186" s="218"/>
      <c r="R186" s="218"/>
      <c r="S186" s="218"/>
      <c r="U186" s="218"/>
      <c r="V186" s="328" t="s">
        <v>1696</v>
      </c>
      <c r="W186" s="278"/>
      <c r="X186" s="292"/>
      <c r="Y186" s="292"/>
      <c r="Z186" s="292"/>
    </row>
    <row r="187" spans="1:33" x14ac:dyDescent="0.25">
      <c r="A187" s="237" t="s">
        <v>1964</v>
      </c>
      <c r="B187" s="255" t="s">
        <v>1954</v>
      </c>
      <c r="C187" s="255" t="s">
        <v>1955</v>
      </c>
      <c r="D187" s="237" t="s">
        <v>1965</v>
      </c>
      <c r="E187" s="237" t="s">
        <v>2091</v>
      </c>
      <c r="F187" s="251"/>
      <c r="G187" s="239"/>
      <c r="H187" s="239"/>
      <c r="I187" s="320">
        <v>2500</v>
      </c>
      <c r="J187" s="255" t="s">
        <v>256</v>
      </c>
      <c r="K187" s="240" t="s">
        <v>1966</v>
      </c>
      <c r="L187" s="240"/>
      <c r="M187" s="218"/>
      <c r="N187" s="218"/>
      <c r="O187" s="218"/>
      <c r="P187" s="218" t="s">
        <v>934</v>
      </c>
      <c r="Q187" s="218"/>
      <c r="R187" s="218"/>
      <c r="S187" s="218"/>
      <c r="U187" s="218"/>
      <c r="V187" s="328" t="s">
        <v>1696</v>
      </c>
      <c r="W187" s="278"/>
      <c r="X187" s="292"/>
      <c r="Y187" s="292"/>
      <c r="Z187" s="292"/>
    </row>
    <row r="188" spans="1:33" x14ac:dyDescent="0.25">
      <c r="A188" s="237" t="s">
        <v>1967</v>
      </c>
      <c r="B188" s="255" t="s">
        <v>1954</v>
      </c>
      <c r="C188" s="255" t="s">
        <v>1955</v>
      </c>
      <c r="D188" s="237" t="s">
        <v>1968</v>
      </c>
      <c r="E188" s="99" t="s">
        <v>2092</v>
      </c>
      <c r="F188" s="228"/>
      <c r="G188" s="101" t="s">
        <v>140</v>
      </c>
      <c r="H188" s="99"/>
      <c r="I188" s="328">
        <v>3.125</v>
      </c>
      <c r="J188" s="249" t="s">
        <v>1969</v>
      </c>
      <c r="K188" s="240" t="s">
        <v>1957</v>
      </c>
      <c r="L188" s="240"/>
      <c r="M188" s="218"/>
      <c r="N188" s="218"/>
      <c r="O188" s="218"/>
      <c r="P188" s="218" t="s">
        <v>934</v>
      </c>
      <c r="Q188" s="218"/>
      <c r="R188" s="218"/>
      <c r="S188" s="218"/>
      <c r="U188" s="218"/>
      <c r="V188" s="328" t="s">
        <v>1696</v>
      </c>
      <c r="W188" s="278"/>
      <c r="X188" s="292"/>
      <c r="Y188" s="292"/>
      <c r="Z188" s="292"/>
    </row>
    <row r="189" spans="1:33" x14ac:dyDescent="0.25">
      <c r="A189" s="237" t="s">
        <v>1970</v>
      </c>
      <c r="B189" s="255" t="s">
        <v>1954</v>
      </c>
      <c r="C189" s="255" t="s">
        <v>1955</v>
      </c>
      <c r="D189" s="237" t="s">
        <v>1971</v>
      </c>
      <c r="E189" s="99" t="s">
        <v>2093</v>
      </c>
      <c r="F189" s="228"/>
      <c r="G189" s="101"/>
      <c r="H189" s="99"/>
      <c r="I189" s="328">
        <v>25</v>
      </c>
      <c r="J189" s="249" t="s">
        <v>1969</v>
      </c>
      <c r="K189" s="240" t="s">
        <v>1960</v>
      </c>
      <c r="L189" s="240"/>
      <c r="M189" s="218"/>
      <c r="N189" s="218"/>
      <c r="O189" s="218"/>
      <c r="P189" s="218" t="s">
        <v>934</v>
      </c>
      <c r="Q189" s="218"/>
      <c r="R189" s="218"/>
      <c r="S189" s="218"/>
      <c r="U189" s="218"/>
      <c r="V189" s="328" t="s">
        <v>1696</v>
      </c>
      <c r="W189" s="278"/>
      <c r="X189" s="292"/>
      <c r="Y189" s="292"/>
      <c r="Z189" s="292"/>
    </row>
    <row r="190" spans="1:33" x14ac:dyDescent="0.25">
      <c r="A190" s="237" t="s">
        <v>1972</v>
      </c>
      <c r="B190" s="255" t="s">
        <v>1954</v>
      </c>
      <c r="C190" s="255" t="s">
        <v>1955</v>
      </c>
      <c r="D190" s="237" t="s">
        <v>1973</v>
      </c>
      <c r="E190" s="99" t="s">
        <v>2094</v>
      </c>
      <c r="F190" s="228"/>
      <c r="G190" s="101"/>
      <c r="H190" s="99"/>
      <c r="I190" s="328">
        <v>12.5</v>
      </c>
      <c r="J190" s="249" t="s">
        <v>1969</v>
      </c>
      <c r="K190" s="240" t="s">
        <v>1963</v>
      </c>
      <c r="L190" s="240"/>
      <c r="M190" s="218"/>
      <c r="N190" s="218"/>
      <c r="O190" s="218"/>
      <c r="P190" s="218" t="s">
        <v>934</v>
      </c>
      <c r="Q190" s="218"/>
      <c r="R190" s="218"/>
      <c r="S190" s="218"/>
      <c r="U190" s="218"/>
      <c r="V190" s="328" t="s">
        <v>1696</v>
      </c>
      <c r="W190" s="278"/>
      <c r="X190" s="292"/>
      <c r="Y190" s="292"/>
      <c r="Z190" s="292"/>
    </row>
    <row r="191" spans="1:33" x14ac:dyDescent="0.25">
      <c r="A191" s="237" t="s">
        <v>1974</v>
      </c>
      <c r="B191" s="255" t="s">
        <v>1954</v>
      </c>
      <c r="C191" s="255" t="s">
        <v>1955</v>
      </c>
      <c r="D191" s="237" t="s">
        <v>1975</v>
      </c>
      <c r="E191" s="99" t="s">
        <v>2095</v>
      </c>
      <c r="F191" s="228"/>
      <c r="G191" s="101"/>
      <c r="H191" s="99"/>
      <c r="I191" s="328">
        <v>6.25</v>
      </c>
      <c r="J191" s="249" t="s">
        <v>1969</v>
      </c>
      <c r="K191" s="240" t="s">
        <v>1966</v>
      </c>
      <c r="L191" s="240"/>
      <c r="M191" s="218"/>
      <c r="N191" s="218"/>
      <c r="O191" s="218"/>
      <c r="P191" s="218" t="s">
        <v>934</v>
      </c>
      <c r="Q191" s="218"/>
      <c r="R191" s="218"/>
      <c r="S191" s="218"/>
      <c r="U191" s="218"/>
      <c r="V191" s="328" t="s">
        <v>1696</v>
      </c>
      <c r="W191" s="278"/>
      <c r="X191" s="292"/>
      <c r="Y191" s="292"/>
      <c r="Z191" s="292"/>
    </row>
    <row r="192" spans="1:33" x14ac:dyDescent="0.25">
      <c r="A192" s="237" t="s">
        <v>1976</v>
      </c>
      <c r="B192" s="255" t="s">
        <v>1954</v>
      </c>
      <c r="C192" s="255" t="s">
        <v>1955</v>
      </c>
      <c r="D192" s="314" t="s">
        <v>2077</v>
      </c>
      <c r="E192" s="241" t="s">
        <v>2096</v>
      </c>
      <c r="F192" s="308"/>
      <c r="G192" s="239">
        <v>-50</v>
      </c>
      <c r="H192" s="239"/>
      <c r="I192" s="320">
        <v>50</v>
      </c>
      <c r="J192" s="255" t="s">
        <v>831</v>
      </c>
      <c r="K192" s="242"/>
      <c r="L192" s="242"/>
      <c r="M192" s="218"/>
      <c r="N192" s="218"/>
      <c r="O192" s="218"/>
      <c r="P192" s="218" t="s">
        <v>934</v>
      </c>
      <c r="Q192" s="218"/>
      <c r="R192" s="218"/>
      <c r="S192" s="218"/>
      <c r="U192" s="218"/>
      <c r="V192" s="328" t="s">
        <v>1696</v>
      </c>
      <c r="W192" s="280"/>
      <c r="X192" s="293"/>
      <c r="Y192" s="293"/>
      <c r="Z192" s="293"/>
      <c r="AA192" s="230"/>
      <c r="AB192" s="230"/>
      <c r="AC192" s="230"/>
      <c r="AD192" s="230"/>
      <c r="AE192" s="230"/>
      <c r="AF192" s="230"/>
      <c r="AG192" s="230"/>
    </row>
    <row r="193" spans="1:33" x14ac:dyDescent="0.25">
      <c r="A193" s="237" t="s">
        <v>1977</v>
      </c>
      <c r="B193" s="255" t="s">
        <v>1954</v>
      </c>
      <c r="C193" s="255" t="s">
        <v>1955</v>
      </c>
      <c r="D193" s="314" t="s">
        <v>2076</v>
      </c>
      <c r="E193" s="241" t="s">
        <v>2097</v>
      </c>
      <c r="F193" s="308"/>
      <c r="G193" s="239">
        <v>-100</v>
      </c>
      <c r="H193" s="239" t="s">
        <v>140</v>
      </c>
      <c r="I193" s="320">
        <v>100</v>
      </c>
      <c r="J193" s="255" t="s">
        <v>831</v>
      </c>
      <c r="K193" s="240"/>
      <c r="L193" s="240"/>
      <c r="M193" s="218"/>
      <c r="N193" s="218"/>
      <c r="O193" s="218"/>
      <c r="P193" s="218" t="s">
        <v>934</v>
      </c>
      <c r="Q193" s="218"/>
      <c r="R193" s="218"/>
      <c r="S193" s="218"/>
      <c r="U193" s="218"/>
      <c r="V193" s="328" t="s">
        <v>1696</v>
      </c>
      <c r="W193" s="278"/>
      <c r="X193" s="292"/>
      <c r="Y193" s="292"/>
      <c r="Z193" s="292"/>
    </row>
    <row r="194" spans="1:33" x14ac:dyDescent="0.25">
      <c r="A194" s="237" t="s">
        <v>1978</v>
      </c>
      <c r="B194" s="255" t="s">
        <v>1979</v>
      </c>
      <c r="C194" s="255" t="s">
        <v>1955</v>
      </c>
      <c r="D194" s="314" t="s">
        <v>1980</v>
      </c>
      <c r="E194" s="245" t="s">
        <v>1981</v>
      </c>
      <c r="F194" s="253"/>
      <c r="G194" s="239"/>
      <c r="H194" s="239"/>
      <c r="I194" s="320">
        <v>6</v>
      </c>
      <c r="J194" s="255" t="s">
        <v>530</v>
      </c>
      <c r="K194" s="240" t="s">
        <v>2078</v>
      </c>
      <c r="L194" s="240"/>
      <c r="M194" s="218"/>
      <c r="N194" s="218"/>
      <c r="O194" s="218"/>
      <c r="P194" s="218" t="s">
        <v>934</v>
      </c>
      <c r="Q194" s="218"/>
      <c r="R194" s="218"/>
      <c r="S194" s="218"/>
      <c r="U194" s="218"/>
      <c r="V194" s="328" t="s">
        <v>1696</v>
      </c>
      <c r="W194" s="280"/>
      <c r="X194" s="231"/>
      <c r="Y194" s="231"/>
      <c r="Z194" s="231"/>
      <c r="AA194" s="232"/>
      <c r="AB194" s="230"/>
      <c r="AC194" s="230"/>
      <c r="AD194" s="230"/>
      <c r="AE194" s="230"/>
      <c r="AF194" s="230"/>
      <c r="AG194" s="230"/>
    </row>
    <row r="195" spans="1:33" x14ac:dyDescent="0.25">
      <c r="A195" s="237" t="s">
        <v>1982</v>
      </c>
      <c r="B195" s="255" t="s">
        <v>1979</v>
      </c>
      <c r="C195" s="255" t="s">
        <v>1955</v>
      </c>
      <c r="D195" s="314" t="s">
        <v>1983</v>
      </c>
      <c r="E195" s="253" t="s">
        <v>1984</v>
      </c>
      <c r="F195" s="253"/>
      <c r="G195" s="254"/>
      <c r="H195" s="254"/>
      <c r="I195" s="255">
        <v>2</v>
      </c>
      <c r="J195" s="255" t="s">
        <v>530</v>
      </c>
      <c r="K195" s="308" t="s">
        <v>1985</v>
      </c>
      <c r="L195" s="256"/>
      <c r="M195" s="257"/>
      <c r="N195" s="257"/>
      <c r="O195" s="257"/>
      <c r="P195" s="257" t="s">
        <v>934</v>
      </c>
      <c r="Q195" s="257"/>
      <c r="R195" s="257"/>
      <c r="S195" s="257"/>
      <c r="U195" s="257"/>
      <c r="V195" s="328" t="s">
        <v>1696</v>
      </c>
      <c r="W195" s="287"/>
    </row>
    <row r="196" spans="1:33" x14ac:dyDescent="0.25">
      <c r="A196" s="237" t="s">
        <v>2054</v>
      </c>
      <c r="B196" s="255" t="s">
        <v>1954</v>
      </c>
      <c r="C196" s="255" t="s">
        <v>1955</v>
      </c>
      <c r="D196" s="314" t="s">
        <v>2055</v>
      </c>
      <c r="E196" s="253" t="s">
        <v>2056</v>
      </c>
      <c r="F196" s="253"/>
      <c r="G196" s="254"/>
      <c r="H196" s="254"/>
      <c r="I196" s="255">
        <v>-40</v>
      </c>
      <c r="J196" s="255" t="s">
        <v>751</v>
      </c>
      <c r="K196" s="308"/>
      <c r="L196" s="256"/>
      <c r="M196" s="257"/>
      <c r="N196" s="257"/>
      <c r="O196" s="257"/>
      <c r="P196" s="257" t="s">
        <v>934</v>
      </c>
      <c r="Q196" s="257"/>
      <c r="R196" s="257"/>
      <c r="S196" s="257"/>
      <c r="U196" s="257"/>
      <c r="V196" s="328" t="s">
        <v>1696</v>
      </c>
      <c r="W196" s="287"/>
    </row>
    <row r="197" spans="1:33" x14ac:dyDescent="0.25">
      <c r="A197" s="179" t="s">
        <v>1986</v>
      </c>
      <c r="B197" s="262"/>
      <c r="C197" s="262"/>
      <c r="D197" s="180"/>
      <c r="E197" s="180"/>
      <c r="F197" s="304"/>
      <c r="G197" s="184"/>
      <c r="H197" s="184"/>
      <c r="I197" s="220"/>
      <c r="J197" s="269"/>
      <c r="K197" s="180"/>
      <c r="L197" s="180"/>
      <c r="M197" s="206"/>
      <c r="N197" s="206"/>
      <c r="O197" s="206"/>
      <c r="P197" s="206"/>
      <c r="Q197" s="206"/>
      <c r="R197" s="206"/>
      <c r="S197" s="206"/>
      <c r="T197" s="206"/>
      <c r="U197" s="206"/>
      <c r="V197" s="206"/>
      <c r="W197" s="279"/>
      <c r="X197" s="269"/>
      <c r="Y197" s="269"/>
      <c r="Z197" s="269"/>
      <c r="AA197" s="269"/>
      <c r="AB197" s="269"/>
      <c r="AC197" s="269"/>
      <c r="AD197" s="269"/>
      <c r="AE197" s="269"/>
      <c r="AF197" s="269"/>
      <c r="AG197" s="269"/>
    </row>
    <row r="198" spans="1:33" x14ac:dyDescent="0.25">
      <c r="A198" s="237" t="s">
        <v>1987</v>
      </c>
      <c r="B198" s="255" t="s">
        <v>1988</v>
      </c>
      <c r="C198" s="255" t="s">
        <v>1989</v>
      </c>
      <c r="D198" s="237" t="s">
        <v>1920</v>
      </c>
      <c r="E198" s="237" t="s">
        <v>1990</v>
      </c>
      <c r="F198" s="251"/>
      <c r="G198" s="239"/>
      <c r="H198" s="239">
        <v>12</v>
      </c>
      <c r="I198" s="320"/>
      <c r="J198" s="255" t="s">
        <v>448</v>
      </c>
      <c r="K198" s="240" t="s">
        <v>1920</v>
      </c>
      <c r="L198" s="240"/>
      <c r="M198" s="218"/>
      <c r="N198" s="218"/>
      <c r="O198" s="218"/>
      <c r="P198" s="218" t="s">
        <v>934</v>
      </c>
      <c r="Q198" s="218"/>
      <c r="R198" s="218"/>
      <c r="S198" s="218"/>
      <c r="U198" s="218"/>
      <c r="V198" s="328" t="s">
        <v>1696</v>
      </c>
      <c r="W198" s="278"/>
      <c r="X198" s="292"/>
      <c r="Y198" s="292"/>
      <c r="Z198" s="292"/>
    </row>
    <row r="199" spans="1:33" x14ac:dyDescent="0.25">
      <c r="A199" s="237" t="s">
        <v>1991</v>
      </c>
      <c r="B199" s="255" t="s">
        <v>1988</v>
      </c>
      <c r="C199" s="255" t="s">
        <v>1989</v>
      </c>
      <c r="D199" s="237" t="s">
        <v>1931</v>
      </c>
      <c r="E199" s="237" t="s">
        <v>1994</v>
      </c>
      <c r="F199" s="251"/>
      <c r="G199" s="239">
        <v>-1</v>
      </c>
      <c r="H199" s="239"/>
      <c r="I199" s="320">
        <v>1</v>
      </c>
      <c r="J199" s="255" t="s">
        <v>530</v>
      </c>
      <c r="K199" s="240" t="s">
        <v>2022</v>
      </c>
      <c r="L199" s="240"/>
      <c r="M199" s="218"/>
      <c r="N199" s="218"/>
      <c r="O199" s="218"/>
      <c r="P199" s="218" t="s">
        <v>934</v>
      </c>
      <c r="Q199" s="218"/>
      <c r="R199" s="218"/>
      <c r="S199" s="218"/>
      <c r="U199" s="218"/>
      <c r="V199" s="328" t="s">
        <v>1696</v>
      </c>
      <c r="W199" s="278"/>
      <c r="X199" s="292"/>
      <c r="Y199" s="292"/>
      <c r="Z199" s="292"/>
    </row>
    <row r="200" spans="1:33" x14ac:dyDescent="0.25">
      <c r="A200" s="237" t="s">
        <v>1992</v>
      </c>
      <c r="B200" s="255" t="s">
        <v>1988</v>
      </c>
      <c r="C200" s="255" t="s">
        <v>1989</v>
      </c>
      <c r="D200" s="237" t="s">
        <v>1995</v>
      </c>
      <c r="E200" s="237" t="s">
        <v>1996</v>
      </c>
      <c r="F200" s="251"/>
      <c r="G200" s="239">
        <v>-1</v>
      </c>
      <c r="H200" s="239"/>
      <c r="I200" s="320">
        <v>1</v>
      </c>
      <c r="J200" s="255" t="s">
        <v>258</v>
      </c>
      <c r="K200" s="240" t="s">
        <v>1997</v>
      </c>
      <c r="L200" s="240"/>
      <c r="M200" s="218"/>
      <c r="N200" s="218"/>
      <c r="O200" s="218"/>
      <c r="P200" s="218" t="s">
        <v>934</v>
      </c>
      <c r="Q200" s="218"/>
      <c r="R200" s="218"/>
      <c r="S200" s="218"/>
      <c r="U200" s="218"/>
      <c r="V200" s="328" t="s">
        <v>1696</v>
      </c>
      <c r="W200" s="278"/>
      <c r="X200" s="292"/>
      <c r="Y200" s="292"/>
      <c r="Z200" s="292"/>
    </row>
    <row r="201" spans="1:33" x14ac:dyDescent="0.25">
      <c r="A201" s="237" t="s">
        <v>1993</v>
      </c>
      <c r="B201" s="255" t="s">
        <v>1988</v>
      </c>
      <c r="C201" s="255" t="s">
        <v>1989</v>
      </c>
      <c r="D201" s="237" t="s">
        <v>1998</v>
      </c>
      <c r="E201" s="237" t="s">
        <v>1999</v>
      </c>
      <c r="F201" s="251"/>
      <c r="G201" s="239">
        <v>-2</v>
      </c>
      <c r="H201" s="239"/>
      <c r="I201" s="320">
        <v>2</v>
      </c>
      <c r="J201" s="255" t="s">
        <v>258</v>
      </c>
      <c r="K201" s="240" t="s">
        <v>1997</v>
      </c>
      <c r="L201" s="240"/>
      <c r="M201" s="218"/>
      <c r="N201" s="218"/>
      <c r="O201" s="218"/>
      <c r="P201" s="218" t="s">
        <v>934</v>
      </c>
      <c r="Q201" s="218"/>
      <c r="R201" s="218"/>
      <c r="S201" s="218"/>
      <c r="U201" s="218"/>
      <c r="V201" s="328" t="s">
        <v>1696</v>
      </c>
      <c r="W201" s="278"/>
      <c r="X201" s="292"/>
      <c r="Y201" s="292"/>
      <c r="Z201" s="292"/>
    </row>
    <row r="202" spans="1:33" x14ac:dyDescent="0.25">
      <c r="A202" s="237" t="s">
        <v>2000</v>
      </c>
      <c r="B202" s="255" t="s">
        <v>1988</v>
      </c>
      <c r="C202" s="255" t="s">
        <v>1989</v>
      </c>
      <c r="D202" s="237" t="s">
        <v>2001</v>
      </c>
      <c r="E202" s="237" t="s">
        <v>2002</v>
      </c>
      <c r="F202" s="251"/>
      <c r="G202" s="239" t="s">
        <v>2003</v>
      </c>
      <c r="H202" s="239"/>
      <c r="I202" s="320" t="s">
        <v>829</v>
      </c>
      <c r="J202" s="255" t="s">
        <v>475</v>
      </c>
      <c r="K202" s="240"/>
      <c r="L202" s="240"/>
      <c r="M202" s="218"/>
      <c r="N202" s="218"/>
      <c r="O202" s="218"/>
      <c r="P202" s="218" t="s">
        <v>934</v>
      </c>
      <c r="Q202" s="218"/>
      <c r="R202" s="218"/>
      <c r="S202" s="218"/>
      <c r="U202" s="218"/>
      <c r="V202" s="328" t="s">
        <v>1696</v>
      </c>
      <c r="W202" s="278"/>
      <c r="X202" s="292"/>
      <c r="Y202" s="292"/>
      <c r="Z202" s="292"/>
    </row>
    <row r="203" spans="1:33" x14ac:dyDescent="0.25">
      <c r="A203" s="237" t="s">
        <v>2004</v>
      </c>
      <c r="B203" s="255" t="s">
        <v>1988</v>
      </c>
      <c r="C203" s="255" t="s">
        <v>1989</v>
      </c>
      <c r="D203" s="237" t="s">
        <v>2005</v>
      </c>
      <c r="E203" s="237" t="s">
        <v>2002</v>
      </c>
      <c r="F203" s="251"/>
      <c r="G203" s="239" t="s">
        <v>2003</v>
      </c>
      <c r="H203" s="239"/>
      <c r="I203" s="320">
        <v>1.2</v>
      </c>
      <c r="J203" s="255" t="s">
        <v>475</v>
      </c>
      <c r="K203" s="240" t="s">
        <v>2006</v>
      </c>
      <c r="L203" s="240"/>
      <c r="M203" s="218"/>
      <c r="N203" s="218"/>
      <c r="O203" s="218"/>
      <c r="P203" s="218" t="s">
        <v>934</v>
      </c>
      <c r="Q203" s="218"/>
      <c r="R203" s="218"/>
      <c r="S203" s="218"/>
      <c r="U203" s="218"/>
      <c r="V203" s="328" t="s">
        <v>1696</v>
      </c>
      <c r="W203" s="278"/>
      <c r="X203" s="292"/>
      <c r="Y203" s="292"/>
      <c r="Z203" s="292"/>
    </row>
    <row r="204" spans="1:33" x14ac:dyDescent="0.25">
      <c r="A204" s="237" t="s">
        <v>2007</v>
      </c>
      <c r="B204" s="255" t="s">
        <v>1988</v>
      </c>
      <c r="C204" s="255" t="s">
        <v>1989</v>
      </c>
      <c r="D204" s="237" t="s">
        <v>2009</v>
      </c>
      <c r="E204" s="237" t="s">
        <v>2002</v>
      </c>
      <c r="F204" s="251"/>
      <c r="G204" s="358" t="s">
        <v>1937</v>
      </c>
      <c r="H204" s="239"/>
      <c r="I204" s="320" t="s">
        <v>829</v>
      </c>
      <c r="J204" s="255" t="s">
        <v>475</v>
      </c>
      <c r="K204" s="240"/>
      <c r="L204" s="240"/>
      <c r="M204" s="218"/>
      <c r="N204" s="218"/>
      <c r="O204" s="218"/>
      <c r="P204" s="218" t="s">
        <v>934</v>
      </c>
      <c r="Q204" s="218"/>
      <c r="R204" s="218"/>
      <c r="S204" s="218"/>
      <c r="U204" s="218"/>
      <c r="V204" s="328" t="s">
        <v>1696</v>
      </c>
      <c r="W204" s="278"/>
      <c r="X204" s="292"/>
      <c r="Y204" s="292"/>
      <c r="Z204" s="292"/>
    </row>
    <row r="205" spans="1:33" x14ac:dyDescent="0.25">
      <c r="A205" s="237" t="s">
        <v>2008</v>
      </c>
      <c r="B205" s="255" t="s">
        <v>1988</v>
      </c>
      <c r="C205" s="255" t="s">
        <v>1989</v>
      </c>
      <c r="D205" s="237" t="s">
        <v>2010</v>
      </c>
      <c r="E205" s="237" t="s">
        <v>2002</v>
      </c>
      <c r="F205" s="251"/>
      <c r="G205" s="239">
        <v>-0.2</v>
      </c>
      <c r="H205" s="239"/>
      <c r="I205" s="320">
        <v>0.2</v>
      </c>
      <c r="J205" s="255" t="s">
        <v>475</v>
      </c>
      <c r="K205" s="240"/>
      <c r="L205" s="240"/>
      <c r="M205" s="218"/>
      <c r="N205" s="218"/>
      <c r="O205" s="218"/>
      <c r="P205" s="218" t="s">
        <v>934</v>
      </c>
      <c r="Q205" s="218"/>
      <c r="R205" s="218"/>
      <c r="S205" s="218"/>
      <c r="U205" s="218"/>
      <c r="V205" s="328" t="s">
        <v>1696</v>
      </c>
      <c r="W205" s="278"/>
      <c r="X205" s="292"/>
      <c r="Y205" s="292"/>
      <c r="Z205" s="292"/>
    </row>
    <row r="206" spans="1:33" x14ac:dyDescent="0.25">
      <c r="A206" s="237" t="s">
        <v>2011</v>
      </c>
      <c r="B206" s="255" t="s">
        <v>1988</v>
      </c>
      <c r="C206" s="255" t="s">
        <v>1989</v>
      </c>
      <c r="D206" s="237" t="s">
        <v>2012</v>
      </c>
      <c r="E206" s="237" t="s">
        <v>2002</v>
      </c>
      <c r="F206" s="251"/>
      <c r="G206" s="239">
        <v>0</v>
      </c>
      <c r="H206" s="239"/>
      <c r="I206" s="320" t="s">
        <v>2013</v>
      </c>
      <c r="J206" s="255" t="s">
        <v>475</v>
      </c>
      <c r="K206" s="240"/>
      <c r="L206" s="240"/>
      <c r="M206" s="218"/>
      <c r="N206" s="218"/>
      <c r="O206" s="218"/>
      <c r="P206" s="218" t="s">
        <v>934</v>
      </c>
      <c r="Q206" s="218"/>
      <c r="R206" s="218"/>
      <c r="S206" s="218"/>
      <c r="U206" s="218"/>
      <c r="V206" s="328" t="s">
        <v>1696</v>
      </c>
      <c r="W206" s="278"/>
      <c r="X206" s="292"/>
      <c r="Y206" s="292"/>
      <c r="Z206" s="292"/>
    </row>
    <row r="207" spans="1:33" ht="23" x14ac:dyDescent="0.25">
      <c r="A207" s="237" t="s">
        <v>2015</v>
      </c>
      <c r="B207" s="255" t="s">
        <v>2016</v>
      </c>
      <c r="C207" s="255" t="s">
        <v>1989</v>
      </c>
      <c r="D207" s="237" t="s">
        <v>2017</v>
      </c>
      <c r="E207" s="241" t="s">
        <v>2018</v>
      </c>
      <c r="F207" s="251"/>
      <c r="G207" s="239"/>
      <c r="H207" s="239"/>
      <c r="I207" s="320">
        <v>500</v>
      </c>
      <c r="J207" s="255" t="s">
        <v>446</v>
      </c>
      <c r="K207" s="240"/>
      <c r="L207" s="240"/>
      <c r="M207" s="218"/>
      <c r="N207" s="218"/>
      <c r="O207" s="218"/>
      <c r="P207" s="218" t="s">
        <v>934</v>
      </c>
      <c r="Q207" s="218"/>
      <c r="R207" s="218"/>
      <c r="S207" s="218"/>
      <c r="U207" s="218"/>
      <c r="V207" s="328" t="s">
        <v>1696</v>
      </c>
      <c r="W207" s="278"/>
      <c r="X207" s="292"/>
      <c r="Y207" s="292"/>
      <c r="Z207" s="292"/>
    </row>
    <row r="208" spans="1:33" x14ac:dyDescent="0.25">
      <c r="A208" s="237" t="s">
        <v>2019</v>
      </c>
      <c r="B208" s="255" t="s">
        <v>2016</v>
      </c>
      <c r="C208" s="255" t="s">
        <v>1989</v>
      </c>
      <c r="D208" s="237" t="s">
        <v>2020</v>
      </c>
      <c r="E208" s="237" t="s">
        <v>1575</v>
      </c>
      <c r="F208" s="251"/>
      <c r="G208" s="239"/>
      <c r="H208" s="239"/>
      <c r="I208" s="320">
        <v>300</v>
      </c>
      <c r="J208" s="255" t="s">
        <v>219</v>
      </c>
      <c r="K208" s="240" t="s">
        <v>2021</v>
      </c>
      <c r="L208" s="240"/>
      <c r="M208" s="218"/>
      <c r="N208" s="218"/>
      <c r="O208" s="218"/>
      <c r="P208" s="218" t="s">
        <v>934</v>
      </c>
      <c r="Q208" s="218"/>
      <c r="R208" s="218"/>
      <c r="S208" s="218"/>
      <c r="U208" s="218"/>
      <c r="V208" s="328" t="s">
        <v>1696</v>
      </c>
      <c r="W208" s="278"/>
      <c r="X208" s="292"/>
      <c r="Y208" s="292"/>
      <c r="Z208" s="292"/>
    </row>
    <row r="209" spans="1:33" x14ac:dyDescent="0.25">
      <c r="A209" s="179" t="s">
        <v>2023</v>
      </c>
      <c r="B209" s="262"/>
      <c r="C209" s="262"/>
      <c r="D209" s="180"/>
      <c r="E209" s="180"/>
      <c r="F209" s="304"/>
      <c r="G209" s="184"/>
      <c r="H209" s="184"/>
      <c r="I209" s="220"/>
      <c r="J209" s="269"/>
      <c r="K209" s="180"/>
      <c r="L209" s="180"/>
      <c r="M209" s="206"/>
      <c r="N209" s="206"/>
      <c r="O209" s="206"/>
      <c r="P209" s="206"/>
      <c r="Q209" s="206"/>
      <c r="R209" s="206"/>
      <c r="S209" s="206"/>
      <c r="T209" s="206"/>
      <c r="U209" s="206"/>
      <c r="V209" s="206"/>
      <c r="W209" s="279"/>
      <c r="X209" s="269"/>
      <c r="Y209" s="269"/>
      <c r="Z209" s="269"/>
      <c r="AA209" s="269"/>
      <c r="AB209" s="269"/>
      <c r="AC209" s="269"/>
      <c r="AD209" s="269"/>
      <c r="AE209" s="269"/>
      <c r="AF209" s="269"/>
      <c r="AG209" s="269"/>
    </row>
    <row r="210" spans="1:33" x14ac:dyDescent="0.25">
      <c r="A210" s="237" t="s">
        <v>2024</v>
      </c>
      <c r="B210" s="255" t="s">
        <v>2025</v>
      </c>
      <c r="C210" s="255" t="s">
        <v>2026</v>
      </c>
      <c r="D210" s="237" t="s">
        <v>2027</v>
      </c>
      <c r="E210" s="237" t="s">
        <v>2028</v>
      </c>
      <c r="F210" s="251"/>
      <c r="G210" s="239">
        <v>0.1</v>
      </c>
      <c r="H210" s="239"/>
      <c r="I210" s="320">
        <v>1.2</v>
      </c>
      <c r="J210" s="255" t="s">
        <v>475</v>
      </c>
      <c r="K210" s="240" t="s">
        <v>2031</v>
      </c>
      <c r="L210" s="240"/>
      <c r="M210" s="218"/>
      <c r="N210" s="218"/>
      <c r="O210" s="218"/>
      <c r="P210" s="218" t="s">
        <v>934</v>
      </c>
      <c r="Q210" s="218"/>
      <c r="R210" s="218"/>
      <c r="S210" s="218"/>
      <c r="U210" s="218"/>
      <c r="V210" s="328" t="s">
        <v>1696</v>
      </c>
      <c r="W210" s="278"/>
      <c r="X210" s="292"/>
      <c r="Y210" s="292"/>
      <c r="Z210" s="292"/>
    </row>
    <row r="211" spans="1:33" x14ac:dyDescent="0.25">
      <c r="A211" s="237" t="s">
        <v>2029</v>
      </c>
      <c r="B211" s="255" t="s">
        <v>2025</v>
      </c>
      <c r="C211" s="255" t="s">
        <v>2026</v>
      </c>
      <c r="D211" s="237" t="s">
        <v>2030</v>
      </c>
      <c r="E211" s="237" t="s">
        <v>2028</v>
      </c>
      <c r="F211" s="251"/>
      <c r="G211" s="239">
        <v>0.1</v>
      </c>
      <c r="H211" s="239"/>
      <c r="I211" s="320" t="s">
        <v>2013</v>
      </c>
      <c r="J211" s="255" t="s">
        <v>475</v>
      </c>
      <c r="K211" s="240" t="s">
        <v>2031</v>
      </c>
      <c r="L211" s="240"/>
      <c r="M211" s="218"/>
      <c r="N211" s="218"/>
      <c r="O211" s="218"/>
      <c r="P211" s="218" t="s">
        <v>934</v>
      </c>
      <c r="Q211" s="218"/>
      <c r="R211" s="218"/>
      <c r="S211" s="218"/>
      <c r="U211" s="218"/>
      <c r="V211" s="328" t="s">
        <v>1696</v>
      </c>
      <c r="W211" s="278"/>
      <c r="X211" s="292"/>
      <c r="Y211" s="292"/>
      <c r="Z211" s="292"/>
    </row>
    <row r="212" spans="1:33" x14ac:dyDescent="0.25">
      <c r="A212" s="237" t="s">
        <v>2032</v>
      </c>
      <c r="B212" s="255" t="s">
        <v>2025</v>
      </c>
      <c r="C212" s="255" t="s">
        <v>2026</v>
      </c>
      <c r="D212" s="237" t="s">
        <v>2034</v>
      </c>
      <c r="E212" s="237" t="s">
        <v>2036</v>
      </c>
      <c r="F212" s="251"/>
      <c r="G212" s="239">
        <v>0.1</v>
      </c>
      <c r="H212" s="239"/>
      <c r="I212" s="320">
        <v>1.2</v>
      </c>
      <c r="J212" s="255" t="s">
        <v>475</v>
      </c>
      <c r="K212" s="240"/>
      <c r="L212" s="240"/>
      <c r="M212" s="218"/>
      <c r="N212" s="218"/>
      <c r="O212" s="218"/>
      <c r="P212" s="218" t="s">
        <v>934</v>
      </c>
      <c r="Q212" s="218"/>
      <c r="R212" s="218"/>
      <c r="S212" s="218"/>
      <c r="U212" s="218"/>
      <c r="V212" s="328" t="s">
        <v>1696</v>
      </c>
      <c r="W212" s="278"/>
      <c r="X212" s="292"/>
      <c r="Y212" s="292"/>
      <c r="Z212" s="292"/>
    </row>
    <row r="213" spans="1:33" x14ac:dyDescent="0.25">
      <c r="A213" s="237" t="s">
        <v>2033</v>
      </c>
      <c r="B213" s="255" t="s">
        <v>2025</v>
      </c>
      <c r="C213" s="255" t="s">
        <v>2026</v>
      </c>
      <c r="D213" s="237" t="s">
        <v>2035</v>
      </c>
      <c r="E213" s="237" t="s">
        <v>2036</v>
      </c>
      <c r="F213" s="251"/>
      <c r="G213" s="239">
        <v>0.1</v>
      </c>
      <c r="H213" s="239"/>
      <c r="I213" s="320" t="s">
        <v>2013</v>
      </c>
      <c r="J213" s="255" t="s">
        <v>475</v>
      </c>
      <c r="K213" s="240"/>
      <c r="L213" s="240"/>
      <c r="M213" s="218"/>
      <c r="N213" s="218"/>
      <c r="O213" s="218"/>
      <c r="P213" s="218" t="s">
        <v>934</v>
      </c>
      <c r="Q213" s="218"/>
      <c r="R213" s="218"/>
      <c r="S213" s="218"/>
      <c r="U213" s="218"/>
      <c r="V213" s="328" t="s">
        <v>1696</v>
      </c>
      <c r="W213" s="278"/>
      <c r="X213" s="292"/>
      <c r="Y213" s="292"/>
      <c r="Z213" s="292"/>
    </row>
    <row r="214" spans="1:33" x14ac:dyDescent="0.25">
      <c r="A214" s="237" t="s">
        <v>2037</v>
      </c>
      <c r="B214" s="255" t="s">
        <v>2038</v>
      </c>
      <c r="C214" s="255" t="s">
        <v>2026</v>
      </c>
      <c r="D214" s="237" t="s">
        <v>2039</v>
      </c>
      <c r="E214" s="241" t="s">
        <v>2040</v>
      </c>
      <c r="F214" s="251"/>
      <c r="G214" s="239"/>
      <c r="H214" s="239"/>
      <c r="I214" s="320">
        <v>500</v>
      </c>
      <c r="J214" s="255" t="s">
        <v>446</v>
      </c>
      <c r="K214" s="240"/>
      <c r="L214" s="240"/>
      <c r="M214" s="218"/>
      <c r="N214" s="218"/>
      <c r="O214" s="218"/>
      <c r="P214" s="218"/>
      <c r="Q214" s="218"/>
      <c r="R214" s="218"/>
      <c r="S214" s="218"/>
      <c r="U214" s="218"/>
      <c r="V214" s="328" t="s">
        <v>1696</v>
      </c>
      <c r="W214" s="278"/>
      <c r="X214" s="292"/>
      <c r="Y214" s="292"/>
      <c r="Z214" s="292"/>
    </row>
    <row r="215" spans="1:33" x14ac:dyDescent="0.25">
      <c r="A215" s="237" t="s">
        <v>2041</v>
      </c>
      <c r="B215" s="255" t="s">
        <v>2025</v>
      </c>
      <c r="C215" s="255" t="s">
        <v>2026</v>
      </c>
      <c r="D215" s="237" t="s">
        <v>2042</v>
      </c>
      <c r="E215" s="237" t="s">
        <v>1570</v>
      </c>
      <c r="F215" s="251"/>
      <c r="G215" s="239"/>
      <c r="H215" s="239"/>
      <c r="I215" s="320">
        <v>10</v>
      </c>
      <c r="J215" s="255" t="s">
        <v>831</v>
      </c>
      <c r="K215" s="240"/>
      <c r="L215" s="240"/>
      <c r="M215" s="218"/>
      <c r="N215" s="218"/>
      <c r="O215" s="218"/>
      <c r="P215" s="218" t="s">
        <v>934</v>
      </c>
      <c r="Q215" s="218"/>
      <c r="R215" s="218"/>
      <c r="S215" s="218"/>
      <c r="U215" s="218"/>
      <c r="V215" s="328" t="s">
        <v>1696</v>
      </c>
      <c r="W215" s="278"/>
      <c r="X215" s="292"/>
      <c r="Y215" s="292"/>
      <c r="Z215" s="292"/>
    </row>
    <row r="216" spans="1:33" x14ac:dyDescent="0.25">
      <c r="A216" s="237" t="s">
        <v>2043</v>
      </c>
      <c r="B216" s="255" t="s">
        <v>2025</v>
      </c>
      <c r="C216" s="255" t="s">
        <v>2026</v>
      </c>
      <c r="D216" s="237" t="s">
        <v>2044</v>
      </c>
      <c r="E216" s="237" t="s">
        <v>2045</v>
      </c>
      <c r="F216" s="251"/>
      <c r="G216" s="239"/>
      <c r="H216" s="239"/>
      <c r="I216" s="320">
        <v>3</v>
      </c>
      <c r="J216" s="255" t="s">
        <v>831</v>
      </c>
      <c r="K216" s="240"/>
      <c r="L216" s="240"/>
      <c r="M216" s="218"/>
      <c r="N216" s="218"/>
      <c r="O216" s="218"/>
      <c r="P216" s="218" t="s">
        <v>934</v>
      </c>
      <c r="Q216" s="218"/>
      <c r="R216" s="218"/>
      <c r="S216" s="218"/>
      <c r="U216" s="218"/>
      <c r="V216" s="328" t="s">
        <v>1696</v>
      </c>
      <c r="W216" s="278"/>
      <c r="X216" s="292"/>
      <c r="Y216" s="292"/>
      <c r="Z216" s="292"/>
    </row>
    <row r="217" spans="1:33" x14ac:dyDescent="0.25">
      <c r="A217" s="237" t="s">
        <v>2046</v>
      </c>
      <c r="B217" s="255" t="s">
        <v>2038</v>
      </c>
      <c r="C217" s="255" t="s">
        <v>2026</v>
      </c>
      <c r="D217" s="237" t="s">
        <v>2047</v>
      </c>
      <c r="E217" s="237" t="s">
        <v>1575</v>
      </c>
      <c r="F217" s="251"/>
      <c r="G217" s="239"/>
      <c r="H217" s="239"/>
      <c r="I217" s="320">
        <v>500</v>
      </c>
      <c r="J217" s="255" t="s">
        <v>219</v>
      </c>
      <c r="K217" s="240"/>
      <c r="L217" s="240"/>
      <c r="M217" s="218"/>
      <c r="N217" s="218"/>
      <c r="O217" s="218"/>
      <c r="P217" s="218" t="s">
        <v>934</v>
      </c>
      <c r="Q217" s="218"/>
      <c r="R217" s="218"/>
      <c r="S217" s="218"/>
      <c r="U217" s="218"/>
      <c r="V217" s="328" t="s">
        <v>1696</v>
      </c>
      <c r="W217" s="278"/>
      <c r="X217" s="292"/>
      <c r="Y217" s="292"/>
      <c r="Z217" s="292"/>
    </row>
    <row r="218" spans="1:33" x14ac:dyDescent="0.25">
      <c r="A218" s="179" t="s">
        <v>2081</v>
      </c>
      <c r="B218" s="262"/>
      <c r="C218" s="262"/>
      <c r="D218" s="180"/>
      <c r="E218" s="180"/>
      <c r="F218" s="304"/>
      <c r="G218" s="184"/>
      <c r="H218" s="184"/>
      <c r="I218" s="220"/>
      <c r="J218" s="269"/>
      <c r="K218" s="180"/>
      <c r="L218" s="180"/>
      <c r="M218" s="206"/>
      <c r="N218" s="206"/>
      <c r="O218" s="206"/>
      <c r="P218" s="206"/>
      <c r="Q218" s="206"/>
      <c r="R218" s="206"/>
      <c r="S218" s="206"/>
      <c r="T218" s="206"/>
      <c r="U218" s="206"/>
      <c r="V218" s="206"/>
      <c r="W218" s="279"/>
      <c r="X218" s="269"/>
      <c r="Y218" s="269"/>
      <c r="Z218" s="269"/>
      <c r="AA218" s="269"/>
      <c r="AB218" s="269"/>
      <c r="AC218" s="269"/>
      <c r="AD218" s="269"/>
      <c r="AE218" s="269"/>
      <c r="AF218" s="269"/>
      <c r="AG218" s="269"/>
    </row>
    <row r="219" spans="1:33" x14ac:dyDescent="0.25">
      <c r="A219" s="237" t="s">
        <v>2082</v>
      </c>
      <c r="B219" s="255" t="s">
        <v>2083</v>
      </c>
      <c r="C219" s="255" t="s">
        <v>2084</v>
      </c>
      <c r="D219" s="237" t="s">
        <v>2085</v>
      </c>
      <c r="E219" s="237" t="s">
        <v>2086</v>
      </c>
      <c r="F219" s="251"/>
      <c r="G219" s="239">
        <v>9</v>
      </c>
      <c r="H219" s="239">
        <v>10</v>
      </c>
      <c r="I219" s="320">
        <v>11</v>
      </c>
      <c r="J219" s="255" t="s">
        <v>219</v>
      </c>
      <c r="K219" s="240"/>
      <c r="L219" s="240"/>
      <c r="M219" s="218"/>
      <c r="N219" s="218" t="s">
        <v>934</v>
      </c>
      <c r="O219" s="218"/>
      <c r="P219" s="218" t="s">
        <v>934</v>
      </c>
      <c r="Q219" s="218"/>
      <c r="R219" s="218"/>
      <c r="S219" s="218"/>
      <c r="U219" s="218"/>
      <c r="V219" s="185" t="s">
        <v>1698</v>
      </c>
      <c r="W219" s="278"/>
      <c r="X219" s="292"/>
      <c r="Y219" s="292"/>
      <c r="Z219" s="292"/>
    </row>
    <row r="220" spans="1:33" x14ac:dyDescent="0.25">
      <c r="A220" s="179" t="s">
        <v>248</v>
      </c>
      <c r="B220" s="262"/>
      <c r="C220" s="262"/>
      <c r="D220" s="180"/>
      <c r="E220" s="180"/>
      <c r="F220" s="304"/>
      <c r="G220" s="181"/>
      <c r="H220" s="181"/>
      <c r="I220" s="206"/>
      <c r="J220" s="269"/>
      <c r="K220" s="180"/>
      <c r="L220" s="180"/>
      <c r="M220" s="206"/>
      <c r="N220" s="206"/>
      <c r="O220" s="206"/>
      <c r="P220" s="206"/>
      <c r="Q220" s="206"/>
      <c r="R220" s="206"/>
      <c r="S220" s="206"/>
      <c r="T220" s="206"/>
      <c r="U220" s="206"/>
      <c r="V220" s="206"/>
      <c r="W220" s="279"/>
      <c r="X220" s="269"/>
      <c r="Y220" s="269"/>
      <c r="Z220" s="269"/>
      <c r="AA220" s="269"/>
      <c r="AB220" s="269"/>
      <c r="AC220" s="269"/>
      <c r="AD220" s="269"/>
      <c r="AE220" s="269"/>
      <c r="AF220" s="269"/>
      <c r="AG220" s="269"/>
    </row>
    <row r="221" spans="1:33" x14ac:dyDescent="0.25">
      <c r="A221" s="99" t="s">
        <v>249</v>
      </c>
      <c r="B221" s="249" t="s">
        <v>248</v>
      </c>
      <c r="C221" s="249" t="s">
        <v>1619</v>
      </c>
      <c r="D221" s="99" t="s">
        <v>250</v>
      </c>
      <c r="E221" s="99" t="s">
        <v>251</v>
      </c>
      <c r="F221" s="228"/>
      <c r="G221" s="102" t="s">
        <v>252</v>
      </c>
      <c r="H221" s="102" t="s">
        <v>253</v>
      </c>
      <c r="I221" s="218" t="s">
        <v>254</v>
      </c>
      <c r="J221" s="249" t="s">
        <v>591</v>
      </c>
      <c r="K221" s="107" t="s">
        <v>1366</v>
      </c>
      <c r="L221" s="107"/>
      <c r="M221" s="218"/>
      <c r="N221" s="218" t="s">
        <v>934</v>
      </c>
      <c r="O221" s="218"/>
      <c r="P221" s="218" t="s">
        <v>934</v>
      </c>
      <c r="Q221" s="218"/>
      <c r="R221" s="218"/>
      <c r="S221" s="218"/>
      <c r="T221" s="218"/>
      <c r="U221" s="218"/>
      <c r="V221" s="218" t="s">
        <v>1698</v>
      </c>
      <c r="W221" s="278"/>
      <c r="X221" s="227"/>
      <c r="Y221" s="227"/>
      <c r="Z221" s="227"/>
      <c r="AA221" s="11"/>
    </row>
    <row r="222" spans="1:33" x14ac:dyDescent="0.25">
      <c r="A222" s="99" t="s">
        <v>1043</v>
      </c>
      <c r="B222" s="249" t="s">
        <v>248</v>
      </c>
      <c r="C222" s="249" t="s">
        <v>1619</v>
      </c>
      <c r="E222" s="99"/>
      <c r="F222" s="228"/>
      <c r="G222" s="102"/>
      <c r="H222" s="102"/>
      <c r="I222" s="218"/>
      <c r="J222" s="249"/>
      <c r="K222" s="107"/>
      <c r="L222" s="107"/>
      <c r="M222" s="218"/>
      <c r="N222" s="218" t="s">
        <v>934</v>
      </c>
      <c r="O222" s="218"/>
      <c r="P222" s="218" t="s">
        <v>934</v>
      </c>
      <c r="Q222" s="218"/>
      <c r="R222" s="218"/>
      <c r="S222" s="218"/>
      <c r="T222" s="218"/>
      <c r="U222" s="218"/>
      <c r="V222" s="218" t="s">
        <v>1698</v>
      </c>
      <c r="W222" s="278"/>
      <c r="X222" s="227"/>
      <c r="Y222" s="227"/>
      <c r="Z222" s="227"/>
      <c r="AA222" s="11"/>
    </row>
    <row r="223" spans="1:33" x14ac:dyDescent="0.25">
      <c r="A223" s="99" t="s">
        <v>1064</v>
      </c>
      <c r="B223" s="249" t="s">
        <v>248</v>
      </c>
      <c r="C223" s="249" t="s">
        <v>1619</v>
      </c>
      <c r="D223" s="99" t="s">
        <v>1065</v>
      </c>
      <c r="E223" s="99"/>
      <c r="F223" s="228"/>
      <c r="G223" s="122">
        <f>0.99*H223</f>
        <v>1.1879999999999999</v>
      </c>
      <c r="H223" s="102">
        <v>1.2</v>
      </c>
      <c r="I223" s="297">
        <f>H223*1.01</f>
        <v>1.212</v>
      </c>
      <c r="J223" s="249" t="s">
        <v>475</v>
      </c>
      <c r="K223" s="107"/>
      <c r="L223" s="107"/>
      <c r="M223" s="218"/>
      <c r="N223" s="218" t="s">
        <v>934</v>
      </c>
      <c r="O223" s="218"/>
      <c r="P223" s="218" t="s">
        <v>934</v>
      </c>
      <c r="Q223" s="218"/>
      <c r="R223" s="218"/>
      <c r="S223" s="218"/>
      <c r="T223" s="218"/>
      <c r="U223" s="218"/>
      <c r="V223" s="218" t="s">
        <v>1698</v>
      </c>
      <c r="W223" s="278"/>
      <c r="X223" s="227"/>
      <c r="Y223" s="227"/>
      <c r="Z223" s="227"/>
      <c r="AA223" s="11"/>
    </row>
    <row r="224" spans="1:33" x14ac:dyDescent="0.25">
      <c r="A224" s="372" t="s">
        <v>1589</v>
      </c>
      <c r="B224" s="373"/>
      <c r="C224" s="373"/>
      <c r="D224" s="373"/>
      <c r="E224" s="374"/>
      <c r="F224" s="309"/>
      <c r="G224" s="186"/>
      <c r="H224" s="186"/>
      <c r="I224" s="186"/>
      <c r="J224" s="273"/>
      <c r="K224" s="186"/>
      <c r="L224" s="186"/>
      <c r="M224" s="186"/>
      <c r="N224" s="186"/>
      <c r="O224" s="186"/>
      <c r="P224" s="186"/>
      <c r="Q224" s="186"/>
      <c r="R224" s="186"/>
      <c r="S224" s="186"/>
      <c r="T224" s="186"/>
      <c r="U224" s="186"/>
      <c r="V224" s="186"/>
      <c r="W224" s="279"/>
      <c r="X224" s="269"/>
      <c r="Y224" s="269"/>
      <c r="Z224" s="269"/>
      <c r="AA224" s="269"/>
      <c r="AB224" s="269"/>
      <c r="AC224" s="269"/>
      <c r="AD224" s="269"/>
      <c r="AE224" s="269"/>
      <c r="AF224" s="269"/>
      <c r="AG224" s="269"/>
    </row>
    <row r="225" spans="1:33" ht="34.5" x14ac:dyDescent="0.25">
      <c r="A225" s="243" t="s">
        <v>1590</v>
      </c>
      <c r="B225" s="259" t="s">
        <v>1589</v>
      </c>
      <c r="C225" s="259" t="s">
        <v>43</v>
      </c>
      <c r="D225" s="111" t="s">
        <v>1591</v>
      </c>
      <c r="E225" s="127" t="s">
        <v>1592</v>
      </c>
      <c r="F225" s="109"/>
      <c r="G225" s="105"/>
      <c r="H225" s="105" t="s">
        <v>1593</v>
      </c>
      <c r="I225" s="105"/>
      <c r="J225" s="274" t="s">
        <v>449</v>
      </c>
      <c r="K225" s="128" t="s">
        <v>2014</v>
      </c>
      <c r="L225" s="128"/>
      <c r="M225" s="218"/>
      <c r="N225" s="218" t="s">
        <v>934</v>
      </c>
      <c r="O225" s="218"/>
      <c r="P225" s="218" t="s">
        <v>934</v>
      </c>
      <c r="Q225" s="218"/>
      <c r="R225" s="218"/>
      <c r="S225" s="218"/>
      <c r="T225" s="218"/>
      <c r="U225" s="218"/>
      <c r="V225" s="218" t="s">
        <v>1698</v>
      </c>
      <c r="W225" s="280"/>
    </row>
    <row r="226" spans="1:33" x14ac:dyDescent="0.25">
      <c r="A226" s="243" t="s">
        <v>1594</v>
      </c>
      <c r="B226" s="259" t="s">
        <v>1589</v>
      </c>
      <c r="C226" s="259" t="s">
        <v>43</v>
      </c>
      <c r="D226" s="111" t="s">
        <v>1595</v>
      </c>
      <c r="E226" s="127" t="s">
        <v>1596</v>
      </c>
      <c r="F226" s="109"/>
      <c r="G226" s="105"/>
      <c r="H226" s="105" t="s">
        <v>97</v>
      </c>
      <c r="I226" s="105"/>
      <c r="J226" s="249"/>
      <c r="K226" s="99" t="s">
        <v>1597</v>
      </c>
      <c r="L226" s="99"/>
      <c r="M226" s="218"/>
      <c r="N226" s="218" t="s">
        <v>934</v>
      </c>
      <c r="O226" s="218"/>
      <c r="P226" s="218" t="s">
        <v>934</v>
      </c>
      <c r="Q226" s="218"/>
      <c r="R226" s="218"/>
      <c r="S226" s="218"/>
      <c r="T226" s="218"/>
      <c r="U226" s="218"/>
      <c r="V226" s="218" t="s">
        <v>1696</v>
      </c>
      <c r="W226" s="280"/>
    </row>
    <row r="227" spans="1:33" x14ac:dyDescent="0.25">
      <c r="A227" s="369" t="s">
        <v>260</v>
      </c>
      <c r="B227" s="370"/>
      <c r="C227" s="370"/>
      <c r="D227" s="370"/>
      <c r="E227" s="370"/>
      <c r="F227" s="370"/>
      <c r="G227" s="370"/>
      <c r="H227" s="370"/>
      <c r="I227" s="370"/>
      <c r="J227" s="370"/>
      <c r="K227" s="371"/>
      <c r="L227" s="194"/>
      <c r="M227" s="209"/>
      <c r="N227" s="209"/>
      <c r="O227" s="209"/>
      <c r="P227" s="209"/>
      <c r="Q227" s="209"/>
      <c r="R227" s="209"/>
      <c r="S227" s="209"/>
      <c r="T227" s="209"/>
      <c r="U227" s="209"/>
      <c r="V227" s="209"/>
      <c r="W227" s="223"/>
      <c r="X227" s="264"/>
      <c r="Y227" s="264"/>
      <c r="Z227" s="264"/>
      <c r="AA227" s="264"/>
      <c r="AB227" s="264"/>
      <c r="AC227" s="264"/>
      <c r="AD227" s="264"/>
      <c r="AE227" s="264"/>
      <c r="AF227" s="264"/>
      <c r="AG227" s="264"/>
    </row>
    <row r="228" spans="1:33" x14ac:dyDescent="0.25">
      <c r="A228" s="372" t="s">
        <v>981</v>
      </c>
      <c r="B228" s="373"/>
      <c r="C228" s="373"/>
      <c r="D228" s="373"/>
      <c r="E228" s="374"/>
      <c r="F228" s="309"/>
      <c r="G228" s="186"/>
      <c r="H228" s="186"/>
      <c r="I228" s="186"/>
      <c r="J228" s="273"/>
      <c r="K228" s="186"/>
      <c r="L228" s="186"/>
      <c r="M228" s="186"/>
      <c r="N228" s="186"/>
      <c r="O228" s="186"/>
      <c r="P228" s="186"/>
      <c r="Q228" s="186"/>
      <c r="R228" s="186"/>
      <c r="S228" s="186"/>
      <c r="T228" s="186"/>
      <c r="U228" s="186"/>
      <c r="V228" s="186"/>
      <c r="W228" s="279"/>
      <c r="X228" s="269"/>
      <c r="Y228" s="269"/>
      <c r="Z228" s="269"/>
      <c r="AA228" s="269"/>
      <c r="AB228" s="269"/>
      <c r="AC228" s="269"/>
      <c r="AD228" s="269"/>
      <c r="AE228" s="269"/>
      <c r="AF228" s="269"/>
      <c r="AG228" s="269"/>
    </row>
    <row r="229" spans="1:33" ht="14.5" x14ac:dyDescent="0.35">
      <c r="A229" s="243" t="s">
        <v>1067</v>
      </c>
      <c r="B229" s="259" t="s">
        <v>981</v>
      </c>
      <c r="C229" s="259" t="s">
        <v>43</v>
      </c>
      <c r="D229" s="111" t="s">
        <v>1627</v>
      </c>
      <c r="E229" s="127" t="s">
        <v>1066</v>
      </c>
      <c r="F229" s="109"/>
      <c r="G229" s="105"/>
      <c r="H229" s="105"/>
      <c r="I229" s="105">
        <v>6100</v>
      </c>
      <c r="J229" s="249" t="s">
        <v>849</v>
      </c>
      <c r="K229" s="99" t="s">
        <v>982</v>
      </c>
      <c r="L229" s="99"/>
      <c r="M229" s="218"/>
      <c r="N229" s="218" t="s">
        <v>934</v>
      </c>
      <c r="O229" s="218"/>
      <c r="P229" s="218" t="s">
        <v>934</v>
      </c>
      <c r="Q229" s="218"/>
      <c r="R229" s="218"/>
      <c r="S229" s="218"/>
      <c r="T229" s="218"/>
      <c r="U229" s="218"/>
      <c r="V229" s="218" t="s">
        <v>1698</v>
      </c>
      <c r="W229" s="288"/>
    </row>
    <row r="230" spans="1:33" ht="14.5" x14ac:dyDescent="0.35">
      <c r="A230" s="243" t="s">
        <v>1433</v>
      </c>
      <c r="B230" s="259" t="s">
        <v>981</v>
      </c>
      <c r="C230" s="259" t="s">
        <v>43</v>
      </c>
      <c r="D230" s="111" t="s">
        <v>1627</v>
      </c>
      <c r="E230" s="127" t="s">
        <v>1880</v>
      </c>
      <c r="F230" s="109"/>
      <c r="G230" s="105"/>
      <c r="H230" s="105"/>
      <c r="I230" s="105">
        <v>7000</v>
      </c>
      <c r="J230" s="249" t="s">
        <v>849</v>
      </c>
      <c r="K230" s="99" t="s">
        <v>982</v>
      </c>
      <c r="L230" s="99"/>
      <c r="M230" s="218"/>
      <c r="N230" s="218" t="s">
        <v>934</v>
      </c>
      <c r="O230" s="218"/>
      <c r="P230" s="218" t="s">
        <v>934</v>
      </c>
      <c r="Q230" s="218"/>
      <c r="R230" s="218"/>
      <c r="S230" s="218"/>
      <c r="T230" s="218"/>
      <c r="U230" s="218"/>
      <c r="V230" s="218" t="s">
        <v>1696</v>
      </c>
      <c r="W230" s="126"/>
    </row>
    <row r="231" spans="1:33" x14ac:dyDescent="0.25">
      <c r="A231" s="243" t="s">
        <v>983</v>
      </c>
      <c r="B231" s="259" t="s">
        <v>981</v>
      </c>
      <c r="C231" s="259" t="s">
        <v>43</v>
      </c>
      <c r="D231" s="111" t="s">
        <v>984</v>
      </c>
      <c r="E231" s="127" t="s">
        <v>1882</v>
      </c>
      <c r="F231" s="109"/>
      <c r="G231" s="105"/>
      <c r="H231" s="105"/>
      <c r="I231" s="105">
        <v>200</v>
      </c>
      <c r="J231" s="275" t="s">
        <v>529</v>
      </c>
      <c r="K231" s="3" t="s">
        <v>1881</v>
      </c>
      <c r="L231" s="3"/>
      <c r="M231" s="218"/>
      <c r="N231" s="218" t="s">
        <v>934</v>
      </c>
      <c r="O231" s="218"/>
      <c r="P231" s="218" t="s">
        <v>934</v>
      </c>
      <c r="Q231" s="218"/>
      <c r="R231" s="218"/>
      <c r="S231" s="218"/>
      <c r="T231" s="218"/>
      <c r="U231" s="218"/>
      <c r="V231" s="218" t="s">
        <v>1696</v>
      </c>
      <c r="W231" s="282"/>
    </row>
    <row r="232" spans="1:33" ht="23" x14ac:dyDescent="0.25">
      <c r="A232" s="243" t="s">
        <v>985</v>
      </c>
      <c r="B232" s="259" t="s">
        <v>981</v>
      </c>
      <c r="C232" s="259" t="s">
        <v>43</v>
      </c>
      <c r="D232" s="104" t="s">
        <v>262</v>
      </c>
      <c r="E232" s="3" t="s">
        <v>986</v>
      </c>
      <c r="F232" s="250"/>
      <c r="G232" s="105" t="s">
        <v>987</v>
      </c>
      <c r="H232" s="105"/>
      <c r="I232" s="105"/>
      <c r="J232" s="275" t="s">
        <v>446</v>
      </c>
      <c r="K232" s="3" t="s">
        <v>988</v>
      </c>
      <c r="L232" s="3"/>
      <c r="M232" s="218"/>
      <c r="N232" s="218" t="s">
        <v>934</v>
      </c>
      <c r="O232" s="218"/>
      <c r="P232" s="218" t="s">
        <v>934</v>
      </c>
      <c r="Q232" s="218"/>
      <c r="R232" s="218"/>
      <c r="S232" s="218"/>
      <c r="T232" s="218"/>
      <c r="U232" s="218"/>
      <c r="V232" s="218" t="s">
        <v>1698</v>
      </c>
      <c r="W232" s="282"/>
    </row>
    <row r="233" spans="1:33" ht="23" x14ac:dyDescent="0.25">
      <c r="A233" s="243" t="s">
        <v>989</v>
      </c>
      <c r="B233" s="259" t="s">
        <v>981</v>
      </c>
      <c r="C233" s="259" t="s">
        <v>43</v>
      </c>
      <c r="D233" s="104" t="s">
        <v>261</v>
      </c>
      <c r="E233" s="3" t="s">
        <v>990</v>
      </c>
      <c r="F233" s="250"/>
      <c r="G233" s="105" t="s">
        <v>1193</v>
      </c>
      <c r="H233" s="105"/>
      <c r="I233" s="105"/>
      <c r="J233" s="275" t="s">
        <v>446</v>
      </c>
      <c r="K233" s="3" t="s">
        <v>991</v>
      </c>
      <c r="L233" s="3"/>
      <c r="M233" s="218"/>
      <c r="N233" s="218" t="s">
        <v>934</v>
      </c>
      <c r="O233" s="218"/>
      <c r="P233" s="218" t="s">
        <v>934</v>
      </c>
      <c r="Q233" s="218"/>
      <c r="R233" s="218"/>
      <c r="S233" s="218"/>
      <c r="T233" s="218"/>
      <c r="U233" s="218"/>
      <c r="V233" s="218" t="s">
        <v>1698</v>
      </c>
      <c r="W233" s="126"/>
    </row>
    <row r="234" spans="1:33" x14ac:dyDescent="0.25">
      <c r="A234" s="243" t="s">
        <v>992</v>
      </c>
      <c r="B234" s="259" t="s">
        <v>981</v>
      </c>
      <c r="C234" s="259" t="s">
        <v>43</v>
      </c>
      <c r="D234" s="104" t="s">
        <v>993</v>
      </c>
      <c r="E234" s="3" t="s">
        <v>994</v>
      </c>
      <c r="F234" s="250"/>
      <c r="G234" s="105" t="s">
        <v>995</v>
      </c>
      <c r="H234" s="105"/>
      <c r="I234" s="105"/>
      <c r="J234" s="275" t="s">
        <v>446</v>
      </c>
      <c r="K234" s="3" t="s">
        <v>996</v>
      </c>
      <c r="L234" s="3"/>
      <c r="M234" s="218"/>
      <c r="N234" s="218" t="s">
        <v>934</v>
      </c>
      <c r="O234" s="218"/>
      <c r="P234" s="218" t="s">
        <v>934</v>
      </c>
      <c r="Q234" s="218"/>
      <c r="R234" s="218"/>
      <c r="S234" s="218"/>
      <c r="T234" s="218"/>
      <c r="U234" s="218"/>
      <c r="V234" s="218" t="s">
        <v>1698</v>
      </c>
      <c r="W234" s="126"/>
    </row>
    <row r="235" spans="1:33" x14ac:dyDescent="0.25">
      <c r="A235" s="243" t="s">
        <v>997</v>
      </c>
      <c r="B235" s="259" t="s">
        <v>981</v>
      </c>
      <c r="C235" s="259" t="s">
        <v>43</v>
      </c>
      <c r="D235" s="104" t="s">
        <v>998</v>
      </c>
      <c r="E235" s="3" t="s">
        <v>999</v>
      </c>
      <c r="F235" s="250"/>
      <c r="G235" s="105" t="s">
        <v>995</v>
      </c>
      <c r="H235" s="105"/>
      <c r="I235" s="105"/>
      <c r="J235" s="275" t="s">
        <v>446</v>
      </c>
      <c r="K235" s="3" t="s">
        <v>1000</v>
      </c>
      <c r="L235" s="3"/>
      <c r="M235" s="218"/>
      <c r="N235" s="218" t="s">
        <v>934</v>
      </c>
      <c r="O235" s="218"/>
      <c r="P235" s="218" t="s">
        <v>934</v>
      </c>
      <c r="Q235" s="218"/>
      <c r="R235" s="218"/>
      <c r="S235" s="218"/>
      <c r="T235" s="218"/>
      <c r="U235" s="218"/>
      <c r="V235" s="218" t="s">
        <v>1698</v>
      </c>
      <c r="W235" s="126"/>
    </row>
    <row r="236" spans="1:33" ht="23" x14ac:dyDescent="0.25">
      <c r="A236" s="243" t="s">
        <v>1001</v>
      </c>
      <c r="B236" s="259" t="s">
        <v>981</v>
      </c>
      <c r="C236" s="259" t="s">
        <v>43</v>
      </c>
      <c r="D236" s="104" t="s">
        <v>1002</v>
      </c>
      <c r="E236" s="3" t="s">
        <v>1003</v>
      </c>
      <c r="F236" s="250"/>
      <c r="G236" s="105" t="s">
        <v>987</v>
      </c>
      <c r="H236" s="105"/>
      <c r="I236" s="105"/>
      <c r="J236" s="275" t="s">
        <v>446</v>
      </c>
      <c r="K236" s="3" t="s">
        <v>1200</v>
      </c>
      <c r="L236" s="3"/>
      <c r="M236" s="218"/>
      <c r="N236" s="218" t="s">
        <v>934</v>
      </c>
      <c r="O236" s="218"/>
      <c r="P236" s="218" t="s">
        <v>934</v>
      </c>
      <c r="Q236" s="218"/>
      <c r="R236" s="218"/>
      <c r="S236" s="218"/>
      <c r="T236" s="218"/>
      <c r="U236" s="218"/>
      <c r="V236" s="218" t="s">
        <v>1698</v>
      </c>
      <c r="W236" s="126"/>
    </row>
    <row r="237" spans="1:33" x14ac:dyDescent="0.25">
      <c r="A237" s="372" t="s">
        <v>263</v>
      </c>
      <c r="B237" s="373"/>
      <c r="C237" s="373"/>
      <c r="D237" s="374"/>
      <c r="E237" s="180"/>
      <c r="F237" s="304"/>
      <c r="G237" s="181"/>
      <c r="H237" s="181"/>
      <c r="I237" s="206"/>
      <c r="J237" s="269"/>
      <c r="K237" s="180"/>
      <c r="L237" s="180"/>
      <c r="M237" s="206"/>
      <c r="N237" s="206"/>
      <c r="O237" s="206"/>
      <c r="P237" s="206"/>
      <c r="Q237" s="206"/>
      <c r="R237" s="206"/>
      <c r="S237" s="206"/>
      <c r="T237" s="206"/>
      <c r="U237" s="206"/>
      <c r="V237" s="206"/>
      <c r="W237" s="279"/>
      <c r="X237" s="269"/>
      <c r="Y237" s="269"/>
      <c r="Z237" s="269"/>
      <c r="AA237" s="269"/>
      <c r="AB237" s="269"/>
      <c r="AC237" s="269"/>
      <c r="AD237" s="269"/>
      <c r="AE237" s="269"/>
      <c r="AF237" s="269"/>
      <c r="AG237" s="269"/>
    </row>
    <row r="238" spans="1:33" x14ac:dyDescent="0.25">
      <c r="A238" s="99" t="s">
        <v>264</v>
      </c>
      <c r="B238" s="249" t="s">
        <v>1628</v>
      </c>
      <c r="C238" s="249" t="s">
        <v>1476</v>
      </c>
      <c r="D238" s="99" t="s">
        <v>265</v>
      </c>
      <c r="E238" s="99" t="s">
        <v>266</v>
      </c>
      <c r="F238" s="228"/>
      <c r="G238" s="102" t="s">
        <v>108</v>
      </c>
      <c r="H238" s="102" t="s">
        <v>108</v>
      </c>
      <c r="I238" s="218">
        <v>30</v>
      </c>
      <c r="J238" s="249" t="s">
        <v>849</v>
      </c>
      <c r="K238" s="99"/>
      <c r="L238" s="99"/>
      <c r="M238" s="218"/>
      <c r="N238" s="218" t="s">
        <v>934</v>
      </c>
      <c r="O238" s="218"/>
      <c r="P238" s="218" t="s">
        <v>934</v>
      </c>
      <c r="Q238" s="218"/>
      <c r="R238" s="218"/>
      <c r="S238" s="218"/>
      <c r="T238" s="218"/>
      <c r="U238" s="218"/>
      <c r="V238" s="218" t="s">
        <v>1698</v>
      </c>
      <c r="W238" s="126"/>
    </row>
    <row r="239" spans="1:33" x14ac:dyDescent="0.25">
      <c r="A239" s="99" t="s">
        <v>267</v>
      </c>
      <c r="B239" s="249" t="s">
        <v>1628</v>
      </c>
      <c r="C239" s="249" t="s">
        <v>1476</v>
      </c>
      <c r="D239" s="99" t="s">
        <v>268</v>
      </c>
      <c r="E239" s="99" t="s">
        <v>269</v>
      </c>
      <c r="F239" s="228"/>
      <c r="G239" s="102" t="s">
        <v>108</v>
      </c>
      <c r="H239" s="102" t="s">
        <v>108</v>
      </c>
      <c r="I239" s="218">
        <v>80</v>
      </c>
      <c r="J239" s="249" t="s">
        <v>849</v>
      </c>
      <c r="K239" s="99"/>
      <c r="L239" s="99"/>
      <c r="M239" s="218"/>
      <c r="N239" s="218" t="s">
        <v>934</v>
      </c>
      <c r="O239" s="218"/>
      <c r="P239" s="218" t="s">
        <v>934</v>
      </c>
      <c r="Q239" s="218"/>
      <c r="R239" s="218"/>
      <c r="S239" s="218"/>
      <c r="T239" s="218"/>
      <c r="U239" s="218"/>
      <c r="V239" s="218" t="s">
        <v>1698</v>
      </c>
      <c r="W239" s="126"/>
    </row>
    <row r="240" spans="1:33" x14ac:dyDescent="0.25">
      <c r="A240" s="99" t="s">
        <v>270</v>
      </c>
      <c r="B240" s="249" t="s">
        <v>1628</v>
      </c>
      <c r="C240" s="249" t="s">
        <v>1476</v>
      </c>
      <c r="D240" s="99" t="s">
        <v>271</v>
      </c>
      <c r="E240" s="99" t="s">
        <v>272</v>
      </c>
      <c r="F240" s="228"/>
      <c r="G240" s="102" t="s">
        <v>108</v>
      </c>
      <c r="H240" s="102" t="s">
        <v>108</v>
      </c>
      <c r="I240" s="218">
        <v>180</v>
      </c>
      <c r="J240" s="249" t="s">
        <v>849</v>
      </c>
      <c r="K240" s="99"/>
      <c r="L240" s="99"/>
      <c r="M240" s="218"/>
      <c r="N240" s="218" t="s">
        <v>934</v>
      </c>
      <c r="O240" s="218"/>
      <c r="P240" s="218" t="s">
        <v>934</v>
      </c>
      <c r="Q240" s="218"/>
      <c r="R240" s="218"/>
      <c r="S240" s="218"/>
      <c r="T240" s="218"/>
      <c r="U240" s="218"/>
      <c r="V240" s="218" t="s">
        <v>1696</v>
      </c>
      <c r="W240" s="126"/>
    </row>
    <row r="241" spans="1:33" x14ac:dyDescent="0.25">
      <c r="A241" s="99" t="s">
        <v>273</v>
      </c>
      <c r="B241" s="249" t="s">
        <v>1628</v>
      </c>
      <c r="C241" s="249" t="s">
        <v>1476</v>
      </c>
      <c r="D241" s="99" t="s">
        <v>274</v>
      </c>
      <c r="E241" s="99" t="s">
        <v>275</v>
      </c>
      <c r="F241" s="228"/>
      <c r="G241" s="102" t="s">
        <v>108</v>
      </c>
      <c r="H241" s="102" t="s">
        <v>108</v>
      </c>
      <c r="I241" s="218">
        <v>1.7</v>
      </c>
      <c r="J241" s="249" t="s">
        <v>849</v>
      </c>
      <c r="K241" s="99" t="s">
        <v>1256</v>
      </c>
      <c r="L241" s="99"/>
      <c r="M241" s="218"/>
      <c r="N241" s="218" t="s">
        <v>934</v>
      </c>
      <c r="O241" s="218"/>
      <c r="P241" s="218" t="s">
        <v>934</v>
      </c>
      <c r="Q241" s="218"/>
      <c r="R241" s="218"/>
      <c r="S241" s="218"/>
      <c r="T241" s="218"/>
      <c r="U241" s="218"/>
      <c r="V241" s="218" t="s">
        <v>1698</v>
      </c>
      <c r="W241" s="126"/>
    </row>
    <row r="242" spans="1:33" x14ac:dyDescent="0.25">
      <c r="A242" s="372" t="s">
        <v>276</v>
      </c>
      <c r="B242" s="373"/>
      <c r="C242" s="373"/>
      <c r="D242" s="374"/>
      <c r="E242" s="180"/>
      <c r="F242" s="304"/>
      <c r="G242" s="181"/>
      <c r="H242" s="181"/>
      <c r="I242" s="206"/>
      <c r="J242" s="269"/>
      <c r="K242" s="180"/>
      <c r="L242" s="180"/>
      <c r="M242" s="206"/>
      <c r="N242" s="206"/>
      <c r="O242" s="206"/>
      <c r="P242" s="206"/>
      <c r="Q242" s="206"/>
      <c r="R242" s="206"/>
      <c r="S242" s="206"/>
      <c r="T242" s="206"/>
      <c r="U242" s="206"/>
      <c r="V242" s="206"/>
      <c r="W242" s="279"/>
      <c r="X242" s="269"/>
      <c r="Y242" s="269"/>
      <c r="Z242" s="269"/>
      <c r="AA242" s="269"/>
      <c r="AB242" s="269"/>
      <c r="AC242" s="269"/>
      <c r="AD242" s="269"/>
      <c r="AE242" s="269"/>
      <c r="AF242" s="269"/>
      <c r="AG242" s="269"/>
    </row>
    <row r="243" spans="1:33" x14ac:dyDescent="0.25">
      <c r="A243" s="99" t="s">
        <v>277</v>
      </c>
      <c r="B243" s="249" t="s">
        <v>1629</v>
      </c>
      <c r="C243" s="249" t="s">
        <v>1476</v>
      </c>
      <c r="D243" s="99" t="s">
        <v>278</v>
      </c>
      <c r="E243" s="99" t="s">
        <v>279</v>
      </c>
      <c r="F243" s="228"/>
      <c r="G243" s="102" t="s">
        <v>108</v>
      </c>
      <c r="H243" s="102" t="s">
        <v>108</v>
      </c>
      <c r="I243" s="266">
        <v>1</v>
      </c>
      <c r="J243" s="249" t="s">
        <v>280</v>
      </c>
      <c r="K243" s="99"/>
      <c r="L243" s="99"/>
      <c r="M243" s="111"/>
      <c r="N243" s="111" t="s">
        <v>934</v>
      </c>
      <c r="O243" s="111"/>
      <c r="P243" s="328" t="s">
        <v>934</v>
      </c>
      <c r="Q243" s="111"/>
      <c r="R243" s="111"/>
      <c r="S243" s="321"/>
      <c r="T243" s="321"/>
      <c r="U243" s="321"/>
      <c r="V243" s="328" t="s">
        <v>1698</v>
      </c>
      <c r="W243" s="126"/>
    </row>
    <row r="244" spans="1:33" x14ac:dyDescent="0.25">
      <c r="A244" s="372" t="s">
        <v>281</v>
      </c>
      <c r="B244" s="373"/>
      <c r="C244" s="373"/>
      <c r="D244" s="373"/>
      <c r="E244" s="374"/>
      <c r="F244" s="309"/>
      <c r="G244" s="181"/>
      <c r="H244" s="181"/>
      <c r="I244" s="206"/>
      <c r="J244" s="269"/>
      <c r="K244" s="180"/>
      <c r="L244" s="180"/>
      <c r="M244" s="206"/>
      <c r="N244" s="206"/>
      <c r="O244" s="206"/>
      <c r="P244" s="206"/>
      <c r="Q244" s="206"/>
      <c r="R244" s="206"/>
      <c r="S244" s="206"/>
      <c r="T244" s="206"/>
      <c r="U244" s="206"/>
      <c r="V244" s="206"/>
      <c r="W244" s="279"/>
      <c r="X244" s="269"/>
      <c r="Y244" s="269"/>
      <c r="Z244" s="269"/>
      <c r="AA244" s="269"/>
      <c r="AB244" s="269"/>
      <c r="AC244" s="269"/>
      <c r="AD244" s="269"/>
      <c r="AE244" s="269"/>
      <c r="AF244" s="269"/>
      <c r="AG244" s="269"/>
    </row>
    <row r="245" spans="1:33" x14ac:dyDescent="0.25">
      <c r="A245" s="99" t="s">
        <v>282</v>
      </c>
      <c r="B245" s="249" t="s">
        <v>1630</v>
      </c>
      <c r="C245" s="249" t="s">
        <v>1392</v>
      </c>
      <c r="D245" s="99" t="s">
        <v>283</v>
      </c>
      <c r="E245" s="99" t="s">
        <v>284</v>
      </c>
      <c r="F245" s="228"/>
      <c r="G245" s="102" t="s">
        <v>108</v>
      </c>
      <c r="H245" s="102" t="s">
        <v>108</v>
      </c>
      <c r="I245" s="218">
        <v>30</v>
      </c>
      <c r="J245" s="249" t="s">
        <v>849</v>
      </c>
      <c r="K245" s="99"/>
      <c r="L245" s="99"/>
      <c r="M245" s="111"/>
      <c r="N245" s="111" t="s">
        <v>934</v>
      </c>
      <c r="O245" s="111"/>
      <c r="P245" s="328" t="s">
        <v>934</v>
      </c>
      <c r="Q245" s="111"/>
      <c r="R245" s="111"/>
      <c r="S245" s="321"/>
      <c r="T245" s="321"/>
      <c r="U245" s="321"/>
      <c r="V245" s="328" t="s">
        <v>1698</v>
      </c>
      <c r="W245" s="126"/>
    </row>
    <row r="246" spans="1:33" x14ac:dyDescent="0.25">
      <c r="A246" s="99" t="s">
        <v>285</v>
      </c>
      <c r="B246" s="249" t="s">
        <v>1630</v>
      </c>
      <c r="C246" s="249" t="s">
        <v>1392</v>
      </c>
      <c r="D246" s="99" t="s">
        <v>286</v>
      </c>
      <c r="E246" s="99" t="s">
        <v>287</v>
      </c>
      <c r="F246" s="228"/>
      <c r="G246" s="102" t="s">
        <v>108</v>
      </c>
      <c r="H246" s="102" t="s">
        <v>108</v>
      </c>
      <c r="I246" s="218">
        <v>180</v>
      </c>
      <c r="J246" s="249" t="s">
        <v>849</v>
      </c>
      <c r="K246" s="99"/>
      <c r="L246" s="99"/>
      <c r="M246" s="111"/>
      <c r="N246" s="111" t="s">
        <v>934</v>
      </c>
      <c r="O246" s="111"/>
      <c r="P246" s="328" t="s">
        <v>934</v>
      </c>
      <c r="Q246" s="111"/>
      <c r="R246" s="111"/>
      <c r="S246" s="321"/>
      <c r="T246" s="321"/>
      <c r="U246" s="321"/>
      <c r="V246" s="328" t="s">
        <v>1696</v>
      </c>
      <c r="W246" s="126"/>
    </row>
    <row r="247" spans="1:33" x14ac:dyDescent="0.25">
      <c r="A247" s="372" t="s">
        <v>288</v>
      </c>
      <c r="B247" s="373"/>
      <c r="C247" s="373"/>
      <c r="D247" s="373"/>
      <c r="E247" s="180"/>
      <c r="F247" s="304"/>
      <c r="G247" s="181"/>
      <c r="H247" s="181"/>
      <c r="I247" s="206"/>
      <c r="J247" s="269"/>
      <c r="K247" s="180"/>
      <c r="L247" s="180"/>
      <c r="M247" s="206"/>
      <c r="N247" s="206"/>
      <c r="O247" s="206"/>
      <c r="P247" s="206"/>
      <c r="Q247" s="206"/>
      <c r="R247" s="206"/>
      <c r="S247" s="206"/>
      <c r="T247" s="206"/>
      <c r="U247" s="206"/>
      <c r="V247" s="206"/>
      <c r="W247" s="279"/>
      <c r="X247" s="269"/>
      <c r="Y247" s="269"/>
      <c r="Z247" s="269"/>
      <c r="AA247" s="269"/>
      <c r="AB247" s="269"/>
      <c r="AC247" s="269"/>
      <c r="AD247" s="269"/>
      <c r="AE247" s="269"/>
      <c r="AF247" s="269"/>
      <c r="AG247" s="269"/>
    </row>
    <row r="248" spans="1:33" x14ac:dyDescent="0.25">
      <c r="A248" s="99" t="s">
        <v>1269</v>
      </c>
      <c r="B248" s="249" t="s">
        <v>1631</v>
      </c>
      <c r="C248" s="249" t="s">
        <v>1392</v>
      </c>
      <c r="D248" s="99" t="s">
        <v>1270</v>
      </c>
      <c r="E248" s="99" t="s">
        <v>279</v>
      </c>
      <c r="F248" s="228"/>
      <c r="G248" s="101"/>
      <c r="H248" s="101"/>
      <c r="I248" s="266">
        <v>3</v>
      </c>
      <c r="J248" s="249" t="s">
        <v>280</v>
      </c>
      <c r="K248" s="99" t="s">
        <v>1271</v>
      </c>
      <c r="L248" s="99"/>
      <c r="M248" s="111"/>
      <c r="N248" s="111" t="s">
        <v>934</v>
      </c>
      <c r="O248" s="111"/>
      <c r="P248" s="328" t="s">
        <v>934</v>
      </c>
      <c r="Q248" s="111"/>
      <c r="R248" s="111"/>
      <c r="S248" s="321"/>
      <c r="T248" s="321"/>
      <c r="U248" s="321"/>
      <c r="V248" s="328" t="s">
        <v>1698</v>
      </c>
      <c r="W248" s="126"/>
    </row>
    <row r="249" spans="1:33" x14ac:dyDescent="0.25">
      <c r="A249" s="99" t="s">
        <v>1272</v>
      </c>
      <c r="B249" s="249" t="s">
        <v>1631</v>
      </c>
      <c r="C249" s="249" t="s">
        <v>1392</v>
      </c>
      <c r="D249" s="99" t="s">
        <v>1273</v>
      </c>
      <c r="E249" s="99" t="s">
        <v>279</v>
      </c>
      <c r="F249" s="228"/>
      <c r="G249" s="101"/>
      <c r="H249" s="101"/>
      <c r="I249" s="266">
        <v>8</v>
      </c>
      <c r="J249" s="249" t="s">
        <v>280</v>
      </c>
      <c r="K249" s="99" t="s">
        <v>1274</v>
      </c>
      <c r="L249" s="99"/>
      <c r="M249" s="111"/>
      <c r="N249" s="111" t="s">
        <v>934</v>
      </c>
      <c r="O249" s="111"/>
      <c r="P249" s="328" t="s">
        <v>934</v>
      </c>
      <c r="Q249" s="111"/>
      <c r="R249" s="111"/>
      <c r="S249" s="321"/>
      <c r="T249" s="321"/>
      <c r="U249" s="321"/>
      <c r="V249" s="328" t="s">
        <v>1698</v>
      </c>
      <c r="W249" s="126"/>
    </row>
    <row r="250" spans="1:33" x14ac:dyDescent="0.25">
      <c r="A250" s="372" t="s">
        <v>289</v>
      </c>
      <c r="B250" s="373"/>
      <c r="C250" s="373"/>
      <c r="D250" s="373"/>
      <c r="E250" s="180"/>
      <c r="F250" s="304"/>
      <c r="G250" s="181"/>
      <c r="H250" s="181"/>
      <c r="I250" s="206"/>
      <c r="J250" s="269"/>
      <c r="K250" s="180"/>
      <c r="L250" s="180"/>
      <c r="M250" s="206"/>
      <c r="N250" s="206"/>
      <c r="O250" s="206"/>
      <c r="P250" s="206"/>
      <c r="Q250" s="206"/>
      <c r="R250" s="206"/>
      <c r="S250" s="206"/>
      <c r="T250" s="206"/>
      <c r="U250" s="206"/>
      <c r="V250" s="206"/>
      <c r="W250" s="279"/>
      <c r="X250" s="269"/>
      <c r="Y250" s="269"/>
      <c r="Z250" s="269"/>
      <c r="AA250" s="269"/>
      <c r="AB250" s="269"/>
      <c r="AC250" s="269"/>
      <c r="AD250" s="269"/>
      <c r="AE250" s="269"/>
      <c r="AF250" s="269"/>
      <c r="AG250" s="269"/>
    </row>
    <row r="251" spans="1:33" x14ac:dyDescent="0.25">
      <c r="A251" s="99" t="s">
        <v>290</v>
      </c>
      <c r="B251" s="249" t="s">
        <v>1632</v>
      </c>
      <c r="C251" s="249" t="s">
        <v>1651</v>
      </c>
      <c r="D251" s="99" t="s">
        <v>291</v>
      </c>
      <c r="E251" s="99" t="s">
        <v>292</v>
      </c>
      <c r="F251" s="228"/>
      <c r="G251" s="102" t="s">
        <v>108</v>
      </c>
      <c r="H251" s="102" t="s">
        <v>108</v>
      </c>
      <c r="I251" s="218">
        <v>220</v>
      </c>
      <c r="J251" s="249" t="s">
        <v>849</v>
      </c>
      <c r="K251" s="99"/>
      <c r="L251" s="99"/>
      <c r="M251" s="111"/>
      <c r="N251" s="111" t="s">
        <v>934</v>
      </c>
      <c r="O251" s="111"/>
      <c r="P251" s="328" t="s">
        <v>934</v>
      </c>
      <c r="Q251" s="111"/>
      <c r="R251" s="111"/>
      <c r="S251" s="321"/>
      <c r="T251" s="321"/>
      <c r="U251" s="321"/>
      <c r="V251" s="328" t="s">
        <v>1698</v>
      </c>
      <c r="W251" s="126"/>
    </row>
    <row r="252" spans="1:33" x14ac:dyDescent="0.25">
      <c r="A252" s="99" t="s">
        <v>293</v>
      </c>
      <c r="B252" s="249" t="s">
        <v>1632</v>
      </c>
      <c r="C252" s="249" t="s">
        <v>1651</v>
      </c>
      <c r="D252" s="99" t="s">
        <v>294</v>
      </c>
      <c r="E252" s="99" t="s">
        <v>295</v>
      </c>
      <c r="F252" s="228"/>
      <c r="G252" s="102" t="s">
        <v>108</v>
      </c>
      <c r="H252" s="102" t="s">
        <v>108</v>
      </c>
      <c r="I252" s="218">
        <v>340</v>
      </c>
      <c r="J252" s="249" t="s">
        <v>849</v>
      </c>
      <c r="K252" s="99"/>
      <c r="L252" s="99"/>
      <c r="M252" s="111"/>
      <c r="N252" s="111" t="s">
        <v>934</v>
      </c>
      <c r="O252" s="111"/>
      <c r="P252" s="328" t="s">
        <v>934</v>
      </c>
      <c r="Q252" s="111"/>
      <c r="R252" s="111"/>
      <c r="S252" s="321"/>
      <c r="T252" s="321"/>
      <c r="U252" s="321"/>
      <c r="V252" s="328" t="s">
        <v>1698</v>
      </c>
      <c r="W252" s="126"/>
    </row>
    <row r="253" spans="1:33" x14ac:dyDescent="0.25">
      <c r="A253" s="99" t="s">
        <v>296</v>
      </c>
      <c r="B253" s="249" t="s">
        <v>1632</v>
      </c>
      <c r="C253" s="249" t="s">
        <v>1651</v>
      </c>
      <c r="D253" s="99" t="s">
        <v>297</v>
      </c>
      <c r="E253" s="99" t="s">
        <v>298</v>
      </c>
      <c r="F253" s="228"/>
      <c r="G253" s="102" t="s">
        <v>108</v>
      </c>
      <c r="H253" s="102" t="s">
        <v>108</v>
      </c>
      <c r="I253" s="218">
        <v>360</v>
      </c>
      <c r="J253" s="249" t="s">
        <v>849</v>
      </c>
      <c r="K253" s="99"/>
      <c r="L253" s="99"/>
      <c r="M253" s="111"/>
      <c r="N253" s="111" t="s">
        <v>934</v>
      </c>
      <c r="O253" s="111"/>
      <c r="P253" s="328" t="s">
        <v>934</v>
      </c>
      <c r="Q253" s="111"/>
      <c r="R253" s="111"/>
      <c r="S253" s="321"/>
      <c r="T253" s="321"/>
      <c r="U253" s="321"/>
      <c r="V253" s="328" t="s">
        <v>1698</v>
      </c>
      <c r="W253" s="126"/>
    </row>
    <row r="254" spans="1:33" x14ac:dyDescent="0.25">
      <c r="A254" s="126" t="s">
        <v>1068</v>
      </c>
      <c r="B254" s="249" t="s">
        <v>1632</v>
      </c>
      <c r="C254" s="249" t="s">
        <v>1651</v>
      </c>
      <c r="D254" s="108" t="s">
        <v>1069</v>
      </c>
      <c r="E254" s="99" t="s">
        <v>1095</v>
      </c>
      <c r="F254" s="228"/>
      <c r="G254" s="102" t="s">
        <v>108</v>
      </c>
      <c r="H254" s="102" t="s">
        <v>108</v>
      </c>
      <c r="I254" s="218">
        <v>800</v>
      </c>
      <c r="J254" s="249" t="s">
        <v>849</v>
      </c>
      <c r="K254" s="99"/>
      <c r="L254" s="99"/>
      <c r="M254" s="111"/>
      <c r="N254" s="111" t="s">
        <v>934</v>
      </c>
      <c r="O254" s="111"/>
      <c r="P254" s="328" t="s">
        <v>934</v>
      </c>
      <c r="Q254" s="111"/>
      <c r="R254" s="111"/>
      <c r="S254" s="321"/>
      <c r="T254" s="321"/>
      <c r="U254" s="321"/>
      <c r="V254" s="328" t="s">
        <v>1696</v>
      </c>
      <c r="W254" s="126"/>
    </row>
    <row r="255" spans="1:33" x14ac:dyDescent="0.25">
      <c r="A255" s="196" t="s">
        <v>1188</v>
      </c>
      <c r="B255" s="263"/>
      <c r="C255" s="263"/>
      <c r="D255" s="197"/>
      <c r="E255" s="198"/>
      <c r="F255" s="309"/>
      <c r="G255" s="181"/>
      <c r="H255" s="181"/>
      <c r="I255" s="206"/>
      <c r="J255" s="269"/>
      <c r="K255" s="180"/>
      <c r="L255" s="180"/>
      <c r="M255" s="206"/>
      <c r="N255" s="206"/>
      <c r="O255" s="206"/>
      <c r="P255" s="206"/>
      <c r="Q255" s="206"/>
      <c r="R255" s="206"/>
      <c r="S255" s="206"/>
      <c r="T255" s="206"/>
      <c r="U255" s="206"/>
      <c r="V255" s="206"/>
      <c r="W255" s="279"/>
      <c r="X255" s="269"/>
      <c r="Y255" s="269"/>
      <c r="Z255" s="269"/>
      <c r="AA255" s="269"/>
      <c r="AB255" s="269"/>
      <c r="AC255" s="269"/>
      <c r="AD255" s="269"/>
      <c r="AE255" s="269"/>
      <c r="AF255" s="269"/>
      <c r="AG255" s="269"/>
    </row>
    <row r="256" spans="1:33" x14ac:dyDescent="0.25">
      <c r="A256" s="327" t="s">
        <v>299</v>
      </c>
      <c r="B256" s="331" t="s">
        <v>1633</v>
      </c>
      <c r="C256" s="331" t="s">
        <v>1651</v>
      </c>
      <c r="D256" s="328" t="s">
        <v>300</v>
      </c>
      <c r="E256" s="329" t="s">
        <v>1182</v>
      </c>
      <c r="F256" s="336"/>
      <c r="G256" s="101"/>
      <c r="H256" s="101"/>
      <c r="I256" s="266">
        <v>25</v>
      </c>
      <c r="J256" s="249" t="s">
        <v>529</v>
      </c>
      <c r="K256" s="99" t="s">
        <v>1538</v>
      </c>
      <c r="L256" s="99"/>
      <c r="M256" s="111"/>
      <c r="N256" s="111" t="s">
        <v>934</v>
      </c>
      <c r="O256" s="111"/>
      <c r="P256" s="328" t="s">
        <v>934</v>
      </c>
      <c r="Q256" s="111"/>
      <c r="R256" s="111"/>
      <c r="S256" s="321"/>
      <c r="T256" s="321"/>
      <c r="U256" s="321"/>
      <c r="V256" s="328" t="s">
        <v>1698</v>
      </c>
      <c r="W256" s="126"/>
    </row>
    <row r="257" spans="1:33" s="117" customFormat="1" x14ac:dyDescent="0.25">
      <c r="A257" s="327" t="s">
        <v>1752</v>
      </c>
      <c r="B257" s="331" t="s">
        <v>1753</v>
      </c>
      <c r="C257" s="331" t="s">
        <v>1651</v>
      </c>
      <c r="D257" s="328" t="s">
        <v>1757</v>
      </c>
      <c r="E257" s="329" t="s">
        <v>1182</v>
      </c>
      <c r="F257" s="336"/>
      <c r="G257" s="101"/>
      <c r="H257" s="101"/>
      <c r="I257" s="266">
        <v>6.25</v>
      </c>
      <c r="J257" s="249" t="s">
        <v>529</v>
      </c>
      <c r="K257" s="99" t="s">
        <v>1537</v>
      </c>
      <c r="L257" s="99"/>
      <c r="M257" s="111"/>
      <c r="N257" s="328" t="s">
        <v>934</v>
      </c>
      <c r="O257" s="111"/>
      <c r="P257" s="328" t="s">
        <v>934</v>
      </c>
      <c r="Q257" s="111"/>
      <c r="R257" s="111"/>
      <c r="S257" s="321"/>
      <c r="T257" s="328"/>
      <c r="U257" s="321"/>
      <c r="V257" s="328" t="s">
        <v>1698</v>
      </c>
      <c r="W257" s="282"/>
      <c r="X257" s="230"/>
      <c r="Y257" s="230"/>
      <c r="Z257" s="230"/>
      <c r="AA257" s="230"/>
      <c r="AB257" s="230"/>
      <c r="AC257" s="230"/>
      <c r="AD257" s="230"/>
      <c r="AE257" s="230"/>
      <c r="AF257" s="230"/>
      <c r="AG257" s="230"/>
    </row>
    <row r="258" spans="1:33" s="117" customFormat="1" x14ac:dyDescent="0.25">
      <c r="A258" s="334" t="s">
        <v>1179</v>
      </c>
      <c r="B258" s="331" t="s">
        <v>1665</v>
      </c>
      <c r="C258" s="331" t="s">
        <v>1651</v>
      </c>
      <c r="D258" s="333" t="s">
        <v>1781</v>
      </c>
      <c r="E258" s="330" t="s">
        <v>1666</v>
      </c>
      <c r="F258" s="331"/>
      <c r="G258" s="101"/>
      <c r="H258" s="101">
        <v>37.5</v>
      </c>
      <c r="I258" s="317">
        <v>45</v>
      </c>
      <c r="J258" s="249" t="s">
        <v>529</v>
      </c>
      <c r="K258" s="99" t="s">
        <v>2113</v>
      </c>
      <c r="L258" s="99"/>
      <c r="M258" s="317"/>
      <c r="N258" s="328" t="s">
        <v>934</v>
      </c>
      <c r="O258" s="317"/>
      <c r="P258" s="328" t="s">
        <v>934</v>
      </c>
      <c r="Q258" s="317"/>
      <c r="R258" s="317"/>
      <c r="S258" s="321"/>
      <c r="T258" s="328"/>
      <c r="U258" s="321"/>
      <c r="V258" s="328" t="s">
        <v>1698</v>
      </c>
      <c r="W258" s="282"/>
      <c r="X258" s="230"/>
      <c r="Y258" s="230"/>
      <c r="Z258" s="230"/>
      <c r="AA258" s="230"/>
      <c r="AB258" s="230"/>
      <c r="AC258" s="230"/>
      <c r="AD258" s="230"/>
      <c r="AE258" s="230"/>
      <c r="AF258" s="230"/>
      <c r="AG258" s="230"/>
    </row>
    <row r="259" spans="1:33" s="117" customFormat="1" x14ac:dyDescent="0.25">
      <c r="A259" s="334" t="s">
        <v>1754</v>
      </c>
      <c r="B259" s="331" t="s">
        <v>1755</v>
      </c>
      <c r="C259" s="331" t="s">
        <v>1651</v>
      </c>
      <c r="D259" s="333" t="s">
        <v>1782</v>
      </c>
      <c r="E259" s="330" t="s">
        <v>1666</v>
      </c>
      <c r="F259" s="332"/>
      <c r="G259" s="101"/>
      <c r="H259" s="101"/>
      <c r="I259" s="317">
        <v>12</v>
      </c>
      <c r="J259" s="249" t="s">
        <v>529</v>
      </c>
      <c r="K259" s="99" t="s">
        <v>1537</v>
      </c>
      <c r="L259" s="99"/>
      <c r="M259" s="317"/>
      <c r="N259" s="328" t="s">
        <v>934</v>
      </c>
      <c r="O259" s="317"/>
      <c r="P259" s="328" t="s">
        <v>934</v>
      </c>
      <c r="Q259" s="317"/>
      <c r="R259" s="317"/>
      <c r="S259" s="321"/>
      <c r="T259" s="328"/>
      <c r="U259" s="321"/>
      <c r="V259" s="328" t="s">
        <v>1698</v>
      </c>
      <c r="W259" s="282"/>
      <c r="X259" s="230"/>
      <c r="Y259" s="230"/>
      <c r="Z259" s="230"/>
      <c r="AA259" s="230"/>
      <c r="AB259" s="230"/>
      <c r="AC259" s="230"/>
      <c r="AD259" s="230"/>
      <c r="AE259" s="230"/>
      <c r="AF259" s="230"/>
      <c r="AG259" s="230"/>
    </row>
    <row r="260" spans="1:33" x14ac:dyDescent="0.25">
      <c r="A260" s="327" t="s">
        <v>1334</v>
      </c>
      <c r="B260" s="331" t="s">
        <v>1633</v>
      </c>
      <c r="C260" s="331" t="s">
        <v>1651</v>
      </c>
      <c r="D260" s="338" t="s">
        <v>1335</v>
      </c>
      <c r="E260" s="335" t="s">
        <v>1783</v>
      </c>
      <c r="F260" s="375"/>
      <c r="G260" s="239"/>
      <c r="H260" s="239"/>
      <c r="I260" s="267" t="s">
        <v>1774</v>
      </c>
      <c r="J260" s="255" t="s">
        <v>529</v>
      </c>
      <c r="K260" s="240" t="s">
        <v>1775</v>
      </c>
      <c r="L260" s="240"/>
      <c r="M260" s="111"/>
      <c r="N260" s="328" t="s">
        <v>934</v>
      </c>
      <c r="O260" s="111"/>
      <c r="P260" s="328" t="s">
        <v>934</v>
      </c>
      <c r="Q260" s="111"/>
      <c r="R260" s="111"/>
      <c r="S260" s="321"/>
      <c r="T260" s="321"/>
      <c r="U260" s="321"/>
      <c r="V260" s="328" t="s">
        <v>1696</v>
      </c>
      <c r="W260" s="126"/>
    </row>
    <row r="261" spans="1:33" x14ac:dyDescent="0.25">
      <c r="A261" s="327" t="s">
        <v>1756</v>
      </c>
      <c r="B261" s="331" t="s">
        <v>1753</v>
      </c>
      <c r="C261" s="331" t="s">
        <v>1651</v>
      </c>
      <c r="D261" s="338" t="s">
        <v>1758</v>
      </c>
      <c r="E261" s="335" t="s">
        <v>1784</v>
      </c>
      <c r="F261" s="376"/>
      <c r="G261" s="239"/>
      <c r="H261" s="239"/>
      <c r="I261" s="320" t="s">
        <v>1774</v>
      </c>
      <c r="J261" s="255" t="s">
        <v>529</v>
      </c>
      <c r="K261" s="240" t="s">
        <v>1776</v>
      </c>
      <c r="L261" s="240"/>
      <c r="M261" s="111"/>
      <c r="N261" s="328" t="s">
        <v>934</v>
      </c>
      <c r="O261" s="111"/>
      <c r="P261" s="328" t="s">
        <v>934</v>
      </c>
      <c r="Q261" s="111"/>
      <c r="R261" s="111"/>
      <c r="S261" s="321"/>
      <c r="T261" s="328"/>
      <c r="U261" s="321"/>
      <c r="V261" s="328" t="s">
        <v>1696</v>
      </c>
      <c r="W261" s="126"/>
    </row>
    <row r="262" spans="1:33" x14ac:dyDescent="0.25">
      <c r="A262" s="327" t="s">
        <v>1779</v>
      </c>
      <c r="B262" s="344" t="s">
        <v>1753</v>
      </c>
      <c r="C262" s="344" t="s">
        <v>1651</v>
      </c>
      <c r="D262" s="338" t="s">
        <v>1780</v>
      </c>
      <c r="E262" s="335" t="s">
        <v>1785</v>
      </c>
      <c r="F262" s="347"/>
      <c r="G262" s="239"/>
      <c r="H262" s="239"/>
      <c r="I262" s="320" t="s">
        <v>1774</v>
      </c>
      <c r="J262" s="255" t="s">
        <v>529</v>
      </c>
      <c r="K262" s="240" t="s">
        <v>2114</v>
      </c>
      <c r="L262" s="240"/>
      <c r="M262" s="328"/>
      <c r="N262" s="328" t="s">
        <v>934</v>
      </c>
      <c r="O262" s="328"/>
      <c r="P262" s="328" t="s">
        <v>934</v>
      </c>
      <c r="Q262" s="328"/>
      <c r="R262" s="328"/>
      <c r="S262" s="328"/>
      <c r="T262" s="328"/>
      <c r="U262" s="328"/>
      <c r="V262" s="328" t="s">
        <v>1696</v>
      </c>
      <c r="W262" s="126"/>
    </row>
    <row r="263" spans="1:33" x14ac:dyDescent="0.25">
      <c r="A263" s="327" t="s">
        <v>1786</v>
      </c>
      <c r="B263" s="344" t="s">
        <v>1753</v>
      </c>
      <c r="C263" s="344" t="s">
        <v>1651</v>
      </c>
      <c r="D263" s="338" t="s">
        <v>1787</v>
      </c>
      <c r="E263" s="335" t="s">
        <v>1788</v>
      </c>
      <c r="F263" s="347"/>
      <c r="G263" s="239"/>
      <c r="H263" s="239"/>
      <c r="I263" s="320" t="s">
        <v>1774</v>
      </c>
      <c r="J263" s="255" t="s">
        <v>529</v>
      </c>
      <c r="K263" s="240" t="s">
        <v>1789</v>
      </c>
      <c r="L263" s="240"/>
      <c r="M263" s="328"/>
      <c r="N263" s="328" t="s">
        <v>934</v>
      </c>
      <c r="O263" s="328"/>
      <c r="P263" s="328" t="s">
        <v>934</v>
      </c>
      <c r="Q263" s="328"/>
      <c r="R263" s="328"/>
      <c r="S263" s="328"/>
      <c r="T263" s="328"/>
      <c r="U263" s="328"/>
      <c r="V263" s="328" t="s">
        <v>1696</v>
      </c>
      <c r="W263" s="126"/>
    </row>
    <row r="264" spans="1:33" x14ac:dyDescent="0.25">
      <c r="A264" s="327" t="s">
        <v>1751</v>
      </c>
      <c r="B264" s="331" t="s">
        <v>1633</v>
      </c>
      <c r="C264" s="331" t="s">
        <v>1651</v>
      </c>
      <c r="D264" s="328" t="s">
        <v>1180</v>
      </c>
      <c r="E264" s="329" t="s">
        <v>1181</v>
      </c>
      <c r="F264" s="339"/>
      <c r="G264" s="101"/>
      <c r="H264" s="101"/>
      <c r="I264" s="266">
        <v>15</v>
      </c>
      <c r="J264" s="249" t="s">
        <v>529</v>
      </c>
      <c r="K264" s="99" t="s">
        <v>1791</v>
      </c>
      <c r="L264" s="99"/>
      <c r="M264" s="111"/>
      <c r="N264" s="328" t="s">
        <v>934</v>
      </c>
      <c r="O264" s="111"/>
      <c r="P264" s="328" t="s">
        <v>934</v>
      </c>
      <c r="Q264" s="111"/>
      <c r="R264" s="111"/>
      <c r="S264" s="321"/>
      <c r="T264" s="321"/>
      <c r="U264" s="321"/>
      <c r="V264" s="328" t="s">
        <v>1696</v>
      </c>
      <c r="W264" s="281"/>
    </row>
    <row r="265" spans="1:33" x14ac:dyDescent="0.25">
      <c r="A265" s="327" t="s">
        <v>1790</v>
      </c>
      <c r="B265" s="331" t="s">
        <v>1633</v>
      </c>
      <c r="C265" s="331" t="s">
        <v>1651</v>
      </c>
      <c r="D265" s="328" t="s">
        <v>1759</v>
      </c>
      <c r="E265" s="329" t="s">
        <v>1181</v>
      </c>
      <c r="F265" s="340"/>
      <c r="G265" s="101"/>
      <c r="H265" s="101"/>
      <c r="I265" s="266">
        <v>5</v>
      </c>
      <c r="J265" s="249" t="s">
        <v>529</v>
      </c>
      <c r="K265" s="99" t="s">
        <v>1539</v>
      </c>
      <c r="L265" s="99"/>
      <c r="M265" s="111"/>
      <c r="N265" s="328" t="s">
        <v>934</v>
      </c>
      <c r="O265" s="111"/>
      <c r="P265" s="328" t="s">
        <v>934</v>
      </c>
      <c r="Q265" s="111"/>
      <c r="R265" s="111"/>
      <c r="S265" s="321"/>
      <c r="T265" s="328"/>
      <c r="U265" s="321"/>
      <c r="V265" s="328" t="s">
        <v>1696</v>
      </c>
      <c r="W265" s="126"/>
    </row>
    <row r="266" spans="1:33" x14ac:dyDescent="0.25">
      <c r="A266" s="372" t="s">
        <v>1760</v>
      </c>
      <c r="B266" s="373"/>
      <c r="C266" s="373"/>
      <c r="D266" s="373"/>
      <c r="E266" s="374"/>
      <c r="F266" s="309"/>
      <c r="G266" s="198"/>
      <c r="H266" s="181"/>
      <c r="I266" s="206"/>
      <c r="J266" s="269"/>
      <c r="K266" s="180"/>
      <c r="L266" s="180"/>
      <c r="M266" s="180"/>
      <c r="N266" s="206"/>
      <c r="O266" s="206"/>
      <c r="P266" s="206"/>
      <c r="Q266" s="206"/>
      <c r="R266" s="206"/>
      <c r="S266" s="180"/>
      <c r="T266" s="206"/>
      <c r="U266" s="206"/>
      <c r="V266" s="206"/>
      <c r="W266" s="279"/>
      <c r="X266" s="269"/>
      <c r="Y266" s="269"/>
      <c r="Z266" s="269"/>
      <c r="AA266" s="269"/>
      <c r="AB266" s="269"/>
      <c r="AC266" s="269"/>
      <c r="AD266" s="269"/>
      <c r="AE266" s="269"/>
      <c r="AF266" s="269"/>
      <c r="AG266" s="269"/>
    </row>
    <row r="267" spans="1:33" x14ac:dyDescent="0.25">
      <c r="A267" s="341" t="s">
        <v>301</v>
      </c>
      <c r="B267" s="339" t="s">
        <v>1634</v>
      </c>
      <c r="C267" s="353" t="s">
        <v>1651</v>
      </c>
      <c r="D267" s="342" t="s">
        <v>302</v>
      </c>
      <c r="E267" s="342" t="s">
        <v>303</v>
      </c>
      <c r="F267" s="339"/>
      <c r="G267" s="102" t="s">
        <v>108</v>
      </c>
      <c r="H267" s="101" t="s">
        <v>140</v>
      </c>
      <c r="I267" s="218">
        <v>12</v>
      </c>
      <c r="J267" s="249" t="s">
        <v>446</v>
      </c>
      <c r="K267" s="99" t="s">
        <v>1540</v>
      </c>
      <c r="L267" s="99"/>
      <c r="M267" s="111"/>
      <c r="N267" s="111" t="s">
        <v>934</v>
      </c>
      <c r="O267" s="111"/>
      <c r="P267" s="328" t="s">
        <v>934</v>
      </c>
      <c r="Q267" s="111"/>
      <c r="R267" s="111"/>
      <c r="S267" s="321"/>
      <c r="T267" s="321"/>
      <c r="U267" s="321"/>
      <c r="V267" s="328" t="s">
        <v>1698</v>
      </c>
      <c r="W267" s="126"/>
    </row>
    <row r="268" spans="1:33" x14ac:dyDescent="0.25">
      <c r="A268" s="341" t="s">
        <v>1761</v>
      </c>
      <c r="B268" s="339" t="s">
        <v>1762</v>
      </c>
      <c r="C268" s="353" t="s">
        <v>1651</v>
      </c>
      <c r="D268" s="342" t="s">
        <v>1763</v>
      </c>
      <c r="E268" s="342" t="s">
        <v>303</v>
      </c>
      <c r="F268" s="340"/>
      <c r="G268" s="102" t="s">
        <v>140</v>
      </c>
      <c r="H268" s="101" t="s">
        <v>140</v>
      </c>
      <c r="I268" s="218">
        <v>40</v>
      </c>
      <c r="J268" s="249" t="s">
        <v>446</v>
      </c>
      <c r="K268" s="99" t="s">
        <v>1539</v>
      </c>
      <c r="L268" s="99"/>
      <c r="M268" s="111"/>
      <c r="N268" s="111" t="s">
        <v>934</v>
      </c>
      <c r="O268" s="111"/>
      <c r="P268" s="328" t="s">
        <v>934</v>
      </c>
      <c r="Q268" s="111"/>
      <c r="R268" s="111"/>
      <c r="S268" s="321"/>
      <c r="T268" s="321"/>
      <c r="U268" s="321"/>
      <c r="V268" s="328" t="s">
        <v>1698</v>
      </c>
      <c r="W268" s="289"/>
    </row>
    <row r="269" spans="1:33" x14ac:dyDescent="0.25">
      <c r="A269" s="341" t="s">
        <v>1764</v>
      </c>
      <c r="B269" s="339" t="s">
        <v>1634</v>
      </c>
      <c r="C269" s="353" t="s">
        <v>1651</v>
      </c>
      <c r="D269" s="342" t="s">
        <v>1765</v>
      </c>
      <c r="E269" s="342" t="s">
        <v>303</v>
      </c>
      <c r="F269" s="337"/>
      <c r="G269" s="102" t="s">
        <v>140</v>
      </c>
      <c r="H269" s="101" t="s">
        <v>140</v>
      </c>
      <c r="I269" s="218">
        <v>15</v>
      </c>
      <c r="J269" s="249" t="s">
        <v>446</v>
      </c>
      <c r="K269" s="99" t="s">
        <v>1766</v>
      </c>
      <c r="L269" s="99"/>
      <c r="M269" s="328"/>
      <c r="N269" s="328" t="s">
        <v>934</v>
      </c>
      <c r="O269" s="328"/>
      <c r="P269" s="328" t="s">
        <v>934</v>
      </c>
      <c r="Q269" s="328"/>
      <c r="R269" s="328"/>
      <c r="S269" s="328"/>
      <c r="T269" s="328"/>
      <c r="U269" s="328"/>
      <c r="V269" s="328" t="s">
        <v>1698</v>
      </c>
      <c r="W269" s="289"/>
    </row>
    <row r="270" spans="1:33" x14ac:dyDescent="0.25">
      <c r="A270" s="341" t="s">
        <v>1792</v>
      </c>
      <c r="B270" s="339" t="s">
        <v>1634</v>
      </c>
      <c r="C270" s="353" t="s">
        <v>1651</v>
      </c>
      <c r="D270" s="342" t="s">
        <v>1793</v>
      </c>
      <c r="E270" s="342" t="s">
        <v>303</v>
      </c>
      <c r="F270" s="343"/>
      <c r="G270" s="102" t="s">
        <v>140</v>
      </c>
      <c r="H270" s="101" t="s">
        <v>140</v>
      </c>
      <c r="I270" s="218">
        <v>75</v>
      </c>
      <c r="J270" s="249" t="s">
        <v>446</v>
      </c>
      <c r="K270" s="99" t="s">
        <v>1794</v>
      </c>
      <c r="L270" s="99"/>
      <c r="M270" s="328"/>
      <c r="N270" s="328" t="s">
        <v>934</v>
      </c>
      <c r="O270" s="328"/>
      <c r="P270" s="328" t="s">
        <v>934</v>
      </c>
      <c r="Q270" s="328"/>
      <c r="R270" s="328"/>
      <c r="S270" s="328"/>
      <c r="T270" s="328"/>
      <c r="U270" s="328"/>
      <c r="V270" s="328" t="s">
        <v>1698</v>
      </c>
      <c r="W270" s="289"/>
    </row>
    <row r="271" spans="1:33" x14ac:dyDescent="0.25">
      <c r="A271" s="99" t="s">
        <v>304</v>
      </c>
      <c r="B271" s="339" t="s">
        <v>1634</v>
      </c>
      <c r="C271" s="249" t="s">
        <v>1651</v>
      </c>
      <c r="D271" s="99" t="s">
        <v>305</v>
      </c>
      <c r="E271" s="99" t="s">
        <v>306</v>
      </c>
      <c r="F271" s="228"/>
      <c r="G271" s="345">
        <v>20</v>
      </c>
      <c r="H271" s="102" t="s">
        <v>108</v>
      </c>
      <c r="I271" s="218" t="s">
        <v>108</v>
      </c>
      <c r="J271" s="249" t="s">
        <v>446</v>
      </c>
      <c r="K271" s="99" t="s">
        <v>1796</v>
      </c>
      <c r="L271" s="99"/>
      <c r="M271" s="111"/>
      <c r="N271" s="111" t="s">
        <v>934</v>
      </c>
      <c r="O271" s="111"/>
      <c r="P271" s="328" t="s">
        <v>934</v>
      </c>
      <c r="Q271" s="111"/>
      <c r="R271" s="111"/>
      <c r="S271" s="321"/>
      <c r="T271" s="321"/>
      <c r="U271" s="321"/>
      <c r="V271" s="328" t="s">
        <v>1698</v>
      </c>
      <c r="W271" s="126"/>
    </row>
    <row r="272" spans="1:33" x14ac:dyDescent="0.25">
      <c r="A272" s="99" t="s">
        <v>1799</v>
      </c>
      <c r="B272" s="339" t="s">
        <v>1634</v>
      </c>
      <c r="C272" s="249" t="s">
        <v>1651</v>
      </c>
      <c r="D272" s="99" t="s">
        <v>1795</v>
      </c>
      <c r="E272" s="99" t="s">
        <v>306</v>
      </c>
      <c r="F272" s="228"/>
      <c r="G272" s="345">
        <v>105</v>
      </c>
      <c r="H272" s="102" t="s">
        <v>108</v>
      </c>
      <c r="I272" s="218" t="s">
        <v>108</v>
      </c>
      <c r="J272" s="249" t="s">
        <v>446</v>
      </c>
      <c r="K272" s="99" t="s">
        <v>1797</v>
      </c>
      <c r="L272" s="99"/>
      <c r="M272" s="328"/>
      <c r="N272" s="328" t="s">
        <v>934</v>
      </c>
      <c r="O272" s="328"/>
      <c r="P272" s="328" t="s">
        <v>934</v>
      </c>
      <c r="Q272" s="328"/>
      <c r="R272" s="328"/>
      <c r="S272" s="328"/>
      <c r="T272" s="328"/>
      <c r="U272" s="328"/>
      <c r="V272" s="328" t="s">
        <v>1698</v>
      </c>
      <c r="W272" s="126"/>
    </row>
    <row r="273" spans="1:33" x14ac:dyDescent="0.25">
      <c r="A273" s="341" t="s">
        <v>1777</v>
      </c>
      <c r="B273" s="339" t="s">
        <v>1634</v>
      </c>
      <c r="C273" s="353" t="s">
        <v>1651</v>
      </c>
      <c r="D273" s="342" t="s">
        <v>1778</v>
      </c>
      <c r="E273" s="99" t="s">
        <v>306</v>
      </c>
      <c r="F273" s="343"/>
      <c r="G273" s="102">
        <v>13</v>
      </c>
      <c r="H273" s="101" t="s">
        <v>140</v>
      </c>
      <c r="I273" s="218" t="s">
        <v>140</v>
      </c>
      <c r="J273" s="249" t="s">
        <v>446</v>
      </c>
      <c r="K273" s="99" t="s">
        <v>1798</v>
      </c>
      <c r="L273" s="99"/>
      <c r="M273" s="328"/>
      <c r="N273" s="328" t="s">
        <v>934</v>
      </c>
      <c r="O273" s="328"/>
      <c r="P273" s="328" t="s">
        <v>934</v>
      </c>
      <c r="Q273" s="328"/>
      <c r="R273" s="328"/>
      <c r="S273" s="328"/>
      <c r="T273" s="328"/>
      <c r="U273" s="328"/>
      <c r="V273" s="328" t="s">
        <v>1698</v>
      </c>
      <c r="W273" s="289"/>
    </row>
    <row r="274" spans="1:33" x14ac:dyDescent="0.25">
      <c r="A274" s="341" t="s">
        <v>1800</v>
      </c>
      <c r="B274" s="339" t="s">
        <v>1634</v>
      </c>
      <c r="C274" s="353" t="s">
        <v>1651</v>
      </c>
      <c r="D274" s="342" t="s">
        <v>1804</v>
      </c>
      <c r="E274" s="99" t="s">
        <v>306</v>
      </c>
      <c r="F274" s="343"/>
      <c r="G274" s="102">
        <v>22</v>
      </c>
      <c r="H274" s="101" t="s">
        <v>140</v>
      </c>
      <c r="I274" s="218" t="s">
        <v>140</v>
      </c>
      <c r="J274" s="249" t="s">
        <v>446</v>
      </c>
      <c r="K274" s="99" t="s">
        <v>1794</v>
      </c>
      <c r="L274" s="99"/>
      <c r="M274" s="328"/>
      <c r="N274" s="328" t="s">
        <v>934</v>
      </c>
      <c r="O274" s="328"/>
      <c r="P274" s="328" t="s">
        <v>934</v>
      </c>
      <c r="Q274" s="328"/>
      <c r="R274" s="328"/>
      <c r="S274" s="328"/>
      <c r="T274" s="328"/>
      <c r="U274" s="328"/>
      <c r="V274" s="328" t="s">
        <v>1698</v>
      </c>
      <c r="W274" s="289"/>
    </row>
    <row r="275" spans="1:33" x14ac:dyDescent="0.25">
      <c r="A275" s="99" t="s">
        <v>307</v>
      </c>
      <c r="B275" s="249" t="s">
        <v>1634</v>
      </c>
      <c r="C275" s="249" t="s">
        <v>1651</v>
      </c>
      <c r="D275" s="99" t="s">
        <v>308</v>
      </c>
      <c r="E275" s="99" t="s">
        <v>1070</v>
      </c>
      <c r="F275" s="228"/>
      <c r="G275" s="345">
        <v>-5</v>
      </c>
      <c r="H275" s="102" t="s">
        <v>108</v>
      </c>
      <c r="I275" s="218" t="s">
        <v>108</v>
      </c>
      <c r="J275" s="249" t="s">
        <v>446</v>
      </c>
      <c r="K275" s="99" t="s">
        <v>1839</v>
      </c>
      <c r="L275" s="99"/>
      <c r="M275" s="111"/>
      <c r="N275" s="111" t="s">
        <v>934</v>
      </c>
      <c r="O275" s="111"/>
      <c r="P275" s="328" t="s">
        <v>934</v>
      </c>
      <c r="Q275" s="111"/>
      <c r="R275" s="111"/>
      <c r="S275" s="321"/>
      <c r="T275" s="321"/>
      <c r="U275" s="321"/>
      <c r="V275" s="328" t="s">
        <v>1698</v>
      </c>
      <c r="W275" s="126"/>
    </row>
    <row r="276" spans="1:33" x14ac:dyDescent="0.25">
      <c r="A276" s="99" t="s">
        <v>1840</v>
      </c>
      <c r="B276" s="249" t="s">
        <v>1634</v>
      </c>
      <c r="C276" s="249" t="s">
        <v>1651</v>
      </c>
      <c r="D276" s="99" t="s">
        <v>1841</v>
      </c>
      <c r="E276" s="99" t="s">
        <v>1070</v>
      </c>
      <c r="F276" s="228"/>
      <c r="G276" s="345">
        <v>-10</v>
      </c>
      <c r="H276" s="102" t="s">
        <v>108</v>
      </c>
      <c r="I276" s="218" t="s">
        <v>108</v>
      </c>
      <c r="J276" s="249" t="s">
        <v>446</v>
      </c>
      <c r="K276" s="99" t="s">
        <v>1842</v>
      </c>
      <c r="L276" s="99"/>
      <c r="M276" s="328"/>
      <c r="N276" s="328" t="s">
        <v>934</v>
      </c>
      <c r="O276" s="328"/>
      <c r="P276" s="328" t="s">
        <v>934</v>
      </c>
      <c r="Q276" s="328"/>
      <c r="R276" s="328"/>
      <c r="S276" s="328"/>
      <c r="T276" s="328"/>
      <c r="U276" s="328"/>
      <c r="V276" s="328" t="s">
        <v>1698</v>
      </c>
      <c r="W276" s="126"/>
    </row>
    <row r="277" spans="1:33" x14ac:dyDescent="0.25">
      <c r="A277" s="99" t="s">
        <v>1801</v>
      </c>
      <c r="B277" s="249" t="s">
        <v>1634</v>
      </c>
      <c r="C277" s="249" t="s">
        <v>1651</v>
      </c>
      <c r="D277" s="99" t="s">
        <v>1802</v>
      </c>
      <c r="E277" s="99" t="s">
        <v>1803</v>
      </c>
      <c r="F277" s="228"/>
      <c r="G277" s="345">
        <v>-1</v>
      </c>
      <c r="H277" s="102" t="s">
        <v>108</v>
      </c>
      <c r="I277" s="218" t="s">
        <v>108</v>
      </c>
      <c r="J277" s="249" t="s">
        <v>446</v>
      </c>
      <c r="K277" s="99" t="s">
        <v>1846</v>
      </c>
      <c r="L277" s="99"/>
      <c r="M277" s="328"/>
      <c r="N277" s="328" t="s">
        <v>934</v>
      </c>
      <c r="O277" s="328"/>
      <c r="P277" s="328" t="s">
        <v>934</v>
      </c>
      <c r="Q277" s="328"/>
      <c r="R277" s="328"/>
      <c r="S277" s="328"/>
      <c r="T277" s="328"/>
      <c r="U277" s="328"/>
      <c r="V277" s="328" t="s">
        <v>1698</v>
      </c>
      <c r="W277" s="126"/>
    </row>
    <row r="278" spans="1:33" x14ac:dyDescent="0.25">
      <c r="A278" s="99" t="s">
        <v>1843</v>
      </c>
      <c r="B278" s="249" t="s">
        <v>1634</v>
      </c>
      <c r="C278" s="249" t="s">
        <v>1651</v>
      </c>
      <c r="D278" s="99" t="s">
        <v>1844</v>
      </c>
      <c r="E278" s="99" t="s">
        <v>1070</v>
      </c>
      <c r="F278" s="228"/>
      <c r="G278" s="345">
        <v>-2</v>
      </c>
      <c r="H278" s="102" t="s">
        <v>108</v>
      </c>
      <c r="I278" s="218" t="s">
        <v>108</v>
      </c>
      <c r="J278" s="249" t="s">
        <v>446</v>
      </c>
      <c r="K278" s="99" t="s">
        <v>1845</v>
      </c>
      <c r="L278" s="99"/>
      <c r="M278" s="328"/>
      <c r="N278" s="328" t="s">
        <v>934</v>
      </c>
      <c r="O278" s="328"/>
      <c r="P278" s="328" t="s">
        <v>934</v>
      </c>
      <c r="Q278" s="328"/>
      <c r="R278" s="328"/>
      <c r="S278" s="328"/>
      <c r="T278" s="328"/>
      <c r="U278" s="328"/>
      <c r="V278" s="328" t="s">
        <v>1698</v>
      </c>
      <c r="W278" s="126"/>
    </row>
    <row r="279" spans="1:33" x14ac:dyDescent="0.25">
      <c r="A279" s="99" t="s">
        <v>1330</v>
      </c>
      <c r="B279" s="249" t="s">
        <v>1634</v>
      </c>
      <c r="C279" s="249" t="s">
        <v>1651</v>
      </c>
      <c r="D279" s="99" t="s">
        <v>1331</v>
      </c>
      <c r="E279" s="99" t="s">
        <v>320</v>
      </c>
      <c r="F279" s="228"/>
      <c r="G279" s="345">
        <v>20</v>
      </c>
      <c r="H279" s="102" t="s">
        <v>108</v>
      </c>
      <c r="I279" s="218" t="s">
        <v>108</v>
      </c>
      <c r="J279" s="249" t="s">
        <v>446</v>
      </c>
      <c r="K279" s="99" t="s">
        <v>1856</v>
      </c>
      <c r="L279" s="99"/>
      <c r="M279" s="111"/>
      <c r="N279" s="111" t="s">
        <v>934</v>
      </c>
      <c r="O279" s="111"/>
      <c r="P279" s="328" t="s">
        <v>934</v>
      </c>
      <c r="Q279" s="111"/>
      <c r="R279" s="111"/>
      <c r="S279" s="321"/>
      <c r="T279" s="321"/>
      <c r="U279" s="321"/>
      <c r="V279" s="328" t="s">
        <v>1698</v>
      </c>
      <c r="W279" s="126"/>
    </row>
    <row r="280" spans="1:33" x14ac:dyDescent="0.25">
      <c r="A280" s="99" t="s">
        <v>1332</v>
      </c>
      <c r="B280" s="249" t="s">
        <v>1634</v>
      </c>
      <c r="C280" s="249" t="s">
        <v>1651</v>
      </c>
      <c r="D280" s="99" t="s">
        <v>1333</v>
      </c>
      <c r="E280" s="99" t="s">
        <v>1346</v>
      </c>
      <c r="F280" s="228"/>
      <c r="G280" s="345">
        <v>20</v>
      </c>
      <c r="H280" s="102" t="s">
        <v>108</v>
      </c>
      <c r="I280" s="218" t="s">
        <v>108</v>
      </c>
      <c r="J280" s="249" t="s">
        <v>446</v>
      </c>
      <c r="K280" s="99" t="s">
        <v>1856</v>
      </c>
      <c r="L280" s="99"/>
      <c r="M280" s="111"/>
      <c r="N280" s="111" t="s">
        <v>934</v>
      </c>
      <c r="O280" s="111"/>
      <c r="P280" s="328" t="s">
        <v>934</v>
      </c>
      <c r="Q280" s="111"/>
      <c r="R280" s="111"/>
      <c r="S280" s="321"/>
      <c r="T280" s="321"/>
      <c r="U280" s="321"/>
      <c r="V280" s="328" t="s">
        <v>1698</v>
      </c>
      <c r="W280" s="126"/>
    </row>
    <row r="281" spans="1:33" x14ac:dyDescent="0.25">
      <c r="A281" s="196" t="s">
        <v>1189</v>
      </c>
      <c r="B281" s="263"/>
      <c r="C281" s="263"/>
      <c r="D281" s="197"/>
      <c r="E281" s="198"/>
      <c r="F281" s="309"/>
      <c r="G281" s="198"/>
      <c r="H281" s="181"/>
      <c r="I281" s="206"/>
      <c r="J281" s="269"/>
      <c r="K281" s="180"/>
      <c r="L281" s="180"/>
      <c r="M281" s="180"/>
      <c r="N281" s="206"/>
      <c r="O281" s="206"/>
      <c r="P281" s="206"/>
      <c r="Q281" s="206"/>
      <c r="R281" s="206"/>
      <c r="S281" s="180"/>
      <c r="T281" s="206"/>
      <c r="U281" s="206"/>
      <c r="V281" s="206"/>
      <c r="W281" s="279"/>
      <c r="X281" s="269"/>
      <c r="Y281" s="269"/>
      <c r="Z281" s="269"/>
      <c r="AA281" s="269"/>
      <c r="AB281" s="269"/>
      <c r="AC281" s="269"/>
      <c r="AD281" s="269"/>
      <c r="AE281" s="269"/>
      <c r="AF281" s="269"/>
      <c r="AG281" s="269"/>
    </row>
    <row r="282" spans="1:33" x14ac:dyDescent="0.25">
      <c r="A282" s="99" t="s">
        <v>309</v>
      </c>
      <c r="B282" s="249" t="s">
        <v>1635</v>
      </c>
      <c r="C282" s="249" t="s">
        <v>1651</v>
      </c>
      <c r="D282" s="99" t="s">
        <v>310</v>
      </c>
      <c r="E282" s="99" t="s">
        <v>311</v>
      </c>
      <c r="F282" s="228"/>
      <c r="G282" s="102">
        <v>5</v>
      </c>
      <c r="H282" s="102" t="s">
        <v>108</v>
      </c>
      <c r="I282" s="218" t="s">
        <v>108</v>
      </c>
      <c r="J282" s="249" t="s">
        <v>446</v>
      </c>
      <c r="K282" s="99" t="s">
        <v>1540</v>
      </c>
      <c r="L282" s="99"/>
      <c r="M282" s="111"/>
      <c r="N282" s="111" t="s">
        <v>934</v>
      </c>
      <c r="O282" s="111"/>
      <c r="P282" s="328" t="s">
        <v>934</v>
      </c>
      <c r="Q282" s="111"/>
      <c r="R282" s="111"/>
      <c r="S282" s="321"/>
      <c r="T282" s="321"/>
      <c r="U282" s="321"/>
      <c r="V282" s="328" t="s">
        <v>1698</v>
      </c>
      <c r="W282" s="126"/>
    </row>
    <row r="283" spans="1:33" x14ac:dyDescent="0.25">
      <c r="A283" s="99" t="s">
        <v>1805</v>
      </c>
      <c r="B283" s="249" t="s">
        <v>1768</v>
      </c>
      <c r="C283" s="249" t="s">
        <v>1651</v>
      </c>
      <c r="D283" s="99" t="s">
        <v>1806</v>
      </c>
      <c r="E283" s="99" t="s">
        <v>311</v>
      </c>
      <c r="F283" s="228"/>
      <c r="G283" s="102">
        <v>24</v>
      </c>
      <c r="H283" s="102" t="s">
        <v>108</v>
      </c>
      <c r="I283" s="218" t="s">
        <v>108</v>
      </c>
      <c r="J283" s="249" t="s">
        <v>446</v>
      </c>
      <c r="K283" s="99" t="s">
        <v>1539</v>
      </c>
      <c r="L283" s="99"/>
      <c r="M283" s="328"/>
      <c r="N283" s="328" t="s">
        <v>934</v>
      </c>
      <c r="O283" s="328"/>
      <c r="P283" s="328" t="s">
        <v>934</v>
      </c>
      <c r="Q283" s="328"/>
      <c r="R283" s="328"/>
      <c r="S283" s="328"/>
      <c r="T283" s="328"/>
      <c r="U283" s="328"/>
      <c r="V283" s="328" t="s">
        <v>1698</v>
      </c>
      <c r="W283" s="126"/>
    </row>
    <row r="284" spans="1:33" x14ac:dyDescent="0.25">
      <c r="A284" s="99" t="s">
        <v>1847</v>
      </c>
      <c r="B284" s="249" t="s">
        <v>1635</v>
      </c>
      <c r="C284" s="249" t="s">
        <v>1651</v>
      </c>
      <c r="D284" s="99" t="s">
        <v>1849</v>
      </c>
      <c r="E284" s="99" t="s">
        <v>311</v>
      </c>
      <c r="F284" s="228"/>
      <c r="G284" s="102">
        <v>4</v>
      </c>
      <c r="H284" s="102" t="s">
        <v>108</v>
      </c>
      <c r="I284" s="218" t="s">
        <v>108</v>
      </c>
      <c r="J284" s="249" t="s">
        <v>446</v>
      </c>
      <c r="K284" s="99" t="s">
        <v>1851</v>
      </c>
      <c r="L284" s="99"/>
      <c r="M284" s="328"/>
      <c r="N284" s="328" t="s">
        <v>934</v>
      </c>
      <c r="O284" s="328"/>
      <c r="P284" s="328" t="s">
        <v>934</v>
      </c>
      <c r="Q284" s="328"/>
      <c r="R284" s="328"/>
      <c r="S284" s="328"/>
      <c r="T284" s="328"/>
      <c r="U284" s="328"/>
      <c r="V284" s="328" t="s">
        <v>1698</v>
      </c>
      <c r="W284" s="126"/>
    </row>
    <row r="285" spans="1:33" x14ac:dyDescent="0.25">
      <c r="A285" s="99" t="s">
        <v>1848</v>
      </c>
      <c r="B285" s="249" t="s">
        <v>1768</v>
      </c>
      <c r="C285" s="249" t="s">
        <v>1651</v>
      </c>
      <c r="D285" s="99" t="s">
        <v>1850</v>
      </c>
      <c r="E285" s="99" t="s">
        <v>311</v>
      </c>
      <c r="F285" s="228"/>
      <c r="G285" s="102">
        <v>14</v>
      </c>
      <c r="H285" s="102" t="s">
        <v>108</v>
      </c>
      <c r="I285" s="218" t="s">
        <v>108</v>
      </c>
      <c r="J285" s="249" t="s">
        <v>446</v>
      </c>
      <c r="K285" s="99" t="s">
        <v>1852</v>
      </c>
      <c r="L285" s="99"/>
      <c r="M285" s="328"/>
      <c r="N285" s="328" t="s">
        <v>934</v>
      </c>
      <c r="O285" s="328"/>
      <c r="P285" s="328" t="s">
        <v>934</v>
      </c>
      <c r="Q285" s="328"/>
      <c r="R285" s="328"/>
      <c r="S285" s="328"/>
      <c r="T285" s="328"/>
      <c r="U285" s="328"/>
      <c r="V285" s="328" t="s">
        <v>1698</v>
      </c>
      <c r="W285" s="126"/>
    </row>
    <row r="286" spans="1:33" x14ac:dyDescent="0.25">
      <c r="A286" s="339" t="s">
        <v>314</v>
      </c>
      <c r="B286" s="339" t="s">
        <v>1635</v>
      </c>
      <c r="C286" s="353" t="s">
        <v>1651</v>
      </c>
      <c r="D286" s="339" t="s">
        <v>315</v>
      </c>
      <c r="E286" s="339" t="s">
        <v>316</v>
      </c>
      <c r="F286" s="339"/>
      <c r="G286" s="102"/>
      <c r="H286" s="102"/>
      <c r="I286" s="266">
        <v>20</v>
      </c>
      <c r="J286" s="249" t="s">
        <v>446</v>
      </c>
      <c r="K286" s="99" t="s">
        <v>1540</v>
      </c>
      <c r="L286" s="99"/>
      <c r="M286" s="111"/>
      <c r="N286" s="111" t="s">
        <v>934</v>
      </c>
      <c r="O286" s="111"/>
      <c r="P286" s="328" t="s">
        <v>934</v>
      </c>
      <c r="Q286" s="111"/>
      <c r="R286" s="111"/>
      <c r="S286" s="321"/>
      <c r="T286" s="321"/>
      <c r="U286" s="321"/>
      <c r="V286" s="328" t="s">
        <v>1698</v>
      </c>
      <c r="W286" s="126"/>
    </row>
    <row r="287" spans="1:33" x14ac:dyDescent="0.25">
      <c r="A287" s="339" t="s">
        <v>1769</v>
      </c>
      <c r="B287" s="339" t="s">
        <v>1768</v>
      </c>
      <c r="C287" s="353" t="s">
        <v>1651</v>
      </c>
      <c r="D287" s="339" t="s">
        <v>1767</v>
      </c>
      <c r="E287" s="339" t="s">
        <v>316</v>
      </c>
      <c r="F287" s="340"/>
      <c r="G287" s="102"/>
      <c r="H287" s="102"/>
      <c r="I287" s="266">
        <v>35</v>
      </c>
      <c r="J287" s="249" t="s">
        <v>446</v>
      </c>
      <c r="K287" s="99" t="s">
        <v>1539</v>
      </c>
      <c r="L287" s="99"/>
      <c r="M287" s="111"/>
      <c r="N287" s="111" t="s">
        <v>934</v>
      </c>
      <c r="O287" s="111"/>
      <c r="P287" s="328" t="s">
        <v>934</v>
      </c>
      <c r="Q287" s="111"/>
      <c r="R287" s="111"/>
      <c r="S287" s="321"/>
      <c r="T287" s="321"/>
      <c r="U287" s="321"/>
      <c r="V287" s="328" t="s">
        <v>1698</v>
      </c>
      <c r="W287" s="126"/>
    </row>
    <row r="288" spans="1:33" x14ac:dyDescent="0.25">
      <c r="A288" s="339" t="s">
        <v>1770</v>
      </c>
      <c r="B288" s="339" t="s">
        <v>1635</v>
      </c>
      <c r="C288" s="353" t="s">
        <v>1651</v>
      </c>
      <c r="D288" s="339" t="s">
        <v>1771</v>
      </c>
      <c r="E288" s="339" t="s">
        <v>316</v>
      </c>
      <c r="F288" s="339"/>
      <c r="G288" s="102"/>
      <c r="H288" s="102"/>
      <c r="I288" s="328">
        <v>16</v>
      </c>
      <c r="J288" s="249" t="s">
        <v>446</v>
      </c>
      <c r="K288" s="99" t="s">
        <v>1772</v>
      </c>
      <c r="L288" s="99"/>
      <c r="M288" s="328"/>
      <c r="N288" s="328" t="s">
        <v>934</v>
      </c>
      <c r="O288" s="328"/>
      <c r="P288" s="328" t="s">
        <v>934</v>
      </c>
      <c r="Q288" s="328"/>
      <c r="R288" s="328"/>
      <c r="S288" s="328"/>
      <c r="T288" s="328"/>
      <c r="U288" s="328"/>
      <c r="V288" s="328" t="s">
        <v>1698</v>
      </c>
      <c r="W288" s="126"/>
    </row>
    <row r="289" spans="1:33" x14ac:dyDescent="0.25">
      <c r="A289" s="339" t="s">
        <v>1853</v>
      </c>
      <c r="B289" s="339" t="s">
        <v>1768</v>
      </c>
      <c r="C289" s="353" t="s">
        <v>1651</v>
      </c>
      <c r="D289" s="339" t="s">
        <v>1854</v>
      </c>
      <c r="E289" s="339" t="s">
        <v>316</v>
      </c>
      <c r="F289" s="340"/>
      <c r="G289" s="102"/>
      <c r="H289" s="102"/>
      <c r="I289" s="328">
        <v>25</v>
      </c>
      <c r="J289" s="249" t="s">
        <v>446</v>
      </c>
      <c r="K289" s="99" t="s">
        <v>1855</v>
      </c>
      <c r="L289" s="99"/>
      <c r="M289" s="328"/>
      <c r="N289" s="328" t="s">
        <v>934</v>
      </c>
      <c r="O289" s="328"/>
      <c r="P289" s="328" t="s">
        <v>934</v>
      </c>
      <c r="Q289" s="328"/>
      <c r="R289" s="328"/>
      <c r="S289" s="328"/>
      <c r="T289" s="328"/>
      <c r="U289" s="328"/>
      <c r="V289" s="328" t="s">
        <v>1698</v>
      </c>
      <c r="W289" s="126"/>
    </row>
    <row r="290" spans="1:33" x14ac:dyDescent="0.25">
      <c r="A290" s="99" t="s">
        <v>312</v>
      </c>
      <c r="B290" s="249" t="s">
        <v>1635</v>
      </c>
      <c r="C290" s="249" t="s">
        <v>1651</v>
      </c>
      <c r="D290" s="99" t="s">
        <v>313</v>
      </c>
      <c r="E290" s="99" t="s">
        <v>1183</v>
      </c>
      <c r="F290" s="228"/>
      <c r="G290" s="102" t="s">
        <v>108</v>
      </c>
      <c r="H290" s="102" t="s">
        <v>108</v>
      </c>
      <c r="I290" s="318" t="s">
        <v>1807</v>
      </c>
      <c r="J290" s="249" t="s">
        <v>446</v>
      </c>
      <c r="K290" s="99" t="s">
        <v>1249</v>
      </c>
      <c r="L290" s="99"/>
      <c r="M290" s="111"/>
      <c r="N290" s="111" t="s">
        <v>934</v>
      </c>
      <c r="O290" s="111"/>
      <c r="P290" s="328" t="s">
        <v>934</v>
      </c>
      <c r="Q290" s="111"/>
      <c r="R290" s="111"/>
      <c r="S290" s="321"/>
      <c r="T290" s="321"/>
      <c r="U290" s="321"/>
      <c r="V290" s="328" t="s">
        <v>1698</v>
      </c>
      <c r="W290" s="126"/>
    </row>
    <row r="291" spans="1:33" ht="23" x14ac:dyDescent="0.25">
      <c r="A291" s="99" t="s">
        <v>1247</v>
      </c>
      <c r="B291" s="249" t="s">
        <v>1635</v>
      </c>
      <c r="C291" s="249" t="s">
        <v>1651</v>
      </c>
      <c r="D291" s="99" t="s">
        <v>313</v>
      </c>
      <c r="E291" s="224" t="s">
        <v>1253</v>
      </c>
      <c r="F291" s="124"/>
      <c r="G291" s="125" t="s">
        <v>108</v>
      </c>
      <c r="H291" s="125" t="s">
        <v>108</v>
      </c>
      <c r="I291" s="318" t="s">
        <v>1248</v>
      </c>
      <c r="J291" s="249" t="s">
        <v>446</v>
      </c>
      <c r="K291" s="99" t="s">
        <v>1249</v>
      </c>
      <c r="L291" s="115"/>
      <c r="M291" s="111"/>
      <c r="N291" s="111" t="s">
        <v>934</v>
      </c>
      <c r="O291" s="111"/>
      <c r="P291" s="328" t="s">
        <v>934</v>
      </c>
      <c r="Q291" s="111"/>
      <c r="R291" s="111"/>
      <c r="S291" s="321"/>
      <c r="T291" s="321"/>
      <c r="U291" s="321"/>
      <c r="V291" s="328" t="s">
        <v>1698</v>
      </c>
      <c r="W291" s="289"/>
    </row>
    <row r="292" spans="1:33" x14ac:dyDescent="0.25">
      <c r="A292" s="99" t="s">
        <v>317</v>
      </c>
      <c r="B292" s="249" t="s">
        <v>1635</v>
      </c>
      <c r="C292" s="249" t="s">
        <v>1651</v>
      </c>
      <c r="D292" s="99" t="s">
        <v>318</v>
      </c>
      <c r="E292" s="99" t="s">
        <v>1773</v>
      </c>
      <c r="F292" s="228"/>
      <c r="G292" s="101">
        <v>5</v>
      </c>
      <c r="H292" s="102" t="s">
        <v>108</v>
      </c>
      <c r="I292" s="218" t="s">
        <v>108</v>
      </c>
      <c r="J292" s="249" t="s">
        <v>446</v>
      </c>
      <c r="K292" s="99"/>
      <c r="L292" s="99"/>
      <c r="M292" s="111"/>
      <c r="N292" s="111" t="s">
        <v>934</v>
      </c>
      <c r="O292" s="111"/>
      <c r="P292" s="328" t="s">
        <v>934</v>
      </c>
      <c r="Q292" s="111"/>
      <c r="R292" s="111"/>
      <c r="S292" s="321"/>
      <c r="T292" s="321"/>
      <c r="U292" s="321"/>
      <c r="V292" s="328" t="s">
        <v>1698</v>
      </c>
      <c r="W292" s="126"/>
    </row>
    <row r="293" spans="1:33" x14ac:dyDescent="0.25">
      <c r="A293" s="99" t="s">
        <v>319</v>
      </c>
      <c r="B293" s="249" t="s">
        <v>1635</v>
      </c>
      <c r="C293" s="249" t="s">
        <v>1651</v>
      </c>
      <c r="D293" s="99" t="s">
        <v>1072</v>
      </c>
      <c r="E293" s="99" t="s">
        <v>320</v>
      </c>
      <c r="F293" s="228"/>
      <c r="G293" s="346">
        <v>41</v>
      </c>
      <c r="H293" s="102"/>
      <c r="I293" s="218"/>
      <c r="J293" s="249" t="s">
        <v>446</v>
      </c>
      <c r="K293" s="99"/>
      <c r="L293" s="99"/>
      <c r="M293" s="111"/>
      <c r="N293" s="111" t="s">
        <v>934</v>
      </c>
      <c r="O293" s="111"/>
      <c r="P293" s="328" t="s">
        <v>934</v>
      </c>
      <c r="Q293" s="111"/>
      <c r="R293" s="111"/>
      <c r="S293" s="321"/>
      <c r="T293" s="321"/>
      <c r="U293" s="321"/>
      <c r="V293" s="328" t="s">
        <v>1698</v>
      </c>
      <c r="W293" s="282"/>
      <c r="X293" s="291"/>
    </row>
    <row r="294" spans="1:33" x14ac:dyDescent="0.25">
      <c r="A294" s="99" t="s">
        <v>1071</v>
      </c>
      <c r="B294" s="249" t="s">
        <v>1635</v>
      </c>
      <c r="C294" s="249" t="s">
        <v>1651</v>
      </c>
      <c r="D294" s="99" t="s">
        <v>1073</v>
      </c>
      <c r="E294" s="99" t="s">
        <v>1074</v>
      </c>
      <c r="F294" s="228"/>
      <c r="G294" s="120">
        <v>41</v>
      </c>
      <c r="H294" s="99"/>
      <c r="I294" s="266"/>
      <c r="J294" s="249" t="s">
        <v>446</v>
      </c>
      <c r="K294" s="108"/>
      <c r="L294" s="108"/>
      <c r="M294" s="111"/>
      <c r="N294" s="111" t="s">
        <v>934</v>
      </c>
      <c r="O294" s="111"/>
      <c r="P294" s="328" t="s">
        <v>934</v>
      </c>
      <c r="Q294" s="111"/>
      <c r="R294" s="111"/>
      <c r="S294" s="321"/>
      <c r="T294" s="321"/>
      <c r="U294" s="321"/>
      <c r="V294" s="328" t="s">
        <v>1698</v>
      </c>
      <c r="W294" s="282"/>
      <c r="X294" s="291"/>
    </row>
    <row r="295" spans="1:33" x14ac:dyDescent="0.25">
      <c r="A295" s="369" t="s">
        <v>321</v>
      </c>
      <c r="B295" s="370"/>
      <c r="C295" s="370"/>
      <c r="D295" s="370"/>
      <c r="E295" s="370"/>
      <c r="F295" s="370"/>
      <c r="G295" s="370"/>
      <c r="H295" s="370"/>
      <c r="I295" s="370"/>
      <c r="J295" s="370"/>
      <c r="K295" s="371"/>
      <c r="L295" s="194"/>
      <c r="M295" s="209"/>
      <c r="N295" s="209"/>
      <c r="O295" s="209"/>
      <c r="P295" s="209"/>
      <c r="Q295" s="209"/>
      <c r="R295" s="209"/>
      <c r="S295" s="209"/>
      <c r="T295" s="209"/>
      <c r="U295" s="209"/>
      <c r="V295" s="209"/>
      <c r="W295" s="223"/>
      <c r="X295" s="264"/>
      <c r="Y295" s="264"/>
      <c r="Z295" s="264"/>
      <c r="AA295" s="264"/>
      <c r="AB295" s="264"/>
      <c r="AC295" s="264"/>
      <c r="AD295" s="264"/>
      <c r="AE295" s="264"/>
      <c r="AF295" s="264"/>
      <c r="AG295" s="264"/>
    </row>
    <row r="296" spans="1:33" x14ac:dyDescent="0.25">
      <c r="A296" s="179" t="s">
        <v>322</v>
      </c>
      <c r="B296" s="262"/>
      <c r="C296" s="262"/>
      <c r="D296" s="180"/>
      <c r="E296" s="180"/>
      <c r="F296" s="304"/>
      <c r="G296" s="181"/>
      <c r="H296" s="181"/>
      <c r="I296" s="206"/>
      <c r="J296" s="269"/>
      <c r="K296" s="180"/>
      <c r="L296" s="180"/>
      <c r="M296" s="206"/>
      <c r="N296" s="206"/>
      <c r="O296" s="206"/>
      <c r="P296" s="206"/>
      <c r="Q296" s="206"/>
      <c r="R296" s="206"/>
      <c r="S296" s="206"/>
      <c r="T296" s="206"/>
      <c r="U296" s="206"/>
      <c r="V296" s="206"/>
      <c r="W296" s="279"/>
      <c r="X296" s="269"/>
      <c r="Y296" s="269"/>
      <c r="Z296" s="269"/>
      <c r="AA296" s="269"/>
      <c r="AB296" s="269"/>
      <c r="AC296" s="269"/>
      <c r="AD296" s="269"/>
      <c r="AE296" s="269"/>
      <c r="AF296" s="269"/>
      <c r="AG296" s="269"/>
    </row>
    <row r="297" spans="1:33" x14ac:dyDescent="0.25">
      <c r="A297" s="99" t="s">
        <v>323</v>
      </c>
      <c r="B297" s="249" t="s">
        <v>322</v>
      </c>
      <c r="C297" s="249" t="s">
        <v>1652</v>
      </c>
      <c r="D297" s="99" t="s">
        <v>324</v>
      </c>
      <c r="E297" s="99" t="s">
        <v>1344</v>
      </c>
      <c r="F297" s="228"/>
      <c r="G297" s="101">
        <v>1.71</v>
      </c>
      <c r="H297" s="102" t="s">
        <v>108</v>
      </c>
      <c r="I297" s="266">
        <v>3.6</v>
      </c>
      <c r="J297" s="249" t="s">
        <v>475</v>
      </c>
      <c r="K297" s="99" t="s">
        <v>1480</v>
      </c>
      <c r="L297" s="99"/>
      <c r="M297" s="111"/>
      <c r="N297" s="111" t="s">
        <v>934</v>
      </c>
      <c r="O297" s="111"/>
      <c r="P297" s="328" t="s">
        <v>934</v>
      </c>
      <c r="Q297" s="111"/>
      <c r="R297" s="111"/>
      <c r="S297" s="321"/>
      <c r="T297" s="321"/>
      <c r="U297" s="321"/>
      <c r="V297" s="328" t="s">
        <v>1697</v>
      </c>
      <c r="W297" s="126"/>
    </row>
    <row r="298" spans="1:33" x14ac:dyDescent="0.25">
      <c r="A298" s="99" t="s">
        <v>1342</v>
      </c>
      <c r="B298" s="249" t="s">
        <v>322</v>
      </c>
      <c r="C298" s="249" t="s">
        <v>1652</v>
      </c>
      <c r="D298" s="99" t="s">
        <v>1343</v>
      </c>
      <c r="E298" s="99" t="s">
        <v>1345</v>
      </c>
      <c r="F298" s="228"/>
      <c r="G298" s="101"/>
      <c r="H298" s="102"/>
      <c r="I298" s="266">
        <v>6</v>
      </c>
      <c r="J298" s="249" t="s">
        <v>476</v>
      </c>
      <c r="K298" s="99"/>
      <c r="L298" s="99"/>
      <c r="M298" s="111"/>
      <c r="N298" s="111" t="s">
        <v>934</v>
      </c>
      <c r="O298" s="111"/>
      <c r="P298" s="328" t="s">
        <v>934</v>
      </c>
      <c r="Q298" s="111"/>
      <c r="R298" s="111"/>
      <c r="S298" s="321"/>
      <c r="T298" s="321"/>
      <c r="U298" s="321"/>
      <c r="V298" s="328" t="s">
        <v>1696</v>
      </c>
      <c r="W298" s="126"/>
    </row>
    <row r="299" spans="1:33" x14ac:dyDescent="0.25">
      <c r="A299" s="179" t="s">
        <v>325</v>
      </c>
      <c r="B299" s="262"/>
      <c r="C299" s="262"/>
      <c r="D299" s="180"/>
      <c r="E299" s="180"/>
      <c r="F299" s="304"/>
      <c r="G299" s="181"/>
      <c r="H299" s="181"/>
      <c r="I299" s="206"/>
      <c r="J299" s="269"/>
      <c r="K299" s="180"/>
      <c r="L299" s="180"/>
      <c r="M299" s="206"/>
      <c r="N299" s="206"/>
      <c r="O299" s="206"/>
      <c r="P299" s="206"/>
      <c r="Q299" s="206"/>
      <c r="R299" s="206"/>
      <c r="S299" s="206"/>
      <c r="T299" s="206"/>
      <c r="U299" s="206"/>
      <c r="V299" s="206"/>
      <c r="W299" s="279"/>
      <c r="X299" s="269"/>
      <c r="Y299" s="269"/>
      <c r="Z299" s="269"/>
      <c r="AA299" s="269"/>
      <c r="AB299" s="269"/>
      <c r="AC299" s="269"/>
      <c r="AD299" s="269"/>
      <c r="AE299" s="269"/>
      <c r="AF299" s="269"/>
      <c r="AG299" s="269"/>
    </row>
    <row r="300" spans="1:33" x14ac:dyDescent="0.25">
      <c r="A300" s="99" t="s">
        <v>326</v>
      </c>
      <c r="B300" s="249" t="s">
        <v>325</v>
      </c>
      <c r="C300" s="249" t="s">
        <v>1652</v>
      </c>
      <c r="D300" s="99" t="s">
        <v>327</v>
      </c>
      <c r="E300" s="99" t="s">
        <v>328</v>
      </c>
      <c r="F300" s="228"/>
      <c r="G300" s="102" t="s">
        <v>108</v>
      </c>
      <c r="H300" s="102" t="s">
        <v>108</v>
      </c>
      <c r="I300" s="266">
        <v>16</v>
      </c>
      <c r="J300" s="249" t="s">
        <v>834</v>
      </c>
      <c r="K300" s="99" t="s">
        <v>1046</v>
      </c>
      <c r="L300" s="99"/>
      <c r="M300" s="111"/>
      <c r="N300" s="111" t="s">
        <v>934</v>
      </c>
      <c r="O300" s="111"/>
      <c r="P300" s="328" t="s">
        <v>934</v>
      </c>
      <c r="Q300" s="111"/>
      <c r="R300" s="111"/>
      <c r="S300" s="321"/>
      <c r="T300" s="321"/>
      <c r="U300" s="321"/>
      <c r="V300" s="328" t="s">
        <v>1696</v>
      </c>
      <c r="W300" s="126"/>
    </row>
    <row r="301" spans="1:33" x14ac:dyDescent="0.25">
      <c r="A301" s="99" t="s">
        <v>329</v>
      </c>
      <c r="B301" s="249" t="s">
        <v>325</v>
      </c>
      <c r="C301" s="249" t="s">
        <v>1652</v>
      </c>
      <c r="D301" s="99" t="s">
        <v>330</v>
      </c>
      <c r="E301" s="99" t="s">
        <v>331</v>
      </c>
      <c r="F301" s="228"/>
      <c r="G301" s="102" t="s">
        <v>108</v>
      </c>
      <c r="H301" s="102" t="s">
        <v>108</v>
      </c>
      <c r="I301" s="266">
        <v>11</v>
      </c>
      <c r="J301" s="249" t="s">
        <v>834</v>
      </c>
      <c r="K301" s="99"/>
      <c r="L301" s="99"/>
      <c r="M301" s="111"/>
      <c r="N301" s="111" t="s">
        <v>934</v>
      </c>
      <c r="O301" s="111"/>
      <c r="P301" s="328" t="s">
        <v>934</v>
      </c>
      <c r="Q301" s="111"/>
      <c r="R301" s="111"/>
      <c r="S301" s="321"/>
      <c r="T301" s="321"/>
      <c r="U301" s="321"/>
      <c r="V301" s="328" t="s">
        <v>1698</v>
      </c>
      <c r="W301" s="282"/>
    </row>
    <row r="302" spans="1:33" x14ac:dyDescent="0.25">
      <c r="A302" s="99" t="s">
        <v>332</v>
      </c>
      <c r="B302" s="249" t="s">
        <v>325</v>
      </c>
      <c r="C302" s="249" t="s">
        <v>1652</v>
      </c>
      <c r="D302" s="99" t="s">
        <v>333</v>
      </c>
      <c r="E302" s="99" t="s">
        <v>334</v>
      </c>
      <c r="F302" s="228"/>
      <c r="G302" s="102" t="s">
        <v>108</v>
      </c>
      <c r="H302" s="102" t="s">
        <v>108</v>
      </c>
      <c r="I302" s="266">
        <v>5</v>
      </c>
      <c r="J302" s="249" t="s">
        <v>834</v>
      </c>
      <c r="K302" s="99"/>
      <c r="L302" s="99"/>
      <c r="M302" s="111"/>
      <c r="N302" s="111" t="s">
        <v>934</v>
      </c>
      <c r="O302" s="111"/>
      <c r="P302" s="328" t="s">
        <v>934</v>
      </c>
      <c r="Q302" s="111"/>
      <c r="R302" s="111"/>
      <c r="S302" s="321"/>
      <c r="T302" s="321"/>
      <c r="U302" s="321"/>
      <c r="V302" s="328" t="s">
        <v>1698</v>
      </c>
      <c r="W302" s="126"/>
    </row>
    <row r="303" spans="1:33" s="117" customFormat="1" x14ac:dyDescent="0.25">
      <c r="A303" s="99" t="s">
        <v>335</v>
      </c>
      <c r="B303" s="249" t="s">
        <v>325</v>
      </c>
      <c r="C303" s="249" t="s">
        <v>1652</v>
      </c>
      <c r="D303" s="99" t="s">
        <v>336</v>
      </c>
      <c r="E303" s="99" t="s">
        <v>1883</v>
      </c>
      <c r="F303" s="228"/>
      <c r="G303" s="102" t="s">
        <v>108</v>
      </c>
      <c r="H303" s="102" t="s">
        <v>108</v>
      </c>
      <c r="I303" s="266">
        <v>11</v>
      </c>
      <c r="J303" s="249" t="s">
        <v>834</v>
      </c>
      <c r="K303" s="99"/>
      <c r="L303" s="99"/>
      <c r="M303" s="111"/>
      <c r="N303" s="111" t="s">
        <v>934</v>
      </c>
      <c r="O303" s="111"/>
      <c r="P303" s="328" t="s">
        <v>934</v>
      </c>
      <c r="Q303" s="111"/>
      <c r="R303" s="111"/>
      <c r="S303" s="321"/>
      <c r="T303" s="321"/>
      <c r="U303" s="321"/>
      <c r="V303" s="328" t="s">
        <v>1698</v>
      </c>
      <c r="W303" s="282"/>
      <c r="X303" s="230"/>
      <c r="Y303" s="230"/>
      <c r="Z303" s="230"/>
      <c r="AA303" s="230"/>
      <c r="AB303" s="230"/>
      <c r="AC303" s="230"/>
      <c r="AD303" s="230"/>
      <c r="AE303" s="230"/>
      <c r="AF303" s="230"/>
      <c r="AG303" s="230"/>
    </row>
    <row r="304" spans="1:33" x14ac:dyDescent="0.25">
      <c r="A304" s="99" t="s">
        <v>337</v>
      </c>
      <c r="B304" s="249" t="s">
        <v>325</v>
      </c>
      <c r="C304" s="249" t="s">
        <v>1652</v>
      </c>
      <c r="D304" s="99" t="s">
        <v>338</v>
      </c>
      <c r="E304" s="99" t="s">
        <v>1884</v>
      </c>
      <c r="F304" s="228"/>
      <c r="G304" s="102" t="s">
        <v>108</v>
      </c>
      <c r="H304" s="102" t="s">
        <v>108</v>
      </c>
      <c r="I304" s="266">
        <v>11</v>
      </c>
      <c r="J304" s="249" t="s">
        <v>834</v>
      </c>
      <c r="K304" s="99" t="s">
        <v>1481</v>
      </c>
      <c r="L304" s="99"/>
      <c r="M304" s="111"/>
      <c r="N304" s="111" t="s">
        <v>934</v>
      </c>
      <c r="O304" s="111"/>
      <c r="P304" s="328" t="s">
        <v>934</v>
      </c>
      <c r="Q304" s="111"/>
      <c r="R304" s="111"/>
      <c r="S304" s="321"/>
      <c r="T304" s="321"/>
      <c r="U304" s="321"/>
      <c r="V304" s="328" t="s">
        <v>1698</v>
      </c>
      <c r="W304" s="126"/>
    </row>
    <row r="305" spans="1:33" s="117" customFormat="1" x14ac:dyDescent="0.25">
      <c r="A305" s="99" t="s">
        <v>1048</v>
      </c>
      <c r="B305" s="249" t="s">
        <v>325</v>
      </c>
      <c r="C305" s="249" t="s">
        <v>1652</v>
      </c>
      <c r="D305" s="99" t="s">
        <v>1049</v>
      </c>
      <c r="E305" s="99" t="s">
        <v>1050</v>
      </c>
      <c r="F305" s="228"/>
      <c r="G305" s="102"/>
      <c r="H305" s="102"/>
      <c r="I305" s="266">
        <v>11</v>
      </c>
      <c r="J305" s="249" t="s">
        <v>834</v>
      </c>
      <c r="K305" s="99" t="s">
        <v>1051</v>
      </c>
      <c r="L305" s="99"/>
      <c r="M305" s="111"/>
      <c r="N305" s="111" t="s">
        <v>934</v>
      </c>
      <c r="O305" s="111"/>
      <c r="P305" s="328" t="s">
        <v>934</v>
      </c>
      <c r="Q305" s="111"/>
      <c r="R305" s="111"/>
      <c r="S305" s="321"/>
      <c r="T305" s="321"/>
      <c r="U305" s="321"/>
      <c r="V305" s="328" t="s">
        <v>1698</v>
      </c>
      <c r="W305" s="282"/>
      <c r="X305" s="230"/>
      <c r="Y305" s="230"/>
      <c r="Z305" s="230"/>
      <c r="AA305" s="230"/>
      <c r="AB305" s="230"/>
      <c r="AC305" s="230"/>
      <c r="AD305" s="230"/>
      <c r="AE305" s="230"/>
      <c r="AF305" s="230"/>
      <c r="AG305" s="230"/>
    </row>
    <row r="306" spans="1:33" x14ac:dyDescent="0.25">
      <c r="A306" s="99" t="s">
        <v>1047</v>
      </c>
      <c r="B306" s="249" t="s">
        <v>325</v>
      </c>
      <c r="C306" s="249" t="s">
        <v>1652</v>
      </c>
      <c r="D306" s="99" t="s">
        <v>1052</v>
      </c>
      <c r="E306" s="99" t="s">
        <v>1053</v>
      </c>
      <c r="F306" s="228"/>
      <c r="G306" s="102"/>
      <c r="H306" s="102"/>
      <c r="I306" s="266">
        <v>51</v>
      </c>
      <c r="J306" s="249" t="s">
        <v>834</v>
      </c>
      <c r="K306" s="99"/>
      <c r="L306" s="99"/>
      <c r="M306" s="111"/>
      <c r="N306" s="111" t="s">
        <v>934</v>
      </c>
      <c r="O306" s="111"/>
      <c r="P306" s="328" t="s">
        <v>934</v>
      </c>
      <c r="Q306" s="111"/>
      <c r="R306" s="111"/>
      <c r="S306" s="321"/>
      <c r="T306" s="321"/>
      <c r="U306" s="321"/>
      <c r="V306" s="328" t="s">
        <v>1698</v>
      </c>
      <c r="W306" s="126"/>
    </row>
    <row r="307" spans="1:33" x14ac:dyDescent="0.25">
      <c r="A307" s="99" t="s">
        <v>1054</v>
      </c>
      <c r="B307" s="249" t="s">
        <v>325</v>
      </c>
      <c r="C307" s="249" t="s">
        <v>1652</v>
      </c>
      <c r="D307" s="99" t="s">
        <v>1055</v>
      </c>
      <c r="E307" s="99" t="s">
        <v>1885</v>
      </c>
      <c r="F307" s="228"/>
      <c r="G307" s="102"/>
      <c r="H307" s="102"/>
      <c r="I307" s="266">
        <v>2.5</v>
      </c>
      <c r="J307" s="249" t="s">
        <v>342</v>
      </c>
      <c r="K307" s="99"/>
      <c r="L307" s="99"/>
      <c r="M307" s="111"/>
      <c r="N307" s="111" t="s">
        <v>934</v>
      </c>
      <c r="O307" s="111"/>
      <c r="P307" s="328" t="s">
        <v>934</v>
      </c>
      <c r="Q307" s="111"/>
      <c r="R307" s="111"/>
      <c r="S307" s="321"/>
      <c r="T307" s="321"/>
      <c r="U307" s="321"/>
      <c r="V307" s="328" t="s">
        <v>1698</v>
      </c>
      <c r="W307" s="126"/>
    </row>
    <row r="308" spans="1:33" x14ac:dyDescent="0.25">
      <c r="A308" s="99" t="s">
        <v>339</v>
      </c>
      <c r="B308" s="249" t="s">
        <v>325</v>
      </c>
      <c r="C308" s="249" t="s">
        <v>1652</v>
      </c>
      <c r="D308" s="99" t="s">
        <v>340</v>
      </c>
      <c r="E308" s="99" t="s">
        <v>341</v>
      </c>
      <c r="F308" s="228"/>
      <c r="G308" s="102" t="s">
        <v>108</v>
      </c>
      <c r="H308" s="102" t="s">
        <v>108</v>
      </c>
      <c r="I308" s="266">
        <v>5.2</v>
      </c>
      <c r="J308" s="249" t="s">
        <v>342</v>
      </c>
      <c r="K308" s="99"/>
      <c r="L308" s="99"/>
      <c r="M308" s="111"/>
      <c r="N308" s="111" t="s">
        <v>934</v>
      </c>
      <c r="O308" s="111"/>
      <c r="P308" s="328" t="s">
        <v>934</v>
      </c>
      <c r="Q308" s="111"/>
      <c r="R308" s="111"/>
      <c r="S308" s="321"/>
      <c r="T308" s="321"/>
      <c r="U308" s="321"/>
      <c r="V308" s="328" t="s">
        <v>1698</v>
      </c>
      <c r="W308" s="126"/>
    </row>
    <row r="309" spans="1:33" x14ac:dyDescent="0.25">
      <c r="A309" s="99" t="s">
        <v>343</v>
      </c>
      <c r="B309" s="249" t="s">
        <v>325</v>
      </c>
      <c r="C309" s="249" t="s">
        <v>1652</v>
      </c>
      <c r="D309" s="99" t="s">
        <v>344</v>
      </c>
      <c r="E309" s="99" t="s">
        <v>345</v>
      </c>
      <c r="F309" s="228"/>
      <c r="G309" s="101" t="s">
        <v>57</v>
      </c>
      <c r="H309" s="102" t="s">
        <v>108</v>
      </c>
      <c r="I309" s="218" t="s">
        <v>108</v>
      </c>
      <c r="J309" s="249" t="s">
        <v>465</v>
      </c>
      <c r="K309" s="99"/>
      <c r="L309" s="99"/>
      <c r="M309" s="111"/>
      <c r="N309" s="111" t="s">
        <v>934</v>
      </c>
      <c r="O309" s="111"/>
      <c r="P309" s="328" t="s">
        <v>934</v>
      </c>
      <c r="Q309" s="111"/>
      <c r="R309" s="111"/>
      <c r="S309" s="321"/>
      <c r="T309" s="321"/>
      <c r="U309" s="321"/>
      <c r="V309" s="328" t="s">
        <v>1698</v>
      </c>
      <c r="W309" s="126"/>
    </row>
    <row r="310" spans="1:33" x14ac:dyDescent="0.25">
      <c r="A310" s="99" t="s">
        <v>346</v>
      </c>
      <c r="B310" s="249" t="s">
        <v>325</v>
      </c>
      <c r="C310" s="249" t="s">
        <v>1652</v>
      </c>
      <c r="D310" s="99" t="s">
        <v>1260</v>
      </c>
      <c r="E310" s="99" t="s">
        <v>1257</v>
      </c>
      <c r="F310" s="228"/>
      <c r="G310" s="101">
        <v>10</v>
      </c>
      <c r="H310" s="102" t="s">
        <v>108</v>
      </c>
      <c r="I310" s="218" t="s">
        <v>108</v>
      </c>
      <c r="J310" s="249" t="s">
        <v>833</v>
      </c>
      <c r="K310" s="99"/>
      <c r="L310" s="99"/>
      <c r="M310" s="111"/>
      <c r="N310" s="111" t="s">
        <v>934</v>
      </c>
      <c r="O310" s="111"/>
      <c r="P310" s="328" t="s">
        <v>934</v>
      </c>
      <c r="Q310" s="111"/>
      <c r="R310" s="111"/>
      <c r="S310" s="321"/>
      <c r="T310" s="321"/>
      <c r="U310" s="321"/>
      <c r="V310" s="328" t="s">
        <v>1698</v>
      </c>
      <c r="W310" s="126"/>
    </row>
    <row r="311" spans="1:33" x14ac:dyDescent="0.25">
      <c r="A311" s="99" t="s">
        <v>1258</v>
      </c>
      <c r="B311" s="249" t="s">
        <v>325</v>
      </c>
      <c r="C311" s="249" t="s">
        <v>1652</v>
      </c>
      <c r="D311" s="99" t="s">
        <v>1261</v>
      </c>
      <c r="E311" s="99" t="s">
        <v>1667</v>
      </c>
      <c r="F311" s="228"/>
      <c r="G311" s="101">
        <v>10</v>
      </c>
      <c r="H311" s="102" t="s">
        <v>108</v>
      </c>
      <c r="I311" s="218" t="s">
        <v>108</v>
      </c>
      <c r="J311" s="249" t="s">
        <v>833</v>
      </c>
      <c r="K311" s="99"/>
      <c r="L311" s="99"/>
      <c r="M311" s="111"/>
      <c r="N311" s="111" t="s">
        <v>934</v>
      </c>
      <c r="O311" s="111"/>
      <c r="P311" s="328" t="s">
        <v>934</v>
      </c>
      <c r="Q311" s="111"/>
      <c r="R311" s="111"/>
      <c r="S311" s="321"/>
      <c r="T311" s="321"/>
      <c r="U311" s="321"/>
      <c r="V311" s="328" t="s">
        <v>1698</v>
      </c>
      <c r="W311" s="126"/>
    </row>
    <row r="312" spans="1:33" x14ac:dyDescent="0.25">
      <c r="A312" s="99" t="s">
        <v>1259</v>
      </c>
      <c r="B312" s="249" t="s">
        <v>325</v>
      </c>
      <c r="C312" s="249" t="s">
        <v>1652</v>
      </c>
      <c r="D312" s="99" t="s">
        <v>1262</v>
      </c>
      <c r="E312" s="99" t="s">
        <v>1668</v>
      </c>
      <c r="F312" s="228"/>
      <c r="G312" s="101">
        <v>20</v>
      </c>
      <c r="H312" s="102" t="s">
        <v>108</v>
      </c>
      <c r="I312" s="218" t="s">
        <v>108</v>
      </c>
      <c r="J312" s="249" t="s">
        <v>833</v>
      </c>
      <c r="K312" s="108"/>
      <c r="L312" s="108"/>
      <c r="M312" s="111"/>
      <c r="N312" s="111" t="s">
        <v>934</v>
      </c>
      <c r="O312" s="111"/>
      <c r="P312" s="328" t="s">
        <v>934</v>
      </c>
      <c r="Q312" s="111"/>
      <c r="R312" s="111"/>
      <c r="S312" s="321"/>
      <c r="T312" s="321"/>
      <c r="U312" s="321"/>
      <c r="V312" s="328" t="s">
        <v>1698</v>
      </c>
      <c r="W312" s="126"/>
    </row>
    <row r="313" spans="1:33" ht="12" thickBot="1" x14ac:dyDescent="0.3">
      <c r="A313" s="99" t="s">
        <v>407</v>
      </c>
      <c r="B313" s="249" t="s">
        <v>325</v>
      </c>
      <c r="C313" s="249" t="s">
        <v>1652</v>
      </c>
      <c r="D313" s="99" t="s">
        <v>1056</v>
      </c>
      <c r="E313" s="99" t="s">
        <v>1356</v>
      </c>
      <c r="F313" s="228"/>
      <c r="G313" s="102"/>
      <c r="H313" s="102" t="s">
        <v>108</v>
      </c>
      <c r="I313" s="218">
        <v>8</v>
      </c>
      <c r="J313" s="249"/>
      <c r="K313" s="234" t="s">
        <v>1353</v>
      </c>
      <c r="L313" s="108"/>
      <c r="M313" s="111"/>
      <c r="N313" s="111" t="s">
        <v>934</v>
      </c>
      <c r="O313" s="111"/>
      <c r="P313" s="328" t="s">
        <v>934</v>
      </c>
      <c r="Q313" s="111"/>
      <c r="R313" s="111"/>
      <c r="S313" s="321"/>
      <c r="T313" s="321"/>
      <c r="U313" s="321"/>
      <c r="V313" s="328" t="s">
        <v>1696</v>
      </c>
      <c r="W313" s="126"/>
    </row>
    <row r="314" spans="1:33" ht="12" thickBot="1" x14ac:dyDescent="0.3">
      <c r="A314" s="99" t="s">
        <v>1434</v>
      </c>
      <c r="B314" s="249" t="s">
        <v>325</v>
      </c>
      <c r="C314" s="249" t="s">
        <v>1652</v>
      </c>
      <c r="D314" s="99" t="s">
        <v>1056</v>
      </c>
      <c r="E314" s="99" t="s">
        <v>1435</v>
      </c>
      <c r="F314" s="228"/>
      <c r="G314" s="102"/>
      <c r="H314" s="102" t="s">
        <v>108</v>
      </c>
      <c r="I314" s="218">
        <v>9</v>
      </c>
      <c r="J314" s="249"/>
      <c r="K314" s="234" t="s">
        <v>1436</v>
      </c>
      <c r="L314" s="108"/>
      <c r="M314" s="111"/>
      <c r="N314" s="111" t="s">
        <v>934</v>
      </c>
      <c r="O314" s="111"/>
      <c r="P314" s="328" t="s">
        <v>934</v>
      </c>
      <c r="Q314" s="111"/>
      <c r="R314" s="111"/>
      <c r="S314" s="321"/>
      <c r="T314" s="321"/>
      <c r="U314" s="321"/>
      <c r="V314" s="328" t="s">
        <v>1696</v>
      </c>
      <c r="W314" s="126"/>
    </row>
    <row r="315" spans="1:33" x14ac:dyDescent="0.25">
      <c r="A315" s="369" t="s">
        <v>1886</v>
      </c>
      <c r="B315" s="370"/>
      <c r="C315" s="370"/>
      <c r="D315" s="370"/>
      <c r="E315" s="370"/>
      <c r="F315" s="370"/>
      <c r="G315" s="370"/>
      <c r="H315" s="370"/>
      <c r="I315" s="370"/>
      <c r="J315" s="370"/>
      <c r="K315" s="371"/>
      <c r="L315" s="194"/>
      <c r="M315" s="209"/>
      <c r="N315" s="209"/>
      <c r="O315" s="209"/>
      <c r="P315" s="209"/>
      <c r="Q315" s="209"/>
      <c r="R315" s="209"/>
      <c r="S315" s="209"/>
      <c r="T315" s="209"/>
      <c r="U315" s="209"/>
      <c r="V315" s="209"/>
      <c r="W315" s="223"/>
      <c r="X315" s="264"/>
      <c r="Y315" s="264"/>
      <c r="Z315" s="264"/>
      <c r="AA315" s="264"/>
      <c r="AB315" s="264"/>
      <c r="AC315" s="264"/>
      <c r="AD315" s="264"/>
      <c r="AE315" s="264"/>
      <c r="AF315" s="264"/>
      <c r="AG315" s="264"/>
    </row>
    <row r="316" spans="1:33" x14ac:dyDescent="0.25">
      <c r="A316" s="179" t="s">
        <v>347</v>
      </c>
      <c r="B316" s="262"/>
      <c r="C316" s="262"/>
      <c r="D316" s="180"/>
      <c r="E316" s="180"/>
      <c r="F316" s="304"/>
      <c r="G316" s="181"/>
      <c r="H316" s="181"/>
      <c r="I316" s="206"/>
      <c r="J316" s="269"/>
      <c r="K316" s="180"/>
      <c r="L316" s="180"/>
      <c r="M316" s="206"/>
      <c r="N316" s="206"/>
      <c r="O316" s="206"/>
      <c r="P316" s="206"/>
      <c r="Q316" s="206"/>
      <c r="R316" s="206"/>
      <c r="S316" s="206"/>
      <c r="T316" s="206"/>
      <c r="U316" s="206"/>
      <c r="V316" s="206"/>
      <c r="W316" s="279"/>
      <c r="X316" s="269"/>
      <c r="Y316" s="269"/>
      <c r="Z316" s="269"/>
      <c r="AA316" s="269"/>
      <c r="AB316" s="269"/>
      <c r="AC316" s="269"/>
      <c r="AD316" s="269"/>
      <c r="AE316" s="269"/>
      <c r="AF316" s="269"/>
      <c r="AG316" s="269"/>
    </row>
    <row r="317" spans="1:33" x14ac:dyDescent="0.25">
      <c r="A317" s="179" t="s">
        <v>348</v>
      </c>
      <c r="B317" s="262"/>
      <c r="C317" s="262"/>
      <c r="D317" s="180"/>
      <c r="E317" s="180"/>
      <c r="F317" s="304"/>
      <c r="G317" s="181"/>
      <c r="H317" s="181"/>
      <c r="I317" s="206"/>
      <c r="J317" s="269"/>
      <c r="K317" s="180"/>
      <c r="L317" s="180"/>
      <c r="M317" s="206"/>
      <c r="N317" s="206"/>
      <c r="O317" s="206"/>
      <c r="P317" s="206"/>
      <c r="Q317" s="206"/>
      <c r="R317" s="206"/>
      <c r="S317" s="206"/>
      <c r="T317" s="206"/>
      <c r="U317" s="206"/>
      <c r="V317" s="206"/>
      <c r="W317" s="279"/>
      <c r="X317" s="269"/>
      <c r="Y317" s="269"/>
      <c r="Z317" s="269"/>
      <c r="AA317" s="269"/>
      <c r="AB317" s="269"/>
      <c r="AC317" s="269"/>
      <c r="AD317" s="269"/>
      <c r="AE317" s="269"/>
      <c r="AF317" s="269"/>
      <c r="AG317" s="269"/>
    </row>
    <row r="318" spans="1:33" x14ac:dyDescent="0.25">
      <c r="A318" s="99" t="s">
        <v>349</v>
      </c>
      <c r="B318" s="249" t="s">
        <v>348</v>
      </c>
      <c r="C318" s="249" t="s">
        <v>1646</v>
      </c>
      <c r="D318" s="99" t="s">
        <v>350</v>
      </c>
      <c r="E318" s="99" t="s">
        <v>1106</v>
      </c>
      <c r="F318" s="228"/>
      <c r="G318" s="102">
        <v>1.54</v>
      </c>
      <c r="H318" s="102" t="s">
        <v>108</v>
      </c>
      <c r="I318" s="218" t="s">
        <v>108</v>
      </c>
      <c r="J318" s="249" t="s">
        <v>475</v>
      </c>
      <c r="K318" s="99" t="s">
        <v>1264</v>
      </c>
      <c r="L318" s="99"/>
      <c r="M318" s="111"/>
      <c r="N318" s="111" t="s">
        <v>934</v>
      </c>
      <c r="O318" s="111"/>
      <c r="P318" s="328" t="s">
        <v>934</v>
      </c>
      <c r="Q318" s="111"/>
      <c r="R318" s="111"/>
      <c r="S318" s="321"/>
      <c r="T318" s="321"/>
      <c r="U318" s="321"/>
      <c r="V318" s="328" t="s">
        <v>1696</v>
      </c>
      <c r="W318" s="126"/>
    </row>
    <row r="319" spans="1:33" x14ac:dyDescent="0.25">
      <c r="A319" s="99" t="s">
        <v>351</v>
      </c>
      <c r="B319" s="249" t="s">
        <v>348</v>
      </c>
      <c r="C319" s="249" t="s">
        <v>1646</v>
      </c>
      <c r="D319" s="99" t="s">
        <v>352</v>
      </c>
      <c r="E319" s="99" t="s">
        <v>1107</v>
      </c>
      <c r="F319" s="228"/>
      <c r="G319" s="101">
        <v>1.54</v>
      </c>
      <c r="H319" s="102" t="s">
        <v>108</v>
      </c>
      <c r="I319" s="218" t="s">
        <v>108</v>
      </c>
      <c r="J319" s="249" t="s">
        <v>475</v>
      </c>
      <c r="K319" s="99"/>
      <c r="L319" s="99"/>
      <c r="M319" s="111"/>
      <c r="N319" s="111" t="s">
        <v>934</v>
      </c>
      <c r="O319" s="111"/>
      <c r="P319" s="328" t="s">
        <v>934</v>
      </c>
      <c r="Q319" s="111"/>
      <c r="R319" s="111"/>
      <c r="S319" s="321"/>
      <c r="T319" s="321"/>
      <c r="U319" s="321"/>
      <c r="V319" s="328" t="s">
        <v>1698</v>
      </c>
      <c r="W319" s="126"/>
    </row>
    <row r="320" spans="1:33" x14ac:dyDescent="0.25">
      <c r="A320" s="99" t="s">
        <v>1172</v>
      </c>
      <c r="B320" s="249" t="s">
        <v>348</v>
      </c>
      <c r="C320" s="249" t="s">
        <v>1646</v>
      </c>
      <c r="D320" s="99" t="s">
        <v>1173</v>
      </c>
      <c r="E320" s="99" t="s">
        <v>1187</v>
      </c>
      <c r="F320" s="228"/>
      <c r="G320" s="101"/>
      <c r="H320" s="102"/>
      <c r="I320" s="218">
        <v>100</v>
      </c>
      <c r="J320" s="249" t="s">
        <v>1174</v>
      </c>
      <c r="K320" s="99" t="s">
        <v>1195</v>
      </c>
      <c r="L320" s="99"/>
      <c r="M320" s="111"/>
      <c r="N320" s="111" t="s">
        <v>934</v>
      </c>
      <c r="O320" s="111"/>
      <c r="P320" s="328" t="s">
        <v>934</v>
      </c>
      <c r="Q320" s="111"/>
      <c r="R320" s="111"/>
      <c r="S320" s="321"/>
      <c r="T320" s="321"/>
      <c r="U320" s="321"/>
      <c r="V320" s="328" t="s">
        <v>1698</v>
      </c>
      <c r="W320" s="126"/>
    </row>
    <row r="321" spans="1:33" x14ac:dyDescent="0.25">
      <c r="A321" s="99" t="s">
        <v>353</v>
      </c>
      <c r="B321" s="249" t="s">
        <v>348</v>
      </c>
      <c r="C321" s="249" t="s">
        <v>1646</v>
      </c>
      <c r="D321" s="99"/>
      <c r="E321" s="99"/>
      <c r="F321" s="228"/>
      <c r="G321" s="101"/>
      <c r="H321" s="101"/>
      <c r="I321" s="266"/>
      <c r="J321" s="249"/>
      <c r="K321" s="99"/>
      <c r="L321" s="99"/>
      <c r="M321" s="111"/>
      <c r="N321" s="111" t="s">
        <v>934</v>
      </c>
      <c r="O321" s="111"/>
      <c r="P321" s="328" t="s">
        <v>934</v>
      </c>
      <c r="Q321" s="111"/>
      <c r="R321" s="111"/>
      <c r="S321" s="321"/>
      <c r="T321" s="321"/>
      <c r="U321" s="321"/>
      <c r="V321" s="328" t="s">
        <v>1698</v>
      </c>
      <c r="W321" s="126"/>
    </row>
    <row r="322" spans="1:33" x14ac:dyDescent="0.25">
      <c r="A322" s="99" t="s">
        <v>1175</v>
      </c>
      <c r="B322" s="249" t="s">
        <v>348</v>
      </c>
      <c r="C322" s="249" t="s">
        <v>1646</v>
      </c>
      <c r="D322" s="99" t="s">
        <v>1176</v>
      </c>
      <c r="E322" s="99" t="s">
        <v>1178</v>
      </c>
      <c r="F322" s="228"/>
      <c r="G322" s="101"/>
      <c r="H322" s="102"/>
      <c r="I322" s="218">
        <v>10</v>
      </c>
      <c r="J322" s="249" t="s">
        <v>1174</v>
      </c>
      <c r="K322" s="99" t="s">
        <v>1177</v>
      </c>
      <c r="L322" s="99"/>
      <c r="M322" s="111"/>
      <c r="N322" s="111" t="s">
        <v>934</v>
      </c>
      <c r="O322" s="111"/>
      <c r="P322" s="328" t="s">
        <v>934</v>
      </c>
      <c r="Q322" s="111"/>
      <c r="R322" s="111"/>
      <c r="S322" s="321"/>
      <c r="T322" s="321"/>
      <c r="U322" s="321"/>
      <c r="V322" s="328" t="s">
        <v>1698</v>
      </c>
      <c r="W322" s="126"/>
    </row>
    <row r="323" spans="1:33" s="117" customFormat="1" x14ac:dyDescent="0.25">
      <c r="A323" s="179" t="s">
        <v>354</v>
      </c>
      <c r="B323" s="262"/>
      <c r="C323" s="262"/>
      <c r="D323" s="180"/>
      <c r="E323" s="180"/>
      <c r="F323" s="304"/>
      <c r="G323" s="181"/>
      <c r="H323" s="181"/>
      <c r="I323" s="206"/>
      <c r="J323" s="269"/>
      <c r="K323" s="180"/>
      <c r="L323" s="180"/>
      <c r="M323" s="206"/>
      <c r="N323" s="206"/>
      <c r="O323" s="206"/>
      <c r="P323" s="206"/>
      <c r="Q323" s="206"/>
      <c r="R323" s="206"/>
      <c r="S323" s="206"/>
      <c r="T323" s="206"/>
      <c r="U323" s="206"/>
      <c r="V323" s="206"/>
      <c r="W323" s="279"/>
      <c r="X323" s="269"/>
      <c r="Y323" s="269"/>
      <c r="Z323" s="269"/>
      <c r="AA323" s="269"/>
      <c r="AB323" s="269"/>
      <c r="AC323" s="269"/>
      <c r="AD323" s="269"/>
      <c r="AE323" s="269"/>
      <c r="AF323" s="269"/>
      <c r="AG323" s="269"/>
    </row>
    <row r="324" spans="1:33" x14ac:dyDescent="0.25">
      <c r="A324" s="99" t="s">
        <v>1113</v>
      </c>
      <c r="B324" s="249" t="s">
        <v>354</v>
      </c>
      <c r="C324" s="249" t="s">
        <v>1646</v>
      </c>
      <c r="D324" s="99" t="s">
        <v>1114</v>
      </c>
      <c r="E324" s="99"/>
      <c r="F324" s="228"/>
      <c r="G324" s="106">
        <v>1.1821249999999999</v>
      </c>
      <c r="H324" s="106">
        <v>1.2249999999999999</v>
      </c>
      <c r="I324" s="298">
        <v>1.2678749999999999</v>
      </c>
      <c r="J324" s="249" t="s">
        <v>475</v>
      </c>
      <c r="K324" s="99"/>
      <c r="L324" s="99"/>
      <c r="M324" s="111"/>
      <c r="N324" s="111" t="s">
        <v>934</v>
      </c>
      <c r="O324" s="111"/>
      <c r="P324" s="328" t="s">
        <v>934</v>
      </c>
      <c r="Q324" s="111"/>
      <c r="R324" s="111"/>
      <c r="S324" s="321"/>
      <c r="T324" s="321"/>
      <c r="U324" s="321"/>
      <c r="V324" s="328" t="s">
        <v>1698</v>
      </c>
      <c r="W324" s="126"/>
    </row>
    <row r="325" spans="1:33" x14ac:dyDescent="0.25">
      <c r="A325" s="99" t="s">
        <v>355</v>
      </c>
      <c r="B325" s="249" t="s">
        <v>354</v>
      </c>
      <c r="C325" s="249" t="s">
        <v>1646</v>
      </c>
      <c r="D325" s="99" t="s">
        <v>1115</v>
      </c>
      <c r="E325" s="99"/>
      <c r="F325" s="228"/>
      <c r="G325" s="106">
        <v>1.3751249999999997</v>
      </c>
      <c r="H325" s="106">
        <v>1.4249999999999998</v>
      </c>
      <c r="I325" s="298">
        <v>1.4748749999999997</v>
      </c>
      <c r="J325" s="249" t="s">
        <v>475</v>
      </c>
      <c r="K325" s="99"/>
      <c r="L325" s="99"/>
      <c r="M325" s="111"/>
      <c r="N325" s="111" t="s">
        <v>934</v>
      </c>
      <c r="O325" s="111"/>
      <c r="P325" s="328" t="s">
        <v>934</v>
      </c>
      <c r="Q325" s="111"/>
      <c r="R325" s="111"/>
      <c r="S325" s="321"/>
      <c r="T325" s="321"/>
      <c r="U325" s="321"/>
      <c r="V325" s="328" t="s">
        <v>1698</v>
      </c>
      <c r="W325" s="126"/>
    </row>
    <row r="326" spans="1:33" x14ac:dyDescent="0.25">
      <c r="A326" s="99" t="s">
        <v>356</v>
      </c>
      <c r="B326" s="249" t="s">
        <v>354</v>
      </c>
      <c r="C326" s="249" t="s">
        <v>1646</v>
      </c>
      <c r="D326" s="99" t="s">
        <v>1116</v>
      </c>
      <c r="E326" s="99"/>
      <c r="F326" s="228"/>
      <c r="G326" s="106">
        <v>1.568125</v>
      </c>
      <c r="H326" s="106">
        <v>1.625</v>
      </c>
      <c r="I326" s="298">
        <v>1.6818749999999998</v>
      </c>
      <c r="J326" s="249" t="s">
        <v>475</v>
      </c>
      <c r="K326" s="99"/>
      <c r="L326" s="99"/>
      <c r="M326" s="111"/>
      <c r="N326" s="111" t="s">
        <v>934</v>
      </c>
      <c r="O326" s="111"/>
      <c r="P326" s="328" t="s">
        <v>934</v>
      </c>
      <c r="Q326" s="111"/>
      <c r="R326" s="111"/>
      <c r="S326" s="321"/>
      <c r="T326" s="321"/>
      <c r="U326" s="321"/>
      <c r="V326" s="328" t="s">
        <v>1698</v>
      </c>
      <c r="W326" s="126"/>
    </row>
    <row r="327" spans="1:33" x14ac:dyDescent="0.25">
      <c r="A327" s="99" t="s">
        <v>357</v>
      </c>
      <c r="B327" s="249" t="s">
        <v>354</v>
      </c>
      <c r="C327" s="249" t="s">
        <v>1646</v>
      </c>
      <c r="D327" s="99" t="s">
        <v>1117</v>
      </c>
      <c r="E327" s="99"/>
      <c r="F327" s="228"/>
      <c r="G327" s="106">
        <v>1.7611249999999998</v>
      </c>
      <c r="H327" s="106">
        <v>1.825</v>
      </c>
      <c r="I327" s="298">
        <v>1.8888749999999999</v>
      </c>
      <c r="J327" s="249" t="s">
        <v>475</v>
      </c>
      <c r="K327" s="99"/>
      <c r="L327" s="99"/>
      <c r="M327" s="111"/>
      <c r="N327" s="111" t="s">
        <v>934</v>
      </c>
      <c r="O327" s="111"/>
      <c r="P327" s="328" t="s">
        <v>934</v>
      </c>
      <c r="Q327" s="111"/>
      <c r="R327" s="111"/>
      <c r="S327" s="321"/>
      <c r="T327" s="321"/>
      <c r="U327" s="321"/>
      <c r="V327" s="328" t="s">
        <v>1698</v>
      </c>
      <c r="W327" s="126"/>
    </row>
    <row r="328" spans="1:33" x14ac:dyDescent="0.25">
      <c r="A328" s="99" t="s">
        <v>358</v>
      </c>
      <c r="B328" s="249" t="s">
        <v>354</v>
      </c>
      <c r="C328" s="249" t="s">
        <v>1646</v>
      </c>
      <c r="D328" s="99" t="s">
        <v>1118</v>
      </c>
      <c r="E328" s="99"/>
      <c r="F328" s="228"/>
      <c r="G328" s="106">
        <v>1.9541249999999999</v>
      </c>
      <c r="H328" s="106">
        <v>2.0249999999999999</v>
      </c>
      <c r="I328" s="298">
        <v>2.0958749999999999</v>
      </c>
      <c r="J328" s="249" t="s">
        <v>475</v>
      </c>
      <c r="K328" s="99"/>
      <c r="L328" s="99"/>
      <c r="M328" s="111"/>
      <c r="N328" s="111" t="s">
        <v>934</v>
      </c>
      <c r="O328" s="111"/>
      <c r="P328" s="328" t="s">
        <v>934</v>
      </c>
      <c r="Q328" s="111"/>
      <c r="R328" s="111"/>
      <c r="S328" s="321"/>
      <c r="T328" s="321"/>
      <c r="U328" s="321"/>
      <c r="V328" s="328" t="s">
        <v>1698</v>
      </c>
      <c r="W328" s="126"/>
    </row>
    <row r="329" spans="1:33" x14ac:dyDescent="0.25">
      <c r="A329" s="99" t="s">
        <v>359</v>
      </c>
      <c r="B329" s="249" t="s">
        <v>354</v>
      </c>
      <c r="C329" s="249" t="s">
        <v>1646</v>
      </c>
      <c r="D329" s="99" t="s">
        <v>1119</v>
      </c>
      <c r="E329" s="99"/>
      <c r="F329" s="228"/>
      <c r="G329" s="106">
        <v>2.0506250000000001</v>
      </c>
      <c r="H329" s="106">
        <v>2.125</v>
      </c>
      <c r="I329" s="298">
        <v>2.1993749999999999</v>
      </c>
      <c r="J329" s="249" t="s">
        <v>475</v>
      </c>
      <c r="K329" s="99"/>
      <c r="L329" s="99"/>
      <c r="M329" s="111"/>
      <c r="N329" s="111" t="s">
        <v>934</v>
      </c>
      <c r="O329" s="111"/>
      <c r="P329" s="328" t="s">
        <v>934</v>
      </c>
      <c r="Q329" s="111"/>
      <c r="R329" s="111"/>
      <c r="S329" s="321"/>
      <c r="T329" s="321"/>
      <c r="U329" s="321"/>
      <c r="V329" s="328" t="s">
        <v>1698</v>
      </c>
      <c r="W329" s="126"/>
    </row>
    <row r="330" spans="1:33" x14ac:dyDescent="0.25">
      <c r="A330" s="99" t="s">
        <v>360</v>
      </c>
      <c r="B330" s="249" t="s">
        <v>354</v>
      </c>
      <c r="C330" s="249" t="s">
        <v>1646</v>
      </c>
      <c r="D330" s="99" t="s">
        <v>1120</v>
      </c>
      <c r="E330" s="99"/>
      <c r="F330" s="228"/>
      <c r="G330" s="106">
        <v>2.147125</v>
      </c>
      <c r="H330" s="106">
        <v>2.2250000000000001</v>
      </c>
      <c r="I330" s="298">
        <v>2.3028749999999998</v>
      </c>
      <c r="J330" s="249" t="s">
        <v>475</v>
      </c>
      <c r="K330" s="99"/>
      <c r="L330" s="99"/>
      <c r="M330" s="111"/>
      <c r="N330" s="111" t="s">
        <v>934</v>
      </c>
      <c r="O330" s="111"/>
      <c r="P330" s="328" t="s">
        <v>934</v>
      </c>
      <c r="Q330" s="111"/>
      <c r="R330" s="111"/>
      <c r="S330" s="321"/>
      <c r="T330" s="321"/>
      <c r="U330" s="321"/>
      <c r="V330" s="328" t="s">
        <v>1698</v>
      </c>
      <c r="W330" s="126"/>
    </row>
    <row r="331" spans="1:33" x14ac:dyDescent="0.25">
      <c r="A331" s="99" t="s">
        <v>361</v>
      </c>
      <c r="B331" s="249" t="s">
        <v>354</v>
      </c>
      <c r="C331" s="249" t="s">
        <v>1646</v>
      </c>
      <c r="D331" s="99" t="s">
        <v>1121</v>
      </c>
      <c r="E331" s="99"/>
      <c r="F331" s="228"/>
      <c r="G331" s="106">
        <v>2.2436249999999998</v>
      </c>
      <c r="H331" s="106">
        <v>2.3249999999999997</v>
      </c>
      <c r="I331" s="298">
        <v>2.4063749999999997</v>
      </c>
      <c r="J331" s="249" t="s">
        <v>475</v>
      </c>
      <c r="K331" s="99"/>
      <c r="L331" s="99"/>
      <c r="M331" s="111"/>
      <c r="N331" s="111" t="s">
        <v>934</v>
      </c>
      <c r="O331" s="111"/>
      <c r="P331" s="328" t="s">
        <v>934</v>
      </c>
      <c r="Q331" s="111"/>
      <c r="R331" s="111"/>
      <c r="S331" s="321"/>
      <c r="T331" s="321"/>
      <c r="U331" s="321"/>
      <c r="V331" s="328" t="s">
        <v>1698</v>
      </c>
      <c r="W331" s="126"/>
    </row>
    <row r="332" spans="1:33" x14ac:dyDescent="0.25">
      <c r="A332" s="99" t="s">
        <v>362</v>
      </c>
      <c r="B332" s="249" t="s">
        <v>354</v>
      </c>
      <c r="C332" s="249" t="s">
        <v>1646</v>
      </c>
      <c r="D332" s="99" t="s">
        <v>1122</v>
      </c>
      <c r="E332" s="99"/>
      <c r="F332" s="228"/>
      <c r="G332" s="106">
        <v>2.3401249999999996</v>
      </c>
      <c r="H332" s="106">
        <v>2.4249999999999998</v>
      </c>
      <c r="I332" s="298">
        <v>2.5098749999999996</v>
      </c>
      <c r="J332" s="249" t="s">
        <v>475</v>
      </c>
      <c r="K332" s="99"/>
      <c r="L332" s="99"/>
      <c r="M332" s="111"/>
      <c r="N332" s="111" t="s">
        <v>934</v>
      </c>
      <c r="O332" s="111"/>
      <c r="P332" s="328" t="s">
        <v>934</v>
      </c>
      <c r="Q332" s="111"/>
      <c r="R332" s="111"/>
      <c r="S332" s="321"/>
      <c r="T332" s="321"/>
      <c r="U332" s="321"/>
      <c r="V332" s="328" t="s">
        <v>1698</v>
      </c>
      <c r="W332" s="126"/>
    </row>
    <row r="333" spans="1:33" x14ac:dyDescent="0.25">
      <c r="A333" s="99" t="s">
        <v>363</v>
      </c>
      <c r="B333" s="249" t="s">
        <v>354</v>
      </c>
      <c r="C333" s="249" t="s">
        <v>1646</v>
      </c>
      <c r="D333" s="99" t="s">
        <v>1123</v>
      </c>
      <c r="E333" s="99"/>
      <c r="F333" s="228"/>
      <c r="G333" s="106">
        <v>2.4366249999999998</v>
      </c>
      <c r="H333" s="106">
        <v>2.5249999999999999</v>
      </c>
      <c r="I333" s="298">
        <v>2.6133749999999996</v>
      </c>
      <c r="J333" s="249" t="s">
        <v>475</v>
      </c>
      <c r="K333" s="99"/>
      <c r="L333" s="99"/>
      <c r="M333" s="111"/>
      <c r="N333" s="111" t="s">
        <v>934</v>
      </c>
      <c r="O333" s="111"/>
      <c r="P333" s="328" t="s">
        <v>934</v>
      </c>
      <c r="Q333" s="111"/>
      <c r="R333" s="111"/>
      <c r="S333" s="321"/>
      <c r="T333" s="321"/>
      <c r="U333" s="321"/>
      <c r="V333" s="328" t="s">
        <v>1698</v>
      </c>
      <c r="W333" s="126"/>
    </row>
    <row r="334" spans="1:33" x14ac:dyDescent="0.25">
      <c r="A334" s="99" t="s">
        <v>364</v>
      </c>
      <c r="B334" s="249" t="s">
        <v>354</v>
      </c>
      <c r="C334" s="249" t="s">
        <v>1646</v>
      </c>
      <c r="D334" s="99" t="s">
        <v>1124</v>
      </c>
      <c r="E334" s="99"/>
      <c r="F334" s="228"/>
      <c r="G334" s="106">
        <v>2.5331250000000001</v>
      </c>
      <c r="H334" s="106">
        <v>2.625</v>
      </c>
      <c r="I334" s="298">
        <v>2.7168749999999999</v>
      </c>
      <c r="J334" s="249" t="s">
        <v>475</v>
      </c>
      <c r="K334" s="99"/>
      <c r="L334" s="99"/>
      <c r="M334" s="111"/>
      <c r="N334" s="111" t="s">
        <v>934</v>
      </c>
      <c r="O334" s="111"/>
      <c r="P334" s="328" t="s">
        <v>934</v>
      </c>
      <c r="Q334" s="111"/>
      <c r="R334" s="111"/>
      <c r="S334" s="321"/>
      <c r="T334" s="321"/>
      <c r="U334" s="321"/>
      <c r="V334" s="328" t="s">
        <v>1698</v>
      </c>
      <c r="W334" s="126"/>
    </row>
    <row r="335" spans="1:33" x14ac:dyDescent="0.25">
      <c r="A335" s="99" t="s">
        <v>365</v>
      </c>
      <c r="B335" s="249" t="s">
        <v>354</v>
      </c>
      <c r="C335" s="249" t="s">
        <v>1646</v>
      </c>
      <c r="D335" s="99" t="s">
        <v>1125</v>
      </c>
      <c r="E335" s="99"/>
      <c r="F335" s="228"/>
      <c r="G335" s="106">
        <v>2.6296249999999999</v>
      </c>
      <c r="H335" s="106">
        <v>2.7250000000000001</v>
      </c>
      <c r="I335" s="298">
        <v>2.8203749999999999</v>
      </c>
      <c r="J335" s="249" t="s">
        <v>475</v>
      </c>
      <c r="K335" s="99"/>
      <c r="L335" s="99"/>
      <c r="M335" s="111"/>
      <c r="N335" s="111" t="s">
        <v>934</v>
      </c>
      <c r="O335" s="111"/>
      <c r="P335" s="328" t="s">
        <v>934</v>
      </c>
      <c r="Q335" s="111"/>
      <c r="R335" s="111"/>
      <c r="S335" s="321"/>
      <c r="T335" s="321"/>
      <c r="U335" s="321"/>
      <c r="V335" s="328" t="s">
        <v>1698</v>
      </c>
      <c r="W335" s="126"/>
    </row>
    <row r="336" spans="1:33" x14ac:dyDescent="0.25">
      <c r="A336" s="99" t="s">
        <v>366</v>
      </c>
      <c r="B336" s="249" t="s">
        <v>354</v>
      </c>
      <c r="C336" s="249" t="s">
        <v>1646</v>
      </c>
      <c r="D336" s="99" t="s">
        <v>1126</v>
      </c>
      <c r="E336" s="99"/>
      <c r="F336" s="228"/>
      <c r="G336" s="106">
        <v>2.7261249999999997</v>
      </c>
      <c r="H336" s="106">
        <v>2.8249999999999997</v>
      </c>
      <c r="I336" s="298">
        <v>2.9238749999999993</v>
      </c>
      <c r="J336" s="249" t="s">
        <v>475</v>
      </c>
      <c r="K336" s="99"/>
      <c r="L336" s="99"/>
      <c r="M336" s="111"/>
      <c r="N336" s="111" t="s">
        <v>934</v>
      </c>
      <c r="O336" s="111"/>
      <c r="P336" s="328" t="s">
        <v>934</v>
      </c>
      <c r="Q336" s="111"/>
      <c r="R336" s="111"/>
      <c r="S336" s="321"/>
      <c r="T336" s="321"/>
      <c r="U336" s="321"/>
      <c r="V336" s="328" t="s">
        <v>1698</v>
      </c>
      <c r="W336" s="126"/>
    </row>
    <row r="337" spans="1:33" x14ac:dyDescent="0.25">
      <c r="A337" s="99" t="s">
        <v>367</v>
      </c>
      <c r="B337" s="249" t="s">
        <v>354</v>
      </c>
      <c r="C337" s="249" t="s">
        <v>1646</v>
      </c>
      <c r="D337" s="99" t="s">
        <v>1127</v>
      </c>
      <c r="E337" s="99"/>
      <c r="F337" s="228"/>
      <c r="G337" s="106">
        <v>2.8226249999999999</v>
      </c>
      <c r="H337" s="106">
        <v>2.9249999999999998</v>
      </c>
      <c r="I337" s="298">
        <v>3.0273749999999997</v>
      </c>
      <c r="J337" s="249" t="s">
        <v>475</v>
      </c>
      <c r="K337" s="99"/>
      <c r="L337" s="99"/>
      <c r="M337" s="111"/>
      <c r="N337" s="111" t="s">
        <v>934</v>
      </c>
      <c r="O337" s="111"/>
      <c r="P337" s="328" t="s">
        <v>934</v>
      </c>
      <c r="Q337" s="111"/>
      <c r="R337" s="111"/>
      <c r="S337" s="321"/>
      <c r="T337" s="321"/>
      <c r="U337" s="321"/>
      <c r="V337" s="328" t="s">
        <v>1698</v>
      </c>
      <c r="W337" s="126"/>
    </row>
    <row r="338" spans="1:33" x14ac:dyDescent="0.25">
      <c r="A338" s="99" t="s">
        <v>368</v>
      </c>
      <c r="B338" s="249" t="s">
        <v>354</v>
      </c>
      <c r="C338" s="249" t="s">
        <v>1646</v>
      </c>
      <c r="D338" s="99" t="s">
        <v>1128</v>
      </c>
      <c r="E338" s="99"/>
      <c r="F338" s="228"/>
      <c r="G338" s="106">
        <v>2.9191249999999997</v>
      </c>
      <c r="H338" s="106">
        <v>3.0249999999999999</v>
      </c>
      <c r="I338" s="298">
        <v>3.1308749999999996</v>
      </c>
      <c r="J338" s="249" t="s">
        <v>475</v>
      </c>
      <c r="K338" s="99"/>
      <c r="L338" s="99"/>
      <c r="M338" s="111"/>
      <c r="N338" s="111" t="s">
        <v>934</v>
      </c>
      <c r="O338" s="111"/>
      <c r="P338" s="328" t="s">
        <v>934</v>
      </c>
      <c r="Q338" s="111"/>
      <c r="R338" s="111"/>
      <c r="S338" s="321"/>
      <c r="T338" s="321"/>
      <c r="U338" s="321"/>
      <c r="V338" s="328" t="s">
        <v>1698</v>
      </c>
      <c r="W338" s="126"/>
    </row>
    <row r="339" spans="1:33" x14ac:dyDescent="0.25">
      <c r="A339" s="99" t="s">
        <v>369</v>
      </c>
      <c r="B339" s="249" t="s">
        <v>354</v>
      </c>
      <c r="C339" s="249" t="s">
        <v>1646</v>
      </c>
      <c r="D339" s="99" t="s">
        <v>1129</v>
      </c>
      <c r="E339" s="99"/>
      <c r="F339" s="228"/>
      <c r="G339" s="106">
        <v>3.015625</v>
      </c>
      <c r="H339" s="106">
        <v>3.125</v>
      </c>
      <c r="I339" s="298">
        <v>3.2343749999999996</v>
      </c>
      <c r="J339" s="249" t="s">
        <v>475</v>
      </c>
      <c r="K339" s="99"/>
      <c r="L339" s="99"/>
      <c r="M339" s="111"/>
      <c r="N339" s="111" t="s">
        <v>934</v>
      </c>
      <c r="O339" s="111"/>
      <c r="P339" s="328" t="s">
        <v>934</v>
      </c>
      <c r="Q339" s="111"/>
      <c r="R339" s="111"/>
      <c r="S339" s="321"/>
      <c r="T339" s="321"/>
      <c r="U339" s="321"/>
      <c r="V339" s="328" t="s">
        <v>1698</v>
      </c>
      <c r="W339" s="126"/>
    </row>
    <row r="340" spans="1:33" x14ac:dyDescent="0.25">
      <c r="A340" s="99" t="s">
        <v>370</v>
      </c>
      <c r="B340" s="249" t="s">
        <v>354</v>
      </c>
      <c r="C340" s="249" t="s">
        <v>1646</v>
      </c>
      <c r="D340" s="99" t="s">
        <v>371</v>
      </c>
      <c r="E340" s="99" t="s">
        <v>372</v>
      </c>
      <c r="F340" s="228"/>
      <c r="G340" s="102" t="s">
        <v>108</v>
      </c>
      <c r="H340" s="102">
        <v>5</v>
      </c>
      <c r="I340" s="266">
        <v>15</v>
      </c>
      <c r="J340" s="249" t="s">
        <v>219</v>
      </c>
      <c r="K340" s="99"/>
      <c r="L340" s="99"/>
      <c r="M340" s="111"/>
      <c r="N340" s="111" t="s">
        <v>934</v>
      </c>
      <c r="O340" s="111"/>
      <c r="P340" s="328" t="s">
        <v>934</v>
      </c>
      <c r="Q340" s="111"/>
      <c r="R340" s="111"/>
      <c r="S340" s="321"/>
      <c r="T340" s="321"/>
      <c r="U340" s="321"/>
      <c r="V340" s="328" t="s">
        <v>1698</v>
      </c>
      <c r="W340" s="282"/>
    </row>
    <row r="341" spans="1:33" x14ac:dyDescent="0.25">
      <c r="A341" s="179" t="s">
        <v>373</v>
      </c>
      <c r="B341" s="262"/>
      <c r="C341" s="262"/>
      <c r="D341" s="180"/>
      <c r="E341" s="180"/>
      <c r="F341" s="304"/>
      <c r="G341" s="181"/>
      <c r="H341" s="181"/>
      <c r="I341" s="206"/>
      <c r="J341" s="269"/>
      <c r="K341" s="180"/>
      <c r="L341" s="180"/>
      <c r="M341" s="206"/>
      <c r="N341" s="206"/>
      <c r="O341" s="206"/>
      <c r="P341" s="206"/>
      <c r="Q341" s="206"/>
      <c r="R341" s="206"/>
      <c r="S341" s="206"/>
      <c r="T341" s="206"/>
      <c r="U341" s="206"/>
      <c r="V341" s="206"/>
      <c r="W341" s="279"/>
      <c r="X341" s="269"/>
      <c r="Y341" s="269"/>
      <c r="Z341" s="269"/>
      <c r="AA341" s="269"/>
      <c r="AB341" s="269"/>
      <c r="AC341" s="269"/>
      <c r="AD341" s="269"/>
      <c r="AE341" s="269"/>
      <c r="AF341" s="269"/>
      <c r="AG341" s="269"/>
    </row>
    <row r="342" spans="1:33" x14ac:dyDescent="0.25">
      <c r="A342" s="99" t="s">
        <v>374</v>
      </c>
      <c r="B342" s="249" t="s">
        <v>373</v>
      </c>
      <c r="C342" s="249" t="s">
        <v>1646</v>
      </c>
      <c r="D342" s="99" t="s">
        <v>375</v>
      </c>
      <c r="E342" s="99" t="s">
        <v>1336</v>
      </c>
      <c r="F342" s="228"/>
      <c r="G342" s="102" t="s">
        <v>108</v>
      </c>
      <c r="H342" s="102" t="s">
        <v>108</v>
      </c>
      <c r="I342" s="266">
        <v>170</v>
      </c>
      <c r="J342" s="249" t="s">
        <v>446</v>
      </c>
      <c r="K342" s="133"/>
      <c r="L342" s="133"/>
      <c r="M342" s="111"/>
      <c r="N342" s="111" t="s">
        <v>934</v>
      </c>
      <c r="O342" s="111"/>
      <c r="P342" s="328" t="s">
        <v>934</v>
      </c>
      <c r="Q342" s="111"/>
      <c r="R342" s="111"/>
      <c r="S342" s="321"/>
      <c r="T342" s="321"/>
      <c r="U342" s="321"/>
      <c r="V342" s="328" t="s">
        <v>1698</v>
      </c>
      <c r="W342" s="126"/>
    </row>
    <row r="343" spans="1:33" x14ac:dyDescent="0.25">
      <c r="A343" s="369" t="s">
        <v>1235</v>
      </c>
      <c r="B343" s="370"/>
      <c r="C343" s="370"/>
      <c r="D343" s="370"/>
      <c r="E343" s="370"/>
      <c r="F343" s="370"/>
      <c r="G343" s="370"/>
      <c r="H343" s="370"/>
      <c r="I343" s="370"/>
      <c r="J343" s="370"/>
      <c r="K343" s="371"/>
      <c r="L343" s="194"/>
      <c r="M343" s="209"/>
      <c r="N343" s="209"/>
      <c r="O343" s="209"/>
      <c r="P343" s="209"/>
      <c r="Q343" s="209"/>
      <c r="R343" s="209"/>
      <c r="S343" s="209"/>
      <c r="T343" s="209"/>
      <c r="U343" s="209"/>
      <c r="V343" s="209"/>
      <c r="W343" s="223"/>
      <c r="X343" s="264"/>
      <c r="Y343" s="264"/>
      <c r="Z343" s="264"/>
      <c r="AA343" s="264"/>
      <c r="AB343" s="264"/>
      <c r="AC343" s="264"/>
      <c r="AD343" s="264"/>
      <c r="AE343" s="264"/>
      <c r="AF343" s="264"/>
      <c r="AG343" s="264"/>
    </row>
    <row r="344" spans="1:33" x14ac:dyDescent="0.25">
      <c r="A344" s="99" t="s">
        <v>376</v>
      </c>
      <c r="B344" s="249" t="s">
        <v>1235</v>
      </c>
      <c r="C344" s="249" t="s">
        <v>1653</v>
      </c>
      <c r="D344" s="99" t="s">
        <v>377</v>
      </c>
      <c r="E344" s="99" t="s">
        <v>1100</v>
      </c>
      <c r="F344" s="228"/>
      <c r="G344" s="102" t="s">
        <v>108</v>
      </c>
      <c r="H344" s="102" t="s">
        <v>108</v>
      </c>
      <c r="I344" s="218">
        <v>25</v>
      </c>
      <c r="J344" s="249" t="s">
        <v>529</v>
      </c>
      <c r="K344" s="99" t="s">
        <v>1170</v>
      </c>
      <c r="L344" s="99"/>
      <c r="M344" s="111"/>
      <c r="N344" s="111" t="s">
        <v>934</v>
      </c>
      <c r="O344" s="111"/>
      <c r="P344" s="328" t="s">
        <v>934</v>
      </c>
      <c r="Q344" s="111"/>
      <c r="R344" s="111"/>
      <c r="S344" s="321"/>
      <c r="T344" s="321"/>
      <c r="U344" s="321"/>
      <c r="V344" s="328" t="s">
        <v>1696</v>
      </c>
      <c r="W344" s="126"/>
    </row>
    <row r="345" spans="1:33" x14ac:dyDescent="0.25">
      <c r="A345" s="99" t="s">
        <v>1168</v>
      </c>
      <c r="B345" s="249" t="s">
        <v>1235</v>
      </c>
      <c r="C345" s="249" t="s">
        <v>1653</v>
      </c>
      <c r="D345" s="99" t="s">
        <v>1169</v>
      </c>
      <c r="E345" s="99" t="s">
        <v>1100</v>
      </c>
      <c r="F345" s="228"/>
      <c r="G345" s="102"/>
      <c r="H345" s="102"/>
      <c r="I345" s="218">
        <v>12</v>
      </c>
      <c r="J345" s="249" t="s">
        <v>529</v>
      </c>
      <c r="K345" s="99" t="s">
        <v>1171</v>
      </c>
      <c r="L345" s="99"/>
      <c r="M345" s="111"/>
      <c r="N345" s="111" t="s">
        <v>934</v>
      </c>
      <c r="O345" s="111"/>
      <c r="P345" s="328" t="s">
        <v>934</v>
      </c>
      <c r="Q345" s="111"/>
      <c r="R345" s="111"/>
      <c r="S345" s="321"/>
      <c r="T345" s="321"/>
      <c r="U345" s="321"/>
      <c r="V345" s="328" t="s">
        <v>1698</v>
      </c>
      <c r="W345" s="126"/>
    </row>
    <row r="346" spans="1:33" x14ac:dyDescent="0.25">
      <c r="A346" s="99" t="s">
        <v>378</v>
      </c>
      <c r="B346" s="249" t="s">
        <v>1235</v>
      </c>
      <c r="C346" s="249" t="s">
        <v>1654</v>
      </c>
      <c r="D346" s="99" t="s">
        <v>835</v>
      </c>
      <c r="E346" s="99" t="s">
        <v>379</v>
      </c>
      <c r="F346" s="228"/>
      <c r="G346" s="101" t="s">
        <v>380</v>
      </c>
      <c r="H346" s="102" t="s">
        <v>108</v>
      </c>
      <c r="I346" s="218" t="s">
        <v>108</v>
      </c>
      <c r="J346" s="249" t="s">
        <v>446</v>
      </c>
      <c r="K346" s="99"/>
      <c r="L346" s="99"/>
      <c r="M346" s="111"/>
      <c r="N346" s="111" t="s">
        <v>934</v>
      </c>
      <c r="O346" s="111"/>
      <c r="P346" s="328" t="s">
        <v>934</v>
      </c>
      <c r="Q346" s="111"/>
      <c r="R346" s="111"/>
      <c r="S346" s="321"/>
      <c r="T346" s="321"/>
      <c r="U346" s="321"/>
      <c r="V346" s="328" t="s">
        <v>1698</v>
      </c>
      <c r="W346" s="126"/>
    </row>
    <row r="347" spans="1:33" x14ac:dyDescent="0.25">
      <c r="A347" s="99" t="s">
        <v>381</v>
      </c>
      <c r="B347" s="249" t="s">
        <v>1235</v>
      </c>
      <c r="C347" s="249" t="s">
        <v>1655</v>
      </c>
      <c r="D347" s="99" t="s">
        <v>836</v>
      </c>
      <c r="E347" s="99" t="s">
        <v>379</v>
      </c>
      <c r="F347" s="228"/>
      <c r="G347" s="101" t="s">
        <v>380</v>
      </c>
      <c r="H347" s="102" t="s">
        <v>108</v>
      </c>
      <c r="I347" s="218" t="s">
        <v>108</v>
      </c>
      <c r="J347" s="249" t="s">
        <v>446</v>
      </c>
      <c r="K347" s="99"/>
      <c r="L347" s="99"/>
      <c r="M347" s="111"/>
      <c r="N347" s="111" t="s">
        <v>934</v>
      </c>
      <c r="O347" s="111"/>
      <c r="P347" s="328" t="s">
        <v>934</v>
      </c>
      <c r="Q347" s="111"/>
      <c r="R347" s="111"/>
      <c r="S347" s="321"/>
      <c r="T347" s="321"/>
      <c r="U347" s="321"/>
      <c r="V347" s="328" t="s">
        <v>1698</v>
      </c>
      <c r="W347" s="126"/>
    </row>
    <row r="348" spans="1:33" x14ac:dyDescent="0.25">
      <c r="A348" s="99" t="s">
        <v>382</v>
      </c>
      <c r="B348" s="249" t="s">
        <v>1235</v>
      </c>
      <c r="C348" s="249" t="s">
        <v>1656</v>
      </c>
      <c r="D348" s="99" t="s">
        <v>837</v>
      </c>
      <c r="E348" s="99" t="s">
        <v>379</v>
      </c>
      <c r="F348" s="228"/>
      <c r="G348" s="101"/>
      <c r="H348" s="102" t="s">
        <v>108</v>
      </c>
      <c r="I348" s="266" t="s">
        <v>383</v>
      </c>
      <c r="J348" s="249" t="s">
        <v>446</v>
      </c>
      <c r="K348" s="99"/>
      <c r="L348" s="99"/>
      <c r="M348" s="111"/>
      <c r="N348" s="111" t="s">
        <v>934</v>
      </c>
      <c r="O348" s="111"/>
      <c r="P348" s="328" t="s">
        <v>934</v>
      </c>
      <c r="Q348" s="111"/>
      <c r="R348" s="111"/>
      <c r="S348" s="321"/>
      <c r="T348" s="321"/>
      <c r="U348" s="321"/>
      <c r="V348" s="328" t="s">
        <v>1698</v>
      </c>
      <c r="W348" s="126"/>
    </row>
    <row r="349" spans="1:33" x14ac:dyDescent="0.25">
      <c r="A349" s="99" t="s">
        <v>384</v>
      </c>
      <c r="B349" s="249" t="s">
        <v>1235</v>
      </c>
      <c r="C349" s="249" t="s">
        <v>1657</v>
      </c>
      <c r="D349" s="99" t="s">
        <v>838</v>
      </c>
      <c r="E349" s="99" t="s">
        <v>379</v>
      </c>
      <c r="F349" s="228"/>
      <c r="G349" s="101">
        <v>1</v>
      </c>
      <c r="H349" s="102" t="s">
        <v>108</v>
      </c>
      <c r="I349" s="218" t="s">
        <v>108</v>
      </c>
      <c r="J349" s="249" t="s">
        <v>446</v>
      </c>
      <c r="K349" s="99"/>
      <c r="L349" s="99"/>
      <c r="M349" s="111"/>
      <c r="N349" s="111" t="s">
        <v>934</v>
      </c>
      <c r="O349" s="111"/>
      <c r="P349" s="328" t="s">
        <v>934</v>
      </c>
      <c r="Q349" s="111"/>
      <c r="R349" s="111"/>
      <c r="S349" s="321"/>
      <c r="T349" s="321"/>
      <c r="U349" s="321"/>
      <c r="V349" s="328" t="s">
        <v>1698</v>
      </c>
      <c r="W349" s="126"/>
    </row>
    <row r="350" spans="1:33" x14ac:dyDescent="0.25">
      <c r="A350" s="99" t="s">
        <v>1236</v>
      </c>
      <c r="B350" s="249" t="s">
        <v>1235</v>
      </c>
      <c r="C350" s="249" t="s">
        <v>1658</v>
      </c>
      <c r="D350" s="99" t="s">
        <v>1242</v>
      </c>
      <c r="E350" s="99" t="s">
        <v>1244</v>
      </c>
      <c r="F350" s="228"/>
      <c r="G350" s="101"/>
      <c r="H350" s="102"/>
      <c r="I350" s="218">
        <v>90</v>
      </c>
      <c r="J350" s="249" t="s">
        <v>529</v>
      </c>
      <c r="K350" s="99" t="s">
        <v>1700</v>
      </c>
      <c r="L350" s="99"/>
      <c r="M350" s="111"/>
      <c r="N350" s="111" t="s">
        <v>934</v>
      </c>
      <c r="O350" s="111"/>
      <c r="P350" s="328" t="s">
        <v>934</v>
      </c>
      <c r="Q350" s="111"/>
      <c r="R350" s="111"/>
      <c r="S350" s="321"/>
      <c r="T350" s="321"/>
      <c r="U350" s="321"/>
      <c r="V350" s="328" t="s">
        <v>1696</v>
      </c>
      <c r="W350" s="282"/>
    </row>
    <row r="351" spans="1:33" x14ac:dyDescent="0.25">
      <c r="A351" s="99" t="s">
        <v>1237</v>
      </c>
      <c r="B351" s="249" t="s">
        <v>1235</v>
      </c>
      <c r="C351" s="249" t="s">
        <v>1659</v>
      </c>
      <c r="D351" s="99" t="s">
        <v>1243</v>
      </c>
      <c r="E351" s="99" t="s">
        <v>1244</v>
      </c>
      <c r="F351" s="228"/>
      <c r="G351" s="101"/>
      <c r="H351" s="102"/>
      <c r="I351" s="218">
        <v>75</v>
      </c>
      <c r="J351" s="249" t="s">
        <v>529</v>
      </c>
      <c r="K351" s="99" t="s">
        <v>1239</v>
      </c>
      <c r="L351" s="99"/>
      <c r="M351" s="111"/>
      <c r="N351" s="111" t="s">
        <v>934</v>
      </c>
      <c r="O351" s="111"/>
      <c r="P351" s="328" t="s">
        <v>934</v>
      </c>
      <c r="Q351" s="111"/>
      <c r="R351" s="111"/>
      <c r="S351" s="321"/>
      <c r="T351" s="321"/>
      <c r="U351" s="321"/>
      <c r="V351" s="328" t="s">
        <v>1698</v>
      </c>
      <c r="W351" s="126"/>
    </row>
    <row r="352" spans="1:33" x14ac:dyDescent="0.25">
      <c r="A352" s="99" t="s">
        <v>1238</v>
      </c>
      <c r="B352" s="249" t="s">
        <v>1235</v>
      </c>
      <c r="C352" s="249" t="s">
        <v>1659</v>
      </c>
      <c r="D352" s="99" t="s">
        <v>1243</v>
      </c>
      <c r="E352" s="99" t="s">
        <v>1244</v>
      </c>
      <c r="F352" s="228"/>
      <c r="G352" s="101"/>
      <c r="H352" s="102"/>
      <c r="I352" s="218">
        <v>50</v>
      </c>
      <c r="J352" s="249" t="s">
        <v>529</v>
      </c>
      <c r="K352" s="99" t="s">
        <v>1702</v>
      </c>
      <c r="L352" s="99"/>
      <c r="M352" s="322"/>
      <c r="N352" s="322" t="s">
        <v>934</v>
      </c>
      <c r="O352" s="322"/>
      <c r="P352" s="328" t="s">
        <v>934</v>
      </c>
      <c r="Q352" s="322"/>
      <c r="R352" s="322"/>
      <c r="S352" s="322"/>
      <c r="T352" s="322"/>
      <c r="U352" s="322"/>
      <c r="V352" s="328" t="s">
        <v>1698</v>
      </c>
      <c r="W352" s="126"/>
    </row>
    <row r="353" spans="1:33" x14ac:dyDescent="0.25">
      <c r="A353" s="99" t="s">
        <v>1701</v>
      </c>
      <c r="B353" s="249" t="s">
        <v>1235</v>
      </c>
      <c r="C353" s="249" t="s">
        <v>1660</v>
      </c>
      <c r="D353" s="99" t="s">
        <v>1240</v>
      </c>
      <c r="E353" s="99" t="s">
        <v>1244</v>
      </c>
      <c r="F353" s="228"/>
      <c r="G353" s="101"/>
      <c r="H353" s="102"/>
      <c r="I353" s="218">
        <v>25</v>
      </c>
      <c r="J353" s="249" t="s">
        <v>529</v>
      </c>
      <c r="K353" s="99" t="s">
        <v>1241</v>
      </c>
      <c r="L353" s="99"/>
      <c r="M353" s="111"/>
      <c r="N353" s="111" t="s">
        <v>934</v>
      </c>
      <c r="O353" s="111"/>
      <c r="P353" s="328" t="s">
        <v>934</v>
      </c>
      <c r="Q353" s="111"/>
      <c r="R353" s="111"/>
      <c r="S353" s="321"/>
      <c r="T353" s="321"/>
      <c r="U353" s="321"/>
      <c r="V353" s="328" t="s">
        <v>1698</v>
      </c>
      <c r="W353" s="126"/>
    </row>
    <row r="354" spans="1:33" x14ac:dyDescent="0.25">
      <c r="A354" s="187" t="s">
        <v>408</v>
      </c>
      <c r="B354" s="264"/>
      <c r="C354" s="264"/>
      <c r="D354" s="188"/>
      <c r="E354" s="188"/>
      <c r="F354" s="310"/>
      <c r="G354" s="189"/>
      <c r="H354" s="189"/>
      <c r="I354" s="219"/>
      <c r="J354" s="276"/>
      <c r="K354" s="188"/>
      <c r="L354" s="188"/>
      <c r="M354" s="219"/>
      <c r="N354" s="219"/>
      <c r="O354" s="219"/>
      <c r="P354" s="219"/>
      <c r="Q354" s="219"/>
      <c r="R354" s="219"/>
      <c r="S354" s="219"/>
      <c r="T354" s="219"/>
      <c r="U354" s="219"/>
      <c r="V354" s="219"/>
      <c r="W354" s="223"/>
      <c r="X354" s="264"/>
      <c r="Y354" s="264"/>
      <c r="Z354" s="264"/>
      <c r="AA354" s="264"/>
      <c r="AB354" s="264"/>
      <c r="AC354" s="264"/>
      <c r="AD354" s="264"/>
      <c r="AE354" s="264"/>
      <c r="AF354" s="264"/>
      <c r="AG354" s="264"/>
    </row>
    <row r="355" spans="1:33" x14ac:dyDescent="0.25">
      <c r="A355" s="179" t="s">
        <v>385</v>
      </c>
      <c r="B355" s="262"/>
      <c r="C355" s="262"/>
      <c r="D355" s="180"/>
      <c r="E355" s="180"/>
      <c r="F355" s="304"/>
      <c r="G355" s="181"/>
      <c r="H355" s="181"/>
      <c r="I355" s="206"/>
      <c r="J355" s="269"/>
      <c r="K355" s="180"/>
      <c r="L355" s="180"/>
      <c r="M355" s="206"/>
      <c r="N355" s="206"/>
      <c r="O355" s="206"/>
      <c r="P355" s="206"/>
      <c r="Q355" s="206"/>
      <c r="R355" s="206"/>
      <c r="S355" s="206"/>
      <c r="T355" s="206"/>
      <c r="U355" s="206"/>
      <c r="V355" s="206"/>
      <c r="W355" s="279"/>
      <c r="X355" s="269"/>
      <c r="Y355" s="269"/>
      <c r="Z355" s="269"/>
      <c r="AA355" s="269"/>
      <c r="AB355" s="269"/>
      <c r="AC355" s="269"/>
      <c r="AD355" s="269"/>
      <c r="AE355" s="269"/>
      <c r="AF355" s="269"/>
      <c r="AG355" s="269"/>
    </row>
    <row r="356" spans="1:33" x14ac:dyDescent="0.25">
      <c r="A356" s="99" t="s">
        <v>386</v>
      </c>
      <c r="B356" s="249" t="s">
        <v>385</v>
      </c>
      <c r="C356" s="249" t="s">
        <v>1646</v>
      </c>
      <c r="D356" s="99" t="s">
        <v>387</v>
      </c>
      <c r="E356" s="99" t="s">
        <v>1042</v>
      </c>
      <c r="F356" s="228"/>
      <c r="G356" s="102" t="s">
        <v>108</v>
      </c>
      <c r="H356" s="102">
        <v>9</v>
      </c>
      <c r="I356" s="266">
        <v>15</v>
      </c>
      <c r="J356" s="249" t="s">
        <v>849</v>
      </c>
      <c r="K356" s="99"/>
      <c r="L356" s="99"/>
      <c r="M356" s="111"/>
      <c r="N356" s="111" t="s">
        <v>934</v>
      </c>
      <c r="O356" s="111"/>
      <c r="P356" s="328" t="s">
        <v>934</v>
      </c>
      <c r="Q356" s="111"/>
      <c r="R356" s="111"/>
      <c r="S356" s="321"/>
      <c r="T356" s="321"/>
      <c r="U356" s="321"/>
      <c r="V356" s="328" t="s">
        <v>1696</v>
      </c>
      <c r="W356" s="126"/>
    </row>
    <row r="357" spans="1:33" x14ac:dyDescent="0.25">
      <c r="A357" s="179" t="s">
        <v>388</v>
      </c>
      <c r="B357" s="262"/>
      <c r="C357" s="262"/>
      <c r="D357" s="180" t="s">
        <v>389</v>
      </c>
      <c r="E357" s="180"/>
      <c r="F357" s="304"/>
      <c r="G357" s="181"/>
      <c r="H357" s="181"/>
      <c r="I357" s="206"/>
      <c r="J357" s="269"/>
      <c r="K357" s="180"/>
      <c r="L357" s="180"/>
      <c r="M357" s="206"/>
      <c r="N357" s="206"/>
      <c r="O357" s="206"/>
      <c r="P357" s="206"/>
      <c r="Q357" s="206"/>
      <c r="R357" s="206"/>
      <c r="S357" s="206"/>
      <c r="T357" s="206"/>
      <c r="U357" s="206"/>
      <c r="V357" s="206"/>
      <c r="W357" s="279"/>
      <c r="X357" s="269"/>
      <c r="Y357" s="269"/>
      <c r="Z357" s="269"/>
      <c r="AA357" s="269"/>
      <c r="AB357" s="269"/>
      <c r="AC357" s="269"/>
      <c r="AD357" s="269"/>
      <c r="AE357" s="269"/>
      <c r="AF357" s="269"/>
      <c r="AG357" s="269"/>
    </row>
    <row r="358" spans="1:33" x14ac:dyDescent="0.25">
      <c r="A358" s="99" t="s">
        <v>390</v>
      </c>
      <c r="B358" s="249" t="s">
        <v>388</v>
      </c>
      <c r="C358" s="249" t="s">
        <v>1646</v>
      </c>
      <c r="D358" s="99" t="s">
        <v>391</v>
      </c>
      <c r="E358" s="99" t="s">
        <v>1196</v>
      </c>
      <c r="F358" s="228"/>
      <c r="G358" s="102" t="s">
        <v>108</v>
      </c>
      <c r="H358" s="102" t="s">
        <v>108</v>
      </c>
      <c r="I358" s="218" t="s">
        <v>1255</v>
      </c>
      <c r="J358" s="249" t="s">
        <v>530</v>
      </c>
      <c r="K358" s="107"/>
      <c r="L358" s="107"/>
      <c r="M358" s="111"/>
      <c r="N358" s="111" t="s">
        <v>934</v>
      </c>
      <c r="O358" s="111"/>
      <c r="P358" s="328" t="s">
        <v>934</v>
      </c>
      <c r="Q358" s="111"/>
      <c r="R358" s="111"/>
      <c r="S358" s="321"/>
      <c r="T358" s="321"/>
      <c r="U358" s="321"/>
      <c r="V358" s="328" t="s">
        <v>1698</v>
      </c>
      <c r="W358" s="126"/>
    </row>
    <row r="359" spans="1:33" x14ac:dyDescent="0.25">
      <c r="A359" s="99" t="s">
        <v>392</v>
      </c>
      <c r="B359" s="249" t="s">
        <v>388</v>
      </c>
      <c r="C359" s="249" t="s">
        <v>1646</v>
      </c>
      <c r="D359" s="99" t="s">
        <v>1108</v>
      </c>
      <c r="E359" s="99" t="s">
        <v>1150</v>
      </c>
      <c r="F359" s="228"/>
      <c r="G359" s="102" t="s">
        <v>108</v>
      </c>
      <c r="H359" s="101">
        <v>250</v>
      </c>
      <c r="I359" s="218" t="s">
        <v>108</v>
      </c>
      <c r="J359" s="249" t="s">
        <v>449</v>
      </c>
      <c r="K359" s="99"/>
      <c r="L359" s="99"/>
      <c r="M359" s="111"/>
      <c r="N359" s="111" t="s">
        <v>934</v>
      </c>
      <c r="O359" s="111"/>
      <c r="P359" s="328" t="s">
        <v>934</v>
      </c>
      <c r="Q359" s="111"/>
      <c r="R359" s="111"/>
      <c r="S359" s="321"/>
      <c r="T359" s="321"/>
      <c r="U359" s="321"/>
      <c r="V359" s="328" t="s">
        <v>1698</v>
      </c>
      <c r="W359" s="281"/>
    </row>
    <row r="360" spans="1:33" x14ac:dyDescent="0.25">
      <c r="A360" s="179" t="s">
        <v>1357</v>
      </c>
      <c r="B360" s="262"/>
      <c r="C360" s="262"/>
      <c r="D360" s="180"/>
      <c r="E360" s="180"/>
      <c r="F360" s="304"/>
      <c r="G360" s="181"/>
      <c r="H360" s="181"/>
      <c r="I360" s="206"/>
      <c r="J360" s="269"/>
      <c r="K360" s="180"/>
      <c r="L360" s="180"/>
      <c r="M360" s="206"/>
      <c r="N360" s="206"/>
      <c r="O360" s="206"/>
      <c r="P360" s="206"/>
      <c r="Q360" s="206"/>
      <c r="R360" s="206"/>
      <c r="S360" s="206"/>
      <c r="T360" s="206"/>
      <c r="U360" s="206"/>
      <c r="V360" s="206"/>
      <c r="W360" s="279"/>
      <c r="X360" s="269"/>
      <c r="Y360" s="269"/>
      <c r="Z360" s="269"/>
      <c r="AA360" s="269"/>
      <c r="AB360" s="269"/>
      <c r="AC360" s="269"/>
      <c r="AD360" s="269"/>
      <c r="AE360" s="269"/>
      <c r="AF360" s="269"/>
      <c r="AG360" s="269"/>
    </row>
    <row r="361" spans="1:33" x14ac:dyDescent="0.25">
      <c r="A361" s="99" t="s">
        <v>1359</v>
      </c>
      <c r="B361" s="249" t="s">
        <v>1357</v>
      </c>
      <c r="C361" s="249" t="s">
        <v>1646</v>
      </c>
      <c r="D361" s="99" t="s">
        <v>1360</v>
      </c>
      <c r="E361" s="99" t="s">
        <v>1361</v>
      </c>
      <c r="F361" s="228"/>
      <c r="G361" s="102" t="s">
        <v>108</v>
      </c>
      <c r="H361" s="102">
        <v>80</v>
      </c>
      <c r="I361" s="266">
        <v>100</v>
      </c>
      <c r="J361" s="249" t="s">
        <v>849</v>
      </c>
      <c r="K361" s="99"/>
      <c r="L361" s="99"/>
      <c r="M361" s="111"/>
      <c r="N361" s="111" t="s">
        <v>934</v>
      </c>
      <c r="O361" s="111"/>
      <c r="P361" s="328" t="s">
        <v>934</v>
      </c>
      <c r="Q361" s="111"/>
      <c r="R361" s="111"/>
      <c r="S361" s="321"/>
      <c r="T361" s="321"/>
      <c r="U361" s="321"/>
      <c r="V361" s="328" t="s">
        <v>1696</v>
      </c>
      <c r="W361" s="126"/>
    </row>
    <row r="362" spans="1:33" x14ac:dyDescent="0.25">
      <c r="A362" s="179" t="s">
        <v>1358</v>
      </c>
      <c r="B362" s="262"/>
      <c r="C362" s="262"/>
      <c r="D362" s="180" t="s">
        <v>389</v>
      </c>
      <c r="E362" s="180"/>
      <c r="F362" s="304"/>
      <c r="G362" s="181"/>
      <c r="H362" s="181"/>
      <c r="I362" s="206"/>
      <c r="J362" s="269"/>
      <c r="K362" s="180"/>
      <c r="L362" s="180"/>
      <c r="M362" s="206"/>
      <c r="N362" s="206"/>
      <c r="O362" s="206"/>
      <c r="P362" s="206"/>
      <c r="Q362" s="206"/>
      <c r="R362" s="206"/>
      <c r="S362" s="206"/>
      <c r="T362" s="206"/>
      <c r="U362" s="206"/>
      <c r="V362" s="206"/>
      <c r="W362" s="279"/>
      <c r="X362" s="269"/>
      <c r="Y362" s="269"/>
      <c r="Z362" s="269"/>
      <c r="AA362" s="269"/>
      <c r="AB362" s="269"/>
      <c r="AC362" s="269"/>
      <c r="AD362" s="269"/>
      <c r="AE362" s="269"/>
      <c r="AF362" s="269"/>
      <c r="AG362" s="269"/>
    </row>
    <row r="363" spans="1:33" x14ac:dyDescent="0.25">
      <c r="A363" s="99" t="s">
        <v>1362</v>
      </c>
      <c r="B363" s="249" t="s">
        <v>1358</v>
      </c>
      <c r="C363" s="249" t="s">
        <v>1646</v>
      </c>
      <c r="D363" s="99" t="s">
        <v>1364</v>
      </c>
      <c r="E363" s="99" t="s">
        <v>1369</v>
      </c>
      <c r="F363" s="228"/>
      <c r="G363" s="102" t="s">
        <v>108</v>
      </c>
      <c r="H363" s="102" t="s">
        <v>108</v>
      </c>
      <c r="I363" s="218" t="s">
        <v>253</v>
      </c>
      <c r="J363" s="249" t="s">
        <v>530</v>
      </c>
      <c r="K363" s="99"/>
      <c r="L363" s="99"/>
      <c r="M363" s="111"/>
      <c r="N363" s="111" t="s">
        <v>934</v>
      </c>
      <c r="O363" s="111"/>
      <c r="P363" s="328" t="s">
        <v>934</v>
      </c>
      <c r="Q363" s="111"/>
      <c r="R363" s="111"/>
      <c r="S363" s="321"/>
      <c r="T363" s="321"/>
      <c r="U363" s="321"/>
      <c r="V363" s="328" t="s">
        <v>1698</v>
      </c>
      <c r="W363" s="126"/>
    </row>
    <row r="364" spans="1:33" x14ac:dyDescent="0.25">
      <c r="A364" s="99" t="s">
        <v>1363</v>
      </c>
      <c r="B364" s="249" t="s">
        <v>1358</v>
      </c>
      <c r="C364" s="249" t="s">
        <v>1646</v>
      </c>
      <c r="D364" s="99" t="s">
        <v>1108</v>
      </c>
      <c r="E364" s="99" t="s">
        <v>1150</v>
      </c>
      <c r="F364" s="228"/>
      <c r="G364" s="102" t="s">
        <v>108</v>
      </c>
      <c r="H364" s="101">
        <v>60</v>
      </c>
      <c r="I364" s="218" t="s">
        <v>108</v>
      </c>
      <c r="J364" s="249" t="s">
        <v>449</v>
      </c>
      <c r="K364" s="99"/>
      <c r="L364" s="99"/>
      <c r="M364" s="111"/>
      <c r="N364" s="111" t="s">
        <v>934</v>
      </c>
      <c r="O364" s="111"/>
      <c r="P364" s="328" t="s">
        <v>934</v>
      </c>
      <c r="Q364" s="111"/>
      <c r="R364" s="111"/>
      <c r="S364" s="321"/>
      <c r="T364" s="321"/>
      <c r="U364" s="321"/>
      <c r="V364" s="328" t="s">
        <v>1698</v>
      </c>
      <c r="W364" s="126"/>
    </row>
    <row r="365" spans="1:33" x14ac:dyDescent="0.25">
      <c r="A365" s="179" t="s">
        <v>393</v>
      </c>
      <c r="B365" s="262"/>
      <c r="C365" s="262"/>
      <c r="D365" s="180" t="s">
        <v>389</v>
      </c>
      <c r="E365" s="180"/>
      <c r="F365" s="304"/>
      <c r="G365" s="181"/>
      <c r="H365" s="181"/>
      <c r="I365" s="206"/>
      <c r="J365" s="269"/>
      <c r="K365" s="180"/>
      <c r="L365" s="180"/>
      <c r="M365" s="206"/>
      <c r="N365" s="206"/>
      <c r="O365" s="206"/>
      <c r="P365" s="206"/>
      <c r="Q365" s="206"/>
      <c r="R365" s="206"/>
      <c r="S365" s="206"/>
      <c r="T365" s="206"/>
      <c r="U365" s="206"/>
      <c r="V365" s="206"/>
      <c r="W365" s="279"/>
      <c r="X365" s="269"/>
      <c r="Y365" s="269"/>
      <c r="Z365" s="269"/>
      <c r="AA365" s="269"/>
      <c r="AB365" s="269"/>
      <c r="AC365" s="269"/>
      <c r="AD365" s="269"/>
      <c r="AE365" s="269"/>
      <c r="AF365" s="269"/>
      <c r="AG365" s="269"/>
    </row>
    <row r="366" spans="1:33" x14ac:dyDescent="0.25">
      <c r="A366" s="99" t="s">
        <v>394</v>
      </c>
      <c r="B366" s="249" t="s">
        <v>393</v>
      </c>
      <c r="C366" s="249" t="s">
        <v>1646</v>
      </c>
      <c r="D366" s="99" t="s">
        <v>395</v>
      </c>
      <c r="E366" s="99" t="s">
        <v>396</v>
      </c>
      <c r="F366" s="228"/>
      <c r="G366" s="102" t="s">
        <v>108</v>
      </c>
      <c r="H366" s="101">
        <v>0.3</v>
      </c>
      <c r="I366" s="266">
        <v>0.7</v>
      </c>
      <c r="J366" s="249" t="s">
        <v>849</v>
      </c>
      <c r="K366" s="99"/>
      <c r="L366" s="99"/>
      <c r="M366" s="111"/>
      <c r="N366" s="111" t="s">
        <v>934</v>
      </c>
      <c r="O366" s="111"/>
      <c r="P366" s="328" t="s">
        <v>934</v>
      </c>
      <c r="Q366" s="111"/>
      <c r="R366" s="111"/>
      <c r="S366" s="321"/>
      <c r="T366" s="321"/>
      <c r="U366" s="321"/>
      <c r="V366" s="328" t="s">
        <v>1696</v>
      </c>
      <c r="W366" s="126"/>
    </row>
    <row r="367" spans="1:33" x14ac:dyDescent="0.25">
      <c r="A367" s="179" t="s">
        <v>397</v>
      </c>
      <c r="B367" s="262"/>
      <c r="C367" s="262"/>
      <c r="D367" s="180" t="s">
        <v>389</v>
      </c>
      <c r="E367" s="180"/>
      <c r="F367" s="304"/>
      <c r="G367" s="181"/>
      <c r="H367" s="181"/>
      <c r="I367" s="206"/>
      <c r="J367" s="269"/>
      <c r="K367" s="180"/>
      <c r="L367" s="180"/>
      <c r="M367" s="206"/>
      <c r="N367" s="206"/>
      <c r="O367" s="206"/>
      <c r="P367" s="206"/>
      <c r="Q367" s="206"/>
      <c r="R367" s="206"/>
      <c r="S367" s="206"/>
      <c r="T367" s="206"/>
      <c r="U367" s="206"/>
      <c r="V367" s="206"/>
      <c r="W367" s="279"/>
      <c r="X367" s="269"/>
      <c r="Y367" s="269"/>
      <c r="Z367" s="269"/>
      <c r="AA367" s="269"/>
      <c r="AB367" s="269"/>
      <c r="AC367" s="269"/>
      <c r="AD367" s="269"/>
      <c r="AE367" s="269"/>
      <c r="AF367" s="269"/>
      <c r="AG367" s="269"/>
    </row>
    <row r="368" spans="1:33" x14ac:dyDescent="0.25">
      <c r="A368" s="99" t="s">
        <v>398</v>
      </c>
      <c r="B368" s="249" t="s">
        <v>397</v>
      </c>
      <c r="C368" s="249" t="s">
        <v>1646</v>
      </c>
      <c r="D368" s="99" t="s">
        <v>399</v>
      </c>
      <c r="E368" s="99" t="s">
        <v>400</v>
      </c>
      <c r="F368" s="228"/>
      <c r="G368" s="102" t="s">
        <v>108</v>
      </c>
      <c r="H368" s="102" t="s">
        <v>108</v>
      </c>
      <c r="I368" s="266">
        <v>7</v>
      </c>
      <c r="J368" s="249" t="s">
        <v>1110</v>
      </c>
      <c r="K368" s="99" t="s">
        <v>1109</v>
      </c>
      <c r="L368" s="99"/>
      <c r="M368" s="111"/>
      <c r="N368" s="111" t="s">
        <v>934</v>
      </c>
      <c r="O368" s="111"/>
      <c r="P368" s="328" t="s">
        <v>934</v>
      </c>
      <c r="Q368" s="111"/>
      <c r="R368" s="111"/>
      <c r="S368" s="321"/>
      <c r="T368" s="321"/>
      <c r="U368" s="321"/>
      <c r="V368" s="328" t="s">
        <v>1698</v>
      </c>
      <c r="W368" s="126"/>
    </row>
    <row r="369" spans="1:33" x14ac:dyDescent="0.25">
      <c r="A369" s="99" t="s">
        <v>401</v>
      </c>
      <c r="B369" s="249" t="s">
        <v>397</v>
      </c>
      <c r="C369" s="249" t="s">
        <v>1646</v>
      </c>
      <c r="D369" s="99" t="s">
        <v>402</v>
      </c>
      <c r="E369" s="99" t="s">
        <v>403</v>
      </c>
      <c r="F369" s="228"/>
      <c r="G369" s="102">
        <v>45</v>
      </c>
      <c r="H369" s="102">
        <v>50</v>
      </c>
      <c r="I369" s="266">
        <v>55</v>
      </c>
      <c r="J369" s="249" t="s">
        <v>530</v>
      </c>
      <c r="K369" s="99"/>
      <c r="L369" s="99"/>
      <c r="M369" s="111"/>
      <c r="N369" s="111" t="s">
        <v>934</v>
      </c>
      <c r="O369" s="111"/>
      <c r="P369" s="328" t="s">
        <v>934</v>
      </c>
      <c r="Q369" s="111"/>
      <c r="R369" s="111"/>
      <c r="S369" s="321"/>
      <c r="T369" s="321"/>
      <c r="U369" s="321"/>
      <c r="V369" s="328" t="s">
        <v>1698</v>
      </c>
      <c r="W369" s="126"/>
    </row>
    <row r="370" spans="1:33" x14ac:dyDescent="0.25">
      <c r="A370" s="115" t="s">
        <v>404</v>
      </c>
      <c r="B370" s="261" t="s">
        <v>397</v>
      </c>
      <c r="C370" s="261" t="s">
        <v>1646</v>
      </c>
      <c r="D370" s="115" t="s">
        <v>405</v>
      </c>
      <c r="E370" s="115" t="s">
        <v>406</v>
      </c>
      <c r="F370" s="230"/>
      <c r="G370" s="129">
        <f>0.9*32</f>
        <v>28.8</v>
      </c>
      <c r="H370" s="125">
        <v>32</v>
      </c>
      <c r="I370" s="299">
        <f>H370*1.1</f>
        <v>35.200000000000003</v>
      </c>
      <c r="J370" s="261" t="s">
        <v>256</v>
      </c>
      <c r="K370" s="130" t="s">
        <v>1252</v>
      </c>
      <c r="L370" s="130"/>
      <c r="M370" s="111"/>
      <c r="N370" s="111" t="s">
        <v>934</v>
      </c>
      <c r="O370" s="111"/>
      <c r="P370" s="328" t="s">
        <v>934</v>
      </c>
      <c r="Q370" s="111"/>
      <c r="R370" s="111"/>
      <c r="S370" s="321"/>
      <c r="T370" s="321"/>
      <c r="U370" s="321"/>
      <c r="V370" s="328" t="s">
        <v>1696</v>
      </c>
      <c r="W370" s="126"/>
    </row>
    <row r="371" spans="1:33" x14ac:dyDescent="0.25">
      <c r="A371" s="179" t="s">
        <v>1112</v>
      </c>
      <c r="B371" s="262"/>
      <c r="C371" s="262"/>
      <c r="D371" s="180"/>
      <c r="E371" s="180"/>
      <c r="F371" s="304"/>
      <c r="G371" s="190"/>
      <c r="H371" s="184"/>
      <c r="I371" s="300"/>
      <c r="J371" s="269"/>
      <c r="K371" s="180"/>
      <c r="L371" s="180"/>
      <c r="M371" s="206"/>
      <c r="N371" s="206"/>
      <c r="O371" s="206"/>
      <c r="P371" s="206"/>
      <c r="Q371" s="206"/>
      <c r="R371" s="206"/>
      <c r="S371" s="206"/>
      <c r="T371" s="206"/>
      <c r="U371" s="206"/>
      <c r="V371" s="206"/>
      <c r="W371" s="279"/>
      <c r="X371" s="269"/>
      <c r="Y371" s="269"/>
      <c r="Z371" s="269"/>
      <c r="AA371" s="269"/>
      <c r="AB371" s="269"/>
      <c r="AC371" s="269"/>
      <c r="AD371" s="269"/>
      <c r="AE371" s="269"/>
      <c r="AF371" s="269"/>
      <c r="AG371" s="269"/>
    </row>
    <row r="372" spans="1:33" x14ac:dyDescent="0.25">
      <c r="A372" s="99" t="s">
        <v>1130</v>
      </c>
      <c r="B372" s="249" t="s">
        <v>1112</v>
      </c>
      <c r="C372" s="249" t="s">
        <v>1646</v>
      </c>
      <c r="D372" s="99" t="s">
        <v>1136</v>
      </c>
      <c r="E372" s="99" t="s">
        <v>1140</v>
      </c>
      <c r="F372" s="228"/>
      <c r="G372" s="123">
        <v>8.0000000000000002E-3</v>
      </c>
      <c r="H372" s="123"/>
      <c r="I372" s="301">
        <v>100</v>
      </c>
      <c r="J372" s="249" t="s">
        <v>529</v>
      </c>
      <c r="K372" s="99"/>
      <c r="L372" s="99"/>
      <c r="M372" s="111"/>
      <c r="N372" s="111" t="s">
        <v>934</v>
      </c>
      <c r="O372" s="111"/>
      <c r="P372" s="328" t="s">
        <v>934</v>
      </c>
      <c r="Q372" s="111"/>
      <c r="R372" s="111"/>
      <c r="S372" s="321"/>
      <c r="T372" s="321"/>
      <c r="U372" s="321"/>
      <c r="V372" s="328" t="s">
        <v>1698</v>
      </c>
      <c r="W372" s="126"/>
    </row>
    <row r="373" spans="1:33" x14ac:dyDescent="0.25">
      <c r="A373" s="99" t="s">
        <v>1131</v>
      </c>
      <c r="B373" s="249" t="s">
        <v>1112</v>
      </c>
      <c r="C373" s="249" t="s">
        <v>1646</v>
      </c>
      <c r="D373" s="99" t="s">
        <v>1137</v>
      </c>
      <c r="E373" s="99" t="s">
        <v>1198</v>
      </c>
      <c r="F373" s="228"/>
      <c r="G373" s="106">
        <v>24</v>
      </c>
      <c r="H373" s="106"/>
      <c r="I373" s="298">
        <v>100</v>
      </c>
      <c r="J373" s="249" t="s">
        <v>529</v>
      </c>
      <c r="K373" s="99" t="s">
        <v>1141</v>
      </c>
      <c r="L373" s="99"/>
      <c r="M373" s="111"/>
      <c r="N373" s="111" t="s">
        <v>934</v>
      </c>
      <c r="O373" s="111"/>
      <c r="P373" s="328" t="s">
        <v>934</v>
      </c>
      <c r="Q373" s="111"/>
      <c r="R373" s="111"/>
      <c r="S373" s="321"/>
      <c r="T373" s="321"/>
      <c r="U373" s="321"/>
      <c r="V373" s="328" t="s">
        <v>1696</v>
      </c>
      <c r="W373" s="126"/>
    </row>
    <row r="374" spans="1:33" x14ac:dyDescent="0.25">
      <c r="A374" s="99" t="s">
        <v>1197</v>
      </c>
      <c r="B374" s="249" t="s">
        <v>1112</v>
      </c>
      <c r="C374" s="249" t="s">
        <v>1646</v>
      </c>
      <c r="D374" s="99" t="s">
        <v>1137</v>
      </c>
      <c r="E374" s="99" t="s">
        <v>1199</v>
      </c>
      <c r="F374" s="228"/>
      <c r="G374" s="106">
        <v>24</v>
      </c>
      <c r="H374" s="106"/>
      <c r="I374" s="298">
        <v>50</v>
      </c>
      <c r="J374" s="249" t="s">
        <v>529</v>
      </c>
      <c r="K374" s="99" t="s">
        <v>1141</v>
      </c>
      <c r="L374" s="99"/>
      <c r="M374" s="111"/>
      <c r="N374" s="111" t="s">
        <v>934</v>
      </c>
      <c r="O374" s="111"/>
      <c r="P374" s="328" t="s">
        <v>934</v>
      </c>
      <c r="Q374" s="111"/>
      <c r="R374" s="111"/>
      <c r="S374" s="321"/>
      <c r="T374" s="321"/>
      <c r="U374" s="321"/>
      <c r="V374" s="328" t="s">
        <v>1698</v>
      </c>
      <c r="W374" s="126"/>
    </row>
    <row r="375" spans="1:33" x14ac:dyDescent="0.25">
      <c r="A375" s="99" t="s">
        <v>1132</v>
      </c>
      <c r="B375" s="249" t="s">
        <v>1112</v>
      </c>
      <c r="C375" s="249" t="s">
        <v>1646</v>
      </c>
      <c r="D375" s="99" t="s">
        <v>1138</v>
      </c>
      <c r="E375" s="99" t="s">
        <v>1142</v>
      </c>
      <c r="F375" s="228"/>
      <c r="G375" s="106">
        <v>47</v>
      </c>
      <c r="H375" s="106"/>
      <c r="I375" s="302">
        <v>53</v>
      </c>
      <c r="J375" s="249" t="s">
        <v>530</v>
      </c>
      <c r="K375" s="99"/>
      <c r="L375" s="99"/>
      <c r="M375" s="111"/>
      <c r="N375" s="111" t="s">
        <v>934</v>
      </c>
      <c r="O375" s="111"/>
      <c r="P375" s="328" t="s">
        <v>934</v>
      </c>
      <c r="Q375" s="111"/>
      <c r="R375" s="111"/>
      <c r="S375" s="321"/>
      <c r="T375" s="321"/>
      <c r="U375" s="321"/>
      <c r="V375" s="328" t="s">
        <v>1698</v>
      </c>
      <c r="W375" s="281"/>
    </row>
    <row r="376" spans="1:33" x14ac:dyDescent="0.25">
      <c r="A376" s="99" t="s">
        <v>1133</v>
      </c>
      <c r="B376" s="249" t="s">
        <v>1112</v>
      </c>
      <c r="C376" s="249" t="s">
        <v>1646</v>
      </c>
      <c r="D376" s="99" t="s">
        <v>1265</v>
      </c>
      <c r="E376" s="99" t="s">
        <v>1266</v>
      </c>
      <c r="F376" s="228"/>
      <c r="G376" s="106"/>
      <c r="H376" s="106"/>
      <c r="I376" s="302">
        <v>7.5</v>
      </c>
      <c r="J376" s="249" t="s">
        <v>1110</v>
      </c>
      <c r="K376" s="103" t="s">
        <v>1284</v>
      </c>
      <c r="M376" s="328"/>
      <c r="N376" s="328" t="s">
        <v>934</v>
      </c>
      <c r="O376" s="328"/>
      <c r="P376" s="328" t="s">
        <v>934</v>
      </c>
      <c r="Q376" s="328"/>
      <c r="R376" s="328"/>
      <c r="S376" s="328"/>
      <c r="T376" s="328"/>
      <c r="U376" s="328"/>
      <c r="V376" s="328" t="s">
        <v>1698</v>
      </c>
      <c r="W376" s="126"/>
    </row>
    <row r="377" spans="1:33" x14ac:dyDescent="0.25">
      <c r="A377" s="99" t="s">
        <v>1134</v>
      </c>
      <c r="B377" s="249" t="s">
        <v>1112</v>
      </c>
      <c r="C377" s="249" t="s">
        <v>1646</v>
      </c>
      <c r="D377" s="99" t="s">
        <v>1267</v>
      </c>
      <c r="E377" s="99" t="s">
        <v>1282</v>
      </c>
      <c r="F377" s="228"/>
      <c r="G377" s="106"/>
      <c r="H377" s="106"/>
      <c r="I377" s="218">
        <v>35</v>
      </c>
      <c r="J377" s="249" t="s">
        <v>1075</v>
      </c>
      <c r="K377" s="99" t="s">
        <v>1268</v>
      </c>
      <c r="L377" s="99"/>
      <c r="M377" s="111"/>
      <c r="N377" s="111" t="s">
        <v>934</v>
      </c>
      <c r="O377" s="111"/>
      <c r="P377" s="328" t="s">
        <v>934</v>
      </c>
      <c r="Q377" s="111"/>
      <c r="R377" s="111"/>
      <c r="S377" s="321"/>
      <c r="T377" s="321"/>
      <c r="U377" s="321"/>
      <c r="V377" s="328" t="s">
        <v>1698</v>
      </c>
      <c r="W377" s="126"/>
    </row>
    <row r="378" spans="1:33" x14ac:dyDescent="0.25">
      <c r="A378" s="99" t="s">
        <v>1135</v>
      </c>
      <c r="B378" s="249" t="s">
        <v>1112</v>
      </c>
      <c r="C378" s="249" t="s">
        <v>1646</v>
      </c>
      <c r="D378" s="99" t="s">
        <v>1139</v>
      </c>
      <c r="E378" s="99" t="s">
        <v>1144</v>
      </c>
      <c r="F378" s="228"/>
      <c r="G378" s="106"/>
      <c r="H378" s="106"/>
      <c r="I378" s="218">
        <v>2</v>
      </c>
      <c r="J378" s="249" t="s">
        <v>1143</v>
      </c>
      <c r="K378" s="99"/>
      <c r="L378" s="99"/>
      <c r="M378" s="111"/>
      <c r="N378" s="111" t="s">
        <v>934</v>
      </c>
      <c r="O378" s="111"/>
      <c r="P378" s="328" t="s">
        <v>934</v>
      </c>
      <c r="Q378" s="111"/>
      <c r="R378" s="111"/>
      <c r="S378" s="321"/>
      <c r="T378" s="321"/>
      <c r="U378" s="321"/>
      <c r="V378" s="328" t="s">
        <v>1698</v>
      </c>
      <c r="W378" s="281"/>
    </row>
    <row r="379" spans="1:33" x14ac:dyDescent="0.25">
      <c r="A379" s="179" t="s">
        <v>1101</v>
      </c>
      <c r="B379" s="262"/>
      <c r="C379" s="262"/>
      <c r="D379" s="180"/>
      <c r="E379" s="180"/>
      <c r="F379" s="304"/>
      <c r="G379" s="184"/>
      <c r="H379" s="184"/>
      <c r="I379" s="206"/>
      <c r="J379" s="269"/>
      <c r="K379" s="191"/>
      <c r="L379" s="191"/>
      <c r="M379" s="220"/>
      <c r="N379" s="220"/>
      <c r="O379" s="220"/>
      <c r="P379" s="220"/>
      <c r="Q379" s="220"/>
      <c r="R379" s="220"/>
      <c r="S379" s="220"/>
      <c r="T379" s="220"/>
      <c r="U379" s="220"/>
      <c r="V379" s="220"/>
      <c r="W379" s="279"/>
      <c r="X379" s="269"/>
      <c r="Y379" s="269"/>
      <c r="Z379" s="269"/>
      <c r="AA379" s="269"/>
      <c r="AB379" s="269"/>
      <c r="AC379" s="269"/>
      <c r="AD379" s="269"/>
      <c r="AE379" s="269"/>
      <c r="AF379" s="269"/>
      <c r="AG379" s="269"/>
    </row>
    <row r="380" spans="1:33" s="110" customFormat="1" x14ac:dyDescent="0.25">
      <c r="A380" s="99" t="s">
        <v>409</v>
      </c>
      <c r="B380" s="249" t="s">
        <v>1636</v>
      </c>
      <c r="C380" s="249" t="s">
        <v>1646</v>
      </c>
      <c r="D380" s="99" t="s">
        <v>412</v>
      </c>
      <c r="E380" s="99" t="s">
        <v>1186</v>
      </c>
      <c r="F380" s="228"/>
      <c r="G380" s="102"/>
      <c r="H380" s="101">
        <v>800</v>
      </c>
      <c r="I380" s="185">
        <v>1600</v>
      </c>
      <c r="J380" s="249" t="s">
        <v>849</v>
      </c>
      <c r="K380" s="99" t="s">
        <v>1185</v>
      </c>
      <c r="L380" s="99"/>
      <c r="M380" s="111"/>
      <c r="N380" s="111" t="s">
        <v>934</v>
      </c>
      <c r="O380" s="111"/>
      <c r="P380" s="328" t="s">
        <v>934</v>
      </c>
      <c r="Q380" s="111"/>
      <c r="R380" s="111"/>
      <c r="S380" s="321"/>
      <c r="T380" s="321"/>
      <c r="U380" s="321"/>
      <c r="V380" s="328" t="s">
        <v>1698</v>
      </c>
      <c r="W380" s="283"/>
      <c r="X380" s="109"/>
      <c r="Y380" s="109"/>
      <c r="Z380" s="109"/>
      <c r="AA380" s="109"/>
      <c r="AB380" s="109"/>
      <c r="AC380" s="109"/>
      <c r="AD380" s="109"/>
      <c r="AE380" s="109"/>
      <c r="AF380" s="109"/>
      <c r="AG380" s="109"/>
    </row>
    <row r="381" spans="1:33" x14ac:dyDescent="0.25">
      <c r="A381" s="179" t="s">
        <v>1018</v>
      </c>
      <c r="B381" s="262"/>
      <c r="C381" s="262"/>
      <c r="D381" s="180"/>
      <c r="E381" s="180"/>
      <c r="F381" s="304"/>
      <c r="G381" s="184"/>
      <c r="H381" s="184"/>
      <c r="I381" s="206"/>
      <c r="J381" s="269"/>
      <c r="K381" s="191"/>
      <c r="L381" s="203"/>
      <c r="M381" s="221"/>
      <c r="N381" s="221"/>
      <c r="O381" s="221"/>
      <c r="P381" s="221"/>
      <c r="Q381" s="221"/>
      <c r="R381" s="221"/>
      <c r="S381" s="221"/>
      <c r="T381" s="221"/>
      <c r="U381" s="221"/>
      <c r="V381" s="221"/>
      <c r="W381" s="279"/>
      <c r="X381" s="269"/>
      <c r="Y381" s="269"/>
      <c r="Z381" s="269"/>
      <c r="AA381" s="269"/>
      <c r="AB381" s="269"/>
      <c r="AC381" s="269"/>
      <c r="AD381" s="269"/>
      <c r="AE381" s="269"/>
      <c r="AF381" s="269"/>
      <c r="AG381" s="269"/>
    </row>
    <row r="382" spans="1:33" x14ac:dyDescent="0.25">
      <c r="A382" s="99" t="s">
        <v>410</v>
      </c>
      <c r="B382" s="249" t="s">
        <v>1637</v>
      </c>
      <c r="C382" s="249" t="s">
        <v>1646</v>
      </c>
      <c r="D382" s="99" t="s">
        <v>413</v>
      </c>
      <c r="E382" s="99" t="s">
        <v>414</v>
      </c>
      <c r="F382" s="228"/>
      <c r="G382" s="102">
        <v>4</v>
      </c>
      <c r="H382" s="102"/>
      <c r="I382" s="266">
        <v>35</v>
      </c>
      <c r="J382" s="249" t="s">
        <v>529</v>
      </c>
      <c r="K382" s="107"/>
      <c r="L382" s="99"/>
      <c r="M382" s="111"/>
      <c r="N382" s="111" t="s">
        <v>934</v>
      </c>
      <c r="O382" s="111"/>
      <c r="P382" s="328" t="s">
        <v>934</v>
      </c>
      <c r="Q382" s="111"/>
      <c r="R382" s="111"/>
      <c r="S382" s="321"/>
      <c r="T382" s="321"/>
      <c r="U382" s="321"/>
      <c r="V382" s="328" t="s">
        <v>1696</v>
      </c>
      <c r="W382" s="283"/>
      <c r="X382" s="109"/>
      <c r="Y382" s="109"/>
      <c r="Z382" s="109"/>
      <c r="AA382" s="109"/>
      <c r="AB382" s="109"/>
      <c r="AC382" s="109"/>
      <c r="AD382" s="109"/>
      <c r="AE382" s="109"/>
      <c r="AF382" s="109"/>
      <c r="AG382" s="109"/>
    </row>
    <row r="383" spans="1:33" x14ac:dyDescent="0.25">
      <c r="A383" s="179" t="s">
        <v>1517</v>
      </c>
      <c r="B383" s="262"/>
      <c r="C383" s="262"/>
      <c r="D383" s="180"/>
      <c r="E383" s="180"/>
      <c r="F383" s="304"/>
      <c r="G383" s="184"/>
      <c r="H383" s="184"/>
      <c r="I383" s="206"/>
      <c r="J383" s="269"/>
      <c r="K383" s="191"/>
      <c r="L383" s="203"/>
      <c r="M383" s="221"/>
      <c r="N383" s="221"/>
      <c r="O383" s="221"/>
      <c r="P383" s="221"/>
      <c r="Q383" s="221"/>
      <c r="R383" s="221"/>
      <c r="S383" s="221"/>
      <c r="T383" s="221"/>
      <c r="U383" s="221"/>
      <c r="V383" s="221"/>
      <c r="W383" s="279"/>
      <c r="X383" s="269"/>
      <c r="Y383" s="269"/>
      <c r="Z383" s="269"/>
      <c r="AA383" s="269"/>
      <c r="AB383" s="269"/>
      <c r="AC383" s="269"/>
      <c r="AD383" s="269"/>
      <c r="AE383" s="269"/>
      <c r="AF383" s="269"/>
      <c r="AG383" s="269"/>
    </row>
    <row r="384" spans="1:33" x14ac:dyDescent="0.25">
      <c r="A384" s="99" t="s">
        <v>979</v>
      </c>
      <c r="B384" s="249" t="s">
        <v>1638</v>
      </c>
      <c r="C384" s="249" t="s">
        <v>1646</v>
      </c>
      <c r="D384" s="99" t="s">
        <v>415</v>
      </c>
      <c r="E384" s="99" t="s">
        <v>416</v>
      </c>
      <c r="F384" s="228"/>
      <c r="G384" s="102"/>
      <c r="H384" s="102">
        <v>0.38</v>
      </c>
      <c r="I384" s="266">
        <v>1</v>
      </c>
      <c r="J384" s="249" t="s">
        <v>849</v>
      </c>
      <c r="K384" s="107"/>
      <c r="L384" s="99"/>
      <c r="M384" s="111"/>
      <c r="N384" s="111" t="s">
        <v>934</v>
      </c>
      <c r="O384" s="111"/>
      <c r="P384" s="328" t="s">
        <v>934</v>
      </c>
      <c r="Q384" s="111"/>
      <c r="R384" s="111"/>
      <c r="S384" s="321"/>
      <c r="T384" s="321"/>
      <c r="U384" s="321"/>
      <c r="V384" s="328" t="s">
        <v>1696</v>
      </c>
      <c r="W384" s="283"/>
      <c r="X384" s="109"/>
      <c r="Y384" s="109"/>
      <c r="Z384" s="109"/>
      <c r="AA384" s="109"/>
      <c r="AB384" s="109"/>
      <c r="AC384" s="109"/>
      <c r="AD384" s="109"/>
      <c r="AE384" s="109"/>
      <c r="AF384" s="109"/>
      <c r="AG384" s="109"/>
    </row>
    <row r="385" spans="1:33" x14ac:dyDescent="0.25">
      <c r="A385" s="99" t="s">
        <v>1079</v>
      </c>
      <c r="B385" s="249" t="s">
        <v>1638</v>
      </c>
      <c r="C385" s="249" t="s">
        <v>1646</v>
      </c>
      <c r="D385" s="99" t="s">
        <v>1080</v>
      </c>
      <c r="E385" s="99" t="s">
        <v>1081</v>
      </c>
      <c r="F385" s="228"/>
      <c r="G385" s="102"/>
      <c r="H385" s="102">
        <v>80</v>
      </c>
      <c r="I385" s="266"/>
      <c r="J385" s="249" t="s">
        <v>1092</v>
      </c>
      <c r="K385" s="107"/>
      <c r="L385" s="99"/>
      <c r="M385" s="111"/>
      <c r="N385" s="111" t="s">
        <v>934</v>
      </c>
      <c r="O385" s="111"/>
      <c r="P385" s="328" t="s">
        <v>934</v>
      </c>
      <c r="Q385" s="111"/>
      <c r="R385" s="111"/>
      <c r="S385" s="321"/>
      <c r="T385" s="321"/>
      <c r="U385" s="321"/>
      <c r="V385" s="328" t="s">
        <v>1698</v>
      </c>
      <c r="W385" s="283"/>
      <c r="X385" s="109"/>
      <c r="Y385" s="109"/>
      <c r="Z385" s="109"/>
      <c r="AA385" s="109"/>
      <c r="AB385" s="109"/>
      <c r="AC385" s="109"/>
      <c r="AD385" s="109"/>
      <c r="AE385" s="109"/>
      <c r="AF385" s="109"/>
      <c r="AG385" s="109"/>
    </row>
    <row r="386" spans="1:33" x14ac:dyDescent="0.25">
      <c r="A386" s="99" t="s">
        <v>1082</v>
      </c>
      <c r="B386" s="249" t="s">
        <v>1638</v>
      </c>
      <c r="C386" s="249" t="s">
        <v>1646</v>
      </c>
      <c r="D386" s="99" t="s">
        <v>1083</v>
      </c>
      <c r="E386" s="99" t="s">
        <v>1084</v>
      </c>
      <c r="F386" s="228"/>
      <c r="G386" s="102"/>
      <c r="H386" s="102"/>
      <c r="I386" s="266">
        <v>1</v>
      </c>
      <c r="J386" s="249" t="s">
        <v>1093</v>
      </c>
      <c r="K386" s="107"/>
      <c r="L386" s="99"/>
      <c r="M386" s="111"/>
      <c r="N386" s="111" t="s">
        <v>934</v>
      </c>
      <c r="O386" s="111"/>
      <c r="P386" s="328" t="s">
        <v>934</v>
      </c>
      <c r="Q386" s="111"/>
      <c r="R386" s="111"/>
      <c r="S386" s="321"/>
      <c r="T386" s="321"/>
      <c r="U386" s="321"/>
      <c r="V386" s="328" t="s">
        <v>1698</v>
      </c>
      <c r="W386" s="283"/>
      <c r="X386" s="109"/>
      <c r="Y386" s="109"/>
      <c r="Z386" s="109"/>
      <c r="AA386" s="109"/>
      <c r="AB386" s="109"/>
      <c r="AC386" s="109"/>
      <c r="AD386" s="109"/>
      <c r="AE386" s="109"/>
      <c r="AF386" s="109"/>
      <c r="AG386" s="109"/>
    </row>
    <row r="387" spans="1:33" x14ac:dyDescent="0.25">
      <c r="A387" s="179" t="s">
        <v>1518</v>
      </c>
      <c r="B387" s="262"/>
      <c r="C387" s="262"/>
      <c r="D387" s="180"/>
      <c r="E387" s="180"/>
      <c r="F387" s="304"/>
      <c r="G387" s="184"/>
      <c r="H387" s="184"/>
      <c r="I387" s="206"/>
      <c r="J387" s="269"/>
      <c r="K387" s="191"/>
      <c r="L387" s="203"/>
      <c r="M387" s="221"/>
      <c r="N387" s="221"/>
      <c r="O387" s="221"/>
      <c r="P387" s="221"/>
      <c r="Q387" s="221"/>
      <c r="R387" s="221"/>
      <c r="S387" s="221"/>
      <c r="T387" s="221"/>
      <c r="U387" s="221"/>
      <c r="V387" s="221"/>
      <c r="W387" s="279"/>
      <c r="X387" s="269"/>
      <c r="Y387" s="269"/>
      <c r="Z387" s="269"/>
      <c r="AA387" s="269"/>
      <c r="AB387" s="269"/>
      <c r="AC387" s="269"/>
      <c r="AD387" s="269"/>
      <c r="AE387" s="269"/>
      <c r="AF387" s="269"/>
      <c r="AG387" s="269"/>
    </row>
    <row r="388" spans="1:33" x14ac:dyDescent="0.25">
      <c r="A388" s="99" t="s">
        <v>411</v>
      </c>
      <c r="B388" s="249" t="s">
        <v>1639</v>
      </c>
      <c r="C388" s="249" t="s">
        <v>1646</v>
      </c>
      <c r="D388" s="99" t="s">
        <v>417</v>
      </c>
      <c r="E388" s="99" t="s">
        <v>406</v>
      </c>
      <c r="F388" s="228"/>
      <c r="G388" s="102"/>
      <c r="H388" s="102">
        <v>32.768000000000001</v>
      </c>
      <c r="I388" s="266"/>
      <c r="J388" s="249" t="s">
        <v>256</v>
      </c>
      <c r="K388" s="107"/>
      <c r="L388" s="99"/>
      <c r="M388" s="111"/>
      <c r="N388" s="111" t="s">
        <v>934</v>
      </c>
      <c r="O388" s="111"/>
      <c r="P388" s="328" t="s">
        <v>934</v>
      </c>
      <c r="Q388" s="111"/>
      <c r="R388" s="111"/>
      <c r="S388" s="321"/>
      <c r="T388" s="321"/>
      <c r="U388" s="321"/>
      <c r="V388" s="328" t="s">
        <v>1696</v>
      </c>
      <c r="W388" s="283"/>
      <c r="X388" s="109"/>
      <c r="Y388" s="109"/>
      <c r="Z388" s="109"/>
      <c r="AA388" s="109"/>
      <c r="AB388" s="109"/>
      <c r="AC388" s="109"/>
      <c r="AD388" s="109"/>
      <c r="AE388" s="109"/>
      <c r="AF388" s="109"/>
      <c r="AG388" s="109"/>
    </row>
    <row r="389" spans="1:33" x14ac:dyDescent="0.25">
      <c r="A389" s="99" t="s">
        <v>1151</v>
      </c>
      <c r="B389" s="249" t="s">
        <v>1639</v>
      </c>
      <c r="C389" s="249" t="s">
        <v>1646</v>
      </c>
      <c r="D389" s="99" t="s">
        <v>418</v>
      </c>
      <c r="E389" s="99" t="s">
        <v>559</v>
      </c>
      <c r="F389" s="228"/>
      <c r="G389" s="102"/>
      <c r="H389" s="102"/>
      <c r="I389" s="266">
        <v>1000</v>
      </c>
      <c r="J389" s="249" t="s">
        <v>834</v>
      </c>
      <c r="K389" s="107"/>
      <c r="L389" s="99"/>
      <c r="M389" s="111"/>
      <c r="N389" s="111" t="s">
        <v>934</v>
      </c>
      <c r="O389" s="111"/>
      <c r="P389" s="328" t="s">
        <v>934</v>
      </c>
      <c r="Q389" s="111"/>
      <c r="R389" s="111"/>
      <c r="S389" s="321"/>
      <c r="T389" s="321"/>
      <c r="U389" s="321"/>
      <c r="V389" s="328" t="s">
        <v>1698</v>
      </c>
      <c r="W389" s="283"/>
      <c r="X389" s="109"/>
      <c r="Y389" s="109"/>
      <c r="Z389" s="109"/>
      <c r="AA389" s="109"/>
      <c r="AB389" s="109"/>
      <c r="AC389" s="109"/>
      <c r="AD389" s="109"/>
      <c r="AE389" s="109"/>
      <c r="AF389" s="109"/>
      <c r="AG389" s="109"/>
    </row>
    <row r="390" spans="1:33" x14ac:dyDescent="0.25">
      <c r="A390" s="99" t="s">
        <v>1076</v>
      </c>
      <c r="B390" s="249" t="s">
        <v>1639</v>
      </c>
      <c r="C390" s="249" t="s">
        <v>1646</v>
      </c>
      <c r="D390" s="99" t="s">
        <v>1077</v>
      </c>
      <c r="E390" s="99" t="s">
        <v>1078</v>
      </c>
      <c r="F390" s="228"/>
      <c r="G390" s="102"/>
      <c r="H390" s="102">
        <v>50</v>
      </c>
      <c r="I390" s="266">
        <v>250</v>
      </c>
      <c r="J390" s="249" t="s">
        <v>754</v>
      </c>
      <c r="K390" s="99" t="s">
        <v>1111</v>
      </c>
      <c r="L390" s="99"/>
      <c r="M390" s="111"/>
      <c r="N390" s="111" t="s">
        <v>934</v>
      </c>
      <c r="O390" s="111"/>
      <c r="P390" s="328" t="s">
        <v>934</v>
      </c>
      <c r="Q390" s="111"/>
      <c r="R390" s="111"/>
      <c r="S390" s="321"/>
      <c r="T390" s="321"/>
      <c r="U390" s="321"/>
      <c r="V390" s="328" t="s">
        <v>1698</v>
      </c>
      <c r="W390" s="283"/>
      <c r="X390" s="109"/>
      <c r="Y390" s="109"/>
      <c r="Z390" s="109"/>
      <c r="AA390" s="109"/>
      <c r="AB390" s="109"/>
      <c r="AC390" s="109"/>
      <c r="AD390" s="109"/>
      <c r="AE390" s="109"/>
      <c r="AF390" s="109"/>
      <c r="AG390" s="109"/>
    </row>
    <row r="391" spans="1:33" x14ac:dyDescent="0.25">
      <c r="A391" s="179" t="s">
        <v>1598</v>
      </c>
      <c r="B391" s="263"/>
      <c r="C391" s="263"/>
      <c r="D391" s="182"/>
      <c r="E391" s="182"/>
      <c r="F391" s="307"/>
      <c r="G391" s="192"/>
      <c r="H391" s="192"/>
      <c r="I391" s="296"/>
      <c r="J391" s="272"/>
      <c r="K391" s="183"/>
      <c r="L391" s="204"/>
      <c r="M391" s="222"/>
      <c r="N391" s="222"/>
      <c r="O391" s="222"/>
      <c r="P391" s="222"/>
      <c r="Q391" s="222"/>
      <c r="R391" s="222"/>
      <c r="S391" s="222"/>
      <c r="T391" s="222"/>
      <c r="U391" s="222"/>
      <c r="V391" s="222"/>
      <c r="W391" s="279"/>
      <c r="X391" s="269"/>
      <c r="Y391" s="269"/>
      <c r="Z391" s="269"/>
      <c r="AA391" s="269"/>
      <c r="AB391" s="269"/>
      <c r="AC391" s="269"/>
      <c r="AD391" s="269"/>
      <c r="AE391" s="269"/>
      <c r="AF391" s="269"/>
      <c r="AG391" s="269"/>
    </row>
    <row r="392" spans="1:33" x14ac:dyDescent="0.25">
      <c r="A392" s="99" t="s">
        <v>1599</v>
      </c>
      <c r="B392" s="249" t="s">
        <v>1598</v>
      </c>
      <c r="C392" s="249" t="s">
        <v>1646</v>
      </c>
      <c r="D392" s="99" t="s">
        <v>1600</v>
      </c>
      <c r="E392" s="99" t="s">
        <v>1601</v>
      </c>
      <c r="F392" s="228"/>
      <c r="G392" s="102"/>
      <c r="H392" s="102"/>
      <c r="I392" s="246">
        <v>20</v>
      </c>
      <c r="J392" s="249" t="s">
        <v>1059</v>
      </c>
      <c r="K392" s="108"/>
      <c r="L392" s="99"/>
      <c r="M392" s="111"/>
      <c r="N392" s="111" t="s">
        <v>934</v>
      </c>
      <c r="O392" s="111"/>
      <c r="P392" s="328" t="s">
        <v>934</v>
      </c>
      <c r="Q392" s="111"/>
      <c r="R392" s="111"/>
      <c r="S392" s="321"/>
      <c r="T392" s="321"/>
      <c r="U392" s="321"/>
      <c r="V392" s="328" t="s">
        <v>1696</v>
      </c>
      <c r="W392" s="283"/>
      <c r="X392" s="109"/>
      <c r="Y392" s="109"/>
      <c r="Z392" s="109"/>
      <c r="AA392" s="109"/>
      <c r="AB392" s="109"/>
      <c r="AC392" s="109"/>
      <c r="AD392" s="109"/>
      <c r="AE392" s="109"/>
      <c r="AF392" s="109"/>
      <c r="AG392" s="109"/>
    </row>
    <row r="393" spans="1:33" x14ac:dyDescent="0.25">
      <c r="A393" s="99" t="s">
        <v>1602</v>
      </c>
      <c r="B393" s="249" t="s">
        <v>1598</v>
      </c>
      <c r="C393" s="249" t="s">
        <v>1646</v>
      </c>
      <c r="D393" s="99" t="s">
        <v>1603</v>
      </c>
      <c r="E393" s="99" t="s">
        <v>1604</v>
      </c>
      <c r="F393" s="228"/>
      <c r="G393" s="102"/>
      <c r="H393" s="102"/>
      <c r="I393" s="246">
        <v>20</v>
      </c>
      <c r="J393" s="249" t="s">
        <v>1059</v>
      </c>
      <c r="K393" s="108"/>
      <c r="L393" s="99"/>
      <c r="M393" s="111"/>
      <c r="N393" s="111" t="s">
        <v>934</v>
      </c>
      <c r="O393" s="111"/>
      <c r="P393" s="328" t="s">
        <v>934</v>
      </c>
      <c r="Q393" s="111"/>
      <c r="R393" s="111"/>
      <c r="S393" s="321"/>
      <c r="T393" s="321"/>
      <c r="U393" s="321"/>
      <c r="V393" s="328" t="s">
        <v>1698</v>
      </c>
      <c r="W393" s="283"/>
      <c r="X393" s="109"/>
      <c r="Y393" s="109"/>
      <c r="Z393" s="109"/>
      <c r="AA393" s="109"/>
      <c r="AB393" s="109"/>
      <c r="AC393" s="109"/>
      <c r="AD393" s="109"/>
      <c r="AE393" s="109"/>
      <c r="AF393" s="109"/>
      <c r="AG393" s="109"/>
    </row>
    <row r="394" spans="1:33" x14ac:dyDescent="0.25">
      <c r="A394" s="131" t="s">
        <v>1605</v>
      </c>
      <c r="B394" s="249" t="s">
        <v>1598</v>
      </c>
      <c r="C394" s="249" t="s">
        <v>1646</v>
      </c>
      <c r="D394" s="127" t="s">
        <v>1057</v>
      </c>
      <c r="E394" s="127" t="s">
        <v>1058</v>
      </c>
      <c r="F394" s="109"/>
      <c r="G394" s="102"/>
      <c r="H394" s="102">
        <v>160</v>
      </c>
      <c r="I394" s="218">
        <v>240</v>
      </c>
      <c r="J394" s="249" t="s">
        <v>529</v>
      </c>
      <c r="K394" s="193"/>
      <c r="L394" s="99"/>
      <c r="M394" s="111"/>
      <c r="N394" s="111" t="s">
        <v>934</v>
      </c>
      <c r="O394" s="111"/>
      <c r="P394" s="328" t="s">
        <v>934</v>
      </c>
      <c r="Q394" s="111"/>
      <c r="R394" s="111"/>
      <c r="S394" s="321"/>
      <c r="T394" s="321"/>
      <c r="U394" s="321"/>
      <c r="V394" s="328" t="s">
        <v>1696</v>
      </c>
      <c r="W394" s="283"/>
      <c r="X394" s="109"/>
      <c r="Y394" s="109"/>
      <c r="Z394" s="109"/>
      <c r="AA394" s="109"/>
      <c r="AB394" s="109"/>
      <c r="AC394" s="109"/>
      <c r="AD394" s="109"/>
      <c r="AE394" s="109"/>
      <c r="AF394" s="109"/>
      <c r="AG394" s="109"/>
    </row>
    <row r="395" spans="1:33" x14ac:dyDescent="0.25">
      <c r="A395" s="127" t="s">
        <v>1606</v>
      </c>
      <c r="B395" s="249" t="s">
        <v>1598</v>
      </c>
      <c r="C395" s="249" t="s">
        <v>1646</v>
      </c>
      <c r="D395" s="127" t="s">
        <v>1060</v>
      </c>
      <c r="E395" s="127" t="s">
        <v>1061</v>
      </c>
      <c r="F395" s="109"/>
      <c r="G395" s="102"/>
      <c r="H395" s="102">
        <v>700</v>
      </c>
      <c r="I395" s="218">
        <v>1000</v>
      </c>
      <c r="J395" s="249" t="s">
        <v>219</v>
      </c>
      <c r="K395" s="108" t="s">
        <v>2115</v>
      </c>
      <c r="L395" s="99"/>
      <c r="M395" s="111"/>
      <c r="N395" s="111" t="s">
        <v>934</v>
      </c>
      <c r="O395" s="111"/>
      <c r="P395" s="328" t="s">
        <v>934</v>
      </c>
      <c r="Q395" s="111"/>
      <c r="R395" s="111"/>
      <c r="S395" s="321"/>
      <c r="T395" s="321"/>
      <c r="U395" s="321"/>
      <c r="V395" s="328" t="s">
        <v>1698</v>
      </c>
      <c r="W395" s="283"/>
      <c r="X395" s="109"/>
      <c r="Y395" s="109"/>
      <c r="Z395" s="109"/>
      <c r="AA395" s="109"/>
      <c r="AB395" s="109"/>
      <c r="AC395" s="109"/>
      <c r="AD395" s="109"/>
      <c r="AE395" s="109"/>
      <c r="AF395" s="109"/>
      <c r="AG395" s="109"/>
    </row>
    <row r="396" spans="1:33" x14ac:dyDescent="0.25">
      <c r="A396" s="127" t="s">
        <v>1607</v>
      </c>
      <c r="B396" s="249" t="s">
        <v>1598</v>
      </c>
      <c r="C396" s="249" t="s">
        <v>1646</v>
      </c>
      <c r="D396" s="127" t="s">
        <v>1608</v>
      </c>
      <c r="E396" s="127" t="s">
        <v>1281</v>
      </c>
      <c r="F396" s="109"/>
      <c r="G396" s="102">
        <v>-200</v>
      </c>
      <c r="H396" s="102"/>
      <c r="I396" s="218">
        <v>200</v>
      </c>
      <c r="J396" s="249" t="s">
        <v>1075</v>
      </c>
      <c r="K396" s="247" t="s">
        <v>1609</v>
      </c>
      <c r="L396" s="99"/>
      <c r="M396" s="111"/>
      <c r="N396" s="111" t="s">
        <v>934</v>
      </c>
      <c r="O396" s="111"/>
      <c r="P396" s="328" t="s">
        <v>934</v>
      </c>
      <c r="Q396" s="111"/>
      <c r="R396" s="111"/>
      <c r="S396" s="321"/>
      <c r="T396" s="321"/>
      <c r="U396" s="321"/>
      <c r="V396" s="328" t="s">
        <v>1698</v>
      </c>
      <c r="W396" s="283"/>
      <c r="X396" s="109"/>
      <c r="Y396" s="109"/>
      <c r="Z396" s="109"/>
      <c r="AA396" s="109"/>
      <c r="AB396" s="109"/>
      <c r="AC396" s="109"/>
      <c r="AD396" s="109"/>
      <c r="AE396" s="109"/>
      <c r="AF396" s="109"/>
      <c r="AG396" s="109"/>
    </row>
    <row r="397" spans="1:33" x14ac:dyDescent="0.25">
      <c r="A397" s="127" t="s">
        <v>1610</v>
      </c>
      <c r="B397" s="249" t="s">
        <v>1598</v>
      </c>
      <c r="C397" s="249" t="s">
        <v>1646</v>
      </c>
      <c r="D397" s="127" t="s">
        <v>1611</v>
      </c>
      <c r="E397" s="127" t="s">
        <v>1281</v>
      </c>
      <c r="F397" s="109"/>
      <c r="G397" s="102">
        <v>-100</v>
      </c>
      <c r="H397" s="102"/>
      <c r="I397" s="218">
        <v>100</v>
      </c>
      <c r="J397" s="249" t="s">
        <v>1075</v>
      </c>
      <c r="K397" s="247" t="s">
        <v>1612</v>
      </c>
      <c r="L397" s="99"/>
      <c r="M397" s="111"/>
      <c r="N397" s="111" t="s">
        <v>934</v>
      </c>
      <c r="O397" s="111"/>
      <c r="P397" s="328" t="s">
        <v>934</v>
      </c>
      <c r="Q397" s="111"/>
      <c r="R397" s="111"/>
      <c r="S397" s="321"/>
      <c r="T397" s="321"/>
      <c r="U397" s="321"/>
      <c r="V397" s="328" t="s">
        <v>1698</v>
      </c>
      <c r="W397" s="283"/>
      <c r="X397" s="109"/>
      <c r="Y397" s="109"/>
      <c r="Z397" s="109"/>
      <c r="AA397" s="109"/>
      <c r="AB397" s="109"/>
      <c r="AC397" s="109"/>
      <c r="AD397" s="109"/>
      <c r="AE397" s="109"/>
      <c r="AF397" s="109"/>
      <c r="AG397" s="109"/>
    </row>
    <row r="398" spans="1:33" x14ac:dyDescent="0.25">
      <c r="A398" s="127" t="s">
        <v>1613</v>
      </c>
      <c r="B398" s="249" t="s">
        <v>1598</v>
      </c>
      <c r="C398" s="249" t="s">
        <v>1646</v>
      </c>
      <c r="D398" s="127" t="s">
        <v>1614</v>
      </c>
      <c r="E398" s="127" t="s">
        <v>1615</v>
      </c>
      <c r="F398" s="109"/>
      <c r="G398" s="102">
        <v>45</v>
      </c>
      <c r="H398" s="102"/>
      <c r="I398" s="218">
        <v>55</v>
      </c>
      <c r="J398" s="249" t="s">
        <v>530</v>
      </c>
      <c r="K398" s="247" t="s">
        <v>1616</v>
      </c>
      <c r="L398" s="99"/>
      <c r="M398" s="111"/>
      <c r="N398" s="111" t="s">
        <v>934</v>
      </c>
      <c r="O398" s="111"/>
      <c r="P398" s="328" t="s">
        <v>934</v>
      </c>
      <c r="Q398" s="111"/>
      <c r="R398" s="111"/>
      <c r="S398" s="321"/>
      <c r="T398" s="321"/>
      <c r="U398" s="321"/>
      <c r="V398" s="328" t="s">
        <v>1698</v>
      </c>
      <c r="W398" s="283"/>
      <c r="X398" s="109"/>
      <c r="Y398" s="109"/>
      <c r="Z398" s="109"/>
      <c r="AA398" s="109"/>
      <c r="AB398" s="109"/>
      <c r="AC398" s="109"/>
      <c r="AD398" s="109"/>
      <c r="AE398" s="109"/>
      <c r="AF398" s="109"/>
      <c r="AG398" s="109"/>
    </row>
    <row r="399" spans="1:33" x14ac:dyDescent="0.25">
      <c r="A399" s="369" t="s">
        <v>1285</v>
      </c>
      <c r="B399" s="370"/>
      <c r="C399" s="370"/>
      <c r="D399" s="370"/>
      <c r="E399" s="370"/>
      <c r="F399" s="370"/>
      <c r="G399" s="370"/>
      <c r="H399" s="370"/>
      <c r="I399" s="370"/>
      <c r="J399" s="370"/>
      <c r="K399" s="371"/>
      <c r="L399" s="205"/>
      <c r="M399" s="223"/>
      <c r="N399" s="223"/>
      <c r="O399" s="223"/>
      <c r="P399" s="223"/>
      <c r="Q399" s="223"/>
      <c r="R399" s="223"/>
      <c r="S399" s="223"/>
      <c r="T399" s="223"/>
      <c r="U399" s="223"/>
      <c r="V399" s="223"/>
      <c r="W399" s="223"/>
      <c r="X399" s="264"/>
      <c r="Y399" s="264"/>
      <c r="Z399" s="264"/>
      <c r="AA399" s="264"/>
      <c r="AB399" s="264"/>
      <c r="AC399" s="264"/>
      <c r="AD399" s="264"/>
      <c r="AE399" s="264"/>
      <c r="AF399" s="264"/>
      <c r="AG399" s="264"/>
    </row>
    <row r="400" spans="1:33" x14ac:dyDescent="0.25">
      <c r="A400" s="179" t="s">
        <v>1713</v>
      </c>
      <c r="B400" s="265"/>
      <c r="C400" s="265"/>
      <c r="D400" s="99"/>
      <c r="E400" s="99"/>
      <c r="F400" s="228"/>
      <c r="G400" s="99"/>
      <c r="H400" s="99"/>
      <c r="I400" s="266"/>
      <c r="J400" s="249"/>
      <c r="K400" s="126"/>
      <c r="L400" s="99"/>
      <c r="M400" s="111"/>
      <c r="N400" s="111"/>
      <c r="O400" s="111"/>
      <c r="P400" s="328"/>
      <c r="Q400" s="111"/>
      <c r="R400" s="111"/>
      <c r="S400" s="321"/>
      <c r="T400" s="321"/>
      <c r="U400" s="321"/>
      <c r="V400" s="328"/>
      <c r="W400" s="283"/>
      <c r="X400" s="109"/>
      <c r="Y400" s="109"/>
      <c r="Z400" s="109"/>
      <c r="AA400" s="109"/>
      <c r="AB400" s="109"/>
      <c r="AC400" s="109"/>
      <c r="AD400" s="109"/>
      <c r="AE400" s="109"/>
      <c r="AF400" s="109"/>
      <c r="AG400" s="109"/>
    </row>
    <row r="401" spans="1:33" x14ac:dyDescent="0.25">
      <c r="A401" s="108" t="s">
        <v>1298</v>
      </c>
      <c r="B401" s="265" t="s">
        <v>1285</v>
      </c>
      <c r="C401" s="265" t="s">
        <v>1661</v>
      </c>
      <c r="D401" s="99" t="s">
        <v>1312</v>
      </c>
      <c r="E401" s="99" t="s">
        <v>1319</v>
      </c>
      <c r="F401" s="228"/>
      <c r="G401" s="99">
        <v>34</v>
      </c>
      <c r="H401" s="99"/>
      <c r="I401" s="266"/>
      <c r="J401" s="249" t="s">
        <v>1091</v>
      </c>
      <c r="K401" s="126"/>
      <c r="L401" s="99"/>
      <c r="M401" s="111"/>
      <c r="N401" s="111" t="s">
        <v>934</v>
      </c>
      <c r="O401" s="111"/>
      <c r="P401" s="328" t="s">
        <v>934</v>
      </c>
      <c r="Q401" s="111"/>
      <c r="R401" s="111"/>
      <c r="S401" s="321"/>
      <c r="T401" s="321"/>
      <c r="U401" s="321"/>
      <c r="V401" s="328" t="s">
        <v>1698</v>
      </c>
      <c r="W401" s="283"/>
      <c r="X401" s="109"/>
      <c r="Y401" s="109"/>
      <c r="Z401" s="109"/>
      <c r="AA401" s="109"/>
      <c r="AB401" s="109"/>
      <c r="AC401" s="109"/>
      <c r="AD401" s="109"/>
      <c r="AE401" s="109"/>
      <c r="AF401" s="109"/>
      <c r="AG401" s="109"/>
    </row>
    <row r="402" spans="1:33" x14ac:dyDescent="0.25">
      <c r="A402" s="108" t="s">
        <v>1299</v>
      </c>
      <c r="B402" s="265" t="s">
        <v>1285</v>
      </c>
      <c r="C402" s="265" t="s">
        <v>1661</v>
      </c>
      <c r="D402" s="99" t="s">
        <v>1313</v>
      </c>
      <c r="E402" s="99" t="s">
        <v>1287</v>
      </c>
      <c r="F402" s="228"/>
      <c r="G402" s="99">
        <v>10</v>
      </c>
      <c r="H402" s="99"/>
      <c r="I402" s="266"/>
      <c r="J402" s="249" t="s">
        <v>1091</v>
      </c>
      <c r="K402" s="126"/>
      <c r="L402" s="99"/>
      <c r="M402" s="111"/>
      <c r="N402" s="111" t="s">
        <v>934</v>
      </c>
      <c r="O402" s="111"/>
      <c r="P402" s="328" t="s">
        <v>934</v>
      </c>
      <c r="Q402" s="111"/>
      <c r="R402" s="111"/>
      <c r="S402" s="321"/>
      <c r="T402" s="321"/>
      <c r="U402" s="321"/>
      <c r="V402" s="328" t="s">
        <v>1698</v>
      </c>
      <c r="W402" s="283"/>
      <c r="X402" s="109"/>
      <c r="Y402" s="109"/>
      <c r="Z402" s="109"/>
      <c r="AA402" s="109"/>
      <c r="AB402" s="109"/>
      <c r="AC402" s="109"/>
      <c r="AD402" s="109"/>
      <c r="AE402" s="109"/>
      <c r="AF402" s="109"/>
      <c r="AG402" s="109"/>
    </row>
    <row r="403" spans="1:33" x14ac:dyDescent="0.25">
      <c r="A403" s="108" t="s">
        <v>1723</v>
      </c>
      <c r="B403" s="265" t="s">
        <v>1285</v>
      </c>
      <c r="C403" s="265" t="s">
        <v>1661</v>
      </c>
      <c r="D403" s="99" t="s">
        <v>1724</v>
      </c>
      <c r="E403" s="99" t="s">
        <v>1725</v>
      </c>
      <c r="F403" s="228"/>
      <c r="G403" s="99"/>
      <c r="H403" s="99">
        <v>62</v>
      </c>
      <c r="I403" s="322"/>
      <c r="J403" s="249" t="s">
        <v>1091</v>
      </c>
      <c r="K403" s="126"/>
      <c r="L403" s="99"/>
      <c r="M403" s="322"/>
      <c r="N403" s="322" t="s">
        <v>934</v>
      </c>
      <c r="O403" s="322"/>
      <c r="P403" s="328" t="s">
        <v>934</v>
      </c>
      <c r="Q403" s="322"/>
      <c r="R403" s="322"/>
      <c r="S403" s="322"/>
      <c r="T403" s="322"/>
      <c r="U403" s="322"/>
      <c r="V403" s="328" t="s">
        <v>1698</v>
      </c>
      <c r="W403" s="283"/>
      <c r="X403" s="109"/>
      <c r="Y403" s="109"/>
      <c r="Z403" s="109"/>
      <c r="AA403" s="109"/>
      <c r="AB403" s="109"/>
      <c r="AC403" s="109"/>
      <c r="AD403" s="109"/>
      <c r="AE403" s="109"/>
      <c r="AF403" s="109"/>
      <c r="AG403" s="109"/>
    </row>
    <row r="404" spans="1:33" x14ac:dyDescent="0.25">
      <c r="A404" s="108" t="s">
        <v>1300</v>
      </c>
      <c r="B404" s="265" t="s">
        <v>1285</v>
      </c>
      <c r="C404" s="265" t="s">
        <v>1661</v>
      </c>
      <c r="D404" s="99" t="s">
        <v>1316</v>
      </c>
      <c r="E404" s="99" t="s">
        <v>1288</v>
      </c>
      <c r="F404" s="228"/>
      <c r="G404" s="99"/>
      <c r="H404" s="99"/>
      <c r="I404" s="266">
        <v>22</v>
      </c>
      <c r="J404" s="249" t="s">
        <v>1091</v>
      </c>
      <c r="K404" s="126"/>
      <c r="L404" s="99"/>
      <c r="M404" s="111"/>
      <c r="N404" s="111" t="s">
        <v>934</v>
      </c>
      <c r="O404" s="111"/>
      <c r="P404" s="328" t="s">
        <v>934</v>
      </c>
      <c r="Q404" s="111"/>
      <c r="R404" s="111"/>
      <c r="S404" s="321"/>
      <c r="T404" s="321"/>
      <c r="U404" s="321"/>
      <c r="V404" s="328" t="s">
        <v>1698</v>
      </c>
      <c r="W404" s="283"/>
      <c r="X404" s="109"/>
      <c r="Y404" s="109"/>
      <c r="Z404" s="109"/>
      <c r="AA404" s="109"/>
      <c r="AB404" s="109"/>
      <c r="AC404" s="109"/>
      <c r="AD404" s="109"/>
      <c r="AE404" s="109"/>
      <c r="AF404" s="109"/>
      <c r="AG404" s="109"/>
    </row>
    <row r="405" spans="1:33" x14ac:dyDescent="0.25">
      <c r="A405" s="108" t="s">
        <v>1301</v>
      </c>
      <c r="B405" s="265" t="s">
        <v>1285</v>
      </c>
      <c r="C405" s="265" t="s">
        <v>1661</v>
      </c>
      <c r="D405" s="99" t="s">
        <v>1314</v>
      </c>
      <c r="E405" s="99" t="s">
        <v>1289</v>
      </c>
      <c r="F405" s="228"/>
      <c r="G405" s="99">
        <v>12</v>
      </c>
      <c r="H405" s="99"/>
      <c r="I405" s="266"/>
      <c r="J405" s="249" t="s">
        <v>1091</v>
      </c>
      <c r="K405" s="126"/>
      <c r="L405" s="99"/>
      <c r="M405" s="111"/>
      <c r="N405" s="111" t="s">
        <v>934</v>
      </c>
      <c r="O405" s="111"/>
      <c r="P405" s="328" t="s">
        <v>934</v>
      </c>
      <c r="Q405" s="111"/>
      <c r="R405" s="111"/>
      <c r="S405" s="321"/>
      <c r="T405" s="321"/>
      <c r="U405" s="321"/>
      <c r="V405" s="328" t="s">
        <v>1698</v>
      </c>
      <c r="W405" s="283"/>
      <c r="X405" s="109"/>
      <c r="Y405" s="109"/>
      <c r="Z405" s="109"/>
      <c r="AA405" s="109"/>
      <c r="AB405" s="109"/>
      <c r="AC405" s="109"/>
      <c r="AD405" s="109"/>
      <c r="AE405" s="109"/>
      <c r="AF405" s="109"/>
      <c r="AG405" s="109"/>
    </row>
    <row r="406" spans="1:33" x14ac:dyDescent="0.25">
      <c r="A406" s="108" t="s">
        <v>1302</v>
      </c>
      <c r="B406" s="265" t="s">
        <v>1285</v>
      </c>
      <c r="C406" s="265" t="s">
        <v>1661</v>
      </c>
      <c r="D406" s="99" t="s">
        <v>1315</v>
      </c>
      <c r="E406" s="99" t="s">
        <v>1290</v>
      </c>
      <c r="F406" s="228"/>
      <c r="G406" s="99">
        <v>10</v>
      </c>
      <c r="H406" s="99"/>
      <c r="I406" s="266"/>
      <c r="J406" s="249" t="s">
        <v>1091</v>
      </c>
      <c r="K406" s="126"/>
      <c r="L406" s="99"/>
      <c r="M406" s="111"/>
      <c r="N406" s="111" t="s">
        <v>934</v>
      </c>
      <c r="O406" s="111"/>
      <c r="P406" s="328" t="s">
        <v>934</v>
      </c>
      <c r="Q406" s="111"/>
      <c r="R406" s="111"/>
      <c r="S406" s="321"/>
      <c r="T406" s="321"/>
      <c r="U406" s="321"/>
      <c r="V406" s="328" t="s">
        <v>1698</v>
      </c>
      <c r="W406" s="283"/>
      <c r="X406" s="109"/>
      <c r="Y406" s="109"/>
      <c r="Z406" s="109"/>
      <c r="AA406" s="109"/>
      <c r="AB406" s="109"/>
      <c r="AC406" s="109"/>
      <c r="AD406" s="109"/>
      <c r="AE406" s="109"/>
      <c r="AF406" s="109"/>
      <c r="AG406" s="109"/>
    </row>
    <row r="407" spans="1:33" x14ac:dyDescent="0.25">
      <c r="A407" s="108" t="s">
        <v>1303</v>
      </c>
      <c r="B407" s="265" t="s">
        <v>1285</v>
      </c>
      <c r="C407" s="265" t="s">
        <v>1661</v>
      </c>
      <c r="D407" s="99" t="s">
        <v>1317</v>
      </c>
      <c r="E407" s="99" t="s">
        <v>1291</v>
      </c>
      <c r="F407" s="228"/>
      <c r="G407" s="99">
        <v>22</v>
      </c>
      <c r="H407" s="99"/>
      <c r="I407" s="266"/>
      <c r="J407" s="249" t="s">
        <v>1091</v>
      </c>
      <c r="K407" s="126"/>
      <c r="L407" s="99"/>
      <c r="M407" s="111"/>
      <c r="N407" s="111" t="s">
        <v>934</v>
      </c>
      <c r="O407" s="111"/>
      <c r="P407" s="328" t="s">
        <v>934</v>
      </c>
      <c r="Q407" s="111"/>
      <c r="R407" s="111"/>
      <c r="S407" s="321"/>
      <c r="T407" s="321"/>
      <c r="U407" s="321"/>
      <c r="V407" s="328" t="s">
        <v>1698</v>
      </c>
      <c r="W407" s="283"/>
      <c r="X407" s="109"/>
      <c r="Y407" s="109"/>
      <c r="Z407" s="109"/>
      <c r="AA407" s="109"/>
      <c r="AB407" s="109"/>
      <c r="AC407" s="109"/>
      <c r="AD407" s="109"/>
      <c r="AE407" s="109"/>
      <c r="AF407" s="109"/>
      <c r="AG407" s="109"/>
    </row>
    <row r="408" spans="1:33" x14ac:dyDescent="0.25">
      <c r="A408" s="108" t="s">
        <v>1304</v>
      </c>
      <c r="B408" s="265" t="s">
        <v>1285</v>
      </c>
      <c r="C408" s="265" t="s">
        <v>1661</v>
      </c>
      <c r="D408" s="99" t="s">
        <v>1318</v>
      </c>
      <c r="E408" s="99" t="s">
        <v>1292</v>
      </c>
      <c r="F408" s="228"/>
      <c r="G408" s="99">
        <v>22</v>
      </c>
      <c r="H408" s="99"/>
      <c r="I408" s="266"/>
      <c r="J408" s="249" t="s">
        <v>1091</v>
      </c>
      <c r="K408" s="126"/>
      <c r="L408" s="99"/>
      <c r="M408" s="111"/>
      <c r="N408" s="111" t="s">
        <v>934</v>
      </c>
      <c r="O408" s="111"/>
      <c r="P408" s="328" t="s">
        <v>934</v>
      </c>
      <c r="Q408" s="111"/>
      <c r="R408" s="111"/>
      <c r="S408" s="321"/>
      <c r="T408" s="321"/>
      <c r="U408" s="321"/>
      <c r="V408" s="328" t="s">
        <v>1698</v>
      </c>
      <c r="W408" s="283"/>
      <c r="X408" s="109"/>
      <c r="Y408" s="109"/>
      <c r="Z408" s="109"/>
      <c r="AA408" s="109"/>
      <c r="AB408" s="109"/>
      <c r="AC408" s="109"/>
      <c r="AD408" s="109"/>
      <c r="AE408" s="109"/>
      <c r="AF408" s="109"/>
      <c r="AG408" s="109"/>
    </row>
    <row r="409" spans="1:33" x14ac:dyDescent="0.25">
      <c r="A409" s="108" t="s">
        <v>1707</v>
      </c>
      <c r="B409" s="265" t="s">
        <v>1285</v>
      </c>
      <c r="C409" s="265" t="s">
        <v>1661</v>
      </c>
      <c r="D409" s="99" t="s">
        <v>1708</v>
      </c>
      <c r="E409" s="99" t="s">
        <v>1709</v>
      </c>
      <c r="F409" s="228"/>
      <c r="G409" s="99"/>
      <c r="H409" s="99"/>
      <c r="I409" s="266">
        <v>5</v>
      </c>
      <c r="J409" s="249" t="s">
        <v>1091</v>
      </c>
      <c r="K409" s="126"/>
      <c r="L409" s="99"/>
      <c r="M409" s="111"/>
      <c r="N409" s="111" t="s">
        <v>934</v>
      </c>
      <c r="O409" s="111"/>
      <c r="P409" s="328" t="s">
        <v>934</v>
      </c>
      <c r="Q409" s="111"/>
      <c r="R409" s="111"/>
      <c r="S409" s="321"/>
      <c r="T409" s="321"/>
      <c r="U409" s="321"/>
      <c r="V409" s="328" t="s">
        <v>1698</v>
      </c>
      <c r="W409" s="283"/>
      <c r="X409" s="109"/>
      <c r="Y409" s="109"/>
      <c r="Z409" s="109"/>
      <c r="AA409" s="109"/>
      <c r="AB409" s="109"/>
      <c r="AC409" s="109"/>
      <c r="AD409" s="109"/>
      <c r="AE409" s="109"/>
      <c r="AF409" s="109"/>
      <c r="AG409" s="109"/>
    </row>
    <row r="410" spans="1:33" x14ac:dyDescent="0.25">
      <c r="A410" s="108" t="s">
        <v>1710</v>
      </c>
      <c r="B410" s="265" t="s">
        <v>1285</v>
      </c>
      <c r="C410" s="265" t="s">
        <v>1661</v>
      </c>
      <c r="D410" s="99" t="s">
        <v>1711</v>
      </c>
      <c r="E410" s="99" t="s">
        <v>1712</v>
      </c>
      <c r="F410" s="228"/>
      <c r="G410" s="99"/>
      <c r="H410" s="99"/>
      <c r="I410" s="322">
        <v>5</v>
      </c>
      <c r="J410" s="249" t="s">
        <v>1091</v>
      </c>
      <c r="K410" s="126"/>
      <c r="L410" s="99"/>
      <c r="M410" s="322"/>
      <c r="N410" s="322" t="s">
        <v>934</v>
      </c>
      <c r="O410" s="322"/>
      <c r="P410" s="328" t="s">
        <v>934</v>
      </c>
      <c r="Q410" s="322"/>
      <c r="R410" s="322"/>
      <c r="S410" s="322"/>
      <c r="T410" s="322"/>
      <c r="U410" s="322"/>
      <c r="V410" s="328" t="s">
        <v>1698</v>
      </c>
      <c r="W410" s="283"/>
      <c r="X410" s="109"/>
      <c r="Y410" s="109"/>
      <c r="Z410" s="109"/>
      <c r="AA410" s="109"/>
      <c r="AB410" s="109"/>
      <c r="AC410" s="109"/>
      <c r="AD410" s="109"/>
      <c r="AE410" s="109"/>
      <c r="AF410" s="109"/>
      <c r="AG410" s="109"/>
    </row>
    <row r="411" spans="1:33" x14ac:dyDescent="0.25">
      <c r="A411" s="179" t="s">
        <v>1722</v>
      </c>
      <c r="B411" s="265"/>
      <c r="C411" s="265"/>
      <c r="D411" s="99"/>
      <c r="E411" s="99"/>
      <c r="F411" s="228"/>
      <c r="G411" s="99"/>
      <c r="H411" s="99"/>
      <c r="I411" s="322"/>
      <c r="J411" s="249"/>
      <c r="K411" s="126"/>
      <c r="L411" s="99"/>
      <c r="M411" s="111"/>
      <c r="N411" s="111"/>
      <c r="O411" s="111"/>
      <c r="P411" s="328"/>
      <c r="Q411" s="111"/>
      <c r="R411" s="111"/>
      <c r="S411" s="321"/>
      <c r="T411" s="321"/>
      <c r="U411" s="321"/>
      <c r="V411" s="328"/>
      <c r="W411" s="283"/>
      <c r="X411" s="109"/>
      <c r="Y411" s="109"/>
      <c r="Z411" s="109"/>
      <c r="AA411" s="109"/>
      <c r="AB411" s="109"/>
      <c r="AC411" s="109"/>
      <c r="AD411" s="109"/>
      <c r="AE411" s="109"/>
      <c r="AF411" s="109"/>
      <c r="AG411" s="109"/>
    </row>
    <row r="412" spans="1:33" x14ac:dyDescent="0.25">
      <c r="A412" s="108" t="s">
        <v>1721</v>
      </c>
      <c r="B412" s="265" t="s">
        <v>1285</v>
      </c>
      <c r="C412" s="265" t="s">
        <v>1661</v>
      </c>
      <c r="D412" s="99" t="s">
        <v>1312</v>
      </c>
      <c r="E412" s="99" t="s">
        <v>1319</v>
      </c>
      <c r="F412" s="228"/>
      <c r="G412" s="99">
        <v>60</v>
      </c>
      <c r="H412" s="99"/>
      <c r="I412" s="322"/>
      <c r="J412" s="249" t="s">
        <v>1091</v>
      </c>
      <c r="K412" s="126"/>
      <c r="L412" s="99"/>
      <c r="M412" s="111"/>
      <c r="N412" s="111" t="s">
        <v>934</v>
      </c>
      <c r="O412" s="111"/>
      <c r="P412" s="328" t="s">
        <v>934</v>
      </c>
      <c r="Q412" s="111"/>
      <c r="R412" s="111"/>
      <c r="S412" s="321"/>
      <c r="T412" s="321"/>
      <c r="U412" s="321"/>
      <c r="V412" s="328" t="s">
        <v>1698</v>
      </c>
      <c r="W412" s="283"/>
      <c r="X412" s="109"/>
      <c r="Y412" s="109"/>
      <c r="Z412" s="109"/>
      <c r="AA412" s="109"/>
      <c r="AB412" s="109"/>
      <c r="AC412" s="109"/>
      <c r="AD412" s="109"/>
      <c r="AE412" s="109"/>
      <c r="AF412" s="109"/>
      <c r="AG412" s="109"/>
    </row>
    <row r="413" spans="1:33" x14ac:dyDescent="0.25">
      <c r="A413" s="108" t="s">
        <v>1727</v>
      </c>
      <c r="B413" s="265" t="s">
        <v>1285</v>
      </c>
      <c r="C413" s="265" t="s">
        <v>1661</v>
      </c>
      <c r="D413" s="99" t="s">
        <v>1313</v>
      </c>
      <c r="E413" s="99" t="s">
        <v>1287</v>
      </c>
      <c r="F413" s="228"/>
      <c r="G413" s="99">
        <v>20</v>
      </c>
      <c r="H413" s="99"/>
      <c r="I413" s="322"/>
      <c r="J413" s="249" t="s">
        <v>1091</v>
      </c>
      <c r="K413" s="126"/>
      <c r="L413" s="99"/>
      <c r="M413" s="111"/>
      <c r="N413" s="111" t="s">
        <v>934</v>
      </c>
      <c r="O413" s="111"/>
      <c r="P413" s="328" t="s">
        <v>934</v>
      </c>
      <c r="Q413" s="111"/>
      <c r="R413" s="111"/>
      <c r="S413" s="321"/>
      <c r="T413" s="321"/>
      <c r="U413" s="321"/>
      <c r="V413" s="328" t="s">
        <v>1698</v>
      </c>
      <c r="W413" s="283"/>
      <c r="X413" s="109"/>
      <c r="Y413" s="109"/>
      <c r="Z413" s="109"/>
      <c r="AA413" s="109"/>
      <c r="AB413" s="109"/>
      <c r="AC413" s="109"/>
      <c r="AD413" s="109"/>
      <c r="AE413" s="109"/>
      <c r="AF413" s="109"/>
      <c r="AG413" s="109"/>
    </row>
    <row r="414" spans="1:33" x14ac:dyDescent="0.25">
      <c r="A414" s="108" t="s">
        <v>1728</v>
      </c>
      <c r="B414" s="265" t="s">
        <v>1285</v>
      </c>
      <c r="C414" s="265" t="s">
        <v>1661</v>
      </c>
      <c r="D414" s="99" t="s">
        <v>1724</v>
      </c>
      <c r="E414" s="99" t="s">
        <v>1725</v>
      </c>
      <c r="F414" s="228"/>
      <c r="G414" s="99"/>
      <c r="H414" s="99">
        <v>80</v>
      </c>
      <c r="I414" s="322"/>
      <c r="J414" s="249" t="s">
        <v>1091</v>
      </c>
      <c r="K414" s="126"/>
      <c r="L414" s="99"/>
      <c r="M414" s="322"/>
      <c r="N414" s="322" t="s">
        <v>934</v>
      </c>
      <c r="O414" s="322"/>
      <c r="P414" s="328" t="s">
        <v>934</v>
      </c>
      <c r="Q414" s="322"/>
      <c r="R414" s="322"/>
      <c r="S414" s="322"/>
      <c r="T414" s="322"/>
      <c r="U414" s="322"/>
      <c r="V414" s="328" t="s">
        <v>1698</v>
      </c>
      <c r="W414" s="283"/>
      <c r="X414" s="109"/>
      <c r="Y414" s="109"/>
      <c r="Z414" s="109"/>
      <c r="AA414" s="109"/>
      <c r="AB414" s="109"/>
      <c r="AC414" s="109"/>
      <c r="AD414" s="109"/>
      <c r="AE414" s="109"/>
      <c r="AF414" s="109"/>
      <c r="AG414" s="109"/>
    </row>
    <row r="415" spans="1:33" x14ac:dyDescent="0.25">
      <c r="A415" s="108" t="s">
        <v>1729</v>
      </c>
      <c r="B415" s="265" t="s">
        <v>1285</v>
      </c>
      <c r="C415" s="265" t="s">
        <v>1661</v>
      </c>
      <c r="D415" s="99" t="s">
        <v>1316</v>
      </c>
      <c r="E415" s="99" t="s">
        <v>1288</v>
      </c>
      <c r="F415" s="228"/>
      <c r="G415" s="99"/>
      <c r="H415" s="99"/>
      <c r="I415" s="322">
        <v>40</v>
      </c>
      <c r="J415" s="249" t="s">
        <v>1091</v>
      </c>
      <c r="K415" s="126"/>
      <c r="L415" s="99"/>
      <c r="M415" s="322"/>
      <c r="N415" s="322"/>
      <c r="O415" s="322"/>
      <c r="P415" s="328"/>
      <c r="Q415" s="322"/>
      <c r="R415" s="322"/>
      <c r="S415" s="322"/>
      <c r="T415" s="322"/>
      <c r="U415" s="322"/>
      <c r="V415" s="328" t="s">
        <v>1698</v>
      </c>
      <c r="W415" s="283"/>
      <c r="X415" s="109"/>
      <c r="Y415" s="109"/>
      <c r="Z415" s="109"/>
      <c r="AA415" s="109"/>
      <c r="AB415" s="109"/>
      <c r="AC415" s="109"/>
      <c r="AD415" s="109"/>
      <c r="AE415" s="109"/>
      <c r="AF415" s="109"/>
      <c r="AG415" s="109"/>
    </row>
    <row r="416" spans="1:33" x14ac:dyDescent="0.25">
      <c r="A416" s="108" t="s">
        <v>1730</v>
      </c>
      <c r="B416" s="265" t="s">
        <v>1285</v>
      </c>
      <c r="C416" s="265" t="s">
        <v>1661</v>
      </c>
      <c r="D416" s="99" t="s">
        <v>1314</v>
      </c>
      <c r="E416" s="99" t="s">
        <v>1289</v>
      </c>
      <c r="F416" s="228"/>
      <c r="G416" s="99">
        <v>20</v>
      </c>
      <c r="H416" s="99"/>
      <c r="I416" s="322"/>
      <c r="J416" s="249" t="s">
        <v>1091</v>
      </c>
      <c r="K416" s="126"/>
      <c r="L416" s="99"/>
      <c r="M416" s="111"/>
      <c r="N416" s="111" t="s">
        <v>934</v>
      </c>
      <c r="O416" s="111"/>
      <c r="P416" s="328" t="s">
        <v>934</v>
      </c>
      <c r="Q416" s="111"/>
      <c r="R416" s="111"/>
      <c r="S416" s="321"/>
      <c r="T416" s="321"/>
      <c r="U416" s="321"/>
      <c r="V416" s="328" t="s">
        <v>1698</v>
      </c>
      <c r="W416" s="283"/>
      <c r="X416" s="109"/>
      <c r="Y416" s="109"/>
      <c r="Z416" s="109"/>
      <c r="AA416" s="109"/>
      <c r="AB416" s="109"/>
      <c r="AC416" s="109"/>
      <c r="AD416" s="109"/>
      <c r="AE416" s="109"/>
      <c r="AF416" s="109"/>
      <c r="AG416" s="109"/>
    </row>
    <row r="417" spans="1:33" x14ac:dyDescent="0.25">
      <c r="A417" s="108" t="s">
        <v>1731</v>
      </c>
      <c r="B417" s="265" t="s">
        <v>1285</v>
      </c>
      <c r="C417" s="265" t="s">
        <v>1661</v>
      </c>
      <c r="D417" s="99" t="s">
        <v>1315</v>
      </c>
      <c r="E417" s="99" t="s">
        <v>1290</v>
      </c>
      <c r="F417" s="228"/>
      <c r="G417" s="99">
        <v>20</v>
      </c>
      <c r="H417" s="99"/>
      <c r="I417" s="322"/>
      <c r="J417" s="249" t="s">
        <v>1091</v>
      </c>
      <c r="K417" s="126"/>
      <c r="L417" s="99"/>
      <c r="M417" s="111"/>
      <c r="N417" s="111" t="s">
        <v>934</v>
      </c>
      <c r="O417" s="111"/>
      <c r="P417" s="328" t="s">
        <v>934</v>
      </c>
      <c r="Q417" s="111"/>
      <c r="R417" s="111"/>
      <c r="S417" s="321"/>
      <c r="T417" s="321"/>
      <c r="U417" s="321"/>
      <c r="V417" s="328" t="s">
        <v>1698</v>
      </c>
      <c r="W417" s="283"/>
      <c r="X417" s="109"/>
      <c r="Y417" s="109"/>
      <c r="Z417" s="109"/>
      <c r="AA417" s="109"/>
      <c r="AB417" s="109"/>
      <c r="AC417" s="109"/>
      <c r="AD417" s="109"/>
      <c r="AE417" s="109"/>
      <c r="AF417" s="109"/>
      <c r="AG417" s="109"/>
    </row>
    <row r="418" spans="1:33" x14ac:dyDescent="0.25">
      <c r="A418" s="108" t="s">
        <v>1732</v>
      </c>
      <c r="B418" s="265" t="s">
        <v>1285</v>
      </c>
      <c r="C418" s="265" t="s">
        <v>1661</v>
      </c>
      <c r="D418" s="99" t="s">
        <v>1317</v>
      </c>
      <c r="E418" s="99" t="s">
        <v>1291</v>
      </c>
      <c r="F418" s="228"/>
      <c r="G418" s="99">
        <v>50</v>
      </c>
      <c r="H418" s="99"/>
      <c r="I418" s="322"/>
      <c r="J418" s="249" t="s">
        <v>1091</v>
      </c>
      <c r="K418" s="126" t="s">
        <v>1857</v>
      </c>
      <c r="L418" s="99"/>
      <c r="M418" s="111"/>
      <c r="N418" s="111" t="s">
        <v>934</v>
      </c>
      <c r="O418" s="111"/>
      <c r="P418" s="328" t="s">
        <v>934</v>
      </c>
      <c r="Q418" s="111"/>
      <c r="R418" s="111"/>
      <c r="S418" s="321"/>
      <c r="T418" s="321"/>
      <c r="U418" s="321"/>
      <c r="V418" s="328" t="s">
        <v>1698</v>
      </c>
      <c r="W418" s="283"/>
      <c r="X418" s="109"/>
      <c r="Y418" s="109"/>
      <c r="Z418" s="109"/>
      <c r="AA418" s="109"/>
      <c r="AB418" s="109"/>
      <c r="AC418" s="109"/>
      <c r="AD418" s="109"/>
      <c r="AE418" s="109"/>
      <c r="AF418" s="109"/>
      <c r="AG418" s="109"/>
    </row>
    <row r="419" spans="1:33" x14ac:dyDescent="0.25">
      <c r="A419" s="108" t="s">
        <v>1733</v>
      </c>
      <c r="B419" s="265" t="s">
        <v>1285</v>
      </c>
      <c r="C419" s="265" t="s">
        <v>1661</v>
      </c>
      <c r="D419" s="99" t="s">
        <v>1318</v>
      </c>
      <c r="E419" s="99" t="s">
        <v>1292</v>
      </c>
      <c r="F419" s="228"/>
      <c r="G419" s="99">
        <v>40</v>
      </c>
      <c r="H419" s="99"/>
      <c r="I419" s="322"/>
      <c r="J419" s="249" t="s">
        <v>1091</v>
      </c>
      <c r="K419" s="126"/>
      <c r="L419" s="99"/>
      <c r="M419" s="111"/>
      <c r="N419" s="111" t="s">
        <v>934</v>
      </c>
      <c r="O419" s="111"/>
      <c r="P419" s="328" t="s">
        <v>934</v>
      </c>
      <c r="Q419" s="111"/>
      <c r="R419" s="111"/>
      <c r="S419" s="321"/>
      <c r="T419" s="321"/>
      <c r="U419" s="321"/>
      <c r="V419" s="328" t="s">
        <v>1698</v>
      </c>
      <c r="W419" s="283"/>
      <c r="X419" s="109"/>
      <c r="Y419" s="109"/>
      <c r="Z419" s="109"/>
      <c r="AA419" s="109"/>
      <c r="AB419" s="109"/>
      <c r="AC419" s="109"/>
      <c r="AD419" s="109"/>
      <c r="AE419" s="109"/>
      <c r="AF419" s="109"/>
      <c r="AG419" s="109"/>
    </row>
    <row r="420" spans="1:33" x14ac:dyDescent="0.25">
      <c r="A420" s="108" t="s">
        <v>1734</v>
      </c>
      <c r="B420" s="265" t="s">
        <v>1285</v>
      </c>
      <c r="C420" s="265" t="s">
        <v>1661</v>
      </c>
      <c r="D420" s="99" t="s">
        <v>1708</v>
      </c>
      <c r="E420" s="99" t="s">
        <v>1709</v>
      </c>
      <c r="F420" s="228"/>
      <c r="G420" s="99"/>
      <c r="H420" s="99"/>
      <c r="I420" s="322">
        <v>5</v>
      </c>
      <c r="J420" s="249" t="s">
        <v>1091</v>
      </c>
      <c r="K420" s="126"/>
      <c r="L420" s="99"/>
      <c r="M420" s="111"/>
      <c r="N420" s="111" t="s">
        <v>934</v>
      </c>
      <c r="O420" s="111"/>
      <c r="P420" s="328" t="s">
        <v>934</v>
      </c>
      <c r="Q420" s="111"/>
      <c r="R420" s="111"/>
      <c r="S420" s="321"/>
      <c r="T420" s="321"/>
      <c r="U420" s="321"/>
      <c r="V420" s="328" t="s">
        <v>1698</v>
      </c>
      <c r="W420" s="283"/>
      <c r="X420" s="109"/>
      <c r="Y420" s="109"/>
      <c r="Z420" s="109"/>
      <c r="AA420" s="109"/>
      <c r="AB420" s="109"/>
      <c r="AC420" s="109"/>
      <c r="AD420" s="109"/>
      <c r="AE420" s="109"/>
      <c r="AF420" s="109"/>
      <c r="AG420" s="109"/>
    </row>
    <row r="421" spans="1:33" x14ac:dyDescent="0.25">
      <c r="A421" s="108" t="s">
        <v>1735</v>
      </c>
      <c r="B421" s="265" t="s">
        <v>1285</v>
      </c>
      <c r="C421" s="265" t="s">
        <v>1661</v>
      </c>
      <c r="D421" s="99" t="s">
        <v>1711</v>
      </c>
      <c r="E421" s="99" t="s">
        <v>1712</v>
      </c>
      <c r="F421" s="228"/>
      <c r="G421" s="99"/>
      <c r="H421" s="99"/>
      <c r="I421" s="322">
        <v>5</v>
      </c>
      <c r="J421" s="249" t="s">
        <v>1091</v>
      </c>
      <c r="K421" s="126"/>
      <c r="L421" s="99"/>
      <c r="M421" s="111"/>
      <c r="N421" s="111" t="s">
        <v>934</v>
      </c>
      <c r="O421" s="111"/>
      <c r="P421" s="328" t="s">
        <v>934</v>
      </c>
      <c r="Q421" s="111"/>
      <c r="R421" s="111"/>
      <c r="S421" s="321"/>
      <c r="T421" s="321"/>
      <c r="U421" s="321"/>
      <c r="V421" s="328" t="s">
        <v>1698</v>
      </c>
      <c r="W421" s="283"/>
      <c r="X421" s="109"/>
      <c r="Y421" s="109"/>
      <c r="Z421" s="109"/>
      <c r="AA421" s="109"/>
      <c r="AB421" s="109"/>
      <c r="AC421" s="109"/>
      <c r="AD421" s="109"/>
      <c r="AE421" s="109"/>
      <c r="AF421" s="109"/>
      <c r="AG421" s="109"/>
    </row>
    <row r="422" spans="1:33" x14ac:dyDescent="0.25">
      <c r="A422" s="179" t="s">
        <v>1320</v>
      </c>
      <c r="B422" s="179"/>
      <c r="C422" s="265"/>
      <c r="D422" s="99"/>
      <c r="E422" s="99"/>
      <c r="F422" s="228"/>
      <c r="G422" s="99"/>
      <c r="H422" s="99"/>
      <c r="I422" s="266"/>
      <c r="J422" s="249"/>
      <c r="K422" s="126"/>
      <c r="L422" s="99"/>
      <c r="M422" s="111"/>
      <c r="N422" s="111"/>
      <c r="O422" s="111"/>
      <c r="P422" s="328"/>
      <c r="Q422" s="111"/>
      <c r="R422" s="111"/>
      <c r="S422" s="321"/>
      <c r="T422" s="321"/>
      <c r="U422" s="321"/>
      <c r="V422" s="328"/>
      <c r="W422" s="283"/>
      <c r="X422" s="109"/>
      <c r="Y422" s="109"/>
      <c r="Z422" s="109"/>
      <c r="AA422" s="109"/>
      <c r="AB422" s="109"/>
      <c r="AC422" s="109"/>
      <c r="AD422" s="109"/>
      <c r="AE422" s="109"/>
      <c r="AF422" s="109"/>
      <c r="AG422" s="109"/>
    </row>
    <row r="423" spans="1:33" x14ac:dyDescent="0.25">
      <c r="A423" s="108" t="s">
        <v>1305</v>
      </c>
      <c r="B423" s="265" t="s">
        <v>1285</v>
      </c>
      <c r="C423" s="265" t="s">
        <v>1661</v>
      </c>
      <c r="D423" s="99" t="s">
        <v>1312</v>
      </c>
      <c r="E423" s="99" t="s">
        <v>1286</v>
      </c>
      <c r="F423" s="228"/>
      <c r="G423" s="99">
        <v>52</v>
      </c>
      <c r="H423" s="99"/>
      <c r="I423" s="266"/>
      <c r="J423" s="249" t="s">
        <v>1091</v>
      </c>
      <c r="K423" s="126"/>
      <c r="L423" s="99"/>
      <c r="M423" s="111"/>
      <c r="N423" s="111" t="s">
        <v>934</v>
      </c>
      <c r="O423" s="111"/>
      <c r="P423" s="328" t="s">
        <v>934</v>
      </c>
      <c r="Q423" s="111"/>
      <c r="R423" s="111"/>
      <c r="S423" s="321"/>
      <c r="T423" s="321"/>
      <c r="U423" s="321"/>
      <c r="V423" s="328" t="s">
        <v>1698</v>
      </c>
      <c r="W423" s="283"/>
      <c r="X423" s="109"/>
      <c r="Y423" s="109"/>
      <c r="Z423" s="109"/>
      <c r="AA423" s="109"/>
      <c r="AB423" s="109"/>
      <c r="AC423" s="109"/>
      <c r="AD423" s="109"/>
      <c r="AE423" s="109"/>
      <c r="AF423" s="109"/>
      <c r="AG423" s="109"/>
    </row>
    <row r="424" spans="1:33" x14ac:dyDescent="0.25">
      <c r="A424" s="108" t="s">
        <v>1306</v>
      </c>
      <c r="B424" s="265" t="s">
        <v>1285</v>
      </c>
      <c r="C424" s="265" t="s">
        <v>1661</v>
      </c>
      <c r="D424" s="99" t="s">
        <v>1313</v>
      </c>
      <c r="E424" s="99" t="s">
        <v>1287</v>
      </c>
      <c r="F424" s="228"/>
      <c r="G424" s="99">
        <v>10</v>
      </c>
      <c r="H424" s="99"/>
      <c r="I424" s="266"/>
      <c r="J424" s="249" t="s">
        <v>1091</v>
      </c>
      <c r="K424" s="126"/>
      <c r="L424" s="99"/>
      <c r="M424" s="111"/>
      <c r="N424" s="111" t="s">
        <v>934</v>
      </c>
      <c r="O424" s="111"/>
      <c r="P424" s="328" t="s">
        <v>934</v>
      </c>
      <c r="Q424" s="111"/>
      <c r="R424" s="111"/>
      <c r="S424" s="321"/>
      <c r="T424" s="321"/>
      <c r="U424" s="321"/>
      <c r="V424" s="328" t="s">
        <v>1698</v>
      </c>
      <c r="W424" s="283"/>
      <c r="X424" s="109"/>
      <c r="Y424" s="109"/>
      <c r="Z424" s="109"/>
      <c r="AA424" s="109"/>
      <c r="AB424" s="109"/>
      <c r="AC424" s="109"/>
      <c r="AD424" s="109"/>
      <c r="AE424" s="109"/>
      <c r="AF424" s="109"/>
      <c r="AG424" s="109"/>
    </row>
    <row r="425" spans="1:33" x14ac:dyDescent="0.25">
      <c r="A425" s="108" t="s">
        <v>1322</v>
      </c>
      <c r="B425" s="265" t="s">
        <v>1285</v>
      </c>
      <c r="C425" s="265" t="s">
        <v>1661</v>
      </c>
      <c r="D425" s="103" t="s">
        <v>1703</v>
      </c>
      <c r="E425" s="324" t="s">
        <v>1704</v>
      </c>
      <c r="F425" s="228"/>
      <c r="G425" s="99"/>
      <c r="H425" s="99">
        <v>62</v>
      </c>
      <c r="I425" s="322"/>
      <c r="J425" s="249" t="s">
        <v>1091</v>
      </c>
      <c r="K425" s="126"/>
      <c r="L425" s="99"/>
      <c r="M425" s="111"/>
      <c r="N425" s="111" t="s">
        <v>934</v>
      </c>
      <c r="O425" s="111"/>
      <c r="P425" s="328" t="s">
        <v>934</v>
      </c>
      <c r="Q425" s="111"/>
      <c r="R425" s="111"/>
      <c r="S425" s="321"/>
      <c r="T425" s="321"/>
      <c r="U425" s="321"/>
      <c r="V425" s="328" t="s">
        <v>1698</v>
      </c>
      <c r="W425" s="283"/>
      <c r="X425" s="109"/>
      <c r="Y425" s="109"/>
      <c r="Z425" s="109"/>
      <c r="AA425" s="109"/>
      <c r="AB425" s="109"/>
      <c r="AC425" s="109"/>
      <c r="AD425" s="109"/>
      <c r="AE425" s="109"/>
      <c r="AF425" s="109"/>
      <c r="AG425" s="109"/>
    </row>
    <row r="426" spans="1:33" x14ac:dyDescent="0.25">
      <c r="A426" s="108" t="s">
        <v>1307</v>
      </c>
      <c r="B426" s="265" t="s">
        <v>1285</v>
      </c>
      <c r="C426" s="265" t="s">
        <v>1661</v>
      </c>
      <c r="D426" s="99" t="s">
        <v>1316</v>
      </c>
      <c r="E426" s="99" t="s">
        <v>1293</v>
      </c>
      <c r="F426" s="228"/>
      <c r="G426" s="99"/>
      <c r="H426" s="99"/>
      <c r="I426" s="266">
        <v>40</v>
      </c>
      <c r="J426" s="249" t="s">
        <v>1091</v>
      </c>
      <c r="K426" s="126"/>
      <c r="L426" s="99"/>
      <c r="M426" s="111"/>
      <c r="N426" s="111" t="s">
        <v>934</v>
      </c>
      <c r="O426" s="111"/>
      <c r="P426" s="328" t="s">
        <v>934</v>
      </c>
      <c r="Q426" s="111"/>
      <c r="R426" s="111"/>
      <c r="S426" s="321"/>
      <c r="T426" s="321"/>
      <c r="U426" s="321"/>
      <c r="V426" s="328" t="s">
        <v>1698</v>
      </c>
      <c r="W426" s="283"/>
      <c r="X426" s="109"/>
      <c r="Y426" s="109"/>
      <c r="Z426" s="109"/>
      <c r="AA426" s="109"/>
      <c r="AB426" s="109"/>
      <c r="AC426" s="109"/>
      <c r="AD426" s="109"/>
      <c r="AE426" s="109"/>
      <c r="AF426" s="109"/>
      <c r="AG426" s="109"/>
    </row>
    <row r="427" spans="1:33" x14ac:dyDescent="0.25">
      <c r="A427" s="108" t="s">
        <v>1308</v>
      </c>
      <c r="B427" s="265" t="s">
        <v>1285</v>
      </c>
      <c r="C427" s="265" t="s">
        <v>1661</v>
      </c>
      <c r="D427" s="99" t="s">
        <v>1314</v>
      </c>
      <c r="E427" s="99" t="s">
        <v>1294</v>
      </c>
      <c r="F427" s="228"/>
      <c r="G427" s="99">
        <v>12</v>
      </c>
      <c r="H427" s="99"/>
      <c r="I427" s="266"/>
      <c r="J427" s="249" t="s">
        <v>1091</v>
      </c>
      <c r="K427" s="126"/>
      <c r="L427" s="99"/>
      <c r="M427" s="111"/>
      <c r="N427" s="111" t="s">
        <v>934</v>
      </c>
      <c r="O427" s="111"/>
      <c r="P427" s="328" t="s">
        <v>934</v>
      </c>
      <c r="Q427" s="111"/>
      <c r="R427" s="111"/>
      <c r="S427" s="321"/>
      <c r="T427" s="321"/>
      <c r="U427" s="321"/>
      <c r="V427" s="328" t="s">
        <v>1698</v>
      </c>
      <c r="W427" s="283"/>
      <c r="X427" s="109"/>
      <c r="Y427" s="109"/>
      <c r="Z427" s="109"/>
      <c r="AA427" s="109"/>
      <c r="AB427" s="109"/>
      <c r="AC427" s="109"/>
      <c r="AD427" s="109"/>
      <c r="AE427" s="109"/>
      <c r="AF427" s="109"/>
      <c r="AG427" s="109"/>
    </row>
    <row r="428" spans="1:33" x14ac:dyDescent="0.25">
      <c r="A428" s="108" t="s">
        <v>1309</v>
      </c>
      <c r="B428" s="265" t="s">
        <v>1285</v>
      </c>
      <c r="C428" s="265" t="s">
        <v>1661</v>
      </c>
      <c r="D428" s="99" t="s">
        <v>1315</v>
      </c>
      <c r="E428" s="99" t="s">
        <v>1295</v>
      </c>
      <c r="F428" s="228"/>
      <c r="G428" s="99">
        <v>10</v>
      </c>
      <c r="H428" s="99"/>
      <c r="I428" s="266"/>
      <c r="J428" s="249" t="s">
        <v>1091</v>
      </c>
      <c r="K428" s="126"/>
      <c r="L428" s="99"/>
      <c r="M428" s="111"/>
      <c r="N428" s="111" t="s">
        <v>934</v>
      </c>
      <c r="O428" s="111"/>
      <c r="P428" s="328" t="s">
        <v>934</v>
      </c>
      <c r="Q428" s="111"/>
      <c r="R428" s="111"/>
      <c r="S428" s="321"/>
      <c r="T428" s="321"/>
      <c r="U428" s="321"/>
      <c r="V428" s="328" t="s">
        <v>1698</v>
      </c>
      <c r="W428" s="283"/>
      <c r="X428" s="109"/>
      <c r="Y428" s="109"/>
      <c r="Z428" s="109"/>
      <c r="AA428" s="109"/>
      <c r="AB428" s="109"/>
      <c r="AC428" s="109"/>
      <c r="AD428" s="109"/>
      <c r="AE428" s="109"/>
      <c r="AF428" s="109"/>
      <c r="AG428" s="109"/>
    </row>
    <row r="429" spans="1:33" x14ac:dyDescent="0.25">
      <c r="A429" s="108" t="s">
        <v>1310</v>
      </c>
      <c r="B429" s="265" t="s">
        <v>1285</v>
      </c>
      <c r="C429" s="265" t="s">
        <v>1661</v>
      </c>
      <c r="D429" s="99" t="s">
        <v>1317</v>
      </c>
      <c r="E429" s="99" t="s">
        <v>1296</v>
      </c>
      <c r="F429" s="228"/>
      <c r="G429" s="99">
        <v>40</v>
      </c>
      <c r="H429" s="99"/>
      <c r="I429" s="266"/>
      <c r="J429" s="249" t="s">
        <v>1091</v>
      </c>
      <c r="K429" s="126"/>
      <c r="L429" s="99"/>
      <c r="M429" s="111"/>
      <c r="N429" s="111" t="s">
        <v>934</v>
      </c>
      <c r="O429" s="111"/>
      <c r="P429" s="328" t="s">
        <v>934</v>
      </c>
      <c r="Q429" s="111"/>
      <c r="R429" s="111"/>
      <c r="S429" s="321"/>
      <c r="T429" s="321"/>
      <c r="U429" s="321"/>
      <c r="V429" s="328" t="s">
        <v>1698</v>
      </c>
      <c r="W429" s="283"/>
      <c r="X429" s="109"/>
      <c r="Y429" s="109"/>
      <c r="Z429" s="109"/>
      <c r="AA429" s="109"/>
      <c r="AB429" s="109"/>
      <c r="AC429" s="109"/>
      <c r="AD429" s="109"/>
      <c r="AE429" s="109"/>
      <c r="AF429" s="109"/>
      <c r="AG429" s="109"/>
    </row>
    <row r="430" spans="1:33" x14ac:dyDescent="0.25">
      <c r="A430" s="108" t="s">
        <v>1311</v>
      </c>
      <c r="B430" s="265" t="s">
        <v>1285</v>
      </c>
      <c r="C430" s="265" t="s">
        <v>1661</v>
      </c>
      <c r="D430" s="99" t="s">
        <v>1318</v>
      </c>
      <c r="E430" s="99" t="s">
        <v>1297</v>
      </c>
      <c r="F430" s="228"/>
      <c r="G430" s="99">
        <v>40</v>
      </c>
      <c r="H430" s="99"/>
      <c r="I430" s="266"/>
      <c r="J430" s="249" t="s">
        <v>1091</v>
      </c>
      <c r="K430" s="126"/>
      <c r="L430" s="99"/>
      <c r="M430" s="111"/>
      <c r="N430" s="111" t="s">
        <v>934</v>
      </c>
      <c r="O430" s="111"/>
      <c r="P430" s="328" t="s">
        <v>934</v>
      </c>
      <c r="Q430" s="111"/>
      <c r="R430" s="111"/>
      <c r="S430" s="321"/>
      <c r="T430" s="321"/>
      <c r="U430" s="321"/>
      <c r="V430" s="328" t="s">
        <v>1698</v>
      </c>
      <c r="W430" s="283"/>
      <c r="X430" s="109"/>
      <c r="Y430" s="109"/>
      <c r="Z430" s="109"/>
      <c r="AA430" s="109"/>
      <c r="AB430" s="109"/>
      <c r="AC430" s="109"/>
      <c r="AD430" s="109"/>
      <c r="AE430" s="109"/>
      <c r="AF430" s="109"/>
      <c r="AG430" s="109"/>
    </row>
    <row r="431" spans="1:33" x14ac:dyDescent="0.25">
      <c r="A431" s="108" t="s">
        <v>1323</v>
      </c>
      <c r="B431" s="265" t="s">
        <v>1285</v>
      </c>
      <c r="C431" s="265" t="s">
        <v>1661</v>
      </c>
      <c r="D431" s="325" t="s">
        <v>1705</v>
      </c>
      <c r="E431" s="99" t="s">
        <v>1706</v>
      </c>
      <c r="F431" s="228"/>
      <c r="G431" s="99"/>
      <c r="H431" s="99"/>
      <c r="I431" s="266">
        <v>5</v>
      </c>
      <c r="J431" s="249" t="s">
        <v>1091</v>
      </c>
      <c r="K431" s="126"/>
      <c r="L431" s="99"/>
      <c r="M431" s="322"/>
      <c r="N431" s="322" t="s">
        <v>934</v>
      </c>
      <c r="O431" s="322"/>
      <c r="P431" s="328" t="s">
        <v>934</v>
      </c>
      <c r="Q431" s="322"/>
      <c r="R431" s="322"/>
      <c r="S431" s="322"/>
      <c r="T431" s="322"/>
      <c r="U431" s="322"/>
      <c r="V431" s="328" t="s">
        <v>1698</v>
      </c>
      <c r="W431" s="283"/>
    </row>
    <row r="432" spans="1:33" x14ac:dyDescent="0.25">
      <c r="A432" s="179" t="s">
        <v>1321</v>
      </c>
      <c r="B432" s="179"/>
      <c r="C432" s="265"/>
      <c r="D432" s="99"/>
      <c r="E432" s="99"/>
      <c r="F432" s="228"/>
      <c r="G432" s="99"/>
      <c r="H432" s="99"/>
      <c r="I432" s="266"/>
      <c r="J432" s="249" t="s">
        <v>1091</v>
      </c>
      <c r="K432" s="126"/>
      <c r="L432" s="99"/>
      <c r="M432" s="322"/>
      <c r="N432" s="322"/>
      <c r="O432" s="322"/>
      <c r="P432" s="328"/>
      <c r="Q432" s="322"/>
      <c r="R432" s="322"/>
      <c r="S432" s="322"/>
      <c r="T432" s="322"/>
      <c r="U432" s="322"/>
      <c r="V432" s="328"/>
      <c r="W432" s="283"/>
    </row>
    <row r="433" spans="1:33" x14ac:dyDescent="0.25">
      <c r="A433" s="108" t="s">
        <v>1714</v>
      </c>
      <c r="B433" s="265" t="s">
        <v>1285</v>
      </c>
      <c r="C433" s="265" t="s">
        <v>1661</v>
      </c>
      <c r="D433" s="99" t="s">
        <v>1312</v>
      </c>
      <c r="E433" s="99" t="s">
        <v>1286</v>
      </c>
      <c r="F433" s="228"/>
      <c r="G433" s="99">
        <v>102</v>
      </c>
      <c r="H433" s="99"/>
      <c r="I433" s="266"/>
      <c r="J433" s="249" t="s">
        <v>1091</v>
      </c>
      <c r="K433" s="126"/>
      <c r="L433" s="99"/>
      <c r="M433" s="322"/>
      <c r="N433" s="322" t="s">
        <v>934</v>
      </c>
      <c r="O433" s="322"/>
      <c r="P433" s="328" t="s">
        <v>934</v>
      </c>
      <c r="Q433" s="322"/>
      <c r="R433" s="322"/>
      <c r="S433" s="322"/>
      <c r="T433" s="322"/>
      <c r="U433" s="322"/>
      <c r="V433" s="328" t="s">
        <v>1698</v>
      </c>
      <c r="W433" s="283"/>
    </row>
    <row r="434" spans="1:33" x14ac:dyDescent="0.25">
      <c r="A434" s="108" t="s">
        <v>1715</v>
      </c>
      <c r="B434" s="265" t="s">
        <v>1285</v>
      </c>
      <c r="C434" s="265" t="s">
        <v>1661</v>
      </c>
      <c r="D434" s="99" t="s">
        <v>1313</v>
      </c>
      <c r="E434" s="99" t="s">
        <v>1287</v>
      </c>
      <c r="F434" s="228"/>
      <c r="G434" s="99">
        <v>20</v>
      </c>
      <c r="H434" s="99"/>
      <c r="I434" s="266"/>
      <c r="J434" s="249" t="s">
        <v>1091</v>
      </c>
      <c r="K434" s="126"/>
      <c r="L434" s="99"/>
      <c r="M434" s="322"/>
      <c r="N434" s="322" t="s">
        <v>934</v>
      </c>
      <c r="O434" s="322"/>
      <c r="P434" s="328" t="s">
        <v>934</v>
      </c>
      <c r="Q434" s="322"/>
      <c r="R434" s="322"/>
      <c r="S434" s="322"/>
      <c r="T434" s="322"/>
      <c r="U434" s="322"/>
      <c r="V434" s="328" t="s">
        <v>1698</v>
      </c>
      <c r="W434" s="283"/>
    </row>
    <row r="435" spans="1:33" x14ac:dyDescent="0.25">
      <c r="A435" s="108" t="s">
        <v>1726</v>
      </c>
      <c r="B435" s="265" t="s">
        <v>1285</v>
      </c>
      <c r="C435" s="265" t="s">
        <v>1661</v>
      </c>
      <c r="D435" s="103" t="s">
        <v>1703</v>
      </c>
      <c r="E435" s="324" t="s">
        <v>1704</v>
      </c>
      <c r="F435" s="228"/>
      <c r="G435" s="99"/>
      <c r="H435" s="99">
        <v>122</v>
      </c>
      <c r="I435" s="322"/>
      <c r="J435" s="249" t="s">
        <v>1091</v>
      </c>
      <c r="K435" s="126"/>
      <c r="L435" s="99"/>
      <c r="M435" s="322"/>
      <c r="N435" s="322" t="s">
        <v>934</v>
      </c>
      <c r="O435" s="322"/>
      <c r="P435" s="328" t="s">
        <v>934</v>
      </c>
      <c r="Q435" s="322"/>
      <c r="R435" s="322"/>
      <c r="S435" s="322"/>
      <c r="T435" s="322"/>
      <c r="U435" s="322"/>
      <c r="V435" s="328" t="s">
        <v>1698</v>
      </c>
      <c r="W435" s="283"/>
      <c r="X435" s="109"/>
      <c r="Y435" s="109"/>
      <c r="Z435" s="109"/>
      <c r="AA435" s="109"/>
      <c r="AB435" s="109"/>
      <c r="AC435" s="109"/>
      <c r="AD435" s="109"/>
      <c r="AE435" s="109"/>
      <c r="AF435" s="109"/>
      <c r="AG435" s="109"/>
    </row>
    <row r="436" spans="1:33" x14ac:dyDescent="0.25">
      <c r="A436" s="108" t="s">
        <v>1716</v>
      </c>
      <c r="B436" s="265" t="s">
        <v>1285</v>
      </c>
      <c r="C436" s="265" t="s">
        <v>1661</v>
      </c>
      <c r="D436" s="99" t="s">
        <v>1316</v>
      </c>
      <c r="E436" s="99" t="s">
        <v>1293</v>
      </c>
      <c r="F436" s="228"/>
      <c r="G436" s="99"/>
      <c r="H436" s="99"/>
      <c r="I436" s="266">
        <v>80</v>
      </c>
      <c r="J436" s="249" t="s">
        <v>1091</v>
      </c>
      <c r="K436" s="126"/>
      <c r="L436" s="99"/>
      <c r="M436" s="322"/>
      <c r="N436" s="322" t="s">
        <v>934</v>
      </c>
      <c r="O436" s="322"/>
      <c r="P436" s="328" t="s">
        <v>934</v>
      </c>
      <c r="Q436" s="322"/>
      <c r="R436" s="322"/>
      <c r="S436" s="322"/>
      <c r="T436" s="322"/>
      <c r="U436" s="322"/>
      <c r="V436" s="328" t="s">
        <v>1698</v>
      </c>
      <c r="W436" s="283"/>
    </row>
    <row r="437" spans="1:33" x14ac:dyDescent="0.25">
      <c r="A437" s="108" t="s">
        <v>1717</v>
      </c>
      <c r="B437" s="265" t="s">
        <v>1285</v>
      </c>
      <c r="C437" s="265" t="s">
        <v>1661</v>
      </c>
      <c r="D437" s="99" t="s">
        <v>1314</v>
      </c>
      <c r="E437" s="99" t="s">
        <v>1294</v>
      </c>
      <c r="F437" s="228"/>
      <c r="G437" s="99">
        <v>22</v>
      </c>
      <c r="H437" s="99"/>
      <c r="I437" s="266"/>
      <c r="J437" s="249" t="s">
        <v>1091</v>
      </c>
      <c r="K437" s="126"/>
      <c r="L437" s="99"/>
      <c r="M437" s="322"/>
      <c r="N437" s="322" t="s">
        <v>934</v>
      </c>
      <c r="O437" s="322"/>
      <c r="P437" s="328" t="s">
        <v>934</v>
      </c>
      <c r="Q437" s="322"/>
      <c r="R437" s="322"/>
      <c r="S437" s="322"/>
      <c r="T437" s="322"/>
      <c r="U437" s="322"/>
      <c r="V437" s="328" t="s">
        <v>1698</v>
      </c>
      <c r="W437" s="283"/>
    </row>
    <row r="438" spans="1:33" x14ac:dyDescent="0.25">
      <c r="A438" s="108" t="s">
        <v>1718</v>
      </c>
      <c r="B438" s="265" t="s">
        <v>1285</v>
      </c>
      <c r="C438" s="265" t="s">
        <v>1661</v>
      </c>
      <c r="D438" s="99" t="s">
        <v>1315</v>
      </c>
      <c r="E438" s="99" t="s">
        <v>1295</v>
      </c>
      <c r="F438" s="228"/>
      <c r="G438" s="99">
        <v>20</v>
      </c>
      <c r="H438" s="99"/>
      <c r="I438" s="266"/>
      <c r="J438" s="249" t="s">
        <v>1091</v>
      </c>
      <c r="K438" s="126"/>
      <c r="L438" s="99"/>
      <c r="M438" s="322"/>
      <c r="N438" s="322" t="s">
        <v>934</v>
      </c>
      <c r="O438" s="322"/>
      <c r="P438" s="328" t="s">
        <v>934</v>
      </c>
      <c r="Q438" s="322"/>
      <c r="R438" s="322"/>
      <c r="S438" s="322"/>
      <c r="T438" s="322"/>
      <c r="U438" s="322"/>
      <c r="V438" s="328" t="s">
        <v>1698</v>
      </c>
      <c r="W438" s="283"/>
    </row>
    <row r="439" spans="1:33" x14ac:dyDescent="0.25">
      <c r="A439" s="108" t="s">
        <v>1719</v>
      </c>
      <c r="B439" s="265" t="s">
        <v>1285</v>
      </c>
      <c r="C439" s="265" t="s">
        <v>1661</v>
      </c>
      <c r="D439" s="99" t="s">
        <v>1317</v>
      </c>
      <c r="E439" s="99" t="s">
        <v>1296</v>
      </c>
      <c r="F439" s="228"/>
      <c r="G439" s="99">
        <v>80</v>
      </c>
      <c r="H439" s="99"/>
      <c r="I439" s="266"/>
      <c r="J439" s="249" t="s">
        <v>1091</v>
      </c>
      <c r="K439" s="126"/>
      <c r="L439" s="99"/>
      <c r="M439" s="322"/>
      <c r="N439" s="322" t="s">
        <v>934</v>
      </c>
      <c r="O439" s="322"/>
      <c r="P439" s="328" t="s">
        <v>934</v>
      </c>
      <c r="Q439" s="322"/>
      <c r="R439" s="322"/>
      <c r="S439" s="322"/>
      <c r="T439" s="322"/>
      <c r="U439" s="322"/>
      <c r="V439" s="328" t="s">
        <v>1698</v>
      </c>
      <c r="W439" s="283"/>
    </row>
    <row r="440" spans="1:33" x14ac:dyDescent="0.25">
      <c r="A440" s="108" t="s">
        <v>1720</v>
      </c>
      <c r="B440" s="265" t="s">
        <v>1285</v>
      </c>
      <c r="C440" s="265" t="s">
        <v>1661</v>
      </c>
      <c r="D440" s="99" t="s">
        <v>1318</v>
      </c>
      <c r="E440" s="99" t="s">
        <v>1297</v>
      </c>
      <c r="F440" s="228"/>
      <c r="G440" s="99">
        <v>80</v>
      </c>
      <c r="H440" s="99"/>
      <c r="I440" s="266"/>
      <c r="J440" s="249" t="s">
        <v>1091</v>
      </c>
      <c r="K440" s="126"/>
      <c r="L440" s="99"/>
      <c r="M440" s="322"/>
      <c r="N440" s="322" t="s">
        <v>934</v>
      </c>
      <c r="O440" s="322"/>
      <c r="P440" s="328" t="s">
        <v>934</v>
      </c>
      <c r="Q440" s="322"/>
      <c r="R440" s="322"/>
      <c r="S440" s="322"/>
      <c r="T440" s="322"/>
      <c r="U440" s="322"/>
      <c r="V440" s="328" t="s">
        <v>1698</v>
      </c>
      <c r="W440" s="283"/>
    </row>
    <row r="441" spans="1:33" x14ac:dyDescent="0.25">
      <c r="A441" s="108"/>
      <c r="B441" s="265"/>
      <c r="C441" s="265"/>
      <c r="D441" s="99"/>
      <c r="E441" s="99"/>
      <c r="F441" s="228"/>
      <c r="G441" s="99"/>
      <c r="H441" s="99"/>
      <c r="I441" s="266"/>
      <c r="J441" s="249"/>
      <c r="K441" s="126"/>
      <c r="L441" s="99"/>
      <c r="M441" s="322"/>
      <c r="N441" s="322" t="s">
        <v>934</v>
      </c>
      <c r="O441" s="322"/>
      <c r="P441" s="328" t="s">
        <v>934</v>
      </c>
      <c r="Q441" s="322"/>
      <c r="R441" s="322"/>
      <c r="S441" s="322"/>
      <c r="T441" s="322"/>
      <c r="U441" s="322"/>
      <c r="V441" s="328" t="s">
        <v>1698</v>
      </c>
      <c r="W441" s="283"/>
    </row>
    <row r="446" spans="1:33" ht="14.5" x14ac:dyDescent="0.25">
      <c r="A446" s="367"/>
      <c r="B446" s="368"/>
      <c r="C446" s="368"/>
      <c r="D446" s="368"/>
      <c r="E446" s="368"/>
      <c r="F446" s="368"/>
      <c r="G446" s="368"/>
    </row>
    <row r="447" spans="1:33" ht="14.5" x14ac:dyDescent="0.25">
      <c r="A447" s="367"/>
      <c r="B447" s="368"/>
      <c r="C447" s="368"/>
      <c r="D447" s="368"/>
      <c r="E447" s="368"/>
      <c r="F447" s="368"/>
      <c r="G447" s="368"/>
    </row>
    <row r="448" spans="1:33" ht="14.5" x14ac:dyDescent="0.25">
      <c r="A448" s="367"/>
      <c r="B448" s="368"/>
      <c r="C448" s="368"/>
      <c r="D448" s="368"/>
      <c r="E448" s="368"/>
      <c r="F448" s="368"/>
      <c r="G448" s="368"/>
    </row>
    <row r="449" spans="1:7" ht="14.5" x14ac:dyDescent="0.25">
      <c r="A449" s="367"/>
      <c r="B449" s="368"/>
      <c r="C449" s="368"/>
      <c r="D449" s="368"/>
      <c r="E449" s="368"/>
      <c r="F449" s="368"/>
      <c r="G449" s="368"/>
    </row>
    <row r="450" spans="1:7" ht="14.5" x14ac:dyDescent="0.25">
      <c r="A450" s="367"/>
      <c r="B450" s="368"/>
      <c r="C450" s="368"/>
      <c r="D450" s="368"/>
      <c r="E450" s="368"/>
      <c r="F450" s="368"/>
      <c r="G450" s="368"/>
    </row>
    <row r="451" spans="1:7" ht="14.5" x14ac:dyDescent="0.25">
      <c r="A451" s="367"/>
      <c r="B451" s="368"/>
      <c r="C451" s="368"/>
      <c r="D451" s="368"/>
      <c r="E451" s="368"/>
      <c r="F451" s="368"/>
      <c r="G451" s="368"/>
    </row>
    <row r="452" spans="1:7" ht="14.5" x14ac:dyDescent="0.25">
      <c r="A452" s="367"/>
      <c r="B452" s="368"/>
      <c r="C452" s="368"/>
      <c r="D452" s="368"/>
      <c r="E452" s="368"/>
      <c r="F452" s="368"/>
      <c r="G452" s="368"/>
    </row>
    <row r="453" spans="1:7" ht="14.5" x14ac:dyDescent="0.25">
      <c r="A453" s="367"/>
      <c r="B453" s="368"/>
      <c r="C453" s="368"/>
      <c r="D453" s="368"/>
      <c r="E453" s="368"/>
      <c r="F453" s="368"/>
      <c r="G453" s="368"/>
    </row>
    <row r="454" spans="1:7" ht="14.5" x14ac:dyDescent="0.25">
      <c r="A454" s="367"/>
      <c r="B454" s="368"/>
      <c r="C454" s="368"/>
      <c r="D454" s="368"/>
      <c r="E454" s="368"/>
      <c r="F454" s="368"/>
      <c r="G454" s="368"/>
    </row>
    <row r="455" spans="1:7" ht="14.5" x14ac:dyDescent="0.25">
      <c r="A455" s="367"/>
      <c r="B455" s="368"/>
      <c r="C455" s="368"/>
      <c r="D455" s="368"/>
      <c r="E455" s="368"/>
      <c r="F455" s="368"/>
      <c r="G455" s="368"/>
    </row>
    <row r="456" spans="1:7" ht="14.5" x14ac:dyDescent="0.25">
      <c r="A456" s="367"/>
      <c r="B456" s="368"/>
      <c r="C456" s="368"/>
      <c r="D456" s="368"/>
      <c r="E456" s="368"/>
      <c r="F456" s="368"/>
      <c r="G456" s="368"/>
    </row>
  </sheetData>
  <autoFilter ref="A2:AG430" xr:uid="{14F447BC-36BC-492F-8DE7-141C13A3800B}"/>
  <customSheetViews>
    <customSheetView guid="{00D35A15-206C-4C0C-8347-C5B4FB706EF6}" showPageBreaks="1">
      <selection activeCell="C466" sqref="C466"/>
      <pageMargins left="0.7" right="0.7" top="0.75" bottom="0.75" header="0.3" footer="0.3"/>
      <pageSetup orientation="portrait" r:id="rId1"/>
    </customSheetView>
  </customSheetViews>
  <mergeCells count="40">
    <mergeCell ref="A48:K48"/>
    <mergeCell ref="S1:V1"/>
    <mergeCell ref="AJ1:AM1"/>
    <mergeCell ref="A28:K28"/>
    <mergeCell ref="A33:K33"/>
    <mergeCell ref="A39:K39"/>
    <mergeCell ref="M1:P1"/>
    <mergeCell ref="AE1:AG1"/>
    <mergeCell ref="W1:AA1"/>
    <mergeCell ref="AB1:AD1"/>
    <mergeCell ref="A266:E266"/>
    <mergeCell ref="F260:F261"/>
    <mergeCell ref="A295:K295"/>
    <mergeCell ref="A247:D247"/>
    <mergeCell ref="A250:D250"/>
    <mergeCell ref="A244:E244"/>
    <mergeCell ref="A57:K57"/>
    <mergeCell ref="A228:E228"/>
    <mergeCell ref="A237:D237"/>
    <mergeCell ref="A242:D242"/>
    <mergeCell ref="A65:K65"/>
    <mergeCell ref="A77:K77"/>
    <mergeCell ref="A107:K107"/>
    <mergeCell ref="A224:E224"/>
    <mergeCell ref="A227:K227"/>
    <mergeCell ref="A59:K59"/>
    <mergeCell ref="A315:K315"/>
    <mergeCell ref="A454:G454"/>
    <mergeCell ref="A446:G446"/>
    <mergeCell ref="A447:G447"/>
    <mergeCell ref="A448:G448"/>
    <mergeCell ref="A343:K343"/>
    <mergeCell ref="A399:K399"/>
    <mergeCell ref="A455:G455"/>
    <mergeCell ref="A456:G456"/>
    <mergeCell ref="A449:G449"/>
    <mergeCell ref="A450:G450"/>
    <mergeCell ref="A451:G451"/>
    <mergeCell ref="A452:G452"/>
    <mergeCell ref="A453:G453"/>
  </mergeCells>
  <phoneticPr fontId="0" type="noConversion"/>
  <conditionalFormatting sqref="A446">
    <cfRule type="duplicateValues" dxfId="21" priority="21"/>
  </conditionalFormatting>
  <conditionalFormatting sqref="A446">
    <cfRule type="duplicateValues" dxfId="20" priority="22"/>
  </conditionalFormatting>
  <conditionalFormatting sqref="A447">
    <cfRule type="duplicateValues" dxfId="19" priority="19"/>
  </conditionalFormatting>
  <conditionalFormatting sqref="A447">
    <cfRule type="duplicateValues" dxfId="18" priority="20"/>
  </conditionalFormatting>
  <conditionalFormatting sqref="A448">
    <cfRule type="duplicateValues" dxfId="17" priority="17"/>
  </conditionalFormatting>
  <conditionalFormatting sqref="A448">
    <cfRule type="duplicateValues" dxfId="16" priority="18"/>
  </conditionalFormatting>
  <conditionalFormatting sqref="A449">
    <cfRule type="duplicateValues" dxfId="15" priority="15"/>
  </conditionalFormatting>
  <conditionalFormatting sqref="A449">
    <cfRule type="duplicateValues" dxfId="14" priority="16"/>
  </conditionalFormatting>
  <conditionalFormatting sqref="A450">
    <cfRule type="duplicateValues" dxfId="13" priority="13"/>
  </conditionalFormatting>
  <conditionalFormatting sqref="A450">
    <cfRule type="duplicateValues" dxfId="12" priority="14"/>
  </conditionalFormatting>
  <conditionalFormatting sqref="A451">
    <cfRule type="duplicateValues" dxfId="11" priority="11"/>
  </conditionalFormatting>
  <conditionalFormatting sqref="A451">
    <cfRule type="duplicateValues" dxfId="10" priority="12"/>
  </conditionalFormatting>
  <conditionalFormatting sqref="A452">
    <cfRule type="duplicateValues" dxfId="9" priority="9"/>
  </conditionalFormatting>
  <conditionalFormatting sqref="A452">
    <cfRule type="duplicateValues" dxfId="8" priority="10"/>
  </conditionalFormatting>
  <conditionalFormatting sqref="A453">
    <cfRule type="duplicateValues" dxfId="7" priority="7"/>
  </conditionalFormatting>
  <conditionalFormatting sqref="A453">
    <cfRule type="duplicateValues" dxfId="6" priority="8"/>
  </conditionalFormatting>
  <conditionalFormatting sqref="A454">
    <cfRule type="duplicateValues" dxfId="5" priority="5"/>
  </conditionalFormatting>
  <conditionalFormatting sqref="A454">
    <cfRule type="duplicateValues" dxfId="4" priority="6"/>
  </conditionalFormatting>
  <conditionalFormatting sqref="A455">
    <cfRule type="duplicateValues" dxfId="3" priority="3"/>
  </conditionalFormatting>
  <conditionalFormatting sqref="A455">
    <cfRule type="duplicateValues" dxfId="2" priority="4"/>
  </conditionalFormatting>
  <conditionalFormatting sqref="A456">
    <cfRule type="duplicateValues" dxfId="1" priority="1"/>
  </conditionalFormatting>
  <conditionalFormatting sqref="A456">
    <cfRule type="duplicateValues" dxfId="0" priority="2"/>
  </conditionalFormatting>
  <pageMargins left="0.7" right="0.7" top="0.75" bottom="0.75" header="0.3" footer="0.3"/>
  <pageSetup orientation="portrait" r:id="rId2"/>
  <customProperties>
    <customPr name="DVSECTIONID" r:id="rId3"/>
  </customProperties>
  <drawing r:id="rId4"/>
  <legacyDrawing r:id="rId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U963"/>
  <sheetViews>
    <sheetView topLeftCell="P1" zoomScale="130" zoomScaleNormal="130" workbookViewId="0">
      <pane ySplit="2" topLeftCell="A192" activePane="bottomLeft" state="frozenSplit"/>
      <selection activeCell="C1" sqref="C1"/>
      <selection pane="bottomLeft" activeCell="D230" sqref="D230"/>
    </sheetView>
  </sheetViews>
  <sheetFormatPr defaultColWidth="9.36328125" defaultRowHeight="14" x14ac:dyDescent="0.3"/>
  <cols>
    <col min="1" max="1" width="18.453125" style="17" bestFit="1" customWidth="1"/>
    <col min="2" max="3" width="18.453125" style="17" customWidth="1"/>
    <col min="4" max="4" width="65.36328125" style="14" customWidth="1"/>
    <col min="5" max="8" width="9.36328125" style="14"/>
    <col min="9" max="9" width="41.453125" style="14" customWidth="1"/>
    <col min="10" max="10" width="9.36328125" style="14"/>
    <col min="11" max="11" width="18.453125" style="14" customWidth="1"/>
    <col min="12" max="14" width="9.36328125" style="14"/>
    <col min="15" max="15" width="41.453125" style="14" customWidth="1"/>
    <col min="16" max="21" width="9.36328125" style="17"/>
    <col min="22" max="16384" width="9.36328125" style="14"/>
  </cols>
  <sheetData>
    <row r="1" spans="1:21" ht="30" customHeight="1" x14ac:dyDescent="0.3">
      <c r="K1" s="387" t="s">
        <v>950</v>
      </c>
      <c r="L1" s="387"/>
      <c r="M1" s="387"/>
      <c r="N1" s="387"/>
      <c r="O1" s="387"/>
      <c r="P1" s="384" t="s">
        <v>961</v>
      </c>
      <c r="Q1" s="385"/>
      <c r="R1" s="386"/>
      <c r="S1" s="384" t="s">
        <v>828</v>
      </c>
      <c r="T1" s="385"/>
      <c r="U1" s="386"/>
    </row>
    <row r="2" spans="1:21" ht="29.25" customHeight="1" x14ac:dyDescent="0.3">
      <c r="A2" s="12" t="s">
        <v>470</v>
      </c>
      <c r="B2" s="13" t="s">
        <v>430</v>
      </c>
      <c r="C2" s="12" t="s">
        <v>438</v>
      </c>
      <c r="D2" s="12" t="s">
        <v>466</v>
      </c>
      <c r="E2" s="12" t="s">
        <v>467</v>
      </c>
      <c r="F2" s="12" t="s">
        <v>442</v>
      </c>
      <c r="G2" s="12" t="s">
        <v>469</v>
      </c>
      <c r="H2" s="12" t="s">
        <v>468</v>
      </c>
      <c r="I2" s="13" t="s">
        <v>590</v>
      </c>
      <c r="J2" s="12" t="s">
        <v>473</v>
      </c>
      <c r="K2" s="12" t="s">
        <v>438</v>
      </c>
      <c r="L2" s="13" t="s">
        <v>467</v>
      </c>
      <c r="M2" s="13" t="s">
        <v>442</v>
      </c>
      <c r="N2" s="13" t="s">
        <v>469</v>
      </c>
      <c r="O2" s="13" t="s">
        <v>590</v>
      </c>
      <c r="P2" s="13" t="s">
        <v>467</v>
      </c>
      <c r="Q2" s="13" t="s">
        <v>442</v>
      </c>
      <c r="R2" s="13" t="s">
        <v>469</v>
      </c>
      <c r="S2" s="13" t="s">
        <v>467</v>
      </c>
      <c r="T2" s="13" t="s">
        <v>442</v>
      </c>
      <c r="U2" s="13" t="s">
        <v>469</v>
      </c>
    </row>
    <row r="3" spans="1:21" ht="23" x14ac:dyDescent="0.3">
      <c r="A3" s="1" t="s">
        <v>471</v>
      </c>
      <c r="B3" s="1" t="s">
        <v>50</v>
      </c>
      <c r="C3" s="1" t="s">
        <v>850</v>
      </c>
      <c r="D3" s="2" t="s">
        <v>472</v>
      </c>
      <c r="E3" s="15">
        <v>-40</v>
      </c>
      <c r="F3" s="15">
        <v>25</v>
      </c>
      <c r="G3" s="15">
        <v>105</v>
      </c>
      <c r="H3" s="1" t="s">
        <v>591</v>
      </c>
      <c r="I3" s="7" t="s">
        <v>1145</v>
      </c>
      <c r="J3" s="15" t="s">
        <v>474</v>
      </c>
      <c r="K3" s="1"/>
      <c r="L3" s="15"/>
      <c r="M3" s="15"/>
      <c r="N3" s="15"/>
      <c r="O3" s="7"/>
      <c r="P3" s="10"/>
      <c r="Q3" s="10"/>
      <c r="R3" s="10"/>
      <c r="S3" s="10"/>
      <c r="T3" s="10"/>
      <c r="U3" s="10"/>
    </row>
    <row r="4" spans="1:21" x14ac:dyDescent="0.3">
      <c r="A4" s="1" t="s">
        <v>471</v>
      </c>
      <c r="B4" s="1" t="s">
        <v>51</v>
      </c>
      <c r="C4" s="1" t="s">
        <v>851</v>
      </c>
      <c r="D4" s="2" t="s">
        <v>605</v>
      </c>
      <c r="E4" s="15">
        <v>-40</v>
      </c>
      <c r="F4" s="15">
        <v>25</v>
      </c>
      <c r="G4" s="15">
        <v>105</v>
      </c>
      <c r="H4" s="1" t="s">
        <v>591</v>
      </c>
      <c r="I4" s="7" t="s">
        <v>765</v>
      </c>
      <c r="J4" s="15" t="s">
        <v>474</v>
      </c>
      <c r="K4" s="1"/>
      <c r="L4" s="15"/>
      <c r="M4" s="15"/>
      <c r="N4" s="15"/>
      <c r="O4" s="7"/>
      <c r="P4" s="10"/>
      <c r="Q4" s="10"/>
      <c r="R4" s="10"/>
      <c r="S4" s="10"/>
      <c r="T4" s="10"/>
      <c r="U4" s="10"/>
    </row>
    <row r="5" spans="1:21" x14ac:dyDescent="0.3">
      <c r="A5" s="1" t="s">
        <v>471</v>
      </c>
      <c r="B5" s="1" t="str">
        <f ca="1">IF(C5 &lt;&gt; "", CONCATENATE("BID#",CELL("row", B5)),"")</f>
        <v/>
      </c>
      <c r="C5" s="1"/>
      <c r="D5" s="2" t="s">
        <v>605</v>
      </c>
      <c r="E5" s="15"/>
      <c r="F5" s="15"/>
      <c r="G5" s="15"/>
      <c r="H5" s="1" t="s">
        <v>591</v>
      </c>
      <c r="I5" s="7" t="s">
        <v>444</v>
      </c>
      <c r="J5" s="15" t="s">
        <v>841</v>
      </c>
      <c r="K5" s="1"/>
      <c r="L5" s="15"/>
      <c r="M5" s="15"/>
      <c r="N5" s="15"/>
      <c r="O5" s="7"/>
      <c r="P5" s="10"/>
      <c r="Q5" s="10"/>
      <c r="R5" s="10"/>
      <c r="S5" s="10"/>
      <c r="T5" s="10"/>
      <c r="U5" s="10"/>
    </row>
    <row r="6" spans="1:21" x14ac:dyDescent="0.3">
      <c r="A6" s="1" t="s">
        <v>471</v>
      </c>
      <c r="B6" s="1" t="s">
        <v>52</v>
      </c>
      <c r="C6" s="1" t="s">
        <v>852</v>
      </c>
      <c r="D6" s="2" t="s">
        <v>443</v>
      </c>
      <c r="E6" s="15"/>
      <c r="F6" s="15"/>
      <c r="G6" s="15" t="s">
        <v>474</v>
      </c>
      <c r="H6" s="4" t="s">
        <v>750</v>
      </c>
      <c r="I6" s="7"/>
      <c r="J6" s="15" t="s">
        <v>841</v>
      </c>
      <c r="K6" s="1"/>
      <c r="L6" s="15"/>
      <c r="M6" s="15"/>
      <c r="N6" s="15"/>
      <c r="O6" s="7"/>
      <c r="P6" s="10"/>
      <c r="Q6" s="10"/>
      <c r="R6" s="10"/>
      <c r="S6" s="10"/>
      <c r="T6" s="10"/>
      <c r="U6" s="10"/>
    </row>
    <row r="7" spans="1:21" x14ac:dyDescent="0.3">
      <c r="A7" s="1" t="s">
        <v>471</v>
      </c>
      <c r="B7" s="1" t="s">
        <v>53</v>
      </c>
      <c r="C7" s="1" t="s">
        <v>853</v>
      </c>
      <c r="D7" s="2" t="s">
        <v>464</v>
      </c>
      <c r="E7" s="15"/>
      <c r="F7" s="15"/>
      <c r="G7" s="15" t="s">
        <v>474</v>
      </c>
      <c r="H7" s="4" t="s">
        <v>750</v>
      </c>
      <c r="I7" s="7" t="s">
        <v>100</v>
      </c>
      <c r="J7" s="15" t="s">
        <v>841</v>
      </c>
      <c r="K7" s="1"/>
      <c r="L7" s="15"/>
      <c r="M7" s="15"/>
      <c r="N7" s="15"/>
      <c r="O7" s="7"/>
      <c r="P7" s="10"/>
      <c r="Q7" s="10"/>
      <c r="R7" s="10"/>
      <c r="S7" s="10"/>
      <c r="T7" s="10"/>
      <c r="U7" s="10"/>
    </row>
    <row r="8" spans="1:21" x14ac:dyDescent="0.3">
      <c r="A8" s="1" t="s">
        <v>471</v>
      </c>
      <c r="B8" s="1" t="s">
        <v>54</v>
      </c>
      <c r="C8" s="1" t="s">
        <v>55</v>
      </c>
      <c r="D8" s="2" t="s">
        <v>56</v>
      </c>
      <c r="E8" s="15" t="s">
        <v>57</v>
      </c>
      <c r="F8" s="15"/>
      <c r="G8" s="15"/>
      <c r="H8" s="1" t="s">
        <v>465</v>
      </c>
      <c r="I8" s="7" t="s">
        <v>101</v>
      </c>
      <c r="J8" s="15" t="s">
        <v>474</v>
      </c>
      <c r="K8" s="1"/>
      <c r="L8" s="15"/>
      <c r="M8" s="15"/>
      <c r="N8" s="15"/>
      <c r="O8" s="7"/>
      <c r="P8" s="10"/>
      <c r="Q8" s="10"/>
      <c r="R8" s="10"/>
      <c r="S8" s="10"/>
      <c r="T8" s="10"/>
      <c r="U8" s="10"/>
    </row>
    <row r="9" spans="1:21" x14ac:dyDescent="0.3">
      <c r="A9" s="1" t="s">
        <v>471</v>
      </c>
      <c r="B9" s="1" t="s">
        <v>58</v>
      </c>
      <c r="C9" s="1" t="s">
        <v>854</v>
      </c>
      <c r="D9" s="2" t="s">
        <v>459</v>
      </c>
      <c r="E9" s="15"/>
      <c r="F9" s="15"/>
      <c r="G9" s="15" t="s">
        <v>841</v>
      </c>
      <c r="H9" s="4" t="s">
        <v>750</v>
      </c>
      <c r="I9" s="7"/>
      <c r="J9" s="15" t="s">
        <v>474</v>
      </c>
      <c r="K9" s="1"/>
      <c r="L9" s="15"/>
      <c r="M9" s="15"/>
      <c r="N9" s="15"/>
      <c r="O9" s="7"/>
      <c r="P9" s="10"/>
      <c r="Q9" s="10"/>
      <c r="R9" s="10"/>
      <c r="S9" s="10"/>
      <c r="T9" s="10"/>
      <c r="U9" s="10"/>
    </row>
    <row r="10" spans="1:21" x14ac:dyDescent="0.3">
      <c r="A10" s="1" t="s">
        <v>471</v>
      </c>
      <c r="B10" s="1" t="s">
        <v>59</v>
      </c>
      <c r="C10" s="1" t="s">
        <v>855</v>
      </c>
      <c r="D10" s="2" t="s">
        <v>460</v>
      </c>
      <c r="E10" s="15"/>
      <c r="F10" s="15"/>
      <c r="G10" s="15">
        <v>512</v>
      </c>
      <c r="H10" s="1" t="s">
        <v>461</v>
      </c>
      <c r="I10" s="7"/>
      <c r="J10" s="15" t="s">
        <v>474</v>
      </c>
      <c r="K10" s="1"/>
      <c r="L10" s="15"/>
      <c r="M10" s="15"/>
      <c r="N10" s="15"/>
      <c r="O10" s="7"/>
      <c r="P10" s="10"/>
      <c r="Q10" s="10"/>
      <c r="R10" s="10"/>
      <c r="S10" s="10"/>
      <c r="T10" s="10"/>
      <c r="U10" s="10"/>
    </row>
    <row r="11" spans="1:21" x14ac:dyDescent="0.3">
      <c r="A11" s="1" t="s">
        <v>471</v>
      </c>
      <c r="B11" s="1" t="s">
        <v>60</v>
      </c>
      <c r="C11" s="1" t="s">
        <v>856</v>
      </c>
      <c r="D11" s="2" t="s">
        <v>463</v>
      </c>
      <c r="E11" s="15"/>
      <c r="F11" s="15"/>
      <c r="G11" s="15" t="s">
        <v>841</v>
      </c>
      <c r="H11" s="4" t="s">
        <v>750</v>
      </c>
      <c r="I11" s="7"/>
      <c r="J11" s="15" t="s">
        <v>474</v>
      </c>
      <c r="K11" s="1"/>
      <c r="L11" s="15"/>
      <c r="M11" s="15"/>
      <c r="N11" s="15"/>
      <c r="O11" s="7"/>
      <c r="P11" s="10"/>
      <c r="Q11" s="10"/>
      <c r="R11" s="10"/>
      <c r="S11" s="10"/>
      <c r="T11" s="10"/>
      <c r="U11" s="10"/>
    </row>
    <row r="12" spans="1:21" x14ac:dyDescent="0.3">
      <c r="A12" s="1" t="s">
        <v>471</v>
      </c>
      <c r="B12" s="1" t="s">
        <v>61</v>
      </c>
      <c r="C12" s="1" t="s">
        <v>857</v>
      </c>
      <c r="D12" s="2" t="s">
        <v>95</v>
      </c>
      <c r="E12" s="15"/>
      <c r="F12" s="15"/>
      <c r="G12" s="15">
        <v>512</v>
      </c>
      <c r="H12" s="1" t="s">
        <v>461</v>
      </c>
      <c r="I12" s="7"/>
      <c r="J12" s="15" t="s">
        <v>474</v>
      </c>
      <c r="K12" s="1"/>
      <c r="L12" s="15"/>
      <c r="M12" s="15"/>
      <c r="N12" s="15"/>
      <c r="O12" s="7"/>
      <c r="P12" s="10"/>
      <c r="Q12" s="10"/>
      <c r="R12" s="10"/>
      <c r="S12" s="10"/>
      <c r="T12" s="10"/>
      <c r="U12" s="10"/>
    </row>
    <row r="13" spans="1:21" x14ac:dyDescent="0.3">
      <c r="A13" s="1" t="s">
        <v>471</v>
      </c>
      <c r="B13" s="1" t="s">
        <v>62</v>
      </c>
      <c r="C13" s="1" t="s">
        <v>858</v>
      </c>
      <c r="D13" s="2" t="s">
        <v>462</v>
      </c>
      <c r="E13" s="15"/>
      <c r="F13" s="15"/>
      <c r="G13" s="15" t="s">
        <v>841</v>
      </c>
      <c r="H13" s="4" t="s">
        <v>750</v>
      </c>
      <c r="I13" s="7"/>
      <c r="J13" s="15" t="s">
        <v>474</v>
      </c>
      <c r="K13" s="1"/>
      <c r="L13" s="15"/>
      <c r="M13" s="15"/>
      <c r="N13" s="15"/>
      <c r="O13" s="7"/>
      <c r="P13" s="10"/>
      <c r="Q13" s="10"/>
      <c r="R13" s="10"/>
      <c r="S13" s="10"/>
      <c r="T13" s="10"/>
      <c r="U13" s="10"/>
    </row>
    <row r="14" spans="1:21" x14ac:dyDescent="0.3">
      <c r="A14" s="1" t="s">
        <v>471</v>
      </c>
      <c r="B14" s="1" t="s">
        <v>63</v>
      </c>
      <c r="C14" s="1" t="s">
        <v>859</v>
      </c>
      <c r="D14" s="2" t="s">
        <v>96</v>
      </c>
      <c r="E14" s="15"/>
      <c r="F14" s="15"/>
      <c r="G14" s="15">
        <v>512</v>
      </c>
      <c r="H14" s="1" t="s">
        <v>461</v>
      </c>
      <c r="I14" s="7"/>
      <c r="J14" s="15" t="s">
        <v>474</v>
      </c>
      <c r="K14" s="1"/>
      <c r="L14" s="15"/>
      <c r="M14" s="15"/>
      <c r="N14" s="15"/>
      <c r="O14" s="7"/>
      <c r="P14" s="10"/>
      <c r="Q14" s="10"/>
      <c r="R14" s="10"/>
      <c r="S14" s="10"/>
      <c r="T14" s="10"/>
      <c r="U14" s="10"/>
    </row>
    <row r="15" spans="1:21" x14ac:dyDescent="0.3">
      <c r="A15" s="1" t="s">
        <v>471</v>
      </c>
      <c r="B15" s="1" t="s">
        <v>64</v>
      </c>
      <c r="C15" s="1" t="s">
        <v>860</v>
      </c>
      <c r="D15" s="2" t="s">
        <v>606</v>
      </c>
      <c r="E15" s="15">
        <v>-40</v>
      </c>
      <c r="F15" s="15"/>
      <c r="G15" s="15">
        <v>105</v>
      </c>
      <c r="H15" s="1" t="s">
        <v>591</v>
      </c>
      <c r="I15" s="7" t="s">
        <v>765</v>
      </c>
      <c r="J15" s="15" t="s">
        <v>474</v>
      </c>
      <c r="K15" s="1"/>
      <c r="L15" s="15"/>
      <c r="M15" s="15"/>
      <c r="N15" s="15"/>
      <c r="O15" s="7"/>
      <c r="P15" s="10"/>
      <c r="Q15" s="10"/>
      <c r="R15" s="10"/>
      <c r="S15" s="10"/>
      <c r="T15" s="10"/>
      <c r="U15" s="10"/>
    </row>
    <row r="16" spans="1:21" x14ac:dyDescent="0.3">
      <c r="A16" s="1" t="s">
        <v>471</v>
      </c>
      <c r="B16" s="1" t="s">
        <v>65</v>
      </c>
      <c r="C16" s="1" t="s">
        <v>861</v>
      </c>
      <c r="D16" s="2" t="s">
        <v>607</v>
      </c>
      <c r="E16" s="15">
        <v>0</v>
      </c>
      <c r="F16" s="15"/>
      <c r="G16" s="15"/>
      <c r="H16" s="1" t="s">
        <v>748</v>
      </c>
      <c r="I16" s="7"/>
      <c r="J16" s="15" t="s">
        <v>841</v>
      </c>
      <c r="K16" s="1"/>
      <c r="L16" s="15"/>
      <c r="M16" s="15"/>
      <c r="N16" s="15"/>
      <c r="O16" s="7"/>
      <c r="P16" s="10"/>
      <c r="Q16" s="10"/>
      <c r="R16" s="10"/>
      <c r="S16" s="10"/>
      <c r="T16" s="10"/>
      <c r="U16" s="10"/>
    </row>
    <row r="17" spans="1:21" x14ac:dyDescent="0.3">
      <c r="A17" s="1" t="s">
        <v>471</v>
      </c>
      <c r="B17" s="1" t="s">
        <v>66</v>
      </c>
      <c r="C17" s="1" t="s">
        <v>862</v>
      </c>
      <c r="D17" s="2" t="s">
        <v>608</v>
      </c>
      <c r="E17" s="15">
        <v>0</v>
      </c>
      <c r="F17" s="15"/>
      <c r="G17" s="15"/>
      <c r="H17" s="1" t="s">
        <v>748</v>
      </c>
      <c r="I17" s="7"/>
      <c r="J17" s="15" t="s">
        <v>841</v>
      </c>
      <c r="K17" s="1"/>
      <c r="L17" s="15"/>
      <c r="M17" s="15"/>
      <c r="N17" s="15"/>
      <c r="O17" s="7"/>
      <c r="P17" s="10"/>
      <c r="Q17" s="10"/>
      <c r="R17" s="10"/>
      <c r="S17" s="10"/>
      <c r="T17" s="10"/>
      <c r="U17" s="10"/>
    </row>
    <row r="18" spans="1:21" x14ac:dyDescent="0.3">
      <c r="A18" s="1" t="s">
        <v>471</v>
      </c>
      <c r="B18" s="1" t="s">
        <v>67</v>
      </c>
      <c r="C18" s="1" t="s">
        <v>863</v>
      </c>
      <c r="D18" s="2" t="s">
        <v>588</v>
      </c>
      <c r="E18" s="24">
        <v>-40</v>
      </c>
      <c r="F18" s="24"/>
      <c r="G18" s="15">
        <v>125</v>
      </c>
      <c r="H18" s="1" t="s">
        <v>591</v>
      </c>
      <c r="I18" s="7"/>
      <c r="J18" s="15" t="s">
        <v>474</v>
      </c>
      <c r="K18" s="1"/>
      <c r="L18" s="15"/>
      <c r="M18" s="15"/>
      <c r="N18" s="15"/>
      <c r="O18" s="7"/>
      <c r="P18" s="10"/>
      <c r="Q18" s="10"/>
      <c r="R18" s="10"/>
      <c r="S18" s="10"/>
      <c r="T18" s="10"/>
      <c r="U18" s="10"/>
    </row>
    <row r="19" spans="1:21" x14ac:dyDescent="0.3">
      <c r="A19" s="1" t="s">
        <v>471</v>
      </c>
      <c r="B19" s="1" t="s">
        <v>68</v>
      </c>
      <c r="C19" s="1" t="s">
        <v>864</v>
      </c>
      <c r="D19" s="2" t="s">
        <v>609</v>
      </c>
      <c r="E19" s="15"/>
      <c r="F19" s="15" t="s">
        <v>1354</v>
      </c>
      <c r="G19" s="15"/>
      <c r="H19" s="1" t="s">
        <v>749</v>
      </c>
      <c r="I19" s="7"/>
      <c r="J19" s="15" t="s">
        <v>841</v>
      </c>
      <c r="K19" s="1"/>
      <c r="L19" s="15"/>
      <c r="M19" s="15"/>
      <c r="N19" s="15"/>
      <c r="O19" s="7"/>
      <c r="P19" s="10"/>
      <c r="Q19" s="10"/>
      <c r="R19" s="10"/>
      <c r="S19" s="10"/>
      <c r="T19" s="10"/>
      <c r="U19" s="10"/>
    </row>
    <row r="20" spans="1:21" x14ac:dyDescent="0.3">
      <c r="A20" s="1" t="s">
        <v>471</v>
      </c>
      <c r="B20" s="1" t="s">
        <v>69</v>
      </c>
      <c r="C20" s="1"/>
      <c r="D20" s="2" t="s">
        <v>610</v>
      </c>
      <c r="E20" s="15"/>
      <c r="F20" s="15"/>
      <c r="G20" s="15" t="s">
        <v>474</v>
      </c>
      <c r="H20" s="4" t="s">
        <v>750</v>
      </c>
      <c r="I20" s="7"/>
      <c r="J20" s="15" t="s">
        <v>841</v>
      </c>
      <c r="K20" s="1"/>
      <c r="L20" s="15"/>
      <c r="M20" s="15"/>
      <c r="N20" s="15"/>
      <c r="O20" s="7"/>
      <c r="P20" s="10"/>
      <c r="Q20" s="10"/>
      <c r="R20" s="10"/>
      <c r="S20" s="10"/>
      <c r="T20" s="10"/>
      <c r="U20" s="10"/>
    </row>
    <row r="21" spans="1:21" x14ac:dyDescent="0.3">
      <c r="A21" s="1" t="s">
        <v>471</v>
      </c>
      <c r="B21" s="1" t="str">
        <f ca="1">IF(C21 &lt;&gt; "", CONCATENATE("BID#",CELL("row", B21)),"")</f>
        <v/>
      </c>
      <c r="C21" s="1"/>
      <c r="D21" s="2" t="s">
        <v>611</v>
      </c>
      <c r="E21" s="15"/>
      <c r="F21" s="15"/>
      <c r="G21" s="15"/>
      <c r="H21" s="1" t="s">
        <v>453</v>
      </c>
      <c r="I21" s="7" t="s">
        <v>767</v>
      </c>
      <c r="J21" s="15" t="s">
        <v>841</v>
      </c>
      <c r="K21" s="1"/>
      <c r="L21" s="15"/>
      <c r="M21" s="15"/>
      <c r="N21" s="15"/>
      <c r="O21" s="7"/>
      <c r="P21" s="10"/>
      <c r="Q21" s="10"/>
      <c r="R21" s="10"/>
      <c r="S21" s="10"/>
      <c r="T21" s="10"/>
      <c r="U21" s="10"/>
    </row>
    <row r="22" spans="1:21" x14ac:dyDescent="0.3">
      <c r="A22" s="1" t="s">
        <v>471</v>
      </c>
      <c r="B22" s="1" t="str">
        <f ca="1">IF(C22 &lt;&gt; "", CONCATENATE("BID#",CELL("row", B22)),"")</f>
        <v/>
      </c>
      <c r="C22" s="1"/>
      <c r="D22" s="2" t="s">
        <v>612</v>
      </c>
      <c r="E22" s="15"/>
      <c r="F22" s="15"/>
      <c r="G22" s="15"/>
      <c r="H22" s="1" t="s">
        <v>478</v>
      </c>
      <c r="I22" s="7" t="s">
        <v>767</v>
      </c>
      <c r="J22" s="15" t="s">
        <v>841</v>
      </c>
      <c r="K22" s="1"/>
      <c r="L22" s="15"/>
      <c r="M22" s="15"/>
      <c r="N22" s="15"/>
      <c r="O22" s="7"/>
      <c r="P22" s="10"/>
      <c r="Q22" s="10"/>
      <c r="R22" s="10"/>
      <c r="S22" s="10"/>
      <c r="T22" s="10"/>
      <c r="U22" s="10"/>
    </row>
    <row r="23" spans="1:21" x14ac:dyDescent="0.3">
      <c r="A23" s="1" t="s">
        <v>471</v>
      </c>
      <c r="B23" s="1" t="str">
        <f ca="1">IF(C23 &lt;&gt; "", CONCATENATE("BID#",CELL("row", B23)),"")</f>
        <v/>
      </c>
      <c r="C23" s="1"/>
      <c r="D23" s="2" t="s">
        <v>613</v>
      </c>
      <c r="E23" s="15"/>
      <c r="F23" s="15"/>
      <c r="G23" s="15" t="s">
        <v>474</v>
      </c>
      <c r="H23" s="4" t="s">
        <v>750</v>
      </c>
      <c r="I23" s="7" t="s">
        <v>766</v>
      </c>
      <c r="J23" s="15" t="s">
        <v>841</v>
      </c>
      <c r="K23" s="1"/>
      <c r="L23" s="15"/>
      <c r="M23" s="15"/>
      <c r="N23" s="15"/>
      <c r="O23" s="7"/>
      <c r="P23" s="10"/>
      <c r="Q23" s="10"/>
      <c r="R23" s="10"/>
      <c r="S23" s="10"/>
      <c r="T23" s="10"/>
      <c r="U23" s="10"/>
    </row>
    <row r="24" spans="1:21" ht="23" x14ac:dyDescent="0.3">
      <c r="A24" s="1" t="s">
        <v>471</v>
      </c>
      <c r="B24" s="1" t="s">
        <v>70</v>
      </c>
      <c r="C24" s="1" t="s">
        <v>865</v>
      </c>
      <c r="D24" s="2" t="s">
        <v>866</v>
      </c>
      <c r="E24" s="15">
        <v>-100</v>
      </c>
      <c r="F24" s="15"/>
      <c r="G24" s="15">
        <v>100</v>
      </c>
      <c r="H24" s="1" t="s">
        <v>476</v>
      </c>
      <c r="I24" s="7" t="s">
        <v>867</v>
      </c>
      <c r="J24" s="15" t="s">
        <v>474</v>
      </c>
      <c r="K24" s="1"/>
      <c r="L24" s="15"/>
      <c r="M24" s="15"/>
      <c r="N24" s="15"/>
      <c r="O24" s="7"/>
      <c r="P24" s="10"/>
      <c r="Q24" s="10"/>
      <c r="R24" s="10"/>
      <c r="S24" s="10"/>
      <c r="T24" s="10"/>
      <c r="U24" s="10"/>
    </row>
    <row r="25" spans="1:21" x14ac:dyDescent="0.3">
      <c r="A25" s="1" t="s">
        <v>471</v>
      </c>
      <c r="B25" s="1" t="s">
        <v>71</v>
      </c>
      <c r="C25" s="1" t="s">
        <v>868</v>
      </c>
      <c r="D25" s="2" t="s">
        <v>869</v>
      </c>
      <c r="E25" s="15"/>
      <c r="F25" s="15"/>
      <c r="G25" s="15">
        <v>7</v>
      </c>
      <c r="H25" s="1" t="s">
        <v>478</v>
      </c>
      <c r="I25" s="7"/>
      <c r="J25" s="15" t="s">
        <v>474</v>
      </c>
      <c r="K25" s="1"/>
      <c r="L25" s="15"/>
      <c r="M25" s="15"/>
      <c r="N25" s="15"/>
      <c r="O25" s="7"/>
      <c r="P25" s="10"/>
      <c r="Q25" s="10"/>
      <c r="R25" s="10"/>
      <c r="S25" s="10"/>
      <c r="T25" s="10"/>
      <c r="U25" s="10"/>
    </row>
    <row r="26" spans="1:21" x14ac:dyDescent="0.3">
      <c r="A26" s="1" t="s">
        <v>471</v>
      </c>
      <c r="B26" s="1" t="s">
        <v>72</v>
      </c>
      <c r="C26" s="1" t="s">
        <v>870</v>
      </c>
      <c r="D26" s="2" t="s">
        <v>871</v>
      </c>
      <c r="E26" s="15"/>
      <c r="F26" s="15"/>
      <c r="G26" s="15">
        <v>7</v>
      </c>
      <c r="H26" s="1" t="s">
        <v>478</v>
      </c>
      <c r="I26" s="7"/>
      <c r="J26" s="15" t="s">
        <v>474</v>
      </c>
      <c r="K26" s="1"/>
      <c r="L26" s="15"/>
      <c r="M26" s="15"/>
      <c r="N26" s="15"/>
      <c r="O26" s="7"/>
      <c r="P26" s="10"/>
      <c r="Q26" s="10"/>
      <c r="R26" s="10"/>
      <c r="S26" s="10"/>
      <c r="T26" s="10"/>
      <c r="U26" s="10"/>
    </row>
    <row r="27" spans="1:21" x14ac:dyDescent="0.3">
      <c r="A27" s="1" t="s">
        <v>471</v>
      </c>
      <c r="B27" s="1" t="s">
        <v>73</v>
      </c>
      <c r="C27" s="1"/>
      <c r="D27" s="2" t="s">
        <v>440</v>
      </c>
      <c r="E27" s="15"/>
      <c r="F27" s="15"/>
      <c r="G27" s="15" t="s">
        <v>474</v>
      </c>
      <c r="H27" s="4" t="s">
        <v>750</v>
      </c>
      <c r="I27" s="7"/>
      <c r="J27" s="15" t="s">
        <v>474</v>
      </c>
      <c r="K27" s="1"/>
      <c r="L27" s="15"/>
      <c r="M27" s="15"/>
      <c r="N27" s="15"/>
      <c r="O27" s="7"/>
      <c r="P27" s="10"/>
      <c r="Q27" s="10"/>
      <c r="R27" s="10"/>
      <c r="S27" s="10"/>
      <c r="T27" s="10"/>
      <c r="U27" s="10"/>
    </row>
    <row r="28" spans="1:21" ht="23" x14ac:dyDescent="0.3">
      <c r="A28" s="1" t="s">
        <v>471</v>
      </c>
      <c r="B28" s="1" t="s">
        <v>74</v>
      </c>
      <c r="C28" s="1" t="s">
        <v>872</v>
      </c>
      <c r="D28" s="2" t="s">
        <v>441</v>
      </c>
      <c r="E28" s="15"/>
      <c r="F28" s="15"/>
      <c r="G28" s="15" t="s">
        <v>841</v>
      </c>
      <c r="H28" s="4" t="s">
        <v>750</v>
      </c>
      <c r="I28" s="7" t="s">
        <v>1617</v>
      </c>
      <c r="J28" s="15" t="s">
        <v>474</v>
      </c>
      <c r="K28" s="1"/>
      <c r="L28" s="15"/>
      <c r="M28" s="15"/>
      <c r="N28" s="15"/>
      <c r="O28" s="7"/>
      <c r="P28" s="10"/>
      <c r="Q28" s="10"/>
      <c r="R28" s="10"/>
      <c r="S28" s="10"/>
      <c r="T28" s="10"/>
      <c r="U28" s="10"/>
    </row>
    <row r="29" spans="1:21" x14ac:dyDescent="0.3">
      <c r="A29" s="1" t="s">
        <v>471</v>
      </c>
      <c r="B29" s="1" t="str">
        <f t="shared" ref="B29:B92" ca="1" si="0">IF(C29 &lt;&gt; "", CONCATENATE("BID#",CELL("row", B29)),"")</f>
        <v/>
      </c>
      <c r="C29" s="1"/>
      <c r="D29" s="2" t="s">
        <v>614</v>
      </c>
      <c r="E29" s="15"/>
      <c r="F29" s="15"/>
      <c r="G29" s="15" t="s">
        <v>474</v>
      </c>
      <c r="H29" s="4" t="s">
        <v>750</v>
      </c>
      <c r="I29" s="7" t="s">
        <v>766</v>
      </c>
      <c r="J29" s="15" t="s">
        <v>841</v>
      </c>
      <c r="K29" s="1"/>
      <c r="L29" s="15"/>
      <c r="M29" s="15"/>
      <c r="N29" s="15"/>
      <c r="O29" s="7"/>
      <c r="P29" s="10"/>
      <c r="Q29" s="10"/>
      <c r="R29" s="10"/>
      <c r="S29" s="10"/>
      <c r="T29" s="10"/>
      <c r="U29" s="10"/>
    </row>
    <row r="30" spans="1:21" x14ac:dyDescent="0.3">
      <c r="A30" s="1" t="s">
        <v>471</v>
      </c>
      <c r="B30" s="1" t="str">
        <f t="shared" ca="1" si="0"/>
        <v/>
      </c>
      <c r="C30" s="1"/>
      <c r="D30" s="2" t="s">
        <v>615</v>
      </c>
      <c r="E30" s="15"/>
      <c r="F30" s="15"/>
      <c r="G30" s="15" t="s">
        <v>474</v>
      </c>
      <c r="H30" s="4" t="s">
        <v>750</v>
      </c>
      <c r="I30" s="7" t="s">
        <v>766</v>
      </c>
      <c r="J30" s="15" t="s">
        <v>841</v>
      </c>
      <c r="K30" s="1"/>
      <c r="L30" s="15"/>
      <c r="M30" s="15"/>
      <c r="N30" s="15"/>
      <c r="O30" s="7"/>
      <c r="P30" s="10"/>
      <c r="Q30" s="10"/>
      <c r="R30" s="10"/>
      <c r="S30" s="10"/>
      <c r="T30" s="10"/>
      <c r="U30" s="10"/>
    </row>
    <row r="31" spans="1:21" x14ac:dyDescent="0.3">
      <c r="A31" s="1" t="s">
        <v>471</v>
      </c>
      <c r="B31" s="1" t="str">
        <f t="shared" ca="1" si="0"/>
        <v/>
      </c>
      <c r="C31" s="1"/>
      <c r="D31" s="2" t="s">
        <v>616</v>
      </c>
      <c r="E31" s="15"/>
      <c r="F31" s="15"/>
      <c r="G31" s="15" t="s">
        <v>474</v>
      </c>
      <c r="H31" s="4" t="s">
        <v>750</v>
      </c>
      <c r="I31" s="7" t="s">
        <v>766</v>
      </c>
      <c r="J31" s="15" t="s">
        <v>841</v>
      </c>
      <c r="K31" s="1"/>
      <c r="L31" s="15"/>
      <c r="M31" s="15"/>
      <c r="N31" s="15"/>
      <c r="O31" s="7"/>
      <c r="P31" s="10"/>
      <c r="Q31" s="10"/>
      <c r="R31" s="10"/>
      <c r="S31" s="10"/>
      <c r="T31" s="10"/>
      <c r="U31" s="10"/>
    </row>
    <row r="32" spans="1:21" x14ac:dyDescent="0.3">
      <c r="A32" s="1" t="s">
        <v>471</v>
      </c>
      <c r="B32" s="1" t="str">
        <f t="shared" ca="1" si="0"/>
        <v/>
      </c>
      <c r="C32" s="1"/>
      <c r="D32" s="2" t="s">
        <v>617</v>
      </c>
      <c r="E32" s="15"/>
      <c r="F32" s="15"/>
      <c r="G32" s="15" t="s">
        <v>474</v>
      </c>
      <c r="H32" s="4" t="s">
        <v>750</v>
      </c>
      <c r="I32" s="7" t="s">
        <v>766</v>
      </c>
      <c r="J32" s="15" t="s">
        <v>841</v>
      </c>
      <c r="K32" s="1"/>
      <c r="L32" s="15"/>
      <c r="M32" s="15"/>
      <c r="N32" s="15"/>
      <c r="O32" s="7"/>
      <c r="P32" s="10"/>
      <c r="Q32" s="10"/>
      <c r="R32" s="10"/>
      <c r="S32" s="10"/>
      <c r="T32" s="10"/>
      <c r="U32" s="10"/>
    </row>
    <row r="33" spans="1:21" x14ac:dyDescent="0.3">
      <c r="A33" s="1" t="s">
        <v>471</v>
      </c>
      <c r="B33" s="1"/>
      <c r="C33" s="1" t="s">
        <v>873</v>
      </c>
      <c r="D33" s="2" t="s">
        <v>618</v>
      </c>
      <c r="E33" s="15"/>
      <c r="F33" s="15"/>
      <c r="G33" s="15">
        <v>300</v>
      </c>
      <c r="H33" s="1" t="s">
        <v>477</v>
      </c>
      <c r="I33" s="7" t="s">
        <v>768</v>
      </c>
      <c r="J33" s="15" t="s">
        <v>841</v>
      </c>
      <c r="K33" s="1"/>
      <c r="L33" s="15"/>
      <c r="M33" s="15"/>
      <c r="N33" s="15"/>
      <c r="O33" s="7"/>
      <c r="P33" s="10"/>
      <c r="Q33" s="10"/>
      <c r="R33" s="10"/>
      <c r="S33" s="10"/>
      <c r="T33" s="10"/>
      <c r="U33" s="10"/>
    </row>
    <row r="34" spans="1:21" x14ac:dyDescent="0.3">
      <c r="A34" s="1" t="s">
        <v>471</v>
      </c>
      <c r="B34" s="1" t="str">
        <f t="shared" ca="1" si="0"/>
        <v/>
      </c>
      <c r="C34" s="1"/>
      <c r="D34" s="2" t="s">
        <v>619</v>
      </c>
      <c r="E34" s="15"/>
      <c r="F34" s="15"/>
      <c r="G34" s="15" t="s">
        <v>474</v>
      </c>
      <c r="H34" s="1" t="s">
        <v>477</v>
      </c>
      <c r="I34" s="7" t="s">
        <v>768</v>
      </c>
      <c r="J34" s="15" t="s">
        <v>841</v>
      </c>
      <c r="K34" s="1"/>
      <c r="L34" s="15"/>
      <c r="M34" s="15"/>
      <c r="N34" s="15"/>
      <c r="O34" s="7"/>
      <c r="P34" s="10"/>
      <c r="Q34" s="10"/>
      <c r="R34" s="10"/>
      <c r="S34" s="10"/>
      <c r="T34" s="10"/>
      <c r="U34" s="10"/>
    </row>
    <row r="35" spans="1:21" x14ac:dyDescent="0.3">
      <c r="A35" s="1" t="s">
        <v>471</v>
      </c>
      <c r="B35" s="1" t="str">
        <f t="shared" ca="1" si="0"/>
        <v/>
      </c>
      <c r="C35" s="1"/>
      <c r="D35" s="2" t="s">
        <v>620</v>
      </c>
      <c r="E35" s="15"/>
      <c r="F35" s="15"/>
      <c r="G35" s="15" t="s">
        <v>474</v>
      </c>
      <c r="H35" s="1" t="s">
        <v>477</v>
      </c>
      <c r="I35" s="7" t="s">
        <v>768</v>
      </c>
      <c r="J35" s="15" t="s">
        <v>841</v>
      </c>
      <c r="K35" s="1"/>
      <c r="L35" s="15"/>
      <c r="M35" s="15"/>
      <c r="N35" s="15"/>
      <c r="O35" s="7"/>
      <c r="P35" s="10"/>
      <c r="Q35" s="10"/>
      <c r="R35" s="10"/>
      <c r="S35" s="10"/>
      <c r="T35" s="10"/>
      <c r="U35" s="10"/>
    </row>
    <row r="36" spans="1:21" x14ac:dyDescent="0.3">
      <c r="A36" s="1" t="s">
        <v>471</v>
      </c>
      <c r="B36" s="1" t="str">
        <f t="shared" ca="1" si="0"/>
        <v/>
      </c>
      <c r="C36" s="1"/>
      <c r="D36" s="2" t="s">
        <v>621</v>
      </c>
      <c r="E36" s="15"/>
      <c r="F36" s="15"/>
      <c r="G36" s="15"/>
      <c r="H36" s="1" t="s">
        <v>446</v>
      </c>
      <c r="I36" s="7" t="s">
        <v>768</v>
      </c>
      <c r="J36" s="15" t="s">
        <v>841</v>
      </c>
      <c r="K36" s="1"/>
      <c r="L36" s="15"/>
      <c r="M36" s="15"/>
      <c r="N36" s="15"/>
      <c r="O36" s="7"/>
      <c r="P36" s="10"/>
      <c r="Q36" s="10"/>
      <c r="R36" s="10"/>
      <c r="S36" s="10"/>
      <c r="T36" s="10"/>
      <c r="U36" s="10"/>
    </row>
    <row r="37" spans="1:21" x14ac:dyDescent="0.3">
      <c r="A37" s="1" t="s">
        <v>471</v>
      </c>
      <c r="B37" s="1" t="str">
        <f t="shared" ca="1" si="0"/>
        <v/>
      </c>
      <c r="C37" s="1"/>
      <c r="D37" s="2" t="s">
        <v>622</v>
      </c>
      <c r="E37" s="15"/>
      <c r="F37" s="15"/>
      <c r="G37" s="15"/>
      <c r="H37" s="1" t="s">
        <v>446</v>
      </c>
      <c r="I37" s="7" t="s">
        <v>768</v>
      </c>
      <c r="J37" s="15" t="s">
        <v>841</v>
      </c>
      <c r="K37" s="1"/>
      <c r="L37" s="15"/>
      <c r="M37" s="15"/>
      <c r="N37" s="15"/>
      <c r="O37" s="7"/>
      <c r="P37" s="10"/>
      <c r="Q37" s="10"/>
      <c r="R37" s="10"/>
      <c r="S37" s="10"/>
      <c r="T37" s="10"/>
      <c r="U37" s="10"/>
    </row>
    <row r="38" spans="1:21" x14ac:dyDescent="0.3">
      <c r="A38" s="1" t="s">
        <v>471</v>
      </c>
      <c r="B38" s="1" t="str">
        <f t="shared" ca="1" si="0"/>
        <v/>
      </c>
      <c r="C38" s="1"/>
      <c r="D38" s="2" t="s">
        <v>623</v>
      </c>
      <c r="E38" s="15"/>
      <c r="F38" s="15"/>
      <c r="G38" s="15" t="s">
        <v>474</v>
      </c>
      <c r="H38" s="4" t="s">
        <v>750</v>
      </c>
      <c r="I38" s="7" t="s">
        <v>766</v>
      </c>
      <c r="J38" s="15" t="s">
        <v>841</v>
      </c>
      <c r="K38" s="1"/>
      <c r="L38" s="15"/>
      <c r="M38" s="15"/>
      <c r="N38" s="15"/>
      <c r="O38" s="7"/>
      <c r="P38" s="10"/>
      <c r="Q38" s="10"/>
      <c r="R38" s="10"/>
      <c r="S38" s="10"/>
      <c r="T38" s="10"/>
      <c r="U38" s="10"/>
    </row>
    <row r="39" spans="1:21" x14ac:dyDescent="0.3">
      <c r="A39" s="1" t="s">
        <v>471</v>
      </c>
      <c r="B39" s="1"/>
      <c r="C39" s="1" t="s">
        <v>874</v>
      </c>
      <c r="D39" s="2" t="s">
        <v>624</v>
      </c>
      <c r="E39" s="15"/>
      <c r="F39" s="15"/>
      <c r="G39" s="15" t="s">
        <v>841</v>
      </c>
      <c r="H39" s="4" t="s">
        <v>750</v>
      </c>
      <c r="I39" s="7" t="s">
        <v>766</v>
      </c>
      <c r="J39" s="15" t="s">
        <v>841</v>
      </c>
      <c r="K39" s="1"/>
      <c r="L39" s="15"/>
      <c r="M39" s="15"/>
      <c r="N39" s="15"/>
      <c r="O39" s="7"/>
      <c r="P39" s="10"/>
      <c r="Q39" s="10"/>
      <c r="R39" s="10"/>
      <c r="S39" s="10"/>
      <c r="T39" s="10"/>
      <c r="U39" s="10"/>
    </row>
    <row r="40" spans="1:21" x14ac:dyDescent="0.3">
      <c r="A40" s="1" t="s">
        <v>471</v>
      </c>
      <c r="B40" s="1" t="str">
        <f t="shared" ca="1" si="0"/>
        <v/>
      </c>
      <c r="C40" s="1"/>
      <c r="D40" s="2" t="s">
        <v>625</v>
      </c>
      <c r="E40" s="15"/>
      <c r="F40" s="15"/>
      <c r="G40" s="15" t="s">
        <v>474</v>
      </c>
      <c r="H40" s="4" t="s">
        <v>750</v>
      </c>
      <c r="I40" s="7" t="s">
        <v>766</v>
      </c>
      <c r="J40" s="15" t="s">
        <v>841</v>
      </c>
      <c r="K40" s="1"/>
      <c r="L40" s="15"/>
      <c r="M40" s="15"/>
      <c r="N40" s="15"/>
      <c r="O40" s="7"/>
      <c r="P40" s="10"/>
      <c r="Q40" s="10"/>
      <c r="R40" s="10"/>
      <c r="S40" s="10"/>
      <c r="T40" s="10"/>
      <c r="U40" s="10"/>
    </row>
    <row r="41" spans="1:21" x14ac:dyDescent="0.3">
      <c r="A41" s="1" t="s">
        <v>471</v>
      </c>
      <c r="B41" s="1" t="str">
        <f t="shared" ca="1" si="0"/>
        <v/>
      </c>
      <c r="C41" s="1"/>
      <c r="D41" s="2" t="s">
        <v>626</v>
      </c>
      <c r="E41" s="15"/>
      <c r="F41" s="15"/>
      <c r="G41" s="15" t="s">
        <v>474</v>
      </c>
      <c r="H41" s="4" t="s">
        <v>750</v>
      </c>
      <c r="I41" s="7" t="s">
        <v>766</v>
      </c>
      <c r="J41" s="15" t="s">
        <v>841</v>
      </c>
      <c r="K41" s="1"/>
      <c r="L41" s="15"/>
      <c r="M41" s="15"/>
      <c r="N41" s="15"/>
      <c r="O41" s="7"/>
      <c r="P41" s="10"/>
      <c r="Q41" s="10"/>
      <c r="R41" s="10"/>
      <c r="S41" s="10"/>
      <c r="T41" s="10"/>
      <c r="U41" s="10"/>
    </row>
    <row r="42" spans="1:21" x14ac:dyDescent="0.3">
      <c r="A42" s="1" t="s">
        <v>471</v>
      </c>
      <c r="B42" s="1" t="str">
        <f t="shared" ca="1" si="0"/>
        <v/>
      </c>
      <c r="C42" s="1"/>
      <c r="D42" s="2" t="s">
        <v>627</v>
      </c>
      <c r="E42" s="15"/>
      <c r="F42" s="15"/>
      <c r="G42" s="15" t="s">
        <v>474</v>
      </c>
      <c r="H42" s="4" t="s">
        <v>750</v>
      </c>
      <c r="I42" s="7" t="s">
        <v>766</v>
      </c>
      <c r="J42" s="15" t="s">
        <v>841</v>
      </c>
      <c r="K42" s="1"/>
      <c r="L42" s="15"/>
      <c r="M42" s="15"/>
      <c r="N42" s="15"/>
      <c r="O42" s="7"/>
      <c r="P42" s="10"/>
      <c r="Q42" s="10"/>
      <c r="R42" s="10"/>
      <c r="S42" s="10"/>
      <c r="T42" s="10"/>
      <c r="U42" s="10"/>
    </row>
    <row r="43" spans="1:21" x14ac:dyDescent="0.3">
      <c r="A43" s="1" t="s">
        <v>471</v>
      </c>
      <c r="B43" s="1" t="str">
        <f t="shared" ca="1" si="0"/>
        <v/>
      </c>
      <c r="C43" s="1"/>
      <c r="D43" s="2" t="s">
        <v>628</v>
      </c>
      <c r="E43" s="15"/>
      <c r="F43" s="15"/>
      <c r="G43" s="15"/>
      <c r="H43" s="1" t="s">
        <v>751</v>
      </c>
      <c r="I43" s="7"/>
      <c r="J43" s="15" t="s">
        <v>841</v>
      </c>
      <c r="K43" s="1"/>
      <c r="L43" s="15"/>
      <c r="M43" s="15"/>
      <c r="N43" s="15"/>
      <c r="O43" s="7"/>
      <c r="P43" s="10"/>
      <c r="Q43" s="10"/>
      <c r="R43" s="10"/>
      <c r="S43" s="10"/>
      <c r="T43" s="10"/>
      <c r="U43" s="10"/>
    </row>
    <row r="44" spans="1:21" x14ac:dyDescent="0.3">
      <c r="A44" s="1" t="s">
        <v>471</v>
      </c>
      <c r="B44" s="1" t="str">
        <f t="shared" ca="1" si="0"/>
        <v/>
      </c>
      <c r="C44" s="1"/>
      <c r="D44" s="2" t="s">
        <v>629</v>
      </c>
      <c r="E44" s="15"/>
      <c r="F44" s="15"/>
      <c r="G44" s="15"/>
      <c r="H44" s="1" t="s">
        <v>751</v>
      </c>
      <c r="I44" s="7"/>
      <c r="J44" s="15" t="s">
        <v>841</v>
      </c>
      <c r="K44" s="1"/>
      <c r="L44" s="15"/>
      <c r="M44" s="15"/>
      <c r="N44" s="15"/>
      <c r="O44" s="7"/>
      <c r="P44" s="10"/>
      <c r="Q44" s="10"/>
      <c r="R44" s="10"/>
      <c r="S44" s="10"/>
      <c r="T44" s="10"/>
      <c r="U44" s="10"/>
    </row>
    <row r="45" spans="1:21" x14ac:dyDescent="0.3">
      <c r="A45" s="1" t="s">
        <v>471</v>
      </c>
      <c r="B45" s="1" t="str">
        <f t="shared" ca="1" si="0"/>
        <v/>
      </c>
      <c r="C45" s="1"/>
      <c r="D45" s="2" t="s">
        <v>630</v>
      </c>
      <c r="E45" s="15"/>
      <c r="F45" s="15"/>
      <c r="G45" s="15"/>
      <c r="H45" s="1" t="s">
        <v>751</v>
      </c>
      <c r="I45" s="7"/>
      <c r="J45" s="15" t="s">
        <v>841</v>
      </c>
      <c r="K45" s="1"/>
      <c r="L45" s="15"/>
      <c r="M45" s="15"/>
      <c r="N45" s="15"/>
      <c r="O45" s="7"/>
      <c r="P45" s="10"/>
      <c r="Q45" s="10"/>
      <c r="R45" s="10"/>
      <c r="S45" s="10"/>
      <c r="T45" s="10"/>
      <c r="U45" s="10"/>
    </row>
    <row r="46" spans="1:21" x14ac:dyDescent="0.3">
      <c r="A46" s="1" t="s">
        <v>471</v>
      </c>
      <c r="B46" s="1" t="str">
        <f t="shared" ca="1" si="0"/>
        <v/>
      </c>
      <c r="C46" s="1"/>
      <c r="D46" s="2" t="s">
        <v>631</v>
      </c>
      <c r="E46" s="15"/>
      <c r="F46" s="15"/>
      <c r="G46" s="15"/>
      <c r="H46" s="1" t="s">
        <v>751</v>
      </c>
      <c r="I46" s="7"/>
      <c r="J46" s="15" t="s">
        <v>841</v>
      </c>
      <c r="K46" s="1"/>
      <c r="L46" s="15"/>
      <c r="M46" s="15"/>
      <c r="N46" s="15"/>
      <c r="O46" s="7"/>
      <c r="P46" s="10"/>
      <c r="Q46" s="10"/>
      <c r="R46" s="10"/>
      <c r="S46" s="10"/>
      <c r="T46" s="10"/>
      <c r="U46" s="10"/>
    </row>
    <row r="47" spans="1:21" x14ac:dyDescent="0.3">
      <c r="A47" s="1" t="s">
        <v>471</v>
      </c>
      <c r="B47" s="1" t="str">
        <f t="shared" ca="1" si="0"/>
        <v/>
      </c>
      <c r="C47" s="1"/>
      <c r="D47" s="2" t="s">
        <v>632</v>
      </c>
      <c r="E47" s="15"/>
      <c r="F47" s="15"/>
      <c r="G47" s="15"/>
      <c r="H47" s="1" t="s">
        <v>447</v>
      </c>
      <c r="I47" s="7"/>
      <c r="J47" s="15" t="s">
        <v>841</v>
      </c>
      <c r="K47" s="1"/>
      <c r="L47" s="15"/>
      <c r="M47" s="15"/>
      <c r="N47" s="15"/>
      <c r="O47" s="7"/>
      <c r="P47" s="10"/>
      <c r="Q47" s="10"/>
      <c r="R47" s="10"/>
      <c r="S47" s="10"/>
      <c r="T47" s="10"/>
      <c r="U47" s="10"/>
    </row>
    <row r="48" spans="1:21" x14ac:dyDescent="0.3">
      <c r="A48" s="1" t="s">
        <v>471</v>
      </c>
      <c r="B48" s="1" t="str">
        <f t="shared" ca="1" si="0"/>
        <v/>
      </c>
      <c r="C48" s="1"/>
      <c r="D48" s="2" t="s">
        <v>633</v>
      </c>
      <c r="E48" s="15"/>
      <c r="F48" s="15"/>
      <c r="G48" s="15" t="s">
        <v>474</v>
      </c>
      <c r="H48" s="4" t="s">
        <v>750</v>
      </c>
      <c r="I48" s="7" t="s">
        <v>766</v>
      </c>
      <c r="J48" s="15" t="s">
        <v>841</v>
      </c>
      <c r="K48" s="1"/>
      <c r="L48" s="15"/>
      <c r="M48" s="15"/>
      <c r="N48" s="15"/>
      <c r="O48" s="7"/>
      <c r="P48" s="10"/>
      <c r="Q48" s="10"/>
      <c r="R48" s="10"/>
      <c r="S48" s="10"/>
      <c r="T48" s="10"/>
      <c r="U48" s="10"/>
    </row>
    <row r="49" spans="1:21" x14ac:dyDescent="0.3">
      <c r="A49" s="1" t="s">
        <v>471</v>
      </c>
      <c r="B49" s="1" t="str">
        <f t="shared" ca="1" si="0"/>
        <v/>
      </c>
      <c r="C49" s="1"/>
      <c r="D49" s="2" t="s">
        <v>634</v>
      </c>
      <c r="E49" s="15"/>
      <c r="F49" s="15"/>
      <c r="G49" s="15"/>
      <c r="H49" s="1" t="s">
        <v>530</v>
      </c>
      <c r="I49" s="7"/>
      <c r="J49" s="15" t="s">
        <v>841</v>
      </c>
      <c r="K49" s="1"/>
      <c r="L49" s="15"/>
      <c r="M49" s="15"/>
      <c r="N49" s="15"/>
      <c r="O49" s="7"/>
      <c r="P49" s="10"/>
      <c r="Q49" s="10"/>
      <c r="R49" s="10"/>
      <c r="S49" s="10"/>
      <c r="T49" s="10"/>
      <c r="U49" s="10"/>
    </row>
    <row r="50" spans="1:21" x14ac:dyDescent="0.3">
      <c r="A50" s="1" t="s">
        <v>471</v>
      </c>
      <c r="B50" s="1" t="str">
        <f t="shared" ca="1" si="0"/>
        <v/>
      </c>
      <c r="C50" s="1"/>
      <c r="D50" s="2" t="s">
        <v>635</v>
      </c>
      <c r="E50" s="15"/>
      <c r="F50" s="15"/>
      <c r="G50" s="15"/>
      <c r="H50" s="1" t="s">
        <v>530</v>
      </c>
      <c r="I50" s="7"/>
      <c r="J50" s="15" t="s">
        <v>841</v>
      </c>
      <c r="K50" s="1"/>
      <c r="L50" s="15"/>
      <c r="M50" s="15"/>
      <c r="N50" s="15"/>
      <c r="O50" s="7"/>
      <c r="P50" s="10"/>
      <c r="Q50" s="10"/>
      <c r="R50" s="10"/>
      <c r="S50" s="10"/>
      <c r="T50" s="10"/>
      <c r="U50" s="10"/>
    </row>
    <row r="51" spans="1:21" x14ac:dyDescent="0.3">
      <c r="A51" s="1" t="s">
        <v>471</v>
      </c>
      <c r="B51" s="1" t="str">
        <f t="shared" ca="1" si="0"/>
        <v/>
      </c>
      <c r="C51" s="1"/>
      <c r="D51" s="2" t="s">
        <v>636</v>
      </c>
      <c r="E51" s="15"/>
      <c r="F51" s="15"/>
      <c r="G51" s="15"/>
      <c r="H51" s="1" t="s">
        <v>475</v>
      </c>
      <c r="I51" s="7"/>
      <c r="J51" s="15" t="s">
        <v>841</v>
      </c>
      <c r="K51" s="1"/>
      <c r="L51" s="15"/>
      <c r="M51" s="15"/>
      <c r="N51" s="15"/>
      <c r="O51" s="7"/>
      <c r="P51" s="10"/>
      <c r="Q51" s="10"/>
      <c r="R51" s="10"/>
      <c r="S51" s="10"/>
      <c r="T51" s="10"/>
      <c r="U51" s="10"/>
    </row>
    <row r="52" spans="1:21" x14ac:dyDescent="0.3">
      <c r="A52" s="1" t="s">
        <v>471</v>
      </c>
      <c r="B52" s="1" t="str">
        <f t="shared" ca="1" si="0"/>
        <v/>
      </c>
      <c r="C52" s="1"/>
      <c r="D52" s="2" t="s">
        <v>637</v>
      </c>
      <c r="E52" s="15"/>
      <c r="F52" s="15"/>
      <c r="G52" s="15"/>
      <c r="H52" s="1" t="s">
        <v>475</v>
      </c>
      <c r="I52" s="7"/>
      <c r="J52" s="15" t="s">
        <v>841</v>
      </c>
      <c r="K52" s="1"/>
      <c r="L52" s="15"/>
      <c r="M52" s="15"/>
      <c r="N52" s="15"/>
      <c r="O52" s="7"/>
      <c r="P52" s="10"/>
      <c r="Q52" s="10"/>
      <c r="R52" s="10"/>
      <c r="S52" s="10"/>
      <c r="T52" s="10"/>
      <c r="U52" s="10"/>
    </row>
    <row r="53" spans="1:21" x14ac:dyDescent="0.3">
      <c r="A53" s="1" t="s">
        <v>471</v>
      </c>
      <c r="B53" s="1" t="str">
        <f t="shared" ca="1" si="0"/>
        <v/>
      </c>
      <c r="C53" s="1"/>
      <c r="D53" s="2" t="s">
        <v>638</v>
      </c>
      <c r="E53" s="15"/>
      <c r="F53" s="15"/>
      <c r="G53" s="15"/>
      <c r="H53" s="1" t="s">
        <v>475</v>
      </c>
      <c r="I53" s="7"/>
      <c r="J53" s="15" t="s">
        <v>841</v>
      </c>
      <c r="K53" s="1"/>
      <c r="L53" s="15"/>
      <c r="M53" s="15"/>
      <c r="N53" s="15"/>
      <c r="O53" s="7"/>
      <c r="P53" s="10"/>
      <c r="Q53" s="10"/>
      <c r="R53" s="10"/>
      <c r="S53" s="10"/>
      <c r="T53" s="10"/>
      <c r="U53" s="10"/>
    </row>
    <row r="54" spans="1:21" x14ac:dyDescent="0.3">
      <c r="A54" s="1" t="s">
        <v>489</v>
      </c>
      <c r="B54" s="1" t="str">
        <f t="shared" ca="1" si="0"/>
        <v/>
      </c>
      <c r="C54" s="1"/>
      <c r="D54" s="2" t="s">
        <v>479</v>
      </c>
      <c r="E54" s="15"/>
      <c r="F54" s="15"/>
      <c r="G54" s="15"/>
      <c r="H54" s="1" t="s">
        <v>752</v>
      </c>
      <c r="I54" s="7"/>
      <c r="J54" s="15" t="s">
        <v>841</v>
      </c>
      <c r="K54" s="1"/>
      <c r="L54" s="15"/>
      <c r="M54" s="15"/>
      <c r="N54" s="15"/>
      <c r="O54" s="7"/>
      <c r="P54" s="10"/>
      <c r="Q54" s="10"/>
      <c r="R54" s="10"/>
      <c r="S54" s="10"/>
      <c r="T54" s="10"/>
      <c r="U54" s="10"/>
    </row>
    <row r="55" spans="1:21" x14ac:dyDescent="0.3">
      <c r="A55" s="1" t="s">
        <v>489</v>
      </c>
      <c r="B55" s="1" t="str">
        <f t="shared" ca="1" si="0"/>
        <v/>
      </c>
      <c r="C55" s="1"/>
      <c r="D55" s="2" t="s">
        <v>480</v>
      </c>
      <c r="E55" s="15"/>
      <c r="F55" s="15"/>
      <c r="G55" s="15"/>
      <c r="H55" s="1" t="s">
        <v>475</v>
      </c>
      <c r="I55" s="7"/>
      <c r="J55" s="15" t="s">
        <v>841</v>
      </c>
      <c r="K55" s="1"/>
      <c r="L55" s="15"/>
      <c r="M55" s="15"/>
      <c r="N55" s="15"/>
      <c r="O55" s="7"/>
      <c r="P55" s="10"/>
      <c r="Q55" s="10"/>
      <c r="R55" s="10"/>
      <c r="S55" s="10"/>
      <c r="T55" s="10"/>
      <c r="U55" s="10"/>
    </row>
    <row r="56" spans="1:21" ht="23" x14ac:dyDescent="0.3">
      <c r="A56" s="1" t="s">
        <v>489</v>
      </c>
      <c r="B56" s="1" t="str">
        <f t="shared" ca="1" si="0"/>
        <v/>
      </c>
      <c r="C56" s="1"/>
      <c r="D56" s="2" t="s">
        <v>481</v>
      </c>
      <c r="E56" s="15"/>
      <c r="F56" s="15"/>
      <c r="G56" s="15"/>
      <c r="H56" s="1" t="s">
        <v>529</v>
      </c>
      <c r="I56" s="7" t="s">
        <v>769</v>
      </c>
      <c r="J56" s="15" t="s">
        <v>841</v>
      </c>
      <c r="K56" s="1"/>
      <c r="L56" s="15"/>
      <c r="M56" s="15"/>
      <c r="N56" s="15"/>
      <c r="O56" s="7"/>
      <c r="P56" s="10"/>
      <c r="Q56" s="10"/>
      <c r="R56" s="10"/>
      <c r="S56" s="10"/>
      <c r="T56" s="10"/>
      <c r="U56" s="10"/>
    </row>
    <row r="57" spans="1:21" ht="23" x14ac:dyDescent="0.3">
      <c r="A57" s="1" t="s">
        <v>489</v>
      </c>
      <c r="B57" s="1" t="str">
        <f t="shared" ca="1" si="0"/>
        <v/>
      </c>
      <c r="C57" s="1"/>
      <c r="D57" s="2" t="s">
        <v>639</v>
      </c>
      <c r="E57" s="15"/>
      <c r="F57" s="15"/>
      <c r="G57" s="15" t="s">
        <v>474</v>
      </c>
      <c r="H57" s="4" t="s">
        <v>750</v>
      </c>
      <c r="I57" s="7" t="s">
        <v>770</v>
      </c>
      <c r="J57" s="15" t="s">
        <v>841</v>
      </c>
      <c r="K57" s="1"/>
      <c r="L57" s="15"/>
      <c r="M57" s="15"/>
      <c r="N57" s="15"/>
      <c r="O57" s="7"/>
      <c r="P57" s="10"/>
      <c r="Q57" s="10"/>
      <c r="R57" s="10"/>
      <c r="S57" s="10"/>
      <c r="T57" s="10"/>
      <c r="U57" s="10"/>
    </row>
    <row r="58" spans="1:21" x14ac:dyDescent="0.3">
      <c r="A58" s="1" t="s">
        <v>489</v>
      </c>
      <c r="B58" s="1" t="str">
        <f t="shared" ca="1" si="0"/>
        <v/>
      </c>
      <c r="C58" s="1"/>
      <c r="D58" s="2" t="s">
        <v>505</v>
      </c>
      <c r="E58" s="15"/>
      <c r="F58" s="15"/>
      <c r="G58" s="15"/>
      <c r="H58" s="1" t="s">
        <v>753</v>
      </c>
      <c r="I58" s="7"/>
      <c r="J58" s="15" t="s">
        <v>841</v>
      </c>
      <c r="K58" s="1"/>
      <c r="L58" s="15"/>
      <c r="M58" s="15"/>
      <c r="N58" s="15"/>
      <c r="O58" s="7"/>
      <c r="P58" s="10"/>
      <c r="Q58" s="10"/>
      <c r="R58" s="10"/>
      <c r="S58" s="10"/>
      <c r="T58" s="10"/>
      <c r="U58" s="10"/>
    </row>
    <row r="59" spans="1:21" x14ac:dyDescent="0.3">
      <c r="A59" s="1" t="s">
        <v>489</v>
      </c>
      <c r="B59" s="1" t="str">
        <f t="shared" ca="1" si="0"/>
        <v/>
      </c>
      <c r="C59" s="1"/>
      <c r="D59" s="2" t="s">
        <v>482</v>
      </c>
      <c r="E59" s="15"/>
      <c r="F59" s="15"/>
      <c r="G59" s="15"/>
      <c r="H59" s="1" t="s">
        <v>753</v>
      </c>
      <c r="I59" s="7"/>
      <c r="J59" s="15" t="s">
        <v>841</v>
      </c>
      <c r="K59" s="1"/>
      <c r="L59" s="15"/>
      <c r="M59" s="15"/>
      <c r="N59" s="15"/>
      <c r="O59" s="7"/>
      <c r="P59" s="10"/>
      <c r="Q59" s="10"/>
      <c r="R59" s="10"/>
      <c r="S59" s="10"/>
      <c r="T59" s="10"/>
      <c r="U59" s="10"/>
    </row>
    <row r="60" spans="1:21" x14ac:dyDescent="0.3">
      <c r="A60" s="1" t="s">
        <v>489</v>
      </c>
      <c r="B60" s="1" t="str">
        <f t="shared" ca="1" si="0"/>
        <v/>
      </c>
      <c r="C60" s="1"/>
      <c r="D60" s="2" t="s">
        <v>483</v>
      </c>
      <c r="E60" s="15"/>
      <c r="F60" s="15"/>
      <c r="G60" s="15"/>
      <c r="H60" s="1" t="s">
        <v>753</v>
      </c>
      <c r="I60" s="7"/>
      <c r="J60" s="15" t="s">
        <v>841</v>
      </c>
      <c r="K60" s="1"/>
      <c r="L60" s="15"/>
      <c r="M60" s="15"/>
      <c r="N60" s="15"/>
      <c r="O60" s="7"/>
      <c r="P60" s="10"/>
      <c r="Q60" s="10"/>
      <c r="R60" s="10"/>
      <c r="S60" s="10"/>
      <c r="T60" s="10"/>
      <c r="U60" s="10"/>
    </row>
    <row r="61" spans="1:21" x14ac:dyDescent="0.3">
      <c r="A61" s="1" t="s">
        <v>489</v>
      </c>
      <c r="B61" s="1" t="str">
        <f t="shared" ca="1" si="0"/>
        <v/>
      </c>
      <c r="C61" s="1"/>
      <c r="D61" s="2" t="s">
        <v>484</v>
      </c>
      <c r="E61" s="15"/>
      <c r="F61" s="15"/>
      <c r="G61" s="15"/>
      <c r="H61" s="1" t="s">
        <v>753</v>
      </c>
      <c r="I61" s="7"/>
      <c r="J61" s="15" t="s">
        <v>841</v>
      </c>
      <c r="K61" s="1"/>
      <c r="L61" s="15"/>
      <c r="M61" s="15"/>
      <c r="N61" s="15"/>
      <c r="O61" s="7"/>
      <c r="P61" s="10"/>
      <c r="Q61" s="10"/>
      <c r="R61" s="10"/>
      <c r="S61" s="10"/>
      <c r="T61" s="10"/>
      <c r="U61" s="10"/>
    </row>
    <row r="62" spans="1:21" x14ac:dyDescent="0.3">
      <c r="A62" s="1" t="s">
        <v>489</v>
      </c>
      <c r="B62" s="1" t="str">
        <f t="shared" ca="1" si="0"/>
        <v/>
      </c>
      <c r="C62" s="1"/>
      <c r="D62" s="2" t="s">
        <v>485</v>
      </c>
      <c r="E62" s="15"/>
      <c r="F62" s="15"/>
      <c r="G62" s="15"/>
      <c r="H62" s="1" t="s">
        <v>446</v>
      </c>
      <c r="I62" s="7"/>
      <c r="J62" s="15" t="s">
        <v>841</v>
      </c>
      <c r="K62" s="1"/>
      <c r="L62" s="15"/>
      <c r="M62" s="15"/>
      <c r="N62" s="15"/>
      <c r="O62" s="7"/>
      <c r="P62" s="10"/>
      <c r="Q62" s="10"/>
      <c r="R62" s="10"/>
      <c r="S62" s="10"/>
      <c r="T62" s="10"/>
      <c r="U62" s="10"/>
    </row>
    <row r="63" spans="1:21" x14ac:dyDescent="0.3">
      <c r="A63" s="1" t="s">
        <v>489</v>
      </c>
      <c r="B63" s="1" t="str">
        <f t="shared" ca="1" si="0"/>
        <v/>
      </c>
      <c r="C63" s="1"/>
      <c r="D63" s="2" t="s">
        <v>486</v>
      </c>
      <c r="E63" s="15"/>
      <c r="F63" s="15"/>
      <c r="G63" s="15"/>
      <c r="H63" s="1" t="s">
        <v>446</v>
      </c>
      <c r="I63" s="7"/>
      <c r="J63" s="15" t="s">
        <v>841</v>
      </c>
      <c r="K63" s="1"/>
      <c r="L63" s="15"/>
      <c r="M63" s="15"/>
      <c r="N63" s="15"/>
      <c r="O63" s="7"/>
      <c r="P63" s="10"/>
      <c r="Q63" s="10"/>
      <c r="R63" s="10"/>
      <c r="S63" s="10"/>
      <c r="T63" s="10"/>
      <c r="U63" s="10"/>
    </row>
    <row r="64" spans="1:21" x14ac:dyDescent="0.3">
      <c r="A64" s="1" t="s">
        <v>489</v>
      </c>
      <c r="B64" s="1" t="str">
        <f t="shared" ca="1" si="0"/>
        <v/>
      </c>
      <c r="C64" s="1"/>
      <c r="D64" s="2" t="s">
        <v>487</v>
      </c>
      <c r="E64" s="15"/>
      <c r="F64" s="15"/>
      <c r="G64" s="15"/>
      <c r="H64" s="1" t="s">
        <v>529</v>
      </c>
      <c r="I64" s="7"/>
      <c r="J64" s="15" t="s">
        <v>841</v>
      </c>
      <c r="K64" s="1"/>
      <c r="L64" s="15"/>
      <c r="M64" s="15"/>
      <c r="N64" s="15"/>
      <c r="O64" s="7"/>
      <c r="P64" s="10"/>
      <c r="Q64" s="10"/>
      <c r="R64" s="10"/>
      <c r="S64" s="10"/>
      <c r="T64" s="10"/>
      <c r="U64" s="10"/>
    </row>
    <row r="65" spans="1:21" x14ac:dyDescent="0.3">
      <c r="A65" s="1" t="s">
        <v>489</v>
      </c>
      <c r="B65" s="1" t="str">
        <f t="shared" ca="1" si="0"/>
        <v/>
      </c>
      <c r="C65" s="1"/>
      <c r="D65" s="2" t="s">
        <v>640</v>
      </c>
      <c r="E65" s="15"/>
      <c r="F65" s="15"/>
      <c r="G65" s="15" t="s">
        <v>474</v>
      </c>
      <c r="H65" s="4" t="s">
        <v>750</v>
      </c>
      <c r="I65" s="7" t="s">
        <v>766</v>
      </c>
      <c r="J65" s="15" t="s">
        <v>841</v>
      </c>
      <c r="K65" s="1"/>
      <c r="L65" s="15"/>
      <c r="M65" s="15"/>
      <c r="N65" s="15"/>
      <c r="O65" s="7"/>
      <c r="P65" s="10"/>
      <c r="Q65" s="10"/>
      <c r="R65" s="10"/>
      <c r="S65" s="10"/>
      <c r="T65" s="10"/>
      <c r="U65" s="10"/>
    </row>
    <row r="66" spans="1:21" x14ac:dyDescent="0.3">
      <c r="A66" s="1" t="s">
        <v>489</v>
      </c>
      <c r="B66" s="1" t="str">
        <f t="shared" ca="1" si="0"/>
        <v/>
      </c>
      <c r="C66" s="1"/>
      <c r="D66" s="2" t="s">
        <v>641</v>
      </c>
      <c r="E66" s="15"/>
      <c r="F66" s="15"/>
      <c r="G66" s="15" t="s">
        <v>474</v>
      </c>
      <c r="H66" s="4" t="s">
        <v>750</v>
      </c>
      <c r="I66" s="7" t="s">
        <v>766</v>
      </c>
      <c r="J66" s="15" t="s">
        <v>841</v>
      </c>
      <c r="K66" s="1"/>
      <c r="L66" s="15"/>
      <c r="M66" s="15"/>
      <c r="N66" s="15"/>
      <c r="O66" s="7"/>
      <c r="P66" s="10"/>
      <c r="Q66" s="10"/>
      <c r="R66" s="10"/>
      <c r="S66" s="10"/>
      <c r="T66" s="10"/>
      <c r="U66" s="10"/>
    </row>
    <row r="67" spans="1:21" x14ac:dyDescent="0.3">
      <c r="A67" s="1" t="s">
        <v>489</v>
      </c>
      <c r="B67" s="1" t="str">
        <f t="shared" ca="1" si="0"/>
        <v/>
      </c>
      <c r="C67" s="1"/>
      <c r="D67" s="2" t="s">
        <v>488</v>
      </c>
      <c r="E67" s="15"/>
      <c r="F67" s="15"/>
      <c r="G67" s="15"/>
      <c r="H67" s="1" t="s">
        <v>530</v>
      </c>
      <c r="I67" s="7"/>
      <c r="J67" s="15" t="s">
        <v>841</v>
      </c>
      <c r="K67" s="1"/>
      <c r="L67" s="15"/>
      <c r="M67" s="15"/>
      <c r="N67" s="15"/>
      <c r="O67" s="7"/>
      <c r="P67" s="10"/>
      <c r="Q67" s="10"/>
      <c r="R67" s="10"/>
      <c r="S67" s="10"/>
      <c r="T67" s="10"/>
      <c r="U67" s="10"/>
    </row>
    <row r="68" spans="1:21" ht="23" x14ac:dyDescent="0.3">
      <c r="A68" s="1" t="s">
        <v>489</v>
      </c>
      <c r="B68" s="1" t="str">
        <f t="shared" ca="1" si="0"/>
        <v/>
      </c>
      <c r="C68" s="1"/>
      <c r="D68" s="2" t="s">
        <v>642</v>
      </c>
      <c r="E68" s="15"/>
      <c r="F68" s="15"/>
      <c r="G68" s="15"/>
      <c r="H68" s="4" t="s">
        <v>750</v>
      </c>
      <c r="I68" s="7" t="s">
        <v>771</v>
      </c>
      <c r="J68" s="15" t="s">
        <v>841</v>
      </c>
      <c r="K68" s="1"/>
      <c r="L68" s="15"/>
      <c r="M68" s="15"/>
      <c r="N68" s="15"/>
      <c r="O68" s="7"/>
      <c r="P68" s="10"/>
      <c r="Q68" s="10"/>
      <c r="R68" s="10"/>
      <c r="S68" s="10"/>
      <c r="T68" s="10"/>
      <c r="U68" s="10"/>
    </row>
    <row r="69" spans="1:21" x14ac:dyDescent="0.3">
      <c r="A69" s="1" t="s">
        <v>490</v>
      </c>
      <c r="B69" s="1" t="str">
        <f t="shared" ca="1" si="0"/>
        <v/>
      </c>
      <c r="C69" s="1"/>
      <c r="D69" s="2" t="s">
        <v>491</v>
      </c>
      <c r="E69" s="15"/>
      <c r="F69" s="15"/>
      <c r="G69" s="15"/>
      <c r="H69" s="1" t="s">
        <v>529</v>
      </c>
      <c r="I69" s="7"/>
      <c r="J69" s="15" t="s">
        <v>841</v>
      </c>
      <c r="K69" s="1"/>
      <c r="L69" s="15"/>
      <c r="M69" s="15"/>
      <c r="N69" s="15"/>
      <c r="O69" s="7"/>
      <c r="P69" s="10"/>
      <c r="Q69" s="10"/>
      <c r="R69" s="10"/>
      <c r="S69" s="10"/>
      <c r="T69" s="10"/>
      <c r="U69" s="10"/>
    </row>
    <row r="70" spans="1:21" x14ac:dyDescent="0.3">
      <c r="A70" s="1" t="s">
        <v>490</v>
      </c>
      <c r="B70" s="1" t="str">
        <f t="shared" ca="1" si="0"/>
        <v/>
      </c>
      <c r="C70" s="1"/>
      <c r="D70" s="2" t="s">
        <v>492</v>
      </c>
      <c r="E70" s="15"/>
      <c r="F70" s="15"/>
      <c r="G70" s="15"/>
      <c r="H70" s="1" t="s">
        <v>754</v>
      </c>
      <c r="I70" s="7" t="s">
        <v>772</v>
      </c>
      <c r="J70" s="15" t="s">
        <v>841</v>
      </c>
      <c r="K70" s="1"/>
      <c r="L70" s="15"/>
      <c r="M70" s="15"/>
      <c r="N70" s="15"/>
      <c r="O70" s="7"/>
      <c r="P70" s="10"/>
      <c r="Q70" s="10"/>
      <c r="R70" s="10"/>
      <c r="S70" s="10"/>
      <c r="T70" s="10"/>
      <c r="U70" s="10"/>
    </row>
    <row r="71" spans="1:21" x14ac:dyDescent="0.3">
      <c r="A71" s="1" t="s">
        <v>490</v>
      </c>
      <c r="B71" s="1" t="str">
        <f t="shared" ca="1" si="0"/>
        <v/>
      </c>
      <c r="C71" s="1"/>
      <c r="D71" s="2" t="s">
        <v>643</v>
      </c>
      <c r="E71" s="15"/>
      <c r="F71" s="15"/>
      <c r="G71" s="15" t="s">
        <v>474</v>
      </c>
      <c r="H71" s="4" t="s">
        <v>750</v>
      </c>
      <c r="I71" s="7" t="s">
        <v>766</v>
      </c>
      <c r="J71" s="15" t="s">
        <v>841</v>
      </c>
      <c r="K71" s="1"/>
      <c r="L71" s="15"/>
      <c r="M71" s="15"/>
      <c r="N71" s="15"/>
      <c r="O71" s="7"/>
      <c r="P71" s="10"/>
      <c r="Q71" s="10"/>
      <c r="R71" s="10"/>
      <c r="S71" s="10"/>
      <c r="T71" s="10"/>
      <c r="U71" s="10"/>
    </row>
    <row r="72" spans="1:21" x14ac:dyDescent="0.3">
      <c r="A72" s="1" t="s">
        <v>490</v>
      </c>
      <c r="B72" s="1" t="str">
        <f t="shared" ca="1" si="0"/>
        <v/>
      </c>
      <c r="C72" s="1"/>
      <c r="D72" s="2" t="s">
        <v>644</v>
      </c>
      <c r="E72" s="15"/>
      <c r="F72" s="15"/>
      <c r="G72" s="15" t="s">
        <v>474</v>
      </c>
      <c r="H72" s="4" t="s">
        <v>750</v>
      </c>
      <c r="I72" s="7" t="s">
        <v>766</v>
      </c>
      <c r="J72" s="15" t="s">
        <v>841</v>
      </c>
      <c r="K72" s="1"/>
      <c r="L72" s="15"/>
      <c r="M72" s="15"/>
      <c r="N72" s="15"/>
      <c r="O72" s="7"/>
      <c r="P72" s="10"/>
      <c r="Q72" s="10"/>
      <c r="R72" s="10"/>
      <c r="S72" s="10"/>
      <c r="T72" s="10"/>
      <c r="U72" s="10"/>
    </row>
    <row r="73" spans="1:21" x14ac:dyDescent="0.3">
      <c r="A73" s="1" t="s">
        <v>490</v>
      </c>
      <c r="B73" s="1" t="str">
        <f t="shared" ca="1" si="0"/>
        <v/>
      </c>
      <c r="C73" s="1"/>
      <c r="D73" s="2" t="s">
        <v>645</v>
      </c>
      <c r="E73" s="15"/>
      <c r="F73" s="15"/>
      <c r="G73" s="15"/>
      <c r="H73" s="1" t="s">
        <v>477</v>
      </c>
      <c r="I73" s="7"/>
      <c r="J73" s="15" t="s">
        <v>841</v>
      </c>
      <c r="K73" s="1"/>
      <c r="L73" s="15"/>
      <c r="M73" s="15"/>
      <c r="N73" s="15"/>
      <c r="O73" s="7"/>
      <c r="P73" s="10"/>
      <c r="Q73" s="10"/>
      <c r="R73" s="10"/>
      <c r="S73" s="10"/>
      <c r="T73" s="10"/>
      <c r="U73" s="10"/>
    </row>
    <row r="74" spans="1:21" x14ac:dyDescent="0.3">
      <c r="A74" s="1" t="s">
        <v>490</v>
      </c>
      <c r="B74" s="1" t="str">
        <f t="shared" ca="1" si="0"/>
        <v/>
      </c>
      <c r="C74" s="1"/>
      <c r="D74" s="2" t="s">
        <v>646</v>
      </c>
      <c r="E74" s="15"/>
      <c r="F74" s="15"/>
      <c r="G74" s="15"/>
      <c r="H74" s="1" t="s">
        <v>755</v>
      </c>
      <c r="I74" s="7"/>
      <c r="J74" s="15" t="s">
        <v>841</v>
      </c>
      <c r="K74" s="1"/>
      <c r="L74" s="15"/>
      <c r="M74" s="15"/>
      <c r="N74" s="15"/>
      <c r="O74" s="7"/>
      <c r="P74" s="10"/>
      <c r="Q74" s="10"/>
      <c r="R74" s="10"/>
      <c r="S74" s="10"/>
      <c r="T74" s="10"/>
      <c r="U74" s="10"/>
    </row>
    <row r="75" spans="1:21" ht="23" x14ac:dyDescent="0.3">
      <c r="A75" s="1" t="s">
        <v>490</v>
      </c>
      <c r="B75" s="1" t="str">
        <f t="shared" ca="1" si="0"/>
        <v/>
      </c>
      <c r="C75" s="1"/>
      <c r="D75" s="2" t="s">
        <v>497</v>
      </c>
      <c r="E75" s="15"/>
      <c r="F75" s="15"/>
      <c r="G75" s="15"/>
      <c r="H75" s="1" t="s">
        <v>756</v>
      </c>
      <c r="I75" s="7"/>
      <c r="J75" s="15" t="s">
        <v>841</v>
      </c>
      <c r="K75" s="1"/>
      <c r="L75" s="15"/>
      <c r="M75" s="15"/>
      <c r="N75" s="15"/>
      <c r="O75" s="7"/>
      <c r="P75" s="10"/>
      <c r="Q75" s="10"/>
      <c r="R75" s="10"/>
      <c r="S75" s="10"/>
      <c r="T75" s="10"/>
      <c r="U75" s="10"/>
    </row>
    <row r="76" spans="1:21" ht="23" x14ac:dyDescent="0.3">
      <c r="A76" s="1" t="s">
        <v>490</v>
      </c>
      <c r="B76" s="1" t="str">
        <f t="shared" ca="1" si="0"/>
        <v/>
      </c>
      <c r="C76" s="1"/>
      <c r="D76" s="2" t="s">
        <v>498</v>
      </c>
      <c r="E76" s="15"/>
      <c r="F76" s="15"/>
      <c r="G76" s="15"/>
      <c r="H76" s="1" t="s">
        <v>756</v>
      </c>
      <c r="I76" s="7"/>
      <c r="J76" s="15" t="s">
        <v>841</v>
      </c>
      <c r="K76" s="1"/>
      <c r="L76" s="15"/>
      <c r="M76" s="15"/>
      <c r="N76" s="15"/>
      <c r="O76" s="7"/>
      <c r="P76" s="10"/>
      <c r="Q76" s="10"/>
      <c r="R76" s="10"/>
      <c r="S76" s="10"/>
      <c r="T76" s="10"/>
      <c r="U76" s="10"/>
    </row>
    <row r="77" spans="1:21" ht="23" x14ac:dyDescent="0.3">
      <c r="A77" s="1" t="s">
        <v>490</v>
      </c>
      <c r="B77" s="1" t="str">
        <f t="shared" ca="1" si="0"/>
        <v/>
      </c>
      <c r="C77" s="1"/>
      <c r="D77" s="2" t="s">
        <v>499</v>
      </c>
      <c r="E77" s="15"/>
      <c r="F77" s="15"/>
      <c r="G77" s="15"/>
      <c r="H77" s="1" t="s">
        <v>756</v>
      </c>
      <c r="I77" s="7"/>
      <c r="J77" s="15" t="s">
        <v>841</v>
      </c>
      <c r="K77" s="1"/>
      <c r="L77" s="15"/>
      <c r="M77" s="15"/>
      <c r="N77" s="15"/>
      <c r="O77" s="7"/>
      <c r="P77" s="10"/>
      <c r="Q77" s="10"/>
      <c r="R77" s="10"/>
      <c r="S77" s="10"/>
      <c r="T77" s="10"/>
      <c r="U77" s="10"/>
    </row>
    <row r="78" spans="1:21" x14ac:dyDescent="0.3">
      <c r="A78" s="1" t="s">
        <v>490</v>
      </c>
      <c r="B78" s="1" t="str">
        <f t="shared" ca="1" si="0"/>
        <v/>
      </c>
      <c r="C78" s="1"/>
      <c r="D78" s="2" t="s">
        <v>500</v>
      </c>
      <c r="E78" s="15"/>
      <c r="F78" s="15"/>
      <c r="G78" s="15"/>
      <c r="H78" s="1" t="s">
        <v>448</v>
      </c>
      <c r="I78" s="7" t="s">
        <v>773</v>
      </c>
      <c r="J78" s="15" t="s">
        <v>841</v>
      </c>
      <c r="K78" s="1"/>
      <c r="L78" s="15"/>
      <c r="M78" s="15"/>
      <c r="N78" s="15"/>
      <c r="O78" s="7"/>
      <c r="P78" s="10"/>
      <c r="Q78" s="10"/>
      <c r="R78" s="10"/>
      <c r="S78" s="10"/>
      <c r="T78" s="10"/>
      <c r="U78" s="10"/>
    </row>
    <row r="79" spans="1:21" x14ac:dyDescent="0.3">
      <c r="A79" s="1" t="s">
        <v>490</v>
      </c>
      <c r="B79" s="1" t="str">
        <f t="shared" ca="1" si="0"/>
        <v/>
      </c>
      <c r="C79" s="1"/>
      <c r="D79" s="2" t="s">
        <v>501</v>
      </c>
      <c r="E79" s="15"/>
      <c r="F79" s="15"/>
      <c r="G79" s="15"/>
      <c r="H79" s="1" t="s">
        <v>530</v>
      </c>
      <c r="I79" s="7" t="s">
        <v>773</v>
      </c>
      <c r="J79" s="15" t="s">
        <v>841</v>
      </c>
      <c r="K79" s="1"/>
      <c r="L79" s="15"/>
      <c r="M79" s="15"/>
      <c r="N79" s="15"/>
      <c r="O79" s="7"/>
      <c r="P79" s="10"/>
      <c r="Q79" s="10"/>
      <c r="R79" s="10"/>
      <c r="S79" s="10"/>
      <c r="T79" s="10"/>
      <c r="U79" s="10"/>
    </row>
    <row r="80" spans="1:21" x14ac:dyDescent="0.3">
      <c r="A80" s="1" t="s">
        <v>490</v>
      </c>
      <c r="B80" s="1" t="str">
        <f t="shared" ca="1" si="0"/>
        <v/>
      </c>
      <c r="C80" s="1"/>
      <c r="D80" s="3" t="s">
        <v>647</v>
      </c>
      <c r="E80" s="15"/>
      <c r="F80" s="15"/>
      <c r="G80" s="15" t="s">
        <v>474</v>
      </c>
      <c r="H80" s="4" t="s">
        <v>750</v>
      </c>
      <c r="I80" s="7" t="s">
        <v>773</v>
      </c>
      <c r="J80" s="15" t="s">
        <v>841</v>
      </c>
      <c r="K80" s="1"/>
      <c r="L80" s="15"/>
      <c r="M80" s="15"/>
      <c r="N80" s="15"/>
      <c r="O80" s="7"/>
      <c r="P80" s="10"/>
      <c r="Q80" s="10"/>
      <c r="R80" s="10"/>
      <c r="S80" s="10"/>
      <c r="T80" s="10"/>
      <c r="U80" s="10"/>
    </row>
    <row r="81" spans="1:21" x14ac:dyDescent="0.3">
      <c r="A81" s="1" t="s">
        <v>490</v>
      </c>
      <c r="B81" s="1" t="str">
        <f t="shared" ca="1" si="0"/>
        <v/>
      </c>
      <c r="C81" s="1"/>
      <c r="D81" s="2" t="s">
        <v>502</v>
      </c>
      <c r="E81" s="15"/>
      <c r="F81" s="15"/>
      <c r="G81" s="15"/>
      <c r="H81" s="1" t="s">
        <v>475</v>
      </c>
      <c r="I81" s="7"/>
      <c r="J81" s="15" t="s">
        <v>841</v>
      </c>
      <c r="K81" s="1"/>
      <c r="L81" s="15"/>
      <c r="M81" s="15"/>
      <c r="N81" s="15"/>
      <c r="O81" s="7"/>
      <c r="P81" s="10"/>
      <c r="Q81" s="10"/>
      <c r="R81" s="10"/>
      <c r="S81" s="10"/>
      <c r="T81" s="10"/>
      <c r="U81" s="10"/>
    </row>
    <row r="82" spans="1:21" x14ac:dyDescent="0.3">
      <c r="A82" s="1" t="s">
        <v>490</v>
      </c>
      <c r="B82" s="1" t="str">
        <f t="shared" ca="1" si="0"/>
        <v/>
      </c>
      <c r="C82" s="1"/>
      <c r="D82" s="2" t="s">
        <v>503</v>
      </c>
      <c r="E82" s="15"/>
      <c r="F82" s="15"/>
      <c r="G82" s="15"/>
      <c r="H82" s="1" t="s">
        <v>446</v>
      </c>
      <c r="I82" s="7"/>
      <c r="J82" s="15" t="s">
        <v>841</v>
      </c>
      <c r="K82" s="1"/>
      <c r="L82" s="15"/>
      <c r="M82" s="15"/>
      <c r="N82" s="15"/>
      <c r="O82" s="7"/>
      <c r="P82" s="10"/>
      <c r="Q82" s="10"/>
      <c r="R82" s="10"/>
      <c r="S82" s="10"/>
      <c r="T82" s="10"/>
      <c r="U82" s="10"/>
    </row>
    <row r="83" spans="1:21" x14ac:dyDescent="0.3">
      <c r="A83" s="1" t="s">
        <v>490</v>
      </c>
      <c r="B83" s="1" t="str">
        <f t="shared" ca="1" si="0"/>
        <v/>
      </c>
      <c r="C83" s="1"/>
      <c r="D83" s="2" t="s">
        <v>504</v>
      </c>
      <c r="E83" s="15"/>
      <c r="F83" s="15"/>
      <c r="G83" s="15"/>
      <c r="H83" s="1" t="s">
        <v>475</v>
      </c>
      <c r="I83" s="7"/>
      <c r="J83" s="15" t="s">
        <v>841</v>
      </c>
      <c r="K83" s="1"/>
      <c r="L83" s="15"/>
      <c r="M83" s="15"/>
      <c r="N83" s="15"/>
      <c r="O83" s="7"/>
      <c r="P83" s="10"/>
      <c r="Q83" s="10"/>
      <c r="R83" s="10"/>
      <c r="S83" s="10"/>
      <c r="T83" s="10"/>
      <c r="U83" s="10"/>
    </row>
    <row r="84" spans="1:21" x14ac:dyDescent="0.3">
      <c r="A84" s="1" t="s">
        <v>490</v>
      </c>
      <c r="B84" s="1" t="str">
        <f t="shared" ca="1" si="0"/>
        <v/>
      </c>
      <c r="C84" s="1"/>
      <c r="D84" s="2" t="s">
        <v>505</v>
      </c>
      <c r="E84" s="15"/>
      <c r="F84" s="15"/>
      <c r="G84" s="15"/>
      <c r="H84" s="1" t="s">
        <v>753</v>
      </c>
      <c r="I84" s="7" t="s">
        <v>506</v>
      </c>
      <c r="J84" s="15" t="s">
        <v>841</v>
      </c>
      <c r="K84" s="1"/>
      <c r="L84" s="15"/>
      <c r="M84" s="15"/>
      <c r="N84" s="15"/>
      <c r="O84" s="7"/>
      <c r="P84" s="10"/>
      <c r="Q84" s="10"/>
      <c r="R84" s="10"/>
      <c r="S84" s="10"/>
      <c r="T84" s="10"/>
      <c r="U84" s="10"/>
    </row>
    <row r="85" spans="1:21" x14ac:dyDescent="0.3">
      <c r="A85" s="1" t="s">
        <v>490</v>
      </c>
      <c r="B85" s="1" t="str">
        <f t="shared" ca="1" si="0"/>
        <v/>
      </c>
      <c r="C85" s="1"/>
      <c r="D85" s="2" t="s">
        <v>482</v>
      </c>
      <c r="E85" s="15"/>
      <c r="F85" s="15"/>
      <c r="G85" s="15"/>
      <c r="H85" s="1" t="s">
        <v>753</v>
      </c>
      <c r="I85" s="7" t="s">
        <v>506</v>
      </c>
      <c r="J85" s="15" t="s">
        <v>841</v>
      </c>
      <c r="K85" s="1"/>
      <c r="L85" s="15"/>
      <c r="M85" s="15"/>
      <c r="N85" s="15"/>
      <c r="O85" s="7"/>
      <c r="P85" s="10"/>
      <c r="Q85" s="10"/>
      <c r="R85" s="10"/>
      <c r="S85" s="10"/>
      <c r="T85" s="10"/>
      <c r="U85" s="10"/>
    </row>
    <row r="86" spans="1:21" x14ac:dyDescent="0.3">
      <c r="A86" s="1" t="s">
        <v>490</v>
      </c>
      <c r="B86" s="1" t="str">
        <f t="shared" ca="1" si="0"/>
        <v/>
      </c>
      <c r="C86" s="1"/>
      <c r="D86" s="2" t="s">
        <v>483</v>
      </c>
      <c r="E86" s="15"/>
      <c r="F86" s="15"/>
      <c r="G86" s="15"/>
      <c r="H86" s="1" t="s">
        <v>753</v>
      </c>
      <c r="I86" s="7" t="s">
        <v>506</v>
      </c>
      <c r="J86" s="15" t="s">
        <v>841</v>
      </c>
      <c r="K86" s="1"/>
      <c r="L86" s="15"/>
      <c r="M86" s="15"/>
      <c r="N86" s="15"/>
      <c r="O86" s="7"/>
      <c r="P86" s="10"/>
      <c r="Q86" s="10"/>
      <c r="R86" s="10"/>
      <c r="S86" s="10"/>
      <c r="T86" s="10"/>
      <c r="U86" s="10"/>
    </row>
    <row r="87" spans="1:21" x14ac:dyDescent="0.3">
      <c r="A87" s="1" t="s">
        <v>490</v>
      </c>
      <c r="B87" s="1" t="str">
        <f t="shared" ca="1" si="0"/>
        <v/>
      </c>
      <c r="C87" s="1"/>
      <c r="D87" s="2" t="s">
        <v>484</v>
      </c>
      <c r="E87" s="15"/>
      <c r="F87" s="15"/>
      <c r="G87" s="15"/>
      <c r="H87" s="1" t="s">
        <v>753</v>
      </c>
      <c r="I87" s="7" t="s">
        <v>506</v>
      </c>
      <c r="J87" s="15" t="s">
        <v>841</v>
      </c>
      <c r="K87" s="1"/>
      <c r="L87" s="15"/>
      <c r="M87" s="15"/>
      <c r="N87" s="15"/>
      <c r="O87" s="7"/>
      <c r="P87" s="10"/>
      <c r="Q87" s="10"/>
      <c r="R87" s="10"/>
      <c r="S87" s="10"/>
      <c r="T87" s="10"/>
      <c r="U87" s="10"/>
    </row>
    <row r="88" spans="1:21" x14ac:dyDescent="0.3">
      <c r="A88" s="1" t="s">
        <v>490</v>
      </c>
      <c r="B88" s="1" t="str">
        <f t="shared" ca="1" si="0"/>
        <v/>
      </c>
      <c r="C88" s="1"/>
      <c r="D88" s="2" t="s">
        <v>507</v>
      </c>
      <c r="E88" s="15"/>
      <c r="F88" s="15"/>
      <c r="G88" s="15"/>
      <c r="H88" s="1" t="s">
        <v>753</v>
      </c>
      <c r="I88" s="7"/>
      <c r="J88" s="15" t="s">
        <v>841</v>
      </c>
      <c r="K88" s="1"/>
      <c r="L88" s="15"/>
      <c r="M88" s="15"/>
      <c r="N88" s="15"/>
      <c r="O88" s="7"/>
      <c r="P88" s="10"/>
      <c r="Q88" s="10"/>
      <c r="R88" s="10"/>
      <c r="S88" s="10"/>
      <c r="T88" s="10"/>
      <c r="U88" s="10"/>
    </row>
    <row r="89" spans="1:21" x14ac:dyDescent="0.3">
      <c r="A89" s="1" t="s">
        <v>490</v>
      </c>
      <c r="B89" s="1" t="str">
        <f t="shared" ca="1" si="0"/>
        <v/>
      </c>
      <c r="C89" s="1"/>
      <c r="D89" s="2" t="s">
        <v>508</v>
      </c>
      <c r="E89" s="15"/>
      <c r="F89" s="15"/>
      <c r="G89" s="15"/>
      <c r="H89" s="1" t="s">
        <v>753</v>
      </c>
      <c r="I89" s="7"/>
      <c r="J89" s="15" t="s">
        <v>841</v>
      </c>
      <c r="K89" s="1"/>
      <c r="L89" s="15"/>
      <c r="M89" s="15"/>
      <c r="N89" s="15"/>
      <c r="O89" s="7"/>
      <c r="P89" s="10"/>
      <c r="Q89" s="10"/>
      <c r="R89" s="10"/>
      <c r="S89" s="10"/>
      <c r="T89" s="10"/>
      <c r="U89" s="10"/>
    </row>
    <row r="90" spans="1:21" x14ac:dyDescent="0.3">
      <c r="A90" s="1" t="s">
        <v>490</v>
      </c>
      <c r="B90" s="1" t="str">
        <f t="shared" ca="1" si="0"/>
        <v/>
      </c>
      <c r="C90" s="1"/>
      <c r="D90" s="2" t="s">
        <v>493</v>
      </c>
      <c r="E90" s="15"/>
      <c r="F90" s="15"/>
      <c r="G90" s="15"/>
      <c r="H90" s="1" t="s">
        <v>446</v>
      </c>
      <c r="I90" s="7"/>
      <c r="J90" s="15" t="s">
        <v>841</v>
      </c>
      <c r="K90" s="1"/>
      <c r="L90" s="15"/>
      <c r="M90" s="15"/>
      <c r="N90" s="15"/>
      <c r="O90" s="7"/>
      <c r="P90" s="10"/>
      <c r="Q90" s="10"/>
      <c r="R90" s="10"/>
      <c r="S90" s="10"/>
      <c r="T90" s="10"/>
      <c r="U90" s="10"/>
    </row>
    <row r="91" spans="1:21" x14ac:dyDescent="0.3">
      <c r="A91" s="1" t="s">
        <v>490</v>
      </c>
      <c r="B91" s="1" t="str">
        <f t="shared" ca="1" si="0"/>
        <v/>
      </c>
      <c r="C91" s="1"/>
      <c r="D91" s="2" t="s">
        <v>494</v>
      </c>
      <c r="E91" s="15"/>
      <c r="F91" s="15"/>
      <c r="G91" s="15"/>
      <c r="H91" s="1" t="s">
        <v>446</v>
      </c>
      <c r="I91" s="7"/>
      <c r="J91" s="15" t="s">
        <v>841</v>
      </c>
      <c r="K91" s="1"/>
      <c r="L91" s="15"/>
      <c r="M91" s="15"/>
      <c r="N91" s="15"/>
      <c r="O91" s="7"/>
      <c r="P91" s="10"/>
      <c r="Q91" s="10"/>
      <c r="R91" s="10"/>
      <c r="S91" s="10"/>
      <c r="T91" s="10"/>
      <c r="U91" s="10"/>
    </row>
    <row r="92" spans="1:21" x14ac:dyDescent="0.3">
      <c r="A92" s="1" t="s">
        <v>490</v>
      </c>
      <c r="B92" s="1" t="str">
        <f t="shared" ca="1" si="0"/>
        <v/>
      </c>
      <c r="C92" s="1"/>
      <c r="D92" s="2" t="s">
        <v>495</v>
      </c>
      <c r="E92" s="15"/>
      <c r="F92" s="15"/>
      <c r="G92" s="15"/>
      <c r="H92" s="1" t="s">
        <v>446</v>
      </c>
      <c r="I92" s="7"/>
      <c r="J92" s="15" t="s">
        <v>841</v>
      </c>
      <c r="K92" s="1"/>
      <c r="L92" s="15"/>
      <c r="M92" s="15"/>
      <c r="N92" s="15"/>
      <c r="O92" s="7"/>
      <c r="P92" s="10"/>
      <c r="Q92" s="10"/>
      <c r="R92" s="10"/>
      <c r="S92" s="10"/>
      <c r="T92" s="10"/>
      <c r="U92" s="10"/>
    </row>
    <row r="93" spans="1:21" x14ac:dyDescent="0.3">
      <c r="A93" s="1" t="s">
        <v>490</v>
      </c>
      <c r="B93" s="1" t="str">
        <f t="shared" ref="B93:B148" ca="1" si="1">IF(C93 &lt;&gt; "", CONCATENATE("BID#",CELL("row", B93)),"")</f>
        <v/>
      </c>
      <c r="C93" s="1"/>
      <c r="D93" s="2" t="s">
        <v>496</v>
      </c>
      <c r="E93" s="15"/>
      <c r="F93" s="15"/>
      <c r="G93" s="15"/>
      <c r="H93" s="1" t="s">
        <v>446</v>
      </c>
      <c r="I93" s="10"/>
      <c r="J93" s="15" t="s">
        <v>841</v>
      </c>
      <c r="K93" s="1"/>
      <c r="L93" s="15"/>
      <c r="M93" s="15"/>
      <c r="N93" s="15"/>
      <c r="O93" s="7"/>
      <c r="P93" s="10"/>
      <c r="Q93" s="10"/>
      <c r="R93" s="10"/>
      <c r="S93" s="10"/>
      <c r="T93" s="10"/>
      <c r="U93" s="10"/>
    </row>
    <row r="94" spans="1:21" x14ac:dyDescent="0.3">
      <c r="A94" s="1" t="s">
        <v>490</v>
      </c>
      <c r="B94" s="1" t="str">
        <f t="shared" ca="1" si="1"/>
        <v/>
      </c>
      <c r="C94" s="1"/>
      <c r="D94" s="2" t="s">
        <v>487</v>
      </c>
      <c r="E94" s="15"/>
      <c r="F94" s="15"/>
      <c r="G94" s="15"/>
      <c r="H94" s="1" t="s">
        <v>529</v>
      </c>
      <c r="I94" s="7" t="s">
        <v>509</v>
      </c>
      <c r="J94" s="15" t="s">
        <v>841</v>
      </c>
      <c r="K94" s="1"/>
      <c r="L94" s="15"/>
      <c r="M94" s="15"/>
      <c r="N94" s="15"/>
      <c r="O94" s="7"/>
      <c r="P94" s="10"/>
      <c r="Q94" s="10"/>
      <c r="R94" s="10"/>
      <c r="S94" s="10"/>
      <c r="T94" s="10"/>
      <c r="U94" s="10"/>
    </row>
    <row r="95" spans="1:21" ht="23" x14ac:dyDescent="0.3">
      <c r="A95" s="1" t="s">
        <v>490</v>
      </c>
      <c r="B95" s="1" t="str">
        <f t="shared" ca="1" si="1"/>
        <v/>
      </c>
      <c r="C95" s="1"/>
      <c r="D95" s="3" t="s">
        <v>648</v>
      </c>
      <c r="E95" s="15"/>
      <c r="F95" s="15"/>
      <c r="G95" s="15"/>
      <c r="H95" s="4" t="s">
        <v>750</v>
      </c>
      <c r="I95" s="7" t="s">
        <v>774</v>
      </c>
      <c r="J95" s="15" t="s">
        <v>841</v>
      </c>
      <c r="K95" s="1"/>
      <c r="L95" s="15"/>
      <c r="M95" s="15"/>
      <c r="N95" s="15"/>
      <c r="O95" s="7"/>
      <c r="P95" s="10"/>
      <c r="Q95" s="10"/>
      <c r="R95" s="10"/>
      <c r="S95" s="10"/>
      <c r="T95" s="10"/>
      <c r="U95" s="10"/>
    </row>
    <row r="96" spans="1:21" x14ac:dyDescent="0.3">
      <c r="A96" s="1" t="s">
        <v>490</v>
      </c>
      <c r="B96" s="1" t="str">
        <f t="shared" ca="1" si="1"/>
        <v/>
      </c>
      <c r="C96" s="1"/>
      <c r="D96" s="3" t="s">
        <v>640</v>
      </c>
      <c r="E96" s="15"/>
      <c r="F96" s="15"/>
      <c r="G96" s="15"/>
      <c r="H96" s="4" t="s">
        <v>750</v>
      </c>
      <c r="I96" s="7" t="s">
        <v>766</v>
      </c>
      <c r="J96" s="15" t="s">
        <v>841</v>
      </c>
      <c r="K96" s="1"/>
      <c r="L96" s="15"/>
      <c r="M96" s="15"/>
      <c r="N96" s="15"/>
      <c r="O96" s="7"/>
      <c r="P96" s="10"/>
      <c r="Q96" s="10"/>
      <c r="R96" s="10"/>
      <c r="S96" s="10"/>
      <c r="T96" s="10"/>
      <c r="U96" s="10"/>
    </row>
    <row r="97" spans="1:21" ht="23" x14ac:dyDescent="0.3">
      <c r="A97" s="1" t="s">
        <v>490</v>
      </c>
      <c r="B97" s="1" t="str">
        <f t="shared" ca="1" si="1"/>
        <v/>
      </c>
      <c r="C97" s="1"/>
      <c r="D97" s="3" t="s">
        <v>642</v>
      </c>
      <c r="E97" s="15"/>
      <c r="F97" s="15"/>
      <c r="G97" s="15"/>
      <c r="H97" s="4" t="s">
        <v>750</v>
      </c>
      <c r="I97" s="7" t="s">
        <v>775</v>
      </c>
      <c r="J97" s="15" t="s">
        <v>841</v>
      </c>
      <c r="K97" s="1"/>
      <c r="L97" s="15"/>
      <c r="M97" s="15"/>
      <c r="N97" s="15"/>
      <c r="O97" s="7"/>
      <c r="P97" s="10"/>
      <c r="Q97" s="10"/>
      <c r="R97" s="10"/>
      <c r="S97" s="10"/>
      <c r="T97" s="10"/>
      <c r="U97" s="10"/>
    </row>
    <row r="98" spans="1:21" x14ac:dyDescent="0.3">
      <c r="A98" s="1" t="s">
        <v>490</v>
      </c>
      <c r="B98" s="1" t="str">
        <f t="shared" ca="1" si="1"/>
        <v/>
      </c>
      <c r="C98" s="1"/>
      <c r="D98" s="3" t="s">
        <v>649</v>
      </c>
      <c r="E98" s="15"/>
      <c r="F98" s="15"/>
      <c r="G98" s="15"/>
      <c r="H98" s="4" t="s">
        <v>750</v>
      </c>
      <c r="I98" s="7"/>
      <c r="J98" s="15" t="s">
        <v>841</v>
      </c>
      <c r="K98" s="1"/>
      <c r="L98" s="15"/>
      <c r="M98" s="15"/>
      <c r="N98" s="15"/>
      <c r="O98" s="7"/>
      <c r="P98" s="10"/>
      <c r="Q98" s="10"/>
      <c r="R98" s="10"/>
      <c r="S98" s="10"/>
      <c r="T98" s="10"/>
      <c r="U98" s="10"/>
    </row>
    <row r="99" spans="1:21" x14ac:dyDescent="0.3">
      <c r="A99" s="1" t="s">
        <v>490</v>
      </c>
      <c r="B99" s="1" t="str">
        <f t="shared" ca="1" si="1"/>
        <v/>
      </c>
      <c r="C99" s="1"/>
      <c r="D99" s="2" t="s">
        <v>650</v>
      </c>
      <c r="E99" s="15"/>
      <c r="F99" s="15"/>
      <c r="G99" s="15"/>
      <c r="H99" s="1" t="s">
        <v>530</v>
      </c>
      <c r="I99" s="7"/>
      <c r="J99" s="15" t="s">
        <v>841</v>
      </c>
      <c r="K99" s="1"/>
      <c r="L99" s="15"/>
      <c r="M99" s="15"/>
      <c r="N99" s="15"/>
      <c r="O99" s="7"/>
      <c r="P99" s="10"/>
      <c r="Q99" s="10"/>
      <c r="R99" s="10"/>
      <c r="S99" s="10"/>
      <c r="T99" s="10"/>
      <c r="U99" s="10"/>
    </row>
    <row r="100" spans="1:21" x14ac:dyDescent="0.3">
      <c r="A100" s="1" t="s">
        <v>490</v>
      </c>
      <c r="B100" s="1" t="str">
        <f t="shared" ca="1" si="1"/>
        <v/>
      </c>
      <c r="C100" s="1"/>
      <c r="D100" s="3" t="s">
        <v>510</v>
      </c>
      <c r="E100" s="15"/>
      <c r="F100" s="15"/>
      <c r="G100" s="15"/>
      <c r="H100" s="4" t="s">
        <v>750</v>
      </c>
      <c r="I100" s="7"/>
      <c r="J100" s="15" t="s">
        <v>841</v>
      </c>
      <c r="K100" s="1"/>
      <c r="L100" s="15"/>
      <c r="M100" s="15"/>
      <c r="N100" s="15"/>
      <c r="O100" s="7"/>
      <c r="P100" s="10"/>
      <c r="Q100" s="10"/>
      <c r="R100" s="10"/>
      <c r="S100" s="10"/>
      <c r="T100" s="10"/>
      <c r="U100" s="10"/>
    </row>
    <row r="101" spans="1:21" x14ac:dyDescent="0.3">
      <c r="A101" s="1" t="s">
        <v>490</v>
      </c>
      <c r="B101" s="1" t="str">
        <f t="shared" ca="1" si="1"/>
        <v/>
      </c>
      <c r="C101" s="1"/>
      <c r="D101" s="2" t="s">
        <v>511</v>
      </c>
      <c r="E101" s="15"/>
      <c r="F101" s="15"/>
      <c r="G101" s="15"/>
      <c r="H101" s="1" t="s">
        <v>458</v>
      </c>
      <c r="I101" s="10"/>
      <c r="J101" s="15" t="s">
        <v>841</v>
      </c>
      <c r="K101" s="1"/>
      <c r="L101" s="15"/>
      <c r="M101" s="15"/>
      <c r="N101" s="15"/>
      <c r="O101" s="7"/>
      <c r="P101" s="10"/>
      <c r="Q101" s="10"/>
      <c r="R101" s="10"/>
      <c r="S101" s="10"/>
      <c r="T101" s="10"/>
      <c r="U101" s="10"/>
    </row>
    <row r="102" spans="1:21" x14ac:dyDescent="0.3">
      <c r="A102" s="1" t="s">
        <v>512</v>
      </c>
      <c r="B102" s="1" t="str">
        <f t="shared" ca="1" si="1"/>
        <v/>
      </c>
      <c r="C102" s="1"/>
      <c r="D102" s="2" t="s">
        <v>513</v>
      </c>
      <c r="E102" s="15"/>
      <c r="F102" s="15"/>
      <c r="G102" s="15"/>
      <c r="H102" s="1" t="s">
        <v>529</v>
      </c>
      <c r="I102" s="6"/>
      <c r="J102" s="15" t="s">
        <v>841</v>
      </c>
      <c r="K102" s="1"/>
      <c r="L102" s="15"/>
      <c r="M102" s="15"/>
      <c r="N102" s="15"/>
      <c r="O102" s="7"/>
      <c r="P102" s="10"/>
      <c r="Q102" s="10"/>
      <c r="R102" s="10"/>
      <c r="S102" s="10"/>
      <c r="T102" s="10"/>
      <c r="U102" s="10"/>
    </row>
    <row r="103" spans="1:21" x14ac:dyDescent="0.3">
      <c r="A103" s="1" t="s">
        <v>512</v>
      </c>
      <c r="B103" s="1" t="str">
        <f t="shared" ca="1" si="1"/>
        <v/>
      </c>
      <c r="C103" s="1"/>
      <c r="D103" s="2" t="s">
        <v>514</v>
      </c>
      <c r="E103" s="15"/>
      <c r="F103" s="15"/>
      <c r="G103" s="15"/>
      <c r="H103" s="1" t="s">
        <v>530</v>
      </c>
      <c r="I103" s="6"/>
      <c r="J103" s="15" t="s">
        <v>841</v>
      </c>
      <c r="K103" s="1"/>
      <c r="L103" s="15"/>
      <c r="M103" s="15"/>
      <c r="N103" s="15"/>
      <c r="O103" s="7"/>
      <c r="P103" s="10"/>
      <c r="Q103" s="10"/>
      <c r="R103" s="10"/>
      <c r="S103" s="10"/>
      <c r="T103" s="10"/>
      <c r="U103" s="10"/>
    </row>
    <row r="104" spans="1:21" ht="23.5" x14ac:dyDescent="0.3">
      <c r="A104" s="1" t="s">
        <v>512</v>
      </c>
      <c r="B104" s="1" t="str">
        <f t="shared" ca="1" si="1"/>
        <v/>
      </c>
      <c r="C104" s="1"/>
      <c r="D104" s="2" t="s">
        <v>515</v>
      </c>
      <c r="E104" s="15"/>
      <c r="F104" s="15"/>
      <c r="G104" s="15"/>
      <c r="H104" s="1" t="s">
        <v>757</v>
      </c>
      <c r="I104" s="6" t="s">
        <v>776</v>
      </c>
      <c r="J104" s="15" t="s">
        <v>841</v>
      </c>
      <c r="K104" s="1"/>
      <c r="L104" s="15"/>
      <c r="M104" s="15"/>
      <c r="N104" s="15"/>
      <c r="O104" s="7"/>
      <c r="P104" s="10"/>
      <c r="Q104" s="10"/>
      <c r="R104" s="10"/>
      <c r="S104" s="10"/>
      <c r="T104" s="10"/>
      <c r="U104" s="10"/>
    </row>
    <row r="105" spans="1:21" x14ac:dyDescent="0.3">
      <c r="A105" s="1" t="s">
        <v>512</v>
      </c>
      <c r="B105" s="1" t="str">
        <f t="shared" ca="1" si="1"/>
        <v/>
      </c>
      <c r="C105" s="1"/>
      <c r="D105" s="2" t="s">
        <v>651</v>
      </c>
      <c r="E105" s="15"/>
      <c r="F105" s="15"/>
      <c r="G105" s="15"/>
      <c r="H105" s="1" t="s">
        <v>530</v>
      </c>
      <c r="I105" s="6" t="s">
        <v>777</v>
      </c>
      <c r="J105" s="15" t="s">
        <v>841</v>
      </c>
      <c r="K105" s="1"/>
      <c r="L105" s="15"/>
      <c r="M105" s="15"/>
      <c r="N105" s="15"/>
      <c r="O105" s="7"/>
      <c r="P105" s="10"/>
      <c r="Q105" s="10"/>
      <c r="R105" s="10"/>
      <c r="S105" s="10"/>
      <c r="T105" s="10"/>
      <c r="U105" s="10"/>
    </row>
    <row r="106" spans="1:21" x14ac:dyDescent="0.3">
      <c r="A106" s="1" t="s">
        <v>512</v>
      </c>
      <c r="B106" s="1" t="str">
        <f t="shared" ca="1" si="1"/>
        <v/>
      </c>
      <c r="C106" s="1"/>
      <c r="D106" s="2" t="s">
        <v>516</v>
      </c>
      <c r="E106" s="15"/>
      <c r="F106" s="15"/>
      <c r="G106" s="15"/>
      <c r="H106" s="1" t="s">
        <v>530</v>
      </c>
      <c r="I106" s="6" t="s">
        <v>778</v>
      </c>
      <c r="J106" s="15" t="s">
        <v>841</v>
      </c>
      <c r="K106" s="1"/>
      <c r="L106" s="15"/>
      <c r="M106" s="15"/>
      <c r="N106" s="15"/>
      <c r="O106" s="7"/>
      <c r="P106" s="10"/>
      <c r="Q106" s="10"/>
      <c r="R106" s="10"/>
      <c r="S106" s="10"/>
      <c r="T106" s="10"/>
      <c r="U106" s="10"/>
    </row>
    <row r="107" spans="1:21" x14ac:dyDescent="0.3">
      <c r="A107" s="1" t="s">
        <v>512</v>
      </c>
      <c r="B107" s="1" t="str">
        <f t="shared" ca="1" si="1"/>
        <v/>
      </c>
      <c r="C107" s="1"/>
      <c r="D107" s="2" t="s">
        <v>517</v>
      </c>
      <c r="E107" s="15"/>
      <c r="F107" s="15"/>
      <c r="G107" s="15"/>
      <c r="H107" s="1" t="s">
        <v>530</v>
      </c>
      <c r="I107" s="6" t="s">
        <v>778</v>
      </c>
      <c r="J107" s="15" t="s">
        <v>841</v>
      </c>
      <c r="K107" s="1"/>
      <c r="L107" s="15"/>
      <c r="M107" s="15"/>
      <c r="N107" s="15"/>
      <c r="O107" s="7"/>
      <c r="P107" s="10"/>
      <c r="Q107" s="10"/>
      <c r="R107" s="10"/>
      <c r="S107" s="10"/>
      <c r="T107" s="10"/>
      <c r="U107" s="10"/>
    </row>
    <row r="108" spans="1:21" x14ac:dyDescent="0.3">
      <c r="A108" s="1" t="s">
        <v>512</v>
      </c>
      <c r="B108" s="1" t="str">
        <f t="shared" ca="1" si="1"/>
        <v/>
      </c>
      <c r="C108" s="1"/>
      <c r="D108" s="2" t="s">
        <v>518</v>
      </c>
      <c r="E108" s="15"/>
      <c r="F108" s="15"/>
      <c r="G108" s="15"/>
      <c r="H108" s="1" t="s">
        <v>529</v>
      </c>
      <c r="I108" s="6" t="s">
        <v>779</v>
      </c>
      <c r="J108" s="15" t="s">
        <v>841</v>
      </c>
      <c r="K108" s="1"/>
      <c r="L108" s="15"/>
      <c r="M108" s="15"/>
      <c r="N108" s="15"/>
      <c r="O108" s="7"/>
      <c r="P108" s="10"/>
      <c r="Q108" s="10"/>
      <c r="R108" s="10"/>
      <c r="S108" s="10"/>
      <c r="T108" s="10"/>
      <c r="U108" s="10"/>
    </row>
    <row r="109" spans="1:21" ht="23.5" x14ac:dyDescent="0.3">
      <c r="A109" s="1" t="s">
        <v>512</v>
      </c>
      <c r="B109" s="1" t="str">
        <f t="shared" ca="1" si="1"/>
        <v/>
      </c>
      <c r="C109" s="1"/>
      <c r="D109" s="2" t="s">
        <v>519</v>
      </c>
      <c r="E109" s="15"/>
      <c r="F109" s="15"/>
      <c r="G109" s="15"/>
      <c r="H109" s="1" t="s">
        <v>757</v>
      </c>
      <c r="I109" s="6" t="s">
        <v>780</v>
      </c>
      <c r="J109" s="15" t="s">
        <v>841</v>
      </c>
      <c r="K109" s="1"/>
      <c r="L109" s="15"/>
      <c r="M109" s="15"/>
      <c r="N109" s="15"/>
      <c r="O109" s="7"/>
      <c r="P109" s="10"/>
      <c r="Q109" s="10"/>
      <c r="R109" s="10"/>
      <c r="S109" s="10"/>
      <c r="T109" s="10"/>
      <c r="U109" s="10"/>
    </row>
    <row r="110" spans="1:21" x14ac:dyDescent="0.3">
      <c r="A110" s="1" t="s">
        <v>512</v>
      </c>
      <c r="B110" s="1" t="str">
        <f t="shared" ca="1" si="1"/>
        <v/>
      </c>
      <c r="C110" s="1"/>
      <c r="D110" s="2" t="s">
        <v>520</v>
      </c>
      <c r="E110" s="15"/>
      <c r="F110" s="15"/>
      <c r="G110" s="15"/>
      <c r="H110" s="1" t="s">
        <v>449</v>
      </c>
      <c r="I110" s="6" t="s">
        <v>781</v>
      </c>
      <c r="J110" s="15" t="s">
        <v>841</v>
      </c>
      <c r="K110" s="1"/>
      <c r="L110" s="15"/>
      <c r="M110" s="15"/>
      <c r="N110" s="15"/>
      <c r="O110" s="7"/>
      <c r="P110" s="10"/>
      <c r="Q110" s="10"/>
      <c r="R110" s="10"/>
      <c r="S110" s="10"/>
      <c r="T110" s="10"/>
      <c r="U110" s="10"/>
    </row>
    <row r="111" spans="1:21" x14ac:dyDescent="0.3">
      <c r="A111" s="1" t="s">
        <v>512</v>
      </c>
      <c r="B111" s="1" t="str">
        <f t="shared" ca="1" si="1"/>
        <v/>
      </c>
      <c r="C111" s="1"/>
      <c r="D111" s="2" t="s">
        <v>521</v>
      </c>
      <c r="E111" s="15"/>
      <c r="F111" s="15"/>
      <c r="G111" s="15"/>
      <c r="H111" s="1" t="s">
        <v>475</v>
      </c>
      <c r="I111" s="6"/>
      <c r="J111" s="15" t="s">
        <v>841</v>
      </c>
      <c r="K111" s="1"/>
      <c r="L111" s="15"/>
      <c r="M111" s="15"/>
      <c r="N111" s="15"/>
      <c r="O111" s="7"/>
      <c r="P111" s="10"/>
      <c r="Q111" s="10"/>
      <c r="R111" s="10"/>
      <c r="S111" s="10"/>
      <c r="T111" s="10"/>
      <c r="U111" s="10"/>
    </row>
    <row r="112" spans="1:21" x14ac:dyDescent="0.3">
      <c r="A112" s="1" t="s">
        <v>512</v>
      </c>
      <c r="B112" s="1" t="str">
        <f t="shared" ca="1" si="1"/>
        <v/>
      </c>
      <c r="C112" s="1"/>
      <c r="D112" s="2" t="s">
        <v>522</v>
      </c>
      <c r="E112" s="15"/>
      <c r="F112" s="15"/>
      <c r="G112" s="15"/>
      <c r="H112" s="1" t="s">
        <v>449</v>
      </c>
      <c r="I112" s="6"/>
      <c r="J112" s="15" t="s">
        <v>841</v>
      </c>
      <c r="K112" s="1"/>
      <c r="L112" s="15"/>
      <c r="M112" s="15"/>
      <c r="N112" s="15"/>
      <c r="O112" s="7"/>
      <c r="P112" s="10"/>
      <c r="Q112" s="10"/>
      <c r="R112" s="10"/>
      <c r="S112" s="10"/>
      <c r="T112" s="10"/>
      <c r="U112" s="10"/>
    </row>
    <row r="113" spans="1:21" x14ac:dyDescent="0.3">
      <c r="A113" s="1" t="s">
        <v>512</v>
      </c>
      <c r="B113" s="1" t="str">
        <f t="shared" ca="1" si="1"/>
        <v/>
      </c>
      <c r="C113" s="1"/>
      <c r="D113" s="2" t="s">
        <v>523</v>
      </c>
      <c r="E113" s="15"/>
      <c r="F113" s="15"/>
      <c r="G113" s="15"/>
      <c r="H113" s="1" t="s">
        <v>446</v>
      </c>
      <c r="I113" s="6"/>
      <c r="J113" s="15" t="s">
        <v>841</v>
      </c>
      <c r="K113" s="1"/>
      <c r="L113" s="15"/>
      <c r="M113" s="15"/>
      <c r="N113" s="15"/>
      <c r="O113" s="7"/>
      <c r="P113" s="10"/>
      <c r="Q113" s="10"/>
      <c r="R113" s="10"/>
      <c r="S113" s="10"/>
      <c r="T113" s="10"/>
      <c r="U113" s="10"/>
    </row>
    <row r="114" spans="1:21" x14ac:dyDescent="0.3">
      <c r="A114" s="1" t="s">
        <v>512</v>
      </c>
      <c r="B114" s="1" t="str">
        <f t="shared" ca="1" si="1"/>
        <v/>
      </c>
      <c r="C114" s="1"/>
      <c r="D114" s="2" t="s">
        <v>652</v>
      </c>
      <c r="E114" s="15"/>
      <c r="F114" s="15"/>
      <c r="G114" s="15"/>
      <c r="H114" s="1" t="s">
        <v>446</v>
      </c>
      <c r="I114" s="6"/>
      <c r="J114" s="15" t="s">
        <v>841</v>
      </c>
      <c r="K114" s="1"/>
      <c r="L114" s="15"/>
      <c r="M114" s="15"/>
      <c r="N114" s="15"/>
      <c r="O114" s="7"/>
      <c r="P114" s="10"/>
      <c r="Q114" s="10"/>
      <c r="R114" s="10"/>
      <c r="S114" s="10"/>
      <c r="T114" s="10"/>
      <c r="U114" s="10"/>
    </row>
    <row r="115" spans="1:21" x14ac:dyDescent="0.3">
      <c r="A115" s="1" t="s">
        <v>512</v>
      </c>
      <c r="B115" s="1" t="str">
        <f t="shared" ca="1" si="1"/>
        <v/>
      </c>
      <c r="C115" s="1"/>
      <c r="D115" s="2" t="s">
        <v>653</v>
      </c>
      <c r="E115" s="15"/>
      <c r="F115" s="15"/>
      <c r="G115" s="15"/>
      <c r="H115" s="1" t="s">
        <v>446</v>
      </c>
      <c r="I115" s="6"/>
      <c r="J115" s="15" t="s">
        <v>841</v>
      </c>
      <c r="K115" s="1"/>
      <c r="L115" s="15"/>
      <c r="M115" s="15"/>
      <c r="N115" s="15"/>
      <c r="O115" s="7"/>
      <c r="P115" s="10"/>
      <c r="Q115" s="10"/>
      <c r="R115" s="10"/>
      <c r="S115" s="10"/>
      <c r="T115" s="10"/>
      <c r="U115" s="10"/>
    </row>
    <row r="116" spans="1:21" ht="23.5" x14ac:dyDescent="0.3">
      <c r="A116" s="1" t="s">
        <v>512</v>
      </c>
      <c r="B116" s="1" t="str">
        <f t="shared" ca="1" si="1"/>
        <v/>
      </c>
      <c r="C116" s="1"/>
      <c r="D116" s="2" t="s">
        <v>654</v>
      </c>
      <c r="E116" s="15"/>
      <c r="F116" s="15"/>
      <c r="G116" s="15"/>
      <c r="H116" s="1" t="s">
        <v>450</v>
      </c>
      <c r="I116" s="6" t="s">
        <v>782</v>
      </c>
      <c r="J116" s="15" t="s">
        <v>841</v>
      </c>
      <c r="K116" s="1"/>
      <c r="L116" s="15"/>
      <c r="M116" s="15"/>
      <c r="N116" s="15"/>
      <c r="O116" s="7"/>
      <c r="P116" s="10"/>
      <c r="Q116" s="10"/>
      <c r="R116" s="10"/>
      <c r="S116" s="10"/>
      <c r="T116" s="10"/>
      <c r="U116" s="10"/>
    </row>
    <row r="117" spans="1:21" x14ac:dyDescent="0.3">
      <c r="A117" s="1" t="s">
        <v>512</v>
      </c>
      <c r="B117" s="1" t="str">
        <f t="shared" ca="1" si="1"/>
        <v/>
      </c>
      <c r="C117" s="1"/>
      <c r="D117" s="2" t="s">
        <v>655</v>
      </c>
      <c r="E117" s="15"/>
      <c r="F117" s="15"/>
      <c r="G117" s="15"/>
      <c r="H117" s="1" t="s">
        <v>476</v>
      </c>
      <c r="I117" s="6" t="s">
        <v>783</v>
      </c>
      <c r="J117" s="15" t="s">
        <v>841</v>
      </c>
      <c r="K117" s="1"/>
      <c r="L117" s="15"/>
      <c r="M117" s="15"/>
      <c r="N117" s="15"/>
      <c r="O117" s="7"/>
      <c r="P117" s="10"/>
      <c r="Q117" s="10"/>
      <c r="R117" s="10"/>
      <c r="S117" s="10"/>
      <c r="T117" s="10"/>
      <c r="U117" s="10"/>
    </row>
    <row r="118" spans="1:21" ht="23.5" x14ac:dyDescent="0.3">
      <c r="A118" s="1" t="s">
        <v>512</v>
      </c>
      <c r="B118" s="1" t="str">
        <f t="shared" ca="1" si="1"/>
        <v/>
      </c>
      <c r="C118" s="1"/>
      <c r="D118" s="2" t="s">
        <v>524</v>
      </c>
      <c r="E118" s="15"/>
      <c r="F118" s="15"/>
      <c r="G118" s="15"/>
      <c r="H118" s="4" t="s">
        <v>750</v>
      </c>
      <c r="I118" s="6" t="s">
        <v>784</v>
      </c>
      <c r="J118" s="15" t="s">
        <v>841</v>
      </c>
      <c r="K118" s="1"/>
      <c r="L118" s="15"/>
      <c r="M118" s="15"/>
      <c r="N118" s="15"/>
      <c r="O118" s="7"/>
      <c r="P118" s="10"/>
      <c r="Q118" s="10"/>
      <c r="R118" s="10"/>
      <c r="S118" s="10"/>
      <c r="T118" s="10"/>
      <c r="U118" s="10"/>
    </row>
    <row r="119" spans="1:21" ht="35" x14ac:dyDescent="0.3">
      <c r="A119" s="1" t="s">
        <v>512</v>
      </c>
      <c r="B119" s="1" t="str">
        <f t="shared" ca="1" si="1"/>
        <v/>
      </c>
      <c r="C119" s="1"/>
      <c r="D119" s="2" t="s">
        <v>525</v>
      </c>
      <c r="E119" s="15"/>
      <c r="F119" s="15"/>
      <c r="G119" s="15"/>
      <c r="H119" s="4" t="s">
        <v>750</v>
      </c>
      <c r="I119" s="6" t="s">
        <v>785</v>
      </c>
      <c r="J119" s="15" t="s">
        <v>841</v>
      </c>
      <c r="K119" s="1"/>
      <c r="L119" s="15"/>
      <c r="M119" s="15"/>
      <c r="N119" s="15"/>
      <c r="O119" s="7"/>
      <c r="P119" s="10"/>
      <c r="Q119" s="10"/>
      <c r="R119" s="10"/>
      <c r="S119" s="10"/>
      <c r="T119" s="10"/>
      <c r="U119" s="10"/>
    </row>
    <row r="120" spans="1:21" ht="35" x14ac:dyDescent="0.3">
      <c r="A120" s="1" t="s">
        <v>512</v>
      </c>
      <c r="B120" s="1" t="str">
        <f t="shared" ca="1" si="1"/>
        <v/>
      </c>
      <c r="C120" s="1"/>
      <c r="D120" s="2" t="s">
        <v>526</v>
      </c>
      <c r="E120" s="15"/>
      <c r="F120" s="15"/>
      <c r="G120" s="15"/>
      <c r="H120" s="4" t="s">
        <v>750</v>
      </c>
      <c r="I120" s="6" t="s">
        <v>786</v>
      </c>
      <c r="J120" s="15" t="s">
        <v>841</v>
      </c>
      <c r="K120" s="1"/>
      <c r="L120" s="15"/>
      <c r="M120" s="15"/>
      <c r="N120" s="15"/>
      <c r="O120" s="7"/>
      <c r="P120" s="10"/>
      <c r="Q120" s="10"/>
      <c r="R120" s="10"/>
      <c r="S120" s="10"/>
      <c r="T120" s="10"/>
      <c r="U120" s="10"/>
    </row>
    <row r="121" spans="1:21" ht="23.5" x14ac:dyDescent="0.3">
      <c r="A121" s="1" t="s">
        <v>512</v>
      </c>
      <c r="B121" s="1" t="str">
        <f t="shared" ca="1" si="1"/>
        <v/>
      </c>
      <c r="C121" s="1"/>
      <c r="D121" s="2" t="s">
        <v>527</v>
      </c>
      <c r="E121" s="15"/>
      <c r="F121" s="15"/>
      <c r="G121" s="15"/>
      <c r="H121" s="4" t="s">
        <v>750</v>
      </c>
      <c r="I121" s="6" t="s">
        <v>787</v>
      </c>
      <c r="J121" s="15" t="s">
        <v>841</v>
      </c>
      <c r="K121" s="1"/>
      <c r="L121" s="15"/>
      <c r="M121" s="15"/>
      <c r="N121" s="15"/>
      <c r="O121" s="7"/>
      <c r="P121" s="10"/>
      <c r="Q121" s="10"/>
      <c r="R121" s="10"/>
      <c r="S121" s="10"/>
      <c r="T121" s="10"/>
      <c r="U121" s="10"/>
    </row>
    <row r="122" spans="1:21" ht="35" x14ac:dyDescent="0.3">
      <c r="A122" s="1" t="s">
        <v>512</v>
      </c>
      <c r="B122" s="1" t="str">
        <f t="shared" ca="1" si="1"/>
        <v/>
      </c>
      <c r="C122" s="1"/>
      <c r="D122" s="2" t="s">
        <v>528</v>
      </c>
      <c r="E122" s="15"/>
      <c r="F122" s="15"/>
      <c r="G122" s="15"/>
      <c r="H122" s="4" t="s">
        <v>750</v>
      </c>
      <c r="I122" s="6" t="s">
        <v>788</v>
      </c>
      <c r="J122" s="15" t="s">
        <v>841</v>
      </c>
      <c r="K122" s="1"/>
      <c r="L122" s="15"/>
      <c r="M122" s="15"/>
      <c r="N122" s="15"/>
      <c r="O122" s="7"/>
      <c r="P122" s="10"/>
      <c r="Q122" s="10"/>
      <c r="R122" s="10"/>
      <c r="S122" s="10"/>
      <c r="T122" s="10"/>
      <c r="U122" s="10"/>
    </row>
    <row r="123" spans="1:21" x14ac:dyDescent="0.3">
      <c r="A123" s="1" t="s">
        <v>512</v>
      </c>
      <c r="B123" s="1" t="str">
        <f t="shared" ca="1" si="1"/>
        <v/>
      </c>
      <c r="C123" s="1"/>
      <c r="D123" s="2" t="s">
        <v>656</v>
      </c>
      <c r="E123" s="15"/>
      <c r="F123" s="15"/>
      <c r="G123" s="15"/>
      <c r="H123" s="1" t="s">
        <v>752</v>
      </c>
      <c r="I123" s="6" t="s">
        <v>789</v>
      </c>
      <c r="J123" s="15" t="s">
        <v>841</v>
      </c>
      <c r="K123" s="1"/>
      <c r="L123" s="15"/>
      <c r="M123" s="15"/>
      <c r="N123" s="15"/>
      <c r="O123" s="7"/>
      <c r="P123" s="10"/>
      <c r="Q123" s="10"/>
      <c r="R123" s="10"/>
      <c r="S123" s="10"/>
      <c r="T123" s="10"/>
      <c r="U123" s="10"/>
    </row>
    <row r="124" spans="1:21" ht="23" x14ac:dyDescent="0.3">
      <c r="A124" s="1" t="s">
        <v>531</v>
      </c>
      <c r="B124" s="1" t="str">
        <f t="shared" ca="1" si="1"/>
        <v/>
      </c>
      <c r="C124" s="1"/>
      <c r="D124" s="2" t="s">
        <v>532</v>
      </c>
      <c r="E124" s="15"/>
      <c r="F124" s="15"/>
      <c r="G124" s="15"/>
      <c r="H124" s="1" t="s">
        <v>758</v>
      </c>
      <c r="I124" s="7"/>
      <c r="J124" s="15" t="s">
        <v>841</v>
      </c>
      <c r="K124" s="1"/>
      <c r="L124" s="15"/>
      <c r="M124" s="15"/>
      <c r="N124" s="15"/>
      <c r="O124" s="7"/>
      <c r="P124" s="10"/>
      <c r="Q124" s="10"/>
      <c r="R124" s="10"/>
      <c r="S124" s="10"/>
      <c r="T124" s="10"/>
      <c r="U124" s="10"/>
    </row>
    <row r="125" spans="1:21" ht="23" x14ac:dyDescent="0.3">
      <c r="A125" s="1" t="s">
        <v>531</v>
      </c>
      <c r="B125" s="1" t="str">
        <f t="shared" ca="1" si="1"/>
        <v/>
      </c>
      <c r="C125" s="1"/>
      <c r="D125" s="2" t="s">
        <v>533</v>
      </c>
      <c r="E125" s="15"/>
      <c r="F125" s="15"/>
      <c r="G125" s="15"/>
      <c r="H125" s="1" t="s">
        <v>475</v>
      </c>
      <c r="I125" s="7"/>
      <c r="J125" s="15" t="s">
        <v>841</v>
      </c>
      <c r="K125" s="1"/>
      <c r="L125" s="15"/>
      <c r="M125" s="15"/>
      <c r="N125" s="15"/>
      <c r="O125" s="7"/>
      <c r="P125" s="10"/>
      <c r="Q125" s="10"/>
      <c r="R125" s="10"/>
      <c r="S125" s="10"/>
      <c r="T125" s="10"/>
      <c r="U125" s="10"/>
    </row>
    <row r="126" spans="1:21" ht="23" x14ac:dyDescent="0.3">
      <c r="A126" s="1" t="s">
        <v>531</v>
      </c>
      <c r="B126" s="1" t="str">
        <f t="shared" ca="1" si="1"/>
        <v/>
      </c>
      <c r="C126" s="1"/>
      <c r="D126" s="2" t="s">
        <v>534</v>
      </c>
      <c r="E126" s="15"/>
      <c r="F126" s="15"/>
      <c r="G126" s="15"/>
      <c r="H126" s="1" t="s">
        <v>475</v>
      </c>
      <c r="I126" s="7"/>
      <c r="J126" s="15" t="s">
        <v>841</v>
      </c>
      <c r="K126" s="1"/>
      <c r="L126" s="15"/>
      <c r="M126" s="15"/>
      <c r="N126" s="15"/>
      <c r="O126" s="7"/>
      <c r="P126" s="10"/>
      <c r="Q126" s="10"/>
      <c r="R126" s="10"/>
      <c r="S126" s="10"/>
      <c r="T126" s="10"/>
      <c r="U126" s="10"/>
    </row>
    <row r="127" spans="1:21" ht="23" x14ac:dyDescent="0.3">
      <c r="A127" s="1" t="s">
        <v>531</v>
      </c>
      <c r="B127" s="1" t="str">
        <f t="shared" ca="1" si="1"/>
        <v/>
      </c>
      <c r="C127" s="1"/>
      <c r="D127" s="2" t="s">
        <v>535</v>
      </c>
      <c r="E127" s="15"/>
      <c r="F127" s="15"/>
      <c r="G127" s="15"/>
      <c r="H127" s="1" t="s">
        <v>475</v>
      </c>
      <c r="I127" s="7"/>
      <c r="J127" s="15" t="s">
        <v>841</v>
      </c>
      <c r="K127" s="1"/>
      <c r="L127" s="15"/>
      <c r="M127" s="15"/>
      <c r="N127" s="15"/>
      <c r="O127" s="7"/>
      <c r="P127" s="10"/>
      <c r="Q127" s="10"/>
      <c r="R127" s="10"/>
      <c r="S127" s="10"/>
      <c r="T127" s="10"/>
      <c r="U127" s="10"/>
    </row>
    <row r="128" spans="1:21" ht="23" x14ac:dyDescent="0.3">
      <c r="A128" s="1" t="s">
        <v>531</v>
      </c>
      <c r="B128" s="1" t="str">
        <f t="shared" ca="1" si="1"/>
        <v/>
      </c>
      <c r="C128" s="1"/>
      <c r="D128" s="2" t="s">
        <v>536</v>
      </c>
      <c r="E128" s="15"/>
      <c r="F128" s="15"/>
      <c r="G128" s="15"/>
      <c r="H128" s="1" t="s">
        <v>475</v>
      </c>
      <c r="I128" s="7"/>
      <c r="J128" s="15" t="s">
        <v>841</v>
      </c>
      <c r="K128" s="1"/>
      <c r="L128" s="15"/>
      <c r="M128" s="15"/>
      <c r="N128" s="15"/>
      <c r="O128" s="7"/>
      <c r="P128" s="10"/>
      <c r="Q128" s="10"/>
      <c r="R128" s="10"/>
      <c r="S128" s="10"/>
      <c r="T128" s="10"/>
      <c r="U128" s="10"/>
    </row>
    <row r="129" spans="1:21" ht="23" x14ac:dyDescent="0.3">
      <c r="A129" s="1" t="s">
        <v>531</v>
      </c>
      <c r="B129" s="1" t="str">
        <f t="shared" ca="1" si="1"/>
        <v/>
      </c>
      <c r="C129" s="1"/>
      <c r="D129" s="2" t="s">
        <v>537</v>
      </c>
      <c r="E129" s="15"/>
      <c r="F129" s="15"/>
      <c r="G129" s="15"/>
      <c r="H129" s="1" t="s">
        <v>453</v>
      </c>
      <c r="I129" s="7"/>
      <c r="J129" s="15" t="s">
        <v>841</v>
      </c>
      <c r="K129" s="1"/>
      <c r="L129" s="15"/>
      <c r="M129" s="15"/>
      <c r="N129" s="15"/>
      <c r="O129" s="7"/>
      <c r="P129" s="10"/>
      <c r="Q129" s="10"/>
      <c r="R129" s="10"/>
      <c r="S129" s="10"/>
      <c r="T129" s="10"/>
      <c r="U129" s="10"/>
    </row>
    <row r="130" spans="1:21" ht="23" x14ac:dyDescent="0.3">
      <c r="A130" s="1" t="s">
        <v>531</v>
      </c>
      <c r="B130" s="1" t="str">
        <f t="shared" ca="1" si="1"/>
        <v/>
      </c>
      <c r="C130" s="1"/>
      <c r="D130" s="2" t="s">
        <v>538</v>
      </c>
      <c r="E130" s="15"/>
      <c r="F130" s="15"/>
      <c r="G130" s="15"/>
      <c r="H130" s="1" t="s">
        <v>453</v>
      </c>
      <c r="I130" s="7"/>
      <c r="J130" s="15" t="s">
        <v>841</v>
      </c>
      <c r="K130" s="1"/>
      <c r="L130" s="15"/>
      <c r="M130" s="15"/>
      <c r="N130" s="15"/>
      <c r="O130" s="7"/>
      <c r="P130" s="10"/>
      <c r="Q130" s="10"/>
      <c r="R130" s="10"/>
      <c r="S130" s="10"/>
      <c r="T130" s="10"/>
      <c r="U130" s="10"/>
    </row>
    <row r="131" spans="1:21" ht="23" x14ac:dyDescent="0.3">
      <c r="A131" s="1" t="s">
        <v>531</v>
      </c>
      <c r="B131" s="1" t="str">
        <f t="shared" ca="1" si="1"/>
        <v/>
      </c>
      <c r="C131" s="1"/>
      <c r="D131" s="2" t="s">
        <v>539</v>
      </c>
      <c r="E131" s="15"/>
      <c r="F131" s="15"/>
      <c r="G131" s="15"/>
      <c r="H131" s="1" t="s">
        <v>475</v>
      </c>
      <c r="I131" s="7"/>
      <c r="J131" s="15" t="s">
        <v>841</v>
      </c>
      <c r="K131" s="1"/>
      <c r="L131" s="15"/>
      <c r="M131" s="15"/>
      <c r="N131" s="15"/>
      <c r="O131" s="7"/>
      <c r="P131" s="10"/>
      <c r="Q131" s="10"/>
      <c r="R131" s="10"/>
      <c r="S131" s="10"/>
      <c r="T131" s="10"/>
      <c r="U131" s="10"/>
    </row>
    <row r="132" spans="1:21" ht="23" x14ac:dyDescent="0.3">
      <c r="A132" s="1" t="s">
        <v>531</v>
      </c>
      <c r="B132" s="1" t="str">
        <f t="shared" ca="1" si="1"/>
        <v/>
      </c>
      <c r="C132" s="1"/>
      <c r="D132" s="2" t="s">
        <v>540</v>
      </c>
      <c r="E132" s="15"/>
      <c r="F132" s="15"/>
      <c r="G132" s="15"/>
      <c r="H132" s="1" t="s">
        <v>475</v>
      </c>
      <c r="I132" s="7"/>
      <c r="J132" s="15" t="s">
        <v>841</v>
      </c>
      <c r="K132" s="1"/>
      <c r="L132" s="15"/>
      <c r="M132" s="15"/>
      <c r="N132" s="15"/>
      <c r="O132" s="7"/>
      <c r="P132" s="10"/>
      <c r="Q132" s="10"/>
      <c r="R132" s="10"/>
      <c r="S132" s="10"/>
      <c r="T132" s="10"/>
      <c r="U132" s="10"/>
    </row>
    <row r="133" spans="1:21" ht="23" x14ac:dyDescent="0.3">
      <c r="A133" s="1" t="s">
        <v>531</v>
      </c>
      <c r="B133" s="1" t="str">
        <f t="shared" ca="1" si="1"/>
        <v/>
      </c>
      <c r="C133" s="1"/>
      <c r="D133" s="2" t="s">
        <v>657</v>
      </c>
      <c r="E133" s="15"/>
      <c r="F133" s="15"/>
      <c r="G133" s="15"/>
      <c r="H133" s="4" t="s">
        <v>750</v>
      </c>
      <c r="I133" s="7" t="s">
        <v>766</v>
      </c>
      <c r="J133" s="15" t="s">
        <v>841</v>
      </c>
      <c r="K133" s="1"/>
      <c r="L133" s="15"/>
      <c r="M133" s="15"/>
      <c r="N133" s="15"/>
      <c r="O133" s="7"/>
      <c r="P133" s="10"/>
      <c r="Q133" s="10"/>
      <c r="R133" s="10"/>
      <c r="S133" s="10"/>
      <c r="T133" s="10"/>
      <c r="U133" s="10"/>
    </row>
    <row r="134" spans="1:21" ht="23" x14ac:dyDescent="0.3">
      <c r="A134" s="1" t="s">
        <v>531</v>
      </c>
      <c r="B134" s="1" t="str">
        <f t="shared" ca="1" si="1"/>
        <v/>
      </c>
      <c r="C134" s="1"/>
      <c r="D134" s="2" t="s">
        <v>541</v>
      </c>
      <c r="E134" s="15"/>
      <c r="F134" s="15"/>
      <c r="G134" s="15"/>
      <c r="H134" s="1" t="s">
        <v>476</v>
      </c>
      <c r="I134" s="7"/>
      <c r="J134" s="15" t="s">
        <v>841</v>
      </c>
      <c r="K134" s="1"/>
      <c r="L134" s="15"/>
      <c r="M134" s="15"/>
      <c r="N134" s="15"/>
      <c r="O134" s="7"/>
      <c r="P134" s="10"/>
      <c r="Q134" s="10"/>
      <c r="R134" s="10"/>
      <c r="S134" s="10"/>
      <c r="T134" s="10"/>
      <c r="U134" s="10"/>
    </row>
    <row r="135" spans="1:21" ht="23" x14ac:dyDescent="0.3">
      <c r="A135" s="1" t="s">
        <v>531</v>
      </c>
      <c r="B135" s="1" t="str">
        <f t="shared" ca="1" si="1"/>
        <v/>
      </c>
      <c r="C135" s="1"/>
      <c r="D135" s="2" t="s">
        <v>542</v>
      </c>
      <c r="E135" s="15"/>
      <c r="F135" s="15"/>
      <c r="G135" s="15"/>
      <c r="H135" s="1" t="s">
        <v>476</v>
      </c>
      <c r="I135" s="7"/>
      <c r="J135" s="15" t="s">
        <v>841</v>
      </c>
      <c r="K135" s="1"/>
      <c r="L135" s="15"/>
      <c r="M135" s="15"/>
      <c r="N135" s="15"/>
      <c r="O135" s="7"/>
      <c r="P135" s="10"/>
      <c r="Q135" s="10"/>
      <c r="R135" s="10"/>
      <c r="S135" s="10"/>
      <c r="T135" s="10"/>
      <c r="U135" s="10"/>
    </row>
    <row r="136" spans="1:21" ht="23" x14ac:dyDescent="0.3">
      <c r="A136" s="1" t="s">
        <v>531</v>
      </c>
      <c r="B136" s="1" t="str">
        <f t="shared" ca="1" si="1"/>
        <v/>
      </c>
      <c r="C136" s="1"/>
      <c r="D136" s="2" t="s">
        <v>543</v>
      </c>
      <c r="E136" s="15"/>
      <c r="F136" s="15"/>
      <c r="G136" s="15"/>
      <c r="H136" s="1" t="s">
        <v>446</v>
      </c>
      <c r="I136" s="7"/>
      <c r="J136" s="15" t="s">
        <v>841</v>
      </c>
      <c r="K136" s="1"/>
      <c r="L136" s="15"/>
      <c r="M136" s="15"/>
      <c r="N136" s="15"/>
      <c r="O136" s="7"/>
      <c r="P136" s="10"/>
      <c r="Q136" s="10"/>
      <c r="R136" s="10"/>
      <c r="S136" s="10"/>
      <c r="T136" s="10"/>
      <c r="U136" s="10"/>
    </row>
    <row r="137" spans="1:21" ht="23" x14ac:dyDescent="0.3">
      <c r="A137" s="1" t="s">
        <v>544</v>
      </c>
      <c r="B137" s="1" t="str">
        <f t="shared" ca="1" si="1"/>
        <v/>
      </c>
      <c r="C137" s="1"/>
      <c r="D137" s="3" t="s">
        <v>545</v>
      </c>
      <c r="E137" s="15"/>
      <c r="F137" s="15"/>
      <c r="G137" s="15"/>
      <c r="H137" s="4" t="s">
        <v>750</v>
      </c>
      <c r="I137" s="7" t="s">
        <v>790</v>
      </c>
      <c r="J137" s="15" t="s">
        <v>841</v>
      </c>
      <c r="K137" s="1"/>
      <c r="L137" s="15"/>
      <c r="M137" s="15"/>
      <c r="N137" s="15"/>
      <c r="O137" s="7"/>
      <c r="P137" s="10"/>
      <c r="Q137" s="10"/>
      <c r="R137" s="10"/>
      <c r="S137" s="10"/>
      <c r="T137" s="10"/>
      <c r="U137" s="10"/>
    </row>
    <row r="138" spans="1:21" ht="34.5" x14ac:dyDescent="0.3">
      <c r="A138" s="1" t="s">
        <v>544</v>
      </c>
      <c r="B138" s="1" t="str">
        <f t="shared" ca="1" si="1"/>
        <v/>
      </c>
      <c r="C138" s="1"/>
      <c r="D138" s="3" t="s">
        <v>546</v>
      </c>
      <c r="E138" s="15"/>
      <c r="F138" s="15"/>
      <c r="G138" s="15"/>
      <c r="H138" s="4" t="s">
        <v>750</v>
      </c>
      <c r="I138" s="7" t="s">
        <v>791</v>
      </c>
      <c r="J138" s="15" t="s">
        <v>841</v>
      </c>
      <c r="K138" s="1"/>
      <c r="L138" s="15"/>
      <c r="M138" s="15"/>
      <c r="N138" s="15"/>
      <c r="O138" s="7"/>
      <c r="P138" s="10"/>
      <c r="Q138" s="10"/>
      <c r="R138" s="10"/>
      <c r="S138" s="10"/>
      <c r="T138" s="10"/>
      <c r="U138" s="10"/>
    </row>
    <row r="139" spans="1:21" ht="23" x14ac:dyDescent="0.3">
      <c r="A139" s="1" t="s">
        <v>544</v>
      </c>
      <c r="B139" s="1" t="str">
        <f t="shared" ca="1" si="1"/>
        <v/>
      </c>
      <c r="C139" s="1"/>
      <c r="D139" s="2" t="s">
        <v>658</v>
      </c>
      <c r="E139" s="15"/>
      <c r="F139" s="15"/>
      <c r="G139" s="15"/>
      <c r="H139" s="1" t="s">
        <v>759</v>
      </c>
      <c r="I139" s="7" t="s">
        <v>792</v>
      </c>
      <c r="J139" s="15" t="s">
        <v>841</v>
      </c>
      <c r="K139" s="1"/>
      <c r="L139" s="15"/>
      <c r="M139" s="15"/>
      <c r="N139" s="15"/>
      <c r="O139" s="7"/>
      <c r="P139" s="10"/>
      <c r="Q139" s="10"/>
      <c r="R139" s="10"/>
      <c r="S139" s="10"/>
      <c r="T139" s="10"/>
      <c r="U139" s="10"/>
    </row>
    <row r="140" spans="1:21" x14ac:dyDescent="0.3">
      <c r="A140" s="1" t="s">
        <v>544</v>
      </c>
      <c r="B140" s="1" t="str">
        <f t="shared" ca="1" si="1"/>
        <v/>
      </c>
      <c r="C140" s="1"/>
      <c r="D140" s="2" t="s">
        <v>547</v>
      </c>
      <c r="E140" s="15"/>
      <c r="F140" s="15"/>
      <c r="G140" s="15"/>
      <c r="H140" s="1" t="s">
        <v>451</v>
      </c>
      <c r="I140" s="7" t="s">
        <v>456</v>
      </c>
      <c r="J140" s="15" t="s">
        <v>841</v>
      </c>
      <c r="K140" s="1"/>
      <c r="L140" s="15"/>
      <c r="M140" s="15"/>
      <c r="N140" s="15"/>
      <c r="O140" s="7"/>
      <c r="P140" s="10"/>
      <c r="Q140" s="10"/>
      <c r="R140" s="10"/>
      <c r="S140" s="10"/>
      <c r="T140" s="10"/>
      <c r="U140" s="10"/>
    </row>
    <row r="141" spans="1:21" x14ac:dyDescent="0.3">
      <c r="A141" s="1" t="s">
        <v>544</v>
      </c>
      <c r="B141" s="1" t="str">
        <f t="shared" ca="1" si="1"/>
        <v/>
      </c>
      <c r="C141" s="1"/>
      <c r="D141" s="2" t="s">
        <v>548</v>
      </c>
      <c r="E141" s="15"/>
      <c r="F141" s="15"/>
      <c r="G141" s="15"/>
      <c r="H141" s="1" t="s">
        <v>475</v>
      </c>
      <c r="I141" s="7"/>
      <c r="J141" s="15" t="s">
        <v>841</v>
      </c>
      <c r="K141" s="1"/>
      <c r="L141" s="15"/>
      <c r="M141" s="15"/>
      <c r="N141" s="15"/>
      <c r="O141" s="7"/>
      <c r="P141" s="10"/>
      <c r="Q141" s="10"/>
      <c r="R141" s="10"/>
      <c r="S141" s="10"/>
      <c r="T141" s="10"/>
      <c r="U141" s="10"/>
    </row>
    <row r="142" spans="1:21" x14ac:dyDescent="0.3">
      <c r="A142" s="1" t="s">
        <v>544</v>
      </c>
      <c r="B142" s="1" t="str">
        <f t="shared" ca="1" si="1"/>
        <v/>
      </c>
      <c r="C142" s="1"/>
      <c r="D142" s="2" t="s">
        <v>549</v>
      </c>
      <c r="E142" s="15"/>
      <c r="F142" s="15"/>
      <c r="G142" s="15"/>
      <c r="H142" s="1" t="s">
        <v>453</v>
      </c>
      <c r="I142" s="7" t="s">
        <v>793</v>
      </c>
      <c r="J142" s="15" t="s">
        <v>841</v>
      </c>
      <c r="K142" s="1"/>
      <c r="L142" s="15"/>
      <c r="M142" s="15"/>
      <c r="N142" s="15"/>
      <c r="O142" s="7"/>
      <c r="P142" s="10"/>
      <c r="Q142" s="10"/>
      <c r="R142" s="10"/>
      <c r="S142" s="10"/>
      <c r="T142" s="10"/>
      <c r="U142" s="10"/>
    </row>
    <row r="143" spans="1:21" x14ac:dyDescent="0.3">
      <c r="A143" s="1" t="s">
        <v>544</v>
      </c>
      <c r="B143" s="1" t="str">
        <f t="shared" ca="1" si="1"/>
        <v/>
      </c>
      <c r="C143" s="1"/>
      <c r="D143" s="2" t="s">
        <v>659</v>
      </c>
      <c r="E143" s="15"/>
      <c r="F143" s="15"/>
      <c r="G143" s="15"/>
      <c r="H143" s="1" t="s">
        <v>453</v>
      </c>
      <c r="I143" s="7"/>
      <c r="J143" s="15" t="s">
        <v>841</v>
      </c>
      <c r="K143" s="1"/>
      <c r="L143" s="15"/>
      <c r="M143" s="15"/>
      <c r="N143" s="15"/>
      <c r="O143" s="7"/>
      <c r="P143" s="10"/>
      <c r="Q143" s="10"/>
      <c r="R143" s="10"/>
      <c r="S143" s="10"/>
      <c r="T143" s="10"/>
      <c r="U143" s="10"/>
    </row>
    <row r="144" spans="1:21" x14ac:dyDescent="0.3">
      <c r="A144" s="1" t="s">
        <v>544</v>
      </c>
      <c r="B144" s="1" t="str">
        <f t="shared" ca="1" si="1"/>
        <v/>
      </c>
      <c r="C144" s="1"/>
      <c r="D144" s="2" t="s">
        <v>660</v>
      </c>
      <c r="E144" s="15"/>
      <c r="F144" s="15"/>
      <c r="G144" s="15"/>
      <c r="H144" s="1" t="s">
        <v>475</v>
      </c>
      <c r="I144" s="7"/>
      <c r="J144" s="15" t="s">
        <v>841</v>
      </c>
      <c r="K144" s="1"/>
      <c r="L144" s="15"/>
      <c r="M144" s="15"/>
      <c r="N144" s="15"/>
      <c r="O144" s="7"/>
      <c r="P144" s="10"/>
      <c r="Q144" s="10"/>
      <c r="R144" s="10"/>
      <c r="S144" s="10"/>
      <c r="T144" s="10"/>
      <c r="U144" s="10"/>
    </row>
    <row r="145" spans="1:21" x14ac:dyDescent="0.3">
      <c r="A145" s="1" t="s">
        <v>544</v>
      </c>
      <c r="B145" s="1" t="str">
        <f t="shared" ca="1" si="1"/>
        <v/>
      </c>
      <c r="C145" s="1"/>
      <c r="D145" s="2" t="s">
        <v>550</v>
      </c>
      <c r="E145" s="15"/>
      <c r="F145" s="15"/>
      <c r="G145" s="15"/>
      <c r="H145" s="1" t="s">
        <v>475</v>
      </c>
      <c r="I145" s="7"/>
      <c r="J145" s="15" t="s">
        <v>841</v>
      </c>
      <c r="K145" s="1"/>
      <c r="L145" s="15"/>
      <c r="M145" s="15"/>
      <c r="N145" s="15"/>
      <c r="O145" s="7"/>
      <c r="P145" s="10"/>
      <c r="Q145" s="10"/>
      <c r="R145" s="10"/>
      <c r="S145" s="10"/>
      <c r="T145" s="10"/>
      <c r="U145" s="10"/>
    </row>
    <row r="146" spans="1:21" x14ac:dyDescent="0.3">
      <c r="A146" s="1" t="s">
        <v>544</v>
      </c>
      <c r="B146" s="1" t="s">
        <v>75</v>
      </c>
      <c r="C146" s="1"/>
      <c r="D146" s="2" t="s">
        <v>657</v>
      </c>
      <c r="E146" s="15"/>
      <c r="F146" s="15"/>
      <c r="G146" s="15"/>
      <c r="H146" s="1" t="s">
        <v>97</v>
      </c>
      <c r="I146" s="7" t="s">
        <v>766</v>
      </c>
      <c r="J146" s="15" t="s">
        <v>841</v>
      </c>
      <c r="K146" s="1"/>
      <c r="L146" s="15"/>
      <c r="M146" s="15"/>
      <c r="N146" s="15"/>
      <c r="O146" s="7"/>
      <c r="P146" s="10"/>
      <c r="Q146" s="10"/>
      <c r="R146" s="10"/>
      <c r="S146" s="10"/>
      <c r="T146" s="10"/>
      <c r="U146" s="10"/>
    </row>
    <row r="147" spans="1:21" x14ac:dyDescent="0.3">
      <c r="A147" s="1" t="s">
        <v>544</v>
      </c>
      <c r="B147" s="1" t="str">
        <f t="shared" ca="1" si="1"/>
        <v/>
      </c>
      <c r="C147" s="1"/>
      <c r="D147" s="2" t="s">
        <v>541</v>
      </c>
      <c r="E147" s="15"/>
      <c r="F147" s="15"/>
      <c r="G147" s="15"/>
      <c r="H147" s="1" t="s">
        <v>476</v>
      </c>
      <c r="I147" s="7"/>
      <c r="J147" s="15" t="s">
        <v>841</v>
      </c>
      <c r="K147" s="1"/>
      <c r="L147" s="15"/>
      <c r="M147" s="15"/>
      <c r="N147" s="15"/>
      <c r="O147" s="7"/>
      <c r="P147" s="10"/>
      <c r="Q147" s="10"/>
      <c r="R147" s="10"/>
      <c r="S147" s="10"/>
      <c r="T147" s="10"/>
      <c r="U147" s="10"/>
    </row>
    <row r="148" spans="1:21" x14ac:dyDescent="0.3">
      <c r="A148" s="1" t="s">
        <v>544</v>
      </c>
      <c r="B148" s="1" t="str">
        <f t="shared" ca="1" si="1"/>
        <v/>
      </c>
      <c r="C148" s="1"/>
      <c r="D148" s="2" t="s">
        <v>551</v>
      </c>
      <c r="E148" s="15"/>
      <c r="F148" s="15"/>
      <c r="G148" s="15"/>
      <c r="H148" s="1" t="s">
        <v>476</v>
      </c>
      <c r="I148" s="7"/>
      <c r="J148" s="15" t="s">
        <v>841</v>
      </c>
      <c r="K148" s="1"/>
      <c r="L148" s="15"/>
      <c r="M148" s="15"/>
      <c r="N148" s="15"/>
      <c r="O148" s="7"/>
      <c r="P148" s="10"/>
      <c r="Q148" s="10"/>
      <c r="R148" s="10"/>
      <c r="S148" s="10"/>
      <c r="T148" s="10"/>
      <c r="U148" s="10"/>
    </row>
    <row r="149" spans="1:21" x14ac:dyDescent="0.3">
      <c r="A149" s="1" t="s">
        <v>544</v>
      </c>
      <c r="B149" s="1" t="s">
        <v>76</v>
      </c>
      <c r="C149" s="1" t="s">
        <v>77</v>
      </c>
      <c r="D149" s="2" t="s">
        <v>543</v>
      </c>
      <c r="E149" s="15"/>
      <c r="F149" s="15"/>
      <c r="G149" s="15">
        <v>2</v>
      </c>
      <c r="H149" s="1" t="s">
        <v>834</v>
      </c>
      <c r="I149" s="7" t="s">
        <v>1013</v>
      </c>
      <c r="J149" s="15" t="s">
        <v>841</v>
      </c>
      <c r="K149" s="1"/>
      <c r="L149" s="15"/>
      <c r="M149" s="15"/>
      <c r="N149" s="15"/>
      <c r="O149" s="7"/>
      <c r="P149" s="10"/>
      <c r="Q149" s="10"/>
      <c r="R149" s="10"/>
      <c r="S149" s="10"/>
      <c r="T149" s="10"/>
      <c r="U149" s="10"/>
    </row>
    <row r="150" spans="1:21" ht="34.5" x14ac:dyDescent="0.3">
      <c r="A150" s="1" t="s">
        <v>602</v>
      </c>
      <c r="B150" s="1"/>
      <c r="C150" s="1" t="s">
        <v>875</v>
      </c>
      <c r="D150" s="2" t="s">
        <v>661</v>
      </c>
      <c r="E150" s="15"/>
      <c r="F150" s="15"/>
      <c r="G150" s="15">
        <v>5</v>
      </c>
      <c r="H150" s="1" t="s">
        <v>834</v>
      </c>
      <c r="I150" s="11" t="s">
        <v>794</v>
      </c>
      <c r="J150" s="15" t="s">
        <v>841</v>
      </c>
      <c r="K150" s="1"/>
      <c r="L150" s="15"/>
      <c r="M150" s="15"/>
      <c r="N150" s="15"/>
      <c r="O150" s="7"/>
      <c r="P150" s="10"/>
      <c r="Q150" s="10"/>
      <c r="R150" s="10"/>
      <c r="S150" s="10"/>
      <c r="T150" s="10"/>
      <c r="U150" s="10"/>
    </row>
    <row r="151" spans="1:21" ht="34.5" x14ac:dyDescent="0.3">
      <c r="A151" s="1" t="s">
        <v>602</v>
      </c>
      <c r="B151" s="1"/>
      <c r="C151" s="1" t="s">
        <v>876</v>
      </c>
      <c r="D151" s="2" t="s">
        <v>662</v>
      </c>
      <c r="E151" s="15">
        <v>10</v>
      </c>
      <c r="F151" s="15"/>
      <c r="G151" s="15"/>
      <c r="H151" s="1" t="s">
        <v>877</v>
      </c>
      <c r="I151" s="11" t="s">
        <v>795</v>
      </c>
      <c r="J151" s="15" t="s">
        <v>841</v>
      </c>
      <c r="K151" s="1"/>
      <c r="L151" s="15"/>
      <c r="M151" s="15"/>
      <c r="N151" s="15"/>
      <c r="O151" s="7"/>
      <c r="P151" s="10"/>
      <c r="Q151" s="10"/>
      <c r="R151" s="10"/>
      <c r="S151" s="10"/>
      <c r="T151" s="10"/>
      <c r="U151" s="10"/>
    </row>
    <row r="152" spans="1:21" x14ac:dyDescent="0.3">
      <c r="A152" s="1" t="s">
        <v>602</v>
      </c>
      <c r="B152" s="1"/>
      <c r="C152" s="1" t="s">
        <v>878</v>
      </c>
      <c r="D152" s="2" t="s">
        <v>663</v>
      </c>
      <c r="E152" s="15"/>
      <c r="F152" s="15"/>
      <c r="G152" s="15" t="s">
        <v>841</v>
      </c>
      <c r="H152" s="4" t="s">
        <v>750</v>
      </c>
      <c r="I152" s="7" t="s">
        <v>766</v>
      </c>
      <c r="J152" s="15" t="s">
        <v>841</v>
      </c>
      <c r="K152" s="1"/>
      <c r="L152" s="15"/>
      <c r="M152" s="15"/>
      <c r="N152" s="15"/>
      <c r="O152" s="7"/>
      <c r="P152" s="10"/>
      <c r="Q152" s="10"/>
      <c r="R152" s="10"/>
      <c r="S152" s="10"/>
      <c r="T152" s="10"/>
      <c r="U152" s="10"/>
    </row>
    <row r="153" spans="1:21" ht="46" x14ac:dyDescent="0.3">
      <c r="A153" s="1" t="s">
        <v>602</v>
      </c>
      <c r="B153" s="1"/>
      <c r="C153" s="1"/>
      <c r="D153" s="2" t="s">
        <v>664</v>
      </c>
      <c r="E153" s="15"/>
      <c r="F153" s="15"/>
      <c r="G153" s="15"/>
      <c r="H153" s="1" t="s">
        <v>446</v>
      </c>
      <c r="I153" s="5" t="s">
        <v>796</v>
      </c>
      <c r="J153" s="15" t="s">
        <v>841</v>
      </c>
      <c r="K153" s="1"/>
      <c r="L153" s="15"/>
      <c r="M153" s="15"/>
      <c r="N153" s="15"/>
      <c r="O153" s="7"/>
      <c r="P153" s="10"/>
      <c r="Q153" s="10"/>
      <c r="R153" s="10"/>
      <c r="S153" s="10"/>
      <c r="T153" s="10"/>
      <c r="U153" s="10"/>
    </row>
    <row r="154" spans="1:21" x14ac:dyDescent="0.3">
      <c r="A154" s="1" t="s">
        <v>602</v>
      </c>
      <c r="B154" s="1" t="str">
        <f ca="1">IF(C154 &lt;&gt; "", CONCATENATE("BID#",CELL("row", B154)),"")</f>
        <v/>
      </c>
      <c r="C154" s="1"/>
      <c r="D154" s="2" t="s">
        <v>665</v>
      </c>
      <c r="E154" s="15"/>
      <c r="F154" s="15"/>
      <c r="G154" s="15" t="s">
        <v>474</v>
      </c>
      <c r="H154" s="4" t="s">
        <v>750</v>
      </c>
      <c r="I154" s="7" t="s">
        <v>766</v>
      </c>
      <c r="J154" s="15" t="s">
        <v>841</v>
      </c>
      <c r="K154" s="1"/>
      <c r="L154" s="15"/>
      <c r="M154" s="15"/>
      <c r="N154" s="15"/>
      <c r="O154" s="7"/>
      <c r="P154" s="10"/>
      <c r="Q154" s="10"/>
      <c r="R154" s="10"/>
      <c r="S154" s="10"/>
      <c r="T154" s="10"/>
      <c r="U154" s="10"/>
    </row>
    <row r="155" spans="1:21" ht="46" x14ac:dyDescent="0.3">
      <c r="A155" s="1" t="s">
        <v>602</v>
      </c>
      <c r="B155" s="1"/>
      <c r="C155" s="1" t="s">
        <v>879</v>
      </c>
      <c r="D155" s="2" t="s">
        <v>666</v>
      </c>
      <c r="E155" s="15"/>
      <c r="F155" s="15"/>
      <c r="G155" s="15">
        <v>5</v>
      </c>
      <c r="H155" s="1" t="s">
        <v>834</v>
      </c>
      <c r="I155" s="5" t="s">
        <v>797</v>
      </c>
      <c r="J155" s="15" t="s">
        <v>841</v>
      </c>
      <c r="K155" s="1"/>
      <c r="L155" s="15"/>
      <c r="M155" s="15"/>
      <c r="N155" s="15"/>
      <c r="O155" s="7"/>
      <c r="P155" s="10"/>
      <c r="Q155" s="10"/>
      <c r="R155" s="10"/>
      <c r="S155" s="10"/>
      <c r="T155" s="10"/>
      <c r="U155" s="10"/>
    </row>
    <row r="156" spans="1:21" ht="69" x14ac:dyDescent="0.3">
      <c r="A156" s="1" t="s">
        <v>602</v>
      </c>
      <c r="B156" s="1"/>
      <c r="C156" s="1" t="s">
        <v>880</v>
      </c>
      <c r="D156" s="2" t="s">
        <v>668</v>
      </c>
      <c r="E156" s="15"/>
      <c r="F156" s="15"/>
      <c r="G156" s="15" t="s">
        <v>841</v>
      </c>
      <c r="H156" s="4" t="s">
        <v>750</v>
      </c>
      <c r="I156" s="7" t="s">
        <v>798</v>
      </c>
      <c r="J156" s="15" t="s">
        <v>841</v>
      </c>
      <c r="K156" s="1"/>
      <c r="L156" s="15"/>
      <c r="M156" s="15"/>
      <c r="N156" s="15"/>
      <c r="O156" s="7"/>
      <c r="P156" s="10"/>
      <c r="Q156" s="10"/>
      <c r="R156" s="10"/>
      <c r="S156" s="10"/>
      <c r="T156" s="10"/>
      <c r="U156" s="10"/>
    </row>
    <row r="157" spans="1:21" x14ac:dyDescent="0.3">
      <c r="A157" s="1" t="s">
        <v>602</v>
      </c>
      <c r="B157" s="1" t="s">
        <v>78</v>
      </c>
      <c r="C157" s="1" t="s">
        <v>79</v>
      </c>
      <c r="D157" s="2" t="s">
        <v>669</v>
      </c>
      <c r="E157" s="15"/>
      <c r="F157" s="15"/>
      <c r="G157" s="15"/>
      <c r="H157" s="1" t="s">
        <v>446</v>
      </c>
      <c r="I157" s="7"/>
      <c r="J157" s="15" t="s">
        <v>841</v>
      </c>
      <c r="K157" s="1"/>
      <c r="L157" s="15"/>
      <c r="M157" s="15"/>
      <c r="N157" s="15"/>
      <c r="O157" s="7"/>
      <c r="P157" s="10"/>
      <c r="Q157" s="10"/>
      <c r="R157" s="10"/>
      <c r="S157" s="10"/>
      <c r="T157" s="10"/>
      <c r="U157" s="10"/>
    </row>
    <row r="158" spans="1:21" x14ac:dyDescent="0.3">
      <c r="A158" s="1" t="s">
        <v>602</v>
      </c>
      <c r="B158" s="1" t="str">
        <f t="shared" ref="B158:B163" ca="1" si="2">IF(C158 &lt;&gt; "", CONCATENATE("BID#",CELL("row", B158)),"")</f>
        <v/>
      </c>
      <c r="C158" s="1"/>
      <c r="D158" s="2" t="s">
        <v>670</v>
      </c>
      <c r="E158" s="15"/>
      <c r="F158" s="15"/>
      <c r="G158" s="15"/>
      <c r="H158" s="1" t="s">
        <v>446</v>
      </c>
      <c r="I158" s="7"/>
      <c r="J158" s="15" t="s">
        <v>841</v>
      </c>
      <c r="K158" s="1"/>
      <c r="L158" s="15"/>
      <c r="M158" s="15"/>
      <c r="N158" s="15"/>
      <c r="O158" s="7"/>
      <c r="P158" s="10"/>
      <c r="Q158" s="10"/>
      <c r="R158" s="10"/>
      <c r="S158" s="10"/>
      <c r="T158" s="10"/>
      <c r="U158" s="10"/>
    </row>
    <row r="159" spans="1:21" x14ac:dyDescent="0.3">
      <c r="A159" s="1" t="s">
        <v>602</v>
      </c>
      <c r="B159" s="1" t="str">
        <f t="shared" ca="1" si="2"/>
        <v/>
      </c>
      <c r="C159" s="1"/>
      <c r="D159" s="2" t="s">
        <v>671</v>
      </c>
      <c r="E159" s="15"/>
      <c r="F159" s="15"/>
      <c r="G159" s="15"/>
      <c r="H159" s="1" t="s">
        <v>446</v>
      </c>
      <c r="I159" s="7"/>
      <c r="J159" s="15" t="s">
        <v>841</v>
      </c>
      <c r="K159" s="1"/>
      <c r="L159" s="15"/>
      <c r="M159" s="15"/>
      <c r="N159" s="15"/>
      <c r="O159" s="7"/>
      <c r="P159" s="10"/>
      <c r="Q159" s="10"/>
      <c r="R159" s="10"/>
      <c r="S159" s="10"/>
      <c r="T159" s="10"/>
      <c r="U159" s="10"/>
    </row>
    <row r="160" spans="1:21" x14ac:dyDescent="0.3">
      <c r="A160" s="1" t="s">
        <v>602</v>
      </c>
      <c r="B160" s="1" t="str">
        <f t="shared" ca="1" si="2"/>
        <v/>
      </c>
      <c r="C160" s="1"/>
      <c r="D160" s="2" t="s">
        <v>672</v>
      </c>
      <c r="E160" s="15"/>
      <c r="F160" s="15"/>
      <c r="G160" s="15"/>
      <c r="H160" s="1" t="s">
        <v>446</v>
      </c>
      <c r="I160" s="10" t="s">
        <v>799</v>
      </c>
      <c r="J160" s="15" t="s">
        <v>841</v>
      </c>
      <c r="K160" s="1"/>
      <c r="L160" s="15"/>
      <c r="M160" s="15"/>
      <c r="N160" s="15"/>
      <c r="O160" s="7"/>
      <c r="P160" s="10"/>
      <c r="Q160" s="10"/>
      <c r="R160" s="10"/>
      <c r="S160" s="10"/>
      <c r="T160" s="10"/>
      <c r="U160" s="10"/>
    </row>
    <row r="161" spans="1:21" x14ac:dyDescent="0.3">
      <c r="A161" s="1" t="s">
        <v>602</v>
      </c>
      <c r="B161" s="1" t="str">
        <f t="shared" ca="1" si="2"/>
        <v/>
      </c>
      <c r="C161" s="1"/>
      <c r="D161" s="2" t="s">
        <v>673</v>
      </c>
      <c r="E161" s="15"/>
      <c r="F161" s="15"/>
      <c r="G161" s="15"/>
      <c r="H161" s="1" t="s">
        <v>446</v>
      </c>
      <c r="I161" s="10" t="s">
        <v>800</v>
      </c>
      <c r="J161" s="15" t="s">
        <v>841</v>
      </c>
      <c r="K161" s="1"/>
      <c r="L161" s="15"/>
      <c r="M161" s="15"/>
      <c r="N161" s="15"/>
      <c r="O161" s="7"/>
      <c r="P161" s="10"/>
      <c r="Q161" s="10"/>
      <c r="R161" s="10"/>
      <c r="S161" s="10"/>
      <c r="T161" s="10"/>
      <c r="U161" s="10"/>
    </row>
    <row r="162" spans="1:21" x14ac:dyDescent="0.3">
      <c r="A162" s="1" t="s">
        <v>602</v>
      </c>
      <c r="B162" s="1" t="str">
        <f t="shared" ca="1" si="2"/>
        <v/>
      </c>
      <c r="C162" s="1"/>
      <c r="D162" s="2" t="s">
        <v>674</v>
      </c>
      <c r="E162" s="15"/>
      <c r="F162" s="15"/>
      <c r="G162" s="15" t="s">
        <v>474</v>
      </c>
      <c r="H162" s="4" t="s">
        <v>750</v>
      </c>
      <c r="I162" s="7" t="s">
        <v>766</v>
      </c>
      <c r="J162" s="15" t="s">
        <v>841</v>
      </c>
      <c r="K162" s="1"/>
      <c r="L162" s="15"/>
      <c r="M162" s="15"/>
      <c r="N162" s="15"/>
      <c r="O162" s="7"/>
      <c r="P162" s="10"/>
      <c r="Q162" s="10"/>
      <c r="R162" s="10"/>
      <c r="S162" s="10"/>
      <c r="T162" s="10"/>
      <c r="U162" s="10"/>
    </row>
    <row r="163" spans="1:21" ht="34.5" x14ac:dyDescent="0.3">
      <c r="A163" s="1" t="s">
        <v>602</v>
      </c>
      <c r="B163" s="1" t="str">
        <f t="shared" ca="1" si="2"/>
        <v/>
      </c>
      <c r="C163" s="1"/>
      <c r="D163" s="2" t="s">
        <v>675</v>
      </c>
      <c r="E163" s="15"/>
      <c r="F163" s="15"/>
      <c r="G163" s="15"/>
      <c r="H163" s="1" t="s">
        <v>446</v>
      </c>
      <c r="I163" s="5" t="s">
        <v>801</v>
      </c>
      <c r="J163" s="15" t="s">
        <v>841</v>
      </c>
      <c r="K163" s="1"/>
      <c r="L163" s="15"/>
      <c r="M163" s="15"/>
      <c r="N163" s="15"/>
      <c r="O163" s="7"/>
      <c r="P163" s="10"/>
      <c r="Q163" s="10"/>
      <c r="R163" s="10"/>
      <c r="S163" s="10"/>
      <c r="T163" s="10"/>
      <c r="U163" s="10"/>
    </row>
    <row r="164" spans="1:21" ht="46" x14ac:dyDescent="0.3">
      <c r="A164" s="1" t="s">
        <v>602</v>
      </c>
      <c r="B164" s="1"/>
      <c r="C164" s="1" t="s">
        <v>881</v>
      </c>
      <c r="D164" s="2" t="s">
        <v>667</v>
      </c>
      <c r="E164" s="15"/>
      <c r="F164" s="15"/>
      <c r="G164" s="15" t="s">
        <v>841</v>
      </c>
      <c r="H164" s="4" t="s">
        <v>750</v>
      </c>
      <c r="I164" s="5" t="s">
        <v>802</v>
      </c>
      <c r="J164" s="15" t="s">
        <v>841</v>
      </c>
      <c r="K164" s="1"/>
      <c r="L164" s="15"/>
      <c r="M164" s="15"/>
      <c r="N164" s="15"/>
      <c r="O164" s="7"/>
      <c r="P164" s="10"/>
      <c r="Q164" s="10"/>
      <c r="R164" s="10"/>
      <c r="S164" s="10"/>
      <c r="T164" s="10"/>
      <c r="U164" s="10"/>
    </row>
    <row r="165" spans="1:21" x14ac:dyDescent="0.3">
      <c r="A165" s="1" t="s">
        <v>602</v>
      </c>
      <c r="B165" s="1"/>
      <c r="C165" s="1" t="s">
        <v>882</v>
      </c>
      <c r="D165" s="2" t="s">
        <v>676</v>
      </c>
      <c r="E165" s="15"/>
      <c r="F165" s="15"/>
      <c r="G165" s="15" t="s">
        <v>841</v>
      </c>
      <c r="H165" s="4" t="s">
        <v>750</v>
      </c>
      <c r="I165" s="7" t="s">
        <v>766</v>
      </c>
      <c r="J165" s="15" t="s">
        <v>841</v>
      </c>
      <c r="K165" s="1"/>
      <c r="L165" s="15"/>
      <c r="M165" s="15"/>
      <c r="N165" s="15"/>
      <c r="O165" s="7"/>
      <c r="P165" s="10"/>
      <c r="Q165" s="10"/>
      <c r="R165" s="10"/>
      <c r="S165" s="10"/>
      <c r="T165" s="10"/>
      <c r="U165" s="10"/>
    </row>
    <row r="166" spans="1:21" x14ac:dyDescent="0.3">
      <c r="A166" s="1" t="s">
        <v>602</v>
      </c>
      <c r="B166" s="1"/>
      <c r="C166" s="1"/>
      <c r="D166" s="2" t="s">
        <v>677</v>
      </c>
      <c r="E166" s="15"/>
      <c r="F166" s="15"/>
      <c r="G166" s="15"/>
      <c r="H166" s="1" t="s">
        <v>760</v>
      </c>
      <c r="I166" s="7"/>
      <c r="J166" s="15" t="s">
        <v>841</v>
      </c>
      <c r="K166" s="1"/>
      <c r="L166" s="15"/>
      <c r="M166" s="15"/>
      <c r="N166" s="15"/>
      <c r="O166" s="7"/>
      <c r="P166" s="10"/>
      <c r="Q166" s="10"/>
      <c r="R166" s="10"/>
      <c r="S166" s="10"/>
      <c r="T166" s="10"/>
      <c r="U166" s="10"/>
    </row>
    <row r="167" spans="1:21" x14ac:dyDescent="0.3">
      <c r="A167" s="1" t="s">
        <v>602</v>
      </c>
      <c r="B167" s="1"/>
      <c r="C167" s="1"/>
      <c r="D167" s="2" t="s">
        <v>678</v>
      </c>
      <c r="E167" s="15"/>
      <c r="F167" s="15"/>
      <c r="G167" s="15"/>
      <c r="H167" s="1" t="s">
        <v>446</v>
      </c>
      <c r="I167" s="7"/>
      <c r="J167" s="15" t="s">
        <v>841</v>
      </c>
      <c r="K167" s="1"/>
      <c r="L167" s="15"/>
      <c r="M167" s="15"/>
      <c r="N167" s="15"/>
      <c r="O167" s="7"/>
      <c r="P167" s="10"/>
      <c r="Q167" s="10"/>
      <c r="R167" s="10"/>
      <c r="S167" s="10"/>
      <c r="T167" s="10"/>
      <c r="U167" s="10"/>
    </row>
    <row r="168" spans="1:21" x14ac:dyDescent="0.3">
      <c r="A168" s="1" t="s">
        <v>602</v>
      </c>
      <c r="B168" s="1"/>
      <c r="C168" s="1"/>
      <c r="D168" s="2" t="s">
        <v>679</v>
      </c>
      <c r="E168" s="15"/>
      <c r="F168" s="15"/>
      <c r="G168" s="15" t="s">
        <v>474</v>
      </c>
      <c r="H168" s="4" t="s">
        <v>750</v>
      </c>
      <c r="I168" s="7" t="s">
        <v>766</v>
      </c>
      <c r="J168" s="15" t="s">
        <v>841</v>
      </c>
      <c r="K168" s="1"/>
      <c r="L168" s="15"/>
      <c r="M168" s="15"/>
      <c r="N168" s="15"/>
      <c r="O168" s="7"/>
      <c r="P168" s="10"/>
      <c r="Q168" s="10"/>
      <c r="R168" s="10"/>
      <c r="S168" s="10"/>
      <c r="T168" s="10"/>
      <c r="U168" s="10"/>
    </row>
    <row r="169" spans="1:21" x14ac:dyDescent="0.3">
      <c r="A169" s="1" t="s">
        <v>602</v>
      </c>
      <c r="B169" s="1"/>
      <c r="C169" s="1" t="s">
        <v>883</v>
      </c>
      <c r="D169" s="2" t="s">
        <v>680</v>
      </c>
      <c r="E169" s="15"/>
      <c r="F169" s="15"/>
      <c r="G169" s="15" t="s">
        <v>841</v>
      </c>
      <c r="H169" s="4" t="s">
        <v>750</v>
      </c>
      <c r="I169" s="7" t="s">
        <v>766</v>
      </c>
      <c r="J169" s="15" t="s">
        <v>841</v>
      </c>
      <c r="K169" s="1"/>
      <c r="L169" s="15"/>
      <c r="M169" s="15"/>
      <c r="N169" s="15"/>
      <c r="O169" s="7"/>
      <c r="P169" s="10"/>
      <c r="Q169" s="10"/>
      <c r="R169" s="10"/>
      <c r="S169" s="10"/>
      <c r="T169" s="10"/>
      <c r="U169" s="10"/>
    </row>
    <row r="170" spans="1:21" x14ac:dyDescent="0.3">
      <c r="A170" s="1" t="s">
        <v>602</v>
      </c>
      <c r="B170" s="1" t="str">
        <f ca="1">IF(C170 &lt;&gt; "", CONCATENATE("BID#",CELL("row", B170)),"")</f>
        <v/>
      </c>
      <c r="C170" s="1"/>
      <c r="D170" s="2" t="s">
        <v>681</v>
      </c>
      <c r="E170" s="15"/>
      <c r="F170" s="15"/>
      <c r="G170" s="15" t="s">
        <v>474</v>
      </c>
      <c r="H170" s="4" t="s">
        <v>750</v>
      </c>
      <c r="I170" s="7" t="s">
        <v>766</v>
      </c>
      <c r="J170" s="15" t="s">
        <v>841</v>
      </c>
      <c r="K170" s="1"/>
      <c r="L170" s="15"/>
      <c r="M170" s="15"/>
      <c r="N170" s="15"/>
      <c r="O170" s="7"/>
      <c r="P170" s="10"/>
      <c r="Q170" s="10"/>
      <c r="R170" s="10"/>
      <c r="S170" s="10"/>
      <c r="T170" s="10"/>
      <c r="U170" s="10"/>
    </row>
    <row r="171" spans="1:21" x14ac:dyDescent="0.3">
      <c r="A171" s="1" t="s">
        <v>589</v>
      </c>
      <c r="B171" s="1" t="s">
        <v>80</v>
      </c>
      <c r="C171" s="1" t="s">
        <v>884</v>
      </c>
      <c r="D171" s="2" t="s">
        <v>682</v>
      </c>
      <c r="E171" s="15"/>
      <c r="F171" s="15"/>
      <c r="G171" s="15" t="s">
        <v>841</v>
      </c>
      <c r="H171" s="4" t="s">
        <v>750</v>
      </c>
      <c r="I171" s="7"/>
      <c r="J171" s="15" t="s">
        <v>474</v>
      </c>
      <c r="K171" s="1"/>
      <c r="L171" s="15"/>
      <c r="M171" s="15"/>
      <c r="N171" s="15"/>
      <c r="O171" s="7"/>
      <c r="P171" s="10"/>
      <c r="Q171" s="10"/>
      <c r="R171" s="10"/>
      <c r="S171" s="10"/>
      <c r="T171" s="10"/>
      <c r="U171" s="10"/>
    </row>
    <row r="172" spans="1:21" x14ac:dyDescent="0.3">
      <c r="A172" s="1" t="s">
        <v>589</v>
      </c>
      <c r="B172" s="1"/>
      <c r="C172" s="1" t="s">
        <v>885</v>
      </c>
      <c r="D172" s="2" t="s">
        <v>683</v>
      </c>
      <c r="E172" s="15"/>
      <c r="F172" s="15"/>
      <c r="G172" s="15" t="s">
        <v>841</v>
      </c>
      <c r="H172" s="4" t="s">
        <v>750</v>
      </c>
      <c r="I172" s="7" t="s">
        <v>766</v>
      </c>
      <c r="J172" s="15" t="s">
        <v>841</v>
      </c>
      <c r="K172" s="1"/>
      <c r="L172" s="15"/>
      <c r="M172" s="15"/>
      <c r="N172" s="15"/>
      <c r="O172" s="7"/>
      <c r="P172" s="10"/>
      <c r="Q172" s="10"/>
      <c r="R172" s="10"/>
      <c r="S172" s="10"/>
      <c r="T172" s="10"/>
      <c r="U172" s="10"/>
    </row>
    <row r="173" spans="1:21" x14ac:dyDescent="0.3">
      <c r="A173" s="1" t="s">
        <v>589</v>
      </c>
      <c r="B173" s="1"/>
      <c r="C173" s="1" t="s">
        <v>886</v>
      </c>
      <c r="D173" s="2" t="s">
        <v>684</v>
      </c>
      <c r="E173" s="15"/>
      <c r="F173" s="15"/>
      <c r="G173" s="15" t="s">
        <v>841</v>
      </c>
      <c r="H173" s="4" t="s">
        <v>750</v>
      </c>
      <c r="I173" s="7" t="s">
        <v>766</v>
      </c>
      <c r="J173" s="15" t="s">
        <v>841</v>
      </c>
      <c r="K173" s="1"/>
      <c r="L173" s="15"/>
      <c r="M173" s="15"/>
      <c r="N173" s="15"/>
      <c r="O173" s="7"/>
      <c r="P173" s="10"/>
      <c r="Q173" s="10"/>
      <c r="R173" s="10"/>
      <c r="S173" s="10"/>
      <c r="T173" s="10"/>
      <c r="U173" s="10"/>
    </row>
    <row r="174" spans="1:21" x14ac:dyDescent="0.3">
      <c r="A174" s="1" t="s">
        <v>589</v>
      </c>
      <c r="B174" s="1" t="s">
        <v>81</v>
      </c>
      <c r="C174" s="1"/>
      <c r="D174" s="2" t="s">
        <v>445</v>
      </c>
      <c r="E174" s="15"/>
      <c r="F174" s="15"/>
      <c r="G174" s="15" t="s">
        <v>841</v>
      </c>
      <c r="H174" s="4" t="s">
        <v>750</v>
      </c>
      <c r="I174" s="7"/>
      <c r="J174" s="15" t="s">
        <v>474</v>
      </c>
      <c r="K174" s="1"/>
      <c r="L174" s="15"/>
      <c r="M174" s="15"/>
      <c r="N174" s="15"/>
      <c r="O174" s="7"/>
      <c r="P174" s="10"/>
      <c r="Q174" s="10"/>
      <c r="R174" s="10"/>
      <c r="S174" s="10"/>
      <c r="T174" s="10"/>
      <c r="U174" s="10"/>
    </row>
    <row r="175" spans="1:21" x14ac:dyDescent="0.3">
      <c r="A175" s="1" t="s">
        <v>589</v>
      </c>
      <c r="B175" s="1"/>
      <c r="C175" s="1" t="s">
        <v>887</v>
      </c>
      <c r="D175" s="2" t="s">
        <v>888</v>
      </c>
      <c r="E175" s="15"/>
      <c r="F175" s="15"/>
      <c r="G175" s="15" t="s">
        <v>841</v>
      </c>
      <c r="H175" s="4" t="s">
        <v>750</v>
      </c>
      <c r="I175" s="7" t="s">
        <v>766</v>
      </c>
      <c r="J175" s="15" t="s">
        <v>841</v>
      </c>
      <c r="K175" s="1"/>
      <c r="L175" s="15"/>
      <c r="M175" s="15"/>
      <c r="N175" s="15"/>
      <c r="O175" s="7"/>
      <c r="P175" s="10"/>
      <c r="Q175" s="10"/>
      <c r="R175" s="10"/>
      <c r="S175" s="10"/>
      <c r="T175" s="10"/>
      <c r="U175" s="10"/>
    </row>
    <row r="176" spans="1:21" x14ac:dyDescent="0.3">
      <c r="A176" s="1" t="s">
        <v>589</v>
      </c>
      <c r="B176" s="1"/>
      <c r="C176" s="1" t="s">
        <v>889</v>
      </c>
      <c r="D176" s="2" t="s">
        <v>685</v>
      </c>
      <c r="E176" s="15"/>
      <c r="F176" s="15"/>
      <c r="G176" s="15" t="s">
        <v>841</v>
      </c>
      <c r="H176" s="4" t="s">
        <v>750</v>
      </c>
      <c r="I176" s="7" t="s">
        <v>766</v>
      </c>
      <c r="J176" s="15" t="s">
        <v>841</v>
      </c>
      <c r="K176" s="1"/>
      <c r="L176" s="15"/>
      <c r="M176" s="15"/>
      <c r="N176" s="15"/>
      <c r="O176" s="7"/>
      <c r="P176" s="10"/>
      <c r="Q176" s="10"/>
      <c r="R176" s="10"/>
      <c r="S176" s="10"/>
      <c r="T176" s="10"/>
      <c r="U176" s="10"/>
    </row>
    <row r="177" spans="1:21" ht="23" x14ac:dyDescent="0.3">
      <c r="A177" s="1" t="s">
        <v>589</v>
      </c>
      <c r="B177" s="1" t="str">
        <f ca="1">IF(C177 &lt;&gt; "", CONCATENATE("BID#",CELL("row", B177)),"")</f>
        <v/>
      </c>
      <c r="C177" s="1"/>
      <c r="D177" s="2" t="s">
        <v>686</v>
      </c>
      <c r="E177" s="15"/>
      <c r="F177" s="15"/>
      <c r="G177" s="15" t="s">
        <v>474</v>
      </c>
      <c r="H177" s="4" t="s">
        <v>750</v>
      </c>
      <c r="I177" s="7" t="s">
        <v>766</v>
      </c>
      <c r="J177" s="15" t="s">
        <v>841</v>
      </c>
      <c r="K177" s="1"/>
      <c r="L177" s="15"/>
      <c r="M177" s="15"/>
      <c r="N177" s="15"/>
      <c r="O177" s="7"/>
      <c r="P177" s="10"/>
      <c r="Q177" s="10"/>
      <c r="R177" s="10"/>
      <c r="S177" s="10"/>
      <c r="T177" s="10"/>
      <c r="U177" s="10"/>
    </row>
    <row r="178" spans="1:21" ht="23" x14ac:dyDescent="0.3">
      <c r="A178" s="1" t="s">
        <v>589</v>
      </c>
      <c r="B178" s="1" t="str">
        <f ca="1">IF(C178 &lt;&gt; "", CONCATENATE("BID#",CELL("row", B178)),"")</f>
        <v/>
      </c>
      <c r="C178" s="1"/>
      <c r="D178" s="2" t="s">
        <v>687</v>
      </c>
      <c r="E178" s="15"/>
      <c r="F178" s="15"/>
      <c r="G178" s="15" t="s">
        <v>474</v>
      </c>
      <c r="H178" s="4" t="s">
        <v>750</v>
      </c>
      <c r="I178" s="7" t="s">
        <v>766</v>
      </c>
      <c r="J178" s="15" t="s">
        <v>841</v>
      </c>
      <c r="K178" s="1"/>
      <c r="L178" s="15"/>
      <c r="M178" s="15"/>
      <c r="N178" s="15"/>
      <c r="O178" s="7"/>
      <c r="P178" s="10"/>
      <c r="Q178" s="10"/>
      <c r="R178" s="10"/>
      <c r="S178" s="10"/>
      <c r="T178" s="10"/>
      <c r="U178" s="10"/>
    </row>
    <row r="179" spans="1:21" ht="23" x14ac:dyDescent="0.3">
      <c r="A179" s="1" t="s">
        <v>589</v>
      </c>
      <c r="B179" s="1" t="str">
        <f ca="1">IF(C179 &lt;&gt; "", CONCATENATE("BID#",CELL("row", B179)),"")</f>
        <v/>
      </c>
      <c r="C179" s="1"/>
      <c r="D179" s="2" t="s">
        <v>688</v>
      </c>
      <c r="E179" s="15"/>
      <c r="F179" s="15"/>
      <c r="G179" s="15" t="s">
        <v>474</v>
      </c>
      <c r="H179" s="4" t="s">
        <v>750</v>
      </c>
      <c r="I179" s="7" t="s">
        <v>766</v>
      </c>
      <c r="J179" s="15" t="s">
        <v>841</v>
      </c>
      <c r="K179" s="1"/>
      <c r="L179" s="15"/>
      <c r="M179" s="15"/>
      <c r="N179" s="15"/>
      <c r="O179" s="7"/>
      <c r="P179" s="10"/>
      <c r="Q179" s="10"/>
      <c r="R179" s="10"/>
      <c r="S179" s="10"/>
      <c r="T179" s="10"/>
      <c r="U179" s="10"/>
    </row>
    <row r="180" spans="1:21" ht="23" x14ac:dyDescent="0.3">
      <c r="A180" s="1" t="s">
        <v>589</v>
      </c>
      <c r="B180" s="1" t="str">
        <f ca="1">IF(C180 &lt;&gt; "", CONCATENATE("BID#",CELL("row", B180)),"")</f>
        <v/>
      </c>
      <c r="C180" s="1"/>
      <c r="D180" s="2" t="s">
        <v>689</v>
      </c>
      <c r="E180" s="15"/>
      <c r="F180" s="15"/>
      <c r="G180" s="15" t="s">
        <v>474</v>
      </c>
      <c r="H180" s="4" t="s">
        <v>750</v>
      </c>
      <c r="I180" s="7" t="s">
        <v>766</v>
      </c>
      <c r="J180" s="15" t="s">
        <v>841</v>
      </c>
      <c r="K180" s="1"/>
      <c r="L180" s="15"/>
      <c r="M180" s="15"/>
      <c r="N180" s="15"/>
      <c r="O180" s="7"/>
      <c r="P180" s="10"/>
      <c r="Q180" s="10"/>
      <c r="R180" s="10"/>
      <c r="S180" s="10"/>
      <c r="T180" s="10"/>
      <c r="U180" s="10"/>
    </row>
    <row r="181" spans="1:21" ht="23" x14ac:dyDescent="0.3">
      <c r="A181" s="1" t="s">
        <v>589</v>
      </c>
      <c r="B181" s="1"/>
      <c r="C181" s="1" t="s">
        <v>890</v>
      </c>
      <c r="D181" s="2" t="s">
        <v>690</v>
      </c>
      <c r="E181" s="15"/>
      <c r="F181" s="15"/>
      <c r="G181" s="15" t="s">
        <v>841</v>
      </c>
      <c r="H181" s="4" t="s">
        <v>750</v>
      </c>
      <c r="I181" s="7" t="s">
        <v>766</v>
      </c>
      <c r="J181" s="15" t="s">
        <v>841</v>
      </c>
      <c r="K181" s="1"/>
      <c r="L181" s="15"/>
      <c r="M181" s="15"/>
      <c r="N181" s="15"/>
      <c r="O181" s="7"/>
      <c r="P181" s="10"/>
      <c r="Q181" s="10"/>
      <c r="R181" s="10"/>
      <c r="S181" s="10"/>
      <c r="T181" s="10"/>
      <c r="U181" s="10"/>
    </row>
    <row r="182" spans="1:21" ht="23" x14ac:dyDescent="0.3">
      <c r="A182" s="1" t="s">
        <v>589</v>
      </c>
      <c r="B182" s="1"/>
      <c r="C182" s="1" t="s">
        <v>891</v>
      </c>
      <c r="D182" s="2" t="s">
        <v>691</v>
      </c>
      <c r="E182" s="15"/>
      <c r="F182" s="15"/>
      <c r="G182" s="15" t="s">
        <v>841</v>
      </c>
      <c r="H182" s="4" t="s">
        <v>750</v>
      </c>
      <c r="I182" s="7" t="s">
        <v>766</v>
      </c>
      <c r="J182" s="15" t="s">
        <v>841</v>
      </c>
      <c r="K182" s="1"/>
      <c r="L182" s="15"/>
      <c r="M182" s="15"/>
      <c r="N182" s="15"/>
      <c r="O182" s="7"/>
      <c r="P182" s="10"/>
      <c r="Q182" s="10"/>
      <c r="R182" s="10"/>
      <c r="S182" s="10"/>
      <c r="T182" s="10"/>
      <c r="U182" s="10"/>
    </row>
    <row r="183" spans="1:21" x14ac:dyDescent="0.3">
      <c r="A183" s="1" t="s">
        <v>589</v>
      </c>
      <c r="B183" s="1"/>
      <c r="C183" s="1" t="s">
        <v>892</v>
      </c>
      <c r="D183" s="2" t="s">
        <v>692</v>
      </c>
      <c r="E183" s="15"/>
      <c r="F183" s="15"/>
      <c r="G183" s="15" t="s">
        <v>474</v>
      </c>
      <c r="H183" s="4" t="s">
        <v>750</v>
      </c>
      <c r="I183" s="7" t="s">
        <v>766</v>
      </c>
      <c r="J183" s="15" t="s">
        <v>841</v>
      </c>
      <c r="K183" s="1"/>
      <c r="L183" s="15"/>
      <c r="M183" s="15"/>
      <c r="N183" s="15"/>
      <c r="O183" s="7"/>
      <c r="P183" s="10"/>
      <c r="Q183" s="10"/>
      <c r="R183" s="10"/>
      <c r="S183" s="10"/>
      <c r="T183" s="10"/>
      <c r="U183" s="10"/>
    </row>
    <row r="184" spans="1:21" x14ac:dyDescent="0.3">
      <c r="A184" s="1" t="s">
        <v>589</v>
      </c>
      <c r="B184" s="1" t="str">
        <f ca="1">IF(C184 &lt;&gt; "", CONCATENATE("BID#",CELL("row", B184)),"")</f>
        <v/>
      </c>
      <c r="C184" s="1"/>
      <c r="D184" s="2" t="s">
        <v>693</v>
      </c>
      <c r="E184" s="15"/>
      <c r="F184" s="15"/>
      <c r="G184" s="15" t="s">
        <v>474</v>
      </c>
      <c r="H184" s="4" t="s">
        <v>750</v>
      </c>
      <c r="I184" s="7" t="s">
        <v>766</v>
      </c>
      <c r="J184" s="15" t="s">
        <v>841</v>
      </c>
      <c r="K184" s="1"/>
      <c r="L184" s="15"/>
      <c r="M184" s="15"/>
      <c r="N184" s="15"/>
      <c r="O184" s="7"/>
      <c r="P184" s="10"/>
      <c r="Q184" s="10"/>
      <c r="R184" s="10"/>
      <c r="S184" s="10"/>
      <c r="T184" s="10"/>
      <c r="U184" s="10"/>
    </row>
    <row r="185" spans="1:21" x14ac:dyDescent="0.3">
      <c r="A185" s="1" t="s">
        <v>589</v>
      </c>
      <c r="B185" s="1" t="str">
        <f ca="1">IF(C185 &lt;&gt; "", CONCATENATE("BID#",CELL("row", B185)),"")</f>
        <v/>
      </c>
      <c r="C185" s="1"/>
      <c r="D185" s="2" t="s">
        <v>694</v>
      </c>
      <c r="E185" s="15"/>
      <c r="F185" s="15"/>
      <c r="G185" s="15" t="s">
        <v>474</v>
      </c>
      <c r="H185" s="4" t="s">
        <v>750</v>
      </c>
      <c r="I185" s="7" t="s">
        <v>766</v>
      </c>
      <c r="J185" s="15" t="s">
        <v>841</v>
      </c>
      <c r="K185" s="1"/>
      <c r="L185" s="15"/>
      <c r="M185" s="15"/>
      <c r="N185" s="15"/>
      <c r="O185" s="7"/>
      <c r="P185" s="10"/>
      <c r="Q185" s="10"/>
      <c r="R185" s="10"/>
      <c r="S185" s="10"/>
      <c r="T185" s="10"/>
      <c r="U185" s="10"/>
    </row>
    <row r="186" spans="1:21" x14ac:dyDescent="0.3">
      <c r="A186" s="1" t="s">
        <v>589</v>
      </c>
      <c r="B186" s="1" t="str">
        <f ca="1">IF(C186 &lt;&gt; "", CONCATENATE("BID#",CELL("row", B186)),"")</f>
        <v/>
      </c>
      <c r="C186" s="1"/>
      <c r="D186" s="2" t="s">
        <v>695</v>
      </c>
      <c r="E186" s="15"/>
      <c r="F186" s="15"/>
      <c r="G186" s="15" t="s">
        <v>474</v>
      </c>
      <c r="H186" s="4" t="s">
        <v>750</v>
      </c>
      <c r="I186" s="7" t="s">
        <v>766</v>
      </c>
      <c r="J186" s="15" t="s">
        <v>841</v>
      </c>
      <c r="K186" s="1"/>
      <c r="L186" s="15"/>
      <c r="M186" s="15"/>
      <c r="N186" s="15"/>
      <c r="O186" s="7"/>
      <c r="P186" s="10"/>
      <c r="Q186" s="10"/>
      <c r="R186" s="10"/>
      <c r="S186" s="10"/>
      <c r="T186" s="10"/>
      <c r="U186" s="10"/>
    </row>
    <row r="187" spans="1:21" ht="23" x14ac:dyDescent="0.3">
      <c r="A187" s="1" t="s">
        <v>589</v>
      </c>
      <c r="B187" s="1" t="str">
        <f ca="1">IF(C187 &lt;&gt; "", CONCATENATE("BID#",CELL("row", B187)),"")</f>
        <v/>
      </c>
      <c r="C187" s="1"/>
      <c r="D187" s="2" t="s">
        <v>696</v>
      </c>
      <c r="E187" s="15"/>
      <c r="F187" s="15"/>
      <c r="G187" s="15" t="s">
        <v>474</v>
      </c>
      <c r="H187" s="4" t="s">
        <v>750</v>
      </c>
      <c r="I187" s="2" t="s">
        <v>803</v>
      </c>
      <c r="J187" s="15" t="s">
        <v>841</v>
      </c>
      <c r="K187" s="1"/>
      <c r="L187" s="15"/>
      <c r="M187" s="15"/>
      <c r="N187" s="15"/>
      <c r="O187" s="7"/>
      <c r="P187" s="10"/>
      <c r="Q187" s="10"/>
      <c r="R187" s="10"/>
      <c r="S187" s="10"/>
      <c r="T187" s="10"/>
      <c r="U187" s="10"/>
    </row>
    <row r="188" spans="1:21" ht="23" x14ac:dyDescent="0.3">
      <c r="A188" s="1" t="s">
        <v>589</v>
      </c>
      <c r="B188" s="1"/>
      <c r="C188" s="1" t="s">
        <v>893</v>
      </c>
      <c r="D188" s="17" t="s">
        <v>697</v>
      </c>
      <c r="E188" s="15"/>
      <c r="F188" s="15"/>
      <c r="G188" s="15" t="s">
        <v>841</v>
      </c>
      <c r="H188" s="4" t="s">
        <v>750</v>
      </c>
      <c r="I188" s="2" t="s">
        <v>804</v>
      </c>
      <c r="J188" s="15" t="s">
        <v>841</v>
      </c>
      <c r="K188" s="1"/>
      <c r="L188" s="15"/>
      <c r="M188" s="15"/>
      <c r="N188" s="15"/>
      <c r="O188" s="7"/>
      <c r="P188" s="10"/>
      <c r="Q188" s="10"/>
      <c r="R188" s="10"/>
      <c r="S188" s="10"/>
      <c r="T188" s="10"/>
      <c r="U188" s="10"/>
    </row>
    <row r="189" spans="1:21" ht="34.5" x14ac:dyDescent="0.3">
      <c r="A189" s="1" t="s">
        <v>589</v>
      </c>
      <c r="B189" s="1" t="str">
        <f ca="1">IF(C189 &lt;&gt; "", CONCATENATE("BID#",CELL("row", B189)),"")</f>
        <v/>
      </c>
      <c r="C189" s="1"/>
      <c r="D189" s="2" t="s">
        <v>698</v>
      </c>
      <c r="E189" s="15"/>
      <c r="F189" s="15"/>
      <c r="G189" s="15" t="s">
        <v>474</v>
      </c>
      <c r="H189" s="4" t="s">
        <v>750</v>
      </c>
      <c r="I189" s="2" t="s">
        <v>805</v>
      </c>
      <c r="J189" s="15" t="s">
        <v>841</v>
      </c>
      <c r="K189" s="1"/>
      <c r="L189" s="15"/>
      <c r="M189" s="15"/>
      <c r="N189" s="15"/>
      <c r="O189" s="7"/>
      <c r="P189" s="10"/>
      <c r="Q189" s="10"/>
      <c r="R189" s="10"/>
      <c r="S189" s="10"/>
      <c r="T189" s="10"/>
      <c r="U189" s="10"/>
    </row>
    <row r="190" spans="1:21" ht="23" x14ac:dyDescent="0.3">
      <c r="A190" s="1" t="s">
        <v>589</v>
      </c>
      <c r="B190" s="1" t="str">
        <f ca="1">IF(C190 &lt;&gt; "", CONCATENATE("BID#",CELL("row", B190)),"")</f>
        <v/>
      </c>
      <c r="C190" s="1"/>
      <c r="D190" s="2" t="s">
        <v>699</v>
      </c>
      <c r="E190" s="15"/>
      <c r="F190" s="15"/>
      <c r="G190" s="15" t="s">
        <v>474</v>
      </c>
      <c r="H190" s="4" t="s">
        <v>750</v>
      </c>
      <c r="I190" s="2" t="s">
        <v>806</v>
      </c>
      <c r="J190" s="15" t="s">
        <v>841</v>
      </c>
      <c r="K190" s="1"/>
      <c r="L190" s="15"/>
      <c r="M190" s="15"/>
      <c r="N190" s="15"/>
      <c r="O190" s="7"/>
      <c r="P190" s="10"/>
      <c r="Q190" s="10"/>
      <c r="R190" s="10"/>
      <c r="S190" s="10"/>
      <c r="T190" s="10"/>
      <c r="U190" s="10"/>
    </row>
    <row r="191" spans="1:21" x14ac:dyDescent="0.3">
      <c r="A191" s="1" t="s">
        <v>589</v>
      </c>
      <c r="B191" s="1"/>
      <c r="C191" s="1" t="s">
        <v>894</v>
      </c>
      <c r="D191" s="2" t="s">
        <v>700</v>
      </c>
      <c r="E191" s="15"/>
      <c r="F191" s="15"/>
      <c r="G191" s="15">
        <v>0.1</v>
      </c>
      <c r="H191" s="1" t="s">
        <v>475</v>
      </c>
      <c r="I191" s="2" t="s">
        <v>895</v>
      </c>
      <c r="J191" s="15" t="s">
        <v>841</v>
      </c>
      <c r="K191" s="1"/>
      <c r="L191" s="15"/>
      <c r="M191" s="15"/>
      <c r="N191" s="15"/>
      <c r="O191" s="7"/>
      <c r="P191" s="10"/>
      <c r="Q191" s="10"/>
      <c r="R191" s="10"/>
      <c r="S191" s="10"/>
      <c r="T191" s="10"/>
      <c r="U191" s="10"/>
    </row>
    <row r="192" spans="1:21" x14ac:dyDescent="0.3">
      <c r="A192" s="1" t="s">
        <v>589</v>
      </c>
      <c r="B192" s="1"/>
      <c r="C192" s="1" t="s">
        <v>896</v>
      </c>
      <c r="D192" s="2" t="s">
        <v>701</v>
      </c>
      <c r="E192" s="15">
        <v>0</v>
      </c>
      <c r="F192" s="15"/>
      <c r="G192" s="15">
        <v>20</v>
      </c>
      <c r="H192" s="1" t="s">
        <v>529</v>
      </c>
      <c r="I192" s="2" t="s">
        <v>807</v>
      </c>
      <c r="J192" s="15" t="s">
        <v>841</v>
      </c>
      <c r="K192" s="1"/>
      <c r="L192" s="15"/>
      <c r="M192" s="15"/>
      <c r="N192" s="15"/>
      <c r="O192" s="7"/>
      <c r="P192" s="10"/>
      <c r="Q192" s="10"/>
      <c r="R192" s="10"/>
      <c r="S192" s="10"/>
      <c r="T192" s="10"/>
      <c r="U192" s="10"/>
    </row>
    <row r="193" spans="1:21" x14ac:dyDescent="0.3">
      <c r="A193" s="1" t="s">
        <v>589</v>
      </c>
      <c r="B193" s="1" t="str">
        <f ca="1">IF(C193 &lt;&gt; "", CONCATENATE("BID#",CELL("row", B193)),"")</f>
        <v/>
      </c>
      <c r="C193" s="1"/>
      <c r="D193" s="2" t="s">
        <v>702</v>
      </c>
      <c r="E193" s="15"/>
      <c r="F193" s="15"/>
      <c r="G193" s="15"/>
      <c r="H193" s="1" t="s">
        <v>452</v>
      </c>
      <c r="I193" s="2" t="s">
        <v>808</v>
      </c>
      <c r="J193" s="15" t="s">
        <v>841</v>
      </c>
      <c r="K193" s="1"/>
      <c r="L193" s="15"/>
      <c r="M193" s="15"/>
      <c r="N193" s="15"/>
      <c r="O193" s="7"/>
      <c r="P193" s="10"/>
      <c r="Q193" s="10"/>
      <c r="R193" s="10"/>
      <c r="S193" s="10"/>
      <c r="T193" s="10"/>
      <c r="U193" s="10"/>
    </row>
    <row r="194" spans="1:21" x14ac:dyDescent="0.3">
      <c r="A194" s="1" t="s">
        <v>589</v>
      </c>
      <c r="B194" s="1" t="s">
        <v>82</v>
      </c>
      <c r="C194" s="1" t="s">
        <v>83</v>
      </c>
      <c r="D194" s="2" t="s">
        <v>703</v>
      </c>
      <c r="E194" s="15"/>
      <c r="F194" s="15"/>
      <c r="G194" s="15">
        <v>100</v>
      </c>
      <c r="H194" s="1" t="s">
        <v>94</v>
      </c>
      <c r="I194" s="7" t="s">
        <v>93</v>
      </c>
      <c r="J194" s="15" t="s">
        <v>474</v>
      </c>
      <c r="K194" s="1"/>
      <c r="L194" s="15"/>
      <c r="M194" s="15"/>
      <c r="N194" s="15"/>
      <c r="O194" s="7"/>
      <c r="P194" s="10"/>
      <c r="Q194" s="10"/>
      <c r="R194" s="10"/>
      <c r="S194" s="10"/>
      <c r="T194" s="10"/>
      <c r="U194" s="10"/>
    </row>
    <row r="195" spans="1:21" x14ac:dyDescent="0.3">
      <c r="A195" s="1" t="s">
        <v>589</v>
      </c>
      <c r="B195" s="1" t="str">
        <f ca="1">IF(C195 &lt;&gt; "", CONCATENATE("BID#",CELL("row", B195)),"")</f>
        <v/>
      </c>
      <c r="C195" s="1"/>
      <c r="D195" s="2" t="s">
        <v>704</v>
      </c>
      <c r="E195" s="15"/>
      <c r="F195" s="15"/>
      <c r="G195" s="15"/>
      <c r="H195" s="1" t="s">
        <v>475</v>
      </c>
      <c r="I195" s="7"/>
      <c r="J195" s="15" t="s">
        <v>841</v>
      </c>
      <c r="K195" s="1"/>
      <c r="L195" s="15"/>
      <c r="M195" s="15"/>
      <c r="N195" s="15"/>
      <c r="O195" s="7"/>
      <c r="P195" s="10"/>
      <c r="Q195" s="10"/>
      <c r="R195" s="10"/>
      <c r="S195" s="10"/>
      <c r="T195" s="10"/>
      <c r="U195" s="10"/>
    </row>
    <row r="196" spans="1:21" x14ac:dyDescent="0.3">
      <c r="A196" s="1" t="s">
        <v>589</v>
      </c>
      <c r="B196" s="1" t="str">
        <f ca="1">IF(C196 &lt;&gt; "", CONCATENATE("BID#",CELL("row", B196)),"")</f>
        <v/>
      </c>
      <c r="C196" s="1"/>
      <c r="D196" s="2" t="s">
        <v>705</v>
      </c>
      <c r="E196" s="15"/>
      <c r="F196" s="15"/>
      <c r="G196" s="15"/>
      <c r="H196" s="1" t="s">
        <v>475</v>
      </c>
      <c r="I196" s="7"/>
      <c r="J196" s="15" t="s">
        <v>841</v>
      </c>
      <c r="K196" s="1"/>
      <c r="L196" s="15"/>
      <c r="M196" s="15"/>
      <c r="N196" s="15"/>
      <c r="O196" s="7"/>
      <c r="P196" s="10"/>
      <c r="Q196" s="10"/>
      <c r="R196" s="10"/>
      <c r="S196" s="10"/>
      <c r="T196" s="10"/>
      <c r="U196" s="10"/>
    </row>
    <row r="197" spans="1:21" x14ac:dyDescent="0.3">
      <c r="A197" s="1" t="s">
        <v>589</v>
      </c>
      <c r="B197" s="1" t="str">
        <f ca="1">IF(C197 &lt;&gt; "", CONCATENATE("BID#",CELL("row", B197)),"")</f>
        <v/>
      </c>
      <c r="C197" s="1"/>
      <c r="D197" s="2" t="s">
        <v>706</v>
      </c>
      <c r="E197" s="15"/>
      <c r="F197" s="15"/>
      <c r="G197" s="15"/>
      <c r="H197" s="1" t="s">
        <v>476</v>
      </c>
      <c r="I197" s="7"/>
      <c r="J197" s="15" t="s">
        <v>841</v>
      </c>
      <c r="K197" s="1"/>
      <c r="L197" s="15"/>
      <c r="M197" s="15"/>
      <c r="N197" s="15"/>
      <c r="O197" s="7"/>
      <c r="P197" s="10"/>
      <c r="Q197" s="10"/>
      <c r="R197" s="10"/>
      <c r="S197" s="10"/>
      <c r="T197" s="10"/>
      <c r="U197" s="10"/>
    </row>
    <row r="198" spans="1:21" x14ac:dyDescent="0.3">
      <c r="A198" s="1" t="s">
        <v>589</v>
      </c>
      <c r="B198" s="1" t="s">
        <v>84</v>
      </c>
      <c r="C198" s="1"/>
      <c r="D198" s="2" t="s">
        <v>707</v>
      </c>
      <c r="E198" s="15"/>
      <c r="F198" s="15"/>
      <c r="G198" s="15" t="s">
        <v>474</v>
      </c>
      <c r="H198" s="4" t="s">
        <v>750</v>
      </c>
      <c r="I198" s="7" t="s">
        <v>102</v>
      </c>
      <c r="J198" s="15" t="s">
        <v>474</v>
      </c>
      <c r="K198" s="1"/>
      <c r="L198" s="15"/>
      <c r="M198" s="15"/>
      <c r="N198" s="15"/>
      <c r="O198" s="7"/>
      <c r="P198" s="10"/>
      <c r="Q198" s="10"/>
      <c r="R198" s="10"/>
      <c r="S198" s="10"/>
      <c r="T198" s="10"/>
      <c r="U198" s="10"/>
    </row>
    <row r="199" spans="1:21" x14ac:dyDescent="0.3">
      <c r="A199" s="1" t="s">
        <v>589</v>
      </c>
      <c r="B199" s="1"/>
      <c r="C199" s="1"/>
      <c r="D199" s="2" t="s">
        <v>708</v>
      </c>
      <c r="E199" s="15"/>
      <c r="F199" s="15"/>
      <c r="G199" s="15" t="s">
        <v>841</v>
      </c>
      <c r="H199" s="4" t="s">
        <v>750</v>
      </c>
      <c r="I199" s="7" t="s">
        <v>766</v>
      </c>
      <c r="J199" s="15" t="s">
        <v>841</v>
      </c>
      <c r="K199" s="1"/>
      <c r="L199" s="15"/>
      <c r="M199" s="15"/>
      <c r="N199" s="15"/>
      <c r="O199" s="7"/>
      <c r="P199" s="10"/>
      <c r="Q199" s="10"/>
      <c r="R199" s="10"/>
      <c r="S199" s="10"/>
      <c r="T199" s="10"/>
      <c r="U199" s="10"/>
    </row>
    <row r="200" spans="1:21" x14ac:dyDescent="0.3">
      <c r="A200" s="1" t="s">
        <v>589</v>
      </c>
      <c r="B200" s="1" t="str">
        <f ca="1">IF(C200 &lt;&gt; "", CONCATENATE("BID#",CELL("row", B200)),"")</f>
        <v/>
      </c>
      <c r="C200" s="1"/>
      <c r="D200" s="2" t="s">
        <v>709</v>
      </c>
      <c r="E200" s="15"/>
      <c r="F200" s="15"/>
      <c r="G200" s="15" t="s">
        <v>474</v>
      </c>
      <c r="H200" s="4" t="s">
        <v>750</v>
      </c>
      <c r="I200" s="7" t="s">
        <v>766</v>
      </c>
      <c r="J200" s="15" t="s">
        <v>841</v>
      </c>
      <c r="K200" s="1"/>
      <c r="L200" s="15"/>
      <c r="M200" s="15"/>
      <c r="N200" s="15"/>
      <c r="O200" s="7"/>
      <c r="P200" s="10"/>
      <c r="Q200" s="10"/>
      <c r="R200" s="10"/>
      <c r="S200" s="10"/>
      <c r="T200" s="10"/>
      <c r="U200" s="10"/>
    </row>
    <row r="201" spans="1:21" x14ac:dyDescent="0.3">
      <c r="A201" s="1" t="s">
        <v>589</v>
      </c>
      <c r="B201" s="1" t="str">
        <f ca="1">IF(C201 &lt;&gt; "", CONCATENATE("BID#",CELL("row", B201)),"")</f>
        <v/>
      </c>
      <c r="C201" s="1"/>
      <c r="D201" s="2" t="s">
        <v>710</v>
      </c>
      <c r="E201" s="15"/>
      <c r="F201" s="15"/>
      <c r="G201" s="15" t="s">
        <v>474</v>
      </c>
      <c r="H201" s="4" t="s">
        <v>750</v>
      </c>
      <c r="I201" s="7" t="s">
        <v>766</v>
      </c>
      <c r="J201" s="15" t="s">
        <v>841</v>
      </c>
      <c r="K201" s="1"/>
      <c r="L201" s="15"/>
      <c r="M201" s="15"/>
      <c r="N201" s="15"/>
      <c r="O201" s="7"/>
      <c r="P201" s="10"/>
      <c r="Q201" s="10"/>
      <c r="R201" s="10"/>
      <c r="S201" s="10"/>
      <c r="T201" s="10"/>
      <c r="U201" s="10"/>
    </row>
    <row r="202" spans="1:21" ht="34.5" x14ac:dyDescent="0.3">
      <c r="A202" s="1" t="s">
        <v>589</v>
      </c>
      <c r="B202" s="1" t="str">
        <f ca="1">IF(C202 &lt;&gt; "", CONCATENATE("BID#",CELL("row", B202)),"")</f>
        <v/>
      </c>
      <c r="C202" s="1"/>
      <c r="D202" s="2" t="s">
        <v>711</v>
      </c>
      <c r="E202" s="15"/>
      <c r="F202" s="15"/>
      <c r="G202" s="15" t="s">
        <v>474</v>
      </c>
      <c r="H202" s="4" t="s">
        <v>750</v>
      </c>
      <c r="I202" s="7" t="s">
        <v>809</v>
      </c>
      <c r="J202" s="15" t="s">
        <v>841</v>
      </c>
      <c r="K202" s="1"/>
      <c r="L202" s="15"/>
      <c r="M202" s="15"/>
      <c r="N202" s="15"/>
      <c r="O202" s="7"/>
      <c r="P202" s="10"/>
      <c r="Q202" s="10"/>
      <c r="R202" s="10"/>
      <c r="S202" s="10"/>
      <c r="T202" s="10"/>
      <c r="U202" s="10"/>
    </row>
    <row r="203" spans="1:21" ht="34.5" x14ac:dyDescent="0.3">
      <c r="A203" s="1" t="s">
        <v>589</v>
      </c>
      <c r="B203" s="1" t="str">
        <f ca="1">IF(C203 &lt;&gt; "", CONCATENATE("BID#",CELL("row", B203)),"")</f>
        <v/>
      </c>
      <c r="C203" s="1"/>
      <c r="D203" s="2" t="s">
        <v>712</v>
      </c>
      <c r="E203" s="15"/>
      <c r="F203" s="15"/>
      <c r="G203" s="15" t="s">
        <v>474</v>
      </c>
      <c r="H203" s="4" t="s">
        <v>750</v>
      </c>
      <c r="I203" s="7" t="s">
        <v>810</v>
      </c>
      <c r="J203" s="15" t="s">
        <v>841</v>
      </c>
      <c r="K203" s="1"/>
      <c r="L203" s="15"/>
      <c r="M203" s="15"/>
      <c r="N203" s="15"/>
      <c r="O203" s="7"/>
      <c r="P203" s="10"/>
      <c r="Q203" s="10"/>
      <c r="R203" s="10"/>
      <c r="S203" s="10"/>
      <c r="T203" s="10"/>
      <c r="U203" s="10"/>
    </row>
    <row r="204" spans="1:21" x14ac:dyDescent="0.3">
      <c r="A204" s="1" t="s">
        <v>603</v>
      </c>
      <c r="B204" s="1" t="s">
        <v>85</v>
      </c>
      <c r="C204" s="1" t="s">
        <v>897</v>
      </c>
      <c r="D204" s="2" t="s">
        <v>713</v>
      </c>
      <c r="E204" s="15"/>
      <c r="F204" s="15"/>
      <c r="G204" s="15" t="s">
        <v>1041</v>
      </c>
      <c r="H204" s="1" t="s">
        <v>752</v>
      </c>
      <c r="I204" s="7"/>
      <c r="J204" s="15" t="s">
        <v>474</v>
      </c>
      <c r="K204" s="1"/>
      <c r="L204" s="15"/>
      <c r="M204" s="15"/>
      <c r="N204" s="15"/>
      <c r="O204" s="7"/>
      <c r="P204" s="10"/>
      <c r="Q204" s="10"/>
      <c r="R204" s="10"/>
      <c r="S204" s="10"/>
      <c r="T204" s="10"/>
      <c r="U204" s="10"/>
    </row>
    <row r="205" spans="1:21" x14ac:dyDescent="0.3">
      <c r="A205" s="1" t="s">
        <v>603</v>
      </c>
      <c r="B205" s="1"/>
      <c r="C205" s="1"/>
      <c r="D205" s="2" t="s">
        <v>714</v>
      </c>
      <c r="E205" s="15"/>
      <c r="F205" s="15"/>
      <c r="G205" s="15"/>
      <c r="H205" s="1" t="s">
        <v>453</v>
      </c>
      <c r="I205" s="7" t="s">
        <v>811</v>
      </c>
      <c r="J205" s="15" t="s">
        <v>841</v>
      </c>
      <c r="K205" s="1"/>
      <c r="L205" s="15"/>
      <c r="M205" s="15"/>
      <c r="N205" s="15"/>
      <c r="O205" s="7"/>
      <c r="P205" s="10"/>
      <c r="Q205" s="10"/>
      <c r="R205" s="10"/>
      <c r="S205" s="10"/>
      <c r="T205" s="10"/>
      <c r="U205" s="10"/>
    </row>
    <row r="206" spans="1:21" ht="23" x14ac:dyDescent="0.3">
      <c r="A206" s="1" t="s">
        <v>603</v>
      </c>
      <c r="B206" s="1"/>
      <c r="C206" s="1" t="s">
        <v>898</v>
      </c>
      <c r="D206" s="2" t="s">
        <v>715</v>
      </c>
      <c r="E206" s="25">
        <v>10</v>
      </c>
      <c r="F206" s="15"/>
      <c r="G206" s="26">
        <v>40000</v>
      </c>
      <c r="H206" s="1" t="s">
        <v>451</v>
      </c>
      <c r="I206" s="7" t="s">
        <v>899</v>
      </c>
      <c r="J206" s="15" t="s">
        <v>841</v>
      </c>
      <c r="K206" s="1"/>
      <c r="L206" s="15"/>
      <c r="M206" s="15"/>
      <c r="N206" s="15"/>
      <c r="O206" s="7"/>
      <c r="P206" s="10"/>
      <c r="Q206" s="10"/>
      <c r="R206" s="10"/>
      <c r="S206" s="10"/>
      <c r="T206" s="10"/>
      <c r="U206" s="10"/>
    </row>
    <row r="207" spans="1:21" ht="34.5" x14ac:dyDescent="0.3">
      <c r="A207" s="1" t="s">
        <v>603</v>
      </c>
      <c r="B207" s="1"/>
      <c r="C207" s="1" t="s">
        <v>900</v>
      </c>
      <c r="D207" s="2" t="s">
        <v>708</v>
      </c>
      <c r="E207" s="15"/>
      <c r="F207" s="15"/>
      <c r="G207" s="15" t="s">
        <v>841</v>
      </c>
      <c r="H207" s="4" t="s">
        <v>750</v>
      </c>
      <c r="I207" s="8" t="s">
        <v>812</v>
      </c>
      <c r="J207" s="15" t="s">
        <v>841</v>
      </c>
      <c r="K207" s="1"/>
      <c r="L207" s="15"/>
      <c r="M207" s="15"/>
      <c r="N207" s="15"/>
      <c r="O207" s="7"/>
      <c r="P207" s="10"/>
      <c r="Q207" s="10"/>
      <c r="R207" s="10"/>
      <c r="S207" s="10"/>
      <c r="T207" s="10"/>
      <c r="U207" s="10"/>
    </row>
    <row r="208" spans="1:21" ht="34.5" x14ac:dyDescent="0.3">
      <c r="A208" s="1" t="s">
        <v>603</v>
      </c>
      <c r="B208" s="1"/>
      <c r="C208" s="1" t="s">
        <v>901</v>
      </c>
      <c r="D208" s="2" t="s">
        <v>707</v>
      </c>
      <c r="E208" s="15"/>
      <c r="F208" s="15"/>
      <c r="G208" s="15" t="s">
        <v>474</v>
      </c>
      <c r="H208" s="4" t="s">
        <v>750</v>
      </c>
      <c r="I208" s="7" t="s">
        <v>813</v>
      </c>
      <c r="J208" s="15" t="s">
        <v>841</v>
      </c>
      <c r="K208" s="1"/>
      <c r="L208" s="15"/>
      <c r="M208" s="15"/>
      <c r="N208" s="15"/>
      <c r="O208" s="7"/>
      <c r="P208" s="10"/>
      <c r="Q208" s="10"/>
      <c r="R208" s="10"/>
      <c r="S208" s="10"/>
      <c r="T208" s="10"/>
      <c r="U208" s="10"/>
    </row>
    <row r="209" spans="1:21" ht="34.5" x14ac:dyDescent="0.3">
      <c r="A209" s="1" t="s">
        <v>603</v>
      </c>
      <c r="B209" s="1"/>
      <c r="C209" s="1" t="s">
        <v>902</v>
      </c>
      <c r="D209" s="2" t="s">
        <v>716</v>
      </c>
      <c r="E209" s="15"/>
      <c r="F209" s="15"/>
      <c r="G209" s="15">
        <v>0.1</v>
      </c>
      <c r="H209" s="1" t="s">
        <v>475</v>
      </c>
      <c r="I209" s="7" t="s">
        <v>454</v>
      </c>
      <c r="J209" s="15" t="s">
        <v>841</v>
      </c>
      <c r="K209" s="1"/>
      <c r="L209" s="15"/>
      <c r="M209" s="15"/>
      <c r="N209" s="15"/>
      <c r="O209" s="7"/>
      <c r="P209" s="10"/>
      <c r="Q209" s="10"/>
      <c r="R209" s="10"/>
      <c r="S209" s="10"/>
      <c r="T209" s="10"/>
      <c r="U209" s="10"/>
    </row>
    <row r="210" spans="1:21" ht="34.5" x14ac:dyDescent="0.3">
      <c r="A210" s="1" t="s">
        <v>603</v>
      </c>
      <c r="B210" s="1"/>
      <c r="C210" s="1" t="s">
        <v>903</v>
      </c>
      <c r="D210" s="2" t="s">
        <v>717</v>
      </c>
      <c r="E210" s="15"/>
      <c r="F210" s="15"/>
      <c r="G210" s="15">
        <v>0.1</v>
      </c>
      <c r="H210" s="1" t="s">
        <v>475</v>
      </c>
      <c r="I210" s="7" t="s">
        <v>455</v>
      </c>
      <c r="J210" s="15" t="s">
        <v>841</v>
      </c>
      <c r="K210" s="1"/>
      <c r="L210" s="15"/>
      <c r="M210" s="15"/>
      <c r="N210" s="15"/>
      <c r="O210" s="7"/>
      <c r="P210" s="10"/>
      <c r="Q210" s="10"/>
      <c r="R210" s="10"/>
      <c r="S210" s="10"/>
      <c r="T210" s="10"/>
      <c r="U210" s="10"/>
    </row>
    <row r="211" spans="1:21" ht="23" x14ac:dyDescent="0.3">
      <c r="A211" s="1" t="s">
        <v>603</v>
      </c>
      <c r="B211" s="1"/>
      <c r="C211" s="1"/>
      <c r="D211" s="2" t="s">
        <v>718</v>
      </c>
      <c r="E211" s="15"/>
      <c r="F211" s="15"/>
      <c r="G211" s="15"/>
      <c r="H211" s="1" t="s">
        <v>475</v>
      </c>
      <c r="I211" s="7" t="s">
        <v>814</v>
      </c>
      <c r="J211" s="15" t="s">
        <v>841</v>
      </c>
      <c r="K211" s="1"/>
      <c r="L211" s="15"/>
      <c r="M211" s="15"/>
      <c r="N211" s="15"/>
      <c r="O211" s="7"/>
      <c r="P211" s="10"/>
      <c r="Q211" s="10"/>
      <c r="R211" s="10"/>
      <c r="S211" s="10"/>
      <c r="T211" s="10"/>
      <c r="U211" s="10"/>
    </row>
    <row r="212" spans="1:21" ht="23" x14ac:dyDescent="0.3">
      <c r="A212" s="1" t="s">
        <v>603</v>
      </c>
      <c r="B212" s="1"/>
      <c r="C212" s="1" t="s">
        <v>904</v>
      </c>
      <c r="D212" s="2" t="s">
        <v>719</v>
      </c>
      <c r="E212" s="15"/>
      <c r="F212" s="15"/>
      <c r="G212" s="15">
        <v>500</v>
      </c>
      <c r="H212" s="1" t="s">
        <v>476</v>
      </c>
      <c r="I212" s="7" t="s">
        <v>905</v>
      </c>
      <c r="J212" s="15" t="s">
        <v>841</v>
      </c>
      <c r="K212" s="1"/>
      <c r="L212" s="15"/>
      <c r="M212" s="15"/>
      <c r="N212" s="15"/>
      <c r="O212" s="7"/>
      <c r="P212" s="10"/>
      <c r="Q212" s="10"/>
      <c r="R212" s="10"/>
      <c r="S212" s="10"/>
      <c r="T212" s="10"/>
      <c r="U212" s="10"/>
    </row>
    <row r="213" spans="1:21" x14ac:dyDescent="0.3">
      <c r="A213" s="1" t="s">
        <v>603</v>
      </c>
      <c r="B213" s="1"/>
      <c r="C213" s="1"/>
      <c r="D213" s="2" t="s">
        <v>720</v>
      </c>
      <c r="E213" s="15"/>
      <c r="F213" s="15"/>
      <c r="G213" s="15"/>
      <c r="H213" s="1" t="s">
        <v>761</v>
      </c>
      <c r="I213" s="7" t="s">
        <v>815</v>
      </c>
      <c r="J213" s="15" t="s">
        <v>841</v>
      </c>
      <c r="K213" s="1"/>
      <c r="L213" s="15"/>
      <c r="M213" s="15"/>
      <c r="N213" s="15"/>
      <c r="O213" s="7"/>
      <c r="P213" s="10"/>
      <c r="Q213" s="10"/>
      <c r="R213" s="10"/>
      <c r="S213" s="10"/>
      <c r="T213" s="10"/>
      <c r="U213" s="10"/>
    </row>
    <row r="214" spans="1:21" x14ac:dyDescent="0.3">
      <c r="A214" s="1" t="s">
        <v>603</v>
      </c>
      <c r="B214" s="1"/>
      <c r="C214" s="1"/>
      <c r="D214" s="2" t="s">
        <v>721</v>
      </c>
      <c r="E214" s="15"/>
      <c r="F214" s="15"/>
      <c r="G214" s="15"/>
      <c r="H214" s="1" t="s">
        <v>761</v>
      </c>
      <c r="I214" s="7" t="s">
        <v>815</v>
      </c>
      <c r="J214" s="15" t="s">
        <v>841</v>
      </c>
      <c r="K214" s="1"/>
      <c r="L214" s="15"/>
      <c r="M214" s="15"/>
      <c r="N214" s="15"/>
      <c r="O214" s="7"/>
      <c r="P214" s="10"/>
      <c r="Q214" s="10"/>
      <c r="R214" s="10"/>
      <c r="S214" s="10"/>
      <c r="T214" s="10"/>
      <c r="U214" s="10"/>
    </row>
    <row r="215" spans="1:21" x14ac:dyDescent="0.3">
      <c r="A215" s="1" t="s">
        <v>603</v>
      </c>
      <c r="B215" s="1"/>
      <c r="C215" s="1"/>
      <c r="D215" s="2" t="s">
        <v>722</v>
      </c>
      <c r="E215" s="15"/>
      <c r="F215" s="15"/>
      <c r="G215" s="15"/>
      <c r="H215" s="1" t="s">
        <v>476</v>
      </c>
      <c r="I215" s="7" t="s">
        <v>816</v>
      </c>
      <c r="J215" s="15" t="s">
        <v>841</v>
      </c>
      <c r="K215" s="1"/>
      <c r="L215" s="15"/>
      <c r="M215" s="15"/>
      <c r="N215" s="15"/>
      <c r="O215" s="7"/>
      <c r="P215" s="10"/>
      <c r="Q215" s="10"/>
      <c r="R215" s="10"/>
      <c r="S215" s="10"/>
      <c r="T215" s="10"/>
      <c r="U215" s="10"/>
    </row>
    <row r="216" spans="1:21" x14ac:dyDescent="0.3">
      <c r="A216" s="1" t="s">
        <v>603</v>
      </c>
      <c r="B216" s="1"/>
      <c r="C216" s="1"/>
      <c r="D216" s="2" t="s">
        <v>723</v>
      </c>
      <c r="E216" s="15"/>
      <c r="F216" s="15"/>
      <c r="G216" s="15"/>
      <c r="H216" s="1" t="s">
        <v>476</v>
      </c>
      <c r="I216" s="7" t="s">
        <v>817</v>
      </c>
      <c r="J216" s="15" t="s">
        <v>841</v>
      </c>
      <c r="K216" s="1"/>
      <c r="L216" s="15"/>
      <c r="M216" s="15"/>
      <c r="N216" s="15"/>
      <c r="O216" s="7"/>
      <c r="P216" s="10"/>
      <c r="Q216" s="10"/>
      <c r="R216" s="10"/>
      <c r="S216" s="10"/>
      <c r="T216" s="10"/>
      <c r="U216" s="10"/>
    </row>
    <row r="217" spans="1:21" x14ac:dyDescent="0.3">
      <c r="A217" s="1" t="s">
        <v>604</v>
      </c>
      <c r="B217" s="1" t="s">
        <v>86</v>
      </c>
      <c r="C217" s="1" t="s">
        <v>906</v>
      </c>
      <c r="D217" s="2" t="s">
        <v>724</v>
      </c>
      <c r="E217" s="15">
        <v>1.71</v>
      </c>
      <c r="F217" s="15">
        <v>1.8</v>
      </c>
      <c r="G217" s="15">
        <v>3.63</v>
      </c>
      <c r="H217" s="1" t="s">
        <v>475</v>
      </c>
      <c r="I217" s="7" t="s">
        <v>1004</v>
      </c>
      <c r="J217" s="15" t="s">
        <v>841</v>
      </c>
      <c r="K217" s="1"/>
      <c r="L217" s="15"/>
      <c r="M217" s="15"/>
      <c r="N217" s="15"/>
      <c r="O217" s="7"/>
      <c r="P217" s="10"/>
      <c r="Q217" s="10"/>
      <c r="R217" s="10"/>
      <c r="S217" s="10"/>
      <c r="T217" s="10"/>
      <c r="U217" s="10"/>
    </row>
    <row r="218" spans="1:21" x14ac:dyDescent="0.3">
      <c r="A218" s="1" t="s">
        <v>604</v>
      </c>
      <c r="B218" s="1" t="s">
        <v>87</v>
      </c>
      <c r="C218" s="1" t="s">
        <v>907</v>
      </c>
      <c r="D218" s="2" t="s">
        <v>725</v>
      </c>
      <c r="E218" s="15">
        <v>1.71</v>
      </c>
      <c r="F218" s="15"/>
      <c r="G218" s="15">
        <v>3.63</v>
      </c>
      <c r="H218" s="1" t="s">
        <v>475</v>
      </c>
      <c r="I218" s="7" t="s">
        <v>1004</v>
      </c>
      <c r="J218" s="15" t="s">
        <v>841</v>
      </c>
      <c r="K218" s="1"/>
      <c r="L218" s="15"/>
      <c r="M218" s="15"/>
      <c r="N218" s="15"/>
      <c r="O218" s="7"/>
      <c r="P218" s="10"/>
      <c r="Q218" s="10"/>
      <c r="R218" s="10"/>
      <c r="S218" s="10"/>
      <c r="T218" s="10"/>
      <c r="U218" s="10"/>
    </row>
    <row r="219" spans="1:21" x14ac:dyDescent="0.3">
      <c r="A219" s="1" t="s">
        <v>604</v>
      </c>
      <c r="B219" s="1"/>
      <c r="C219" s="1"/>
      <c r="D219" s="2" t="s">
        <v>726</v>
      </c>
      <c r="E219" s="15"/>
      <c r="F219" s="15"/>
      <c r="G219" s="15" t="s">
        <v>1354</v>
      </c>
      <c r="H219" s="1" t="s">
        <v>475</v>
      </c>
      <c r="I219" s="7" t="s">
        <v>818</v>
      </c>
      <c r="J219" s="15" t="s">
        <v>841</v>
      </c>
      <c r="K219" s="1"/>
      <c r="L219" s="15"/>
      <c r="M219" s="15"/>
      <c r="N219" s="15"/>
      <c r="O219" s="7"/>
      <c r="P219" s="10"/>
      <c r="Q219" s="10"/>
      <c r="R219" s="10"/>
      <c r="S219" s="10"/>
      <c r="T219" s="10"/>
      <c r="U219" s="10"/>
    </row>
    <row r="220" spans="1:21" x14ac:dyDescent="0.3">
      <c r="A220" s="1" t="s">
        <v>604</v>
      </c>
      <c r="B220" s="1"/>
      <c r="C220" s="1" t="s">
        <v>830</v>
      </c>
      <c r="D220" s="2" t="s">
        <v>908</v>
      </c>
      <c r="E220" s="15"/>
      <c r="F220" s="15"/>
      <c r="G220" s="15" t="s">
        <v>1354</v>
      </c>
      <c r="H220" s="1" t="s">
        <v>475</v>
      </c>
      <c r="I220" s="7" t="s">
        <v>818</v>
      </c>
      <c r="J220" s="15" t="s">
        <v>841</v>
      </c>
      <c r="K220" s="1"/>
      <c r="L220" s="15"/>
      <c r="M220" s="15"/>
      <c r="N220" s="15"/>
      <c r="O220" s="7"/>
      <c r="P220" s="10"/>
      <c r="Q220" s="10"/>
      <c r="R220" s="10"/>
      <c r="S220" s="10"/>
      <c r="T220" s="10"/>
      <c r="U220" s="10"/>
    </row>
    <row r="221" spans="1:21" x14ac:dyDescent="0.3">
      <c r="A221" s="1" t="s">
        <v>604</v>
      </c>
      <c r="B221" s="1" t="s">
        <v>98</v>
      </c>
      <c r="C221" s="1" t="s">
        <v>909</v>
      </c>
      <c r="D221" s="2" t="s">
        <v>727</v>
      </c>
      <c r="E221" s="15"/>
      <c r="F221" s="15"/>
      <c r="G221" s="15" t="s">
        <v>841</v>
      </c>
      <c r="H221" s="4" t="s">
        <v>750</v>
      </c>
      <c r="I221" s="7" t="s">
        <v>103</v>
      </c>
      <c r="J221" s="15" t="s">
        <v>474</v>
      </c>
      <c r="K221" s="1"/>
      <c r="L221" s="15"/>
      <c r="M221" s="15"/>
      <c r="N221" s="15"/>
      <c r="O221" s="7"/>
      <c r="P221" s="10"/>
      <c r="Q221" s="10"/>
      <c r="R221" s="10"/>
      <c r="S221" s="10"/>
      <c r="T221" s="10"/>
      <c r="U221" s="10"/>
    </row>
    <row r="222" spans="1:21" x14ac:dyDescent="0.3">
      <c r="A222" s="1" t="s">
        <v>604</v>
      </c>
      <c r="B222" s="1" t="s">
        <v>88</v>
      </c>
      <c r="C222" s="1"/>
      <c r="D222" s="2" t="s">
        <v>728</v>
      </c>
      <c r="E222" s="15">
        <v>0.8</v>
      </c>
      <c r="F222" s="15"/>
      <c r="G222" s="15">
        <v>1.45</v>
      </c>
      <c r="H222" s="1" t="s">
        <v>475</v>
      </c>
      <c r="I222" s="7"/>
      <c r="J222" s="15" t="s">
        <v>841</v>
      </c>
      <c r="K222" s="1"/>
      <c r="L222" s="15"/>
      <c r="M222" s="15"/>
      <c r="N222" s="15"/>
      <c r="O222" s="7"/>
      <c r="P222" s="10"/>
      <c r="Q222" s="10"/>
      <c r="R222" s="10"/>
      <c r="S222" s="10"/>
      <c r="T222" s="10"/>
      <c r="U222" s="10"/>
    </row>
    <row r="223" spans="1:21" x14ac:dyDescent="0.3">
      <c r="A223" s="1" t="s">
        <v>604</v>
      </c>
      <c r="B223" s="1"/>
      <c r="C223" s="1" t="s">
        <v>910</v>
      </c>
      <c r="D223" s="2" t="s">
        <v>729</v>
      </c>
      <c r="E223" s="15">
        <v>1E-3</v>
      </c>
      <c r="F223" s="15"/>
      <c r="G223" s="15">
        <v>1000</v>
      </c>
      <c r="H223" s="1" t="s">
        <v>839</v>
      </c>
      <c r="I223" s="7" t="s">
        <v>911</v>
      </c>
      <c r="J223" s="15" t="s">
        <v>841</v>
      </c>
      <c r="K223" s="1"/>
      <c r="L223" s="15"/>
      <c r="M223" s="15"/>
      <c r="N223" s="15"/>
      <c r="O223" s="7"/>
      <c r="P223" s="10"/>
      <c r="Q223" s="10"/>
      <c r="R223" s="10"/>
      <c r="S223" s="10"/>
      <c r="T223" s="10"/>
      <c r="U223" s="10"/>
    </row>
    <row r="224" spans="1:21" x14ac:dyDescent="0.3">
      <c r="A224" s="1" t="s">
        <v>604</v>
      </c>
      <c r="B224" s="1"/>
      <c r="C224" s="1" t="s">
        <v>912</v>
      </c>
      <c r="D224" s="2" t="s">
        <v>730</v>
      </c>
      <c r="E224" s="15">
        <v>1E-3</v>
      </c>
      <c r="F224" s="15"/>
      <c r="G224" s="15">
        <v>1000</v>
      </c>
      <c r="H224" s="1" t="s">
        <v>839</v>
      </c>
      <c r="I224" s="7" t="s">
        <v>911</v>
      </c>
      <c r="J224" s="15" t="s">
        <v>841</v>
      </c>
      <c r="K224" s="1"/>
      <c r="L224" s="15"/>
      <c r="M224" s="15"/>
      <c r="N224" s="15"/>
      <c r="O224" s="7"/>
      <c r="P224" s="10"/>
      <c r="Q224" s="10"/>
      <c r="R224" s="10"/>
      <c r="S224" s="10"/>
      <c r="T224" s="10"/>
      <c r="U224" s="10"/>
    </row>
    <row r="225" spans="1:21" x14ac:dyDescent="0.3">
      <c r="A225" s="1" t="s">
        <v>604</v>
      </c>
      <c r="B225" s="1" t="s">
        <v>89</v>
      </c>
      <c r="C225" s="1"/>
      <c r="D225" s="2" t="s">
        <v>731</v>
      </c>
      <c r="E225" s="15"/>
      <c r="F225" s="15"/>
      <c r="G225" s="15"/>
      <c r="H225" s="1" t="s">
        <v>99</v>
      </c>
      <c r="I225" s="7"/>
      <c r="J225" s="15" t="s">
        <v>474</v>
      </c>
      <c r="K225" s="1"/>
      <c r="L225" s="15"/>
      <c r="M225" s="15"/>
      <c r="N225" s="15"/>
      <c r="O225" s="7"/>
      <c r="P225" s="10"/>
      <c r="Q225" s="10"/>
      <c r="R225" s="10"/>
      <c r="S225" s="10"/>
      <c r="T225" s="10"/>
      <c r="U225" s="10"/>
    </row>
    <row r="226" spans="1:21" x14ac:dyDescent="0.3">
      <c r="A226" s="1" t="s">
        <v>604</v>
      </c>
      <c r="B226" s="1" t="s">
        <v>90</v>
      </c>
      <c r="C226" s="1" t="s">
        <v>91</v>
      </c>
      <c r="D226" s="2" t="s">
        <v>1017</v>
      </c>
      <c r="E226" s="15">
        <v>1.64</v>
      </c>
      <c r="F226" s="10"/>
      <c r="G226" s="15">
        <v>1.68</v>
      </c>
      <c r="H226" s="1" t="s">
        <v>475</v>
      </c>
      <c r="I226" s="7"/>
      <c r="J226" s="15" t="s">
        <v>841</v>
      </c>
      <c r="K226" s="1"/>
      <c r="L226" s="15"/>
      <c r="M226" s="15"/>
      <c r="N226" s="15"/>
      <c r="O226" s="7"/>
      <c r="P226" s="10"/>
      <c r="Q226" s="10"/>
      <c r="R226" s="10"/>
      <c r="S226" s="10"/>
      <c r="T226" s="10"/>
      <c r="U226" s="10"/>
    </row>
    <row r="227" spans="1:21" ht="23" x14ac:dyDescent="0.3">
      <c r="A227" s="1" t="s">
        <v>604</v>
      </c>
      <c r="B227" s="1" t="str">
        <f t="shared" ref="B227:B277" ca="1" si="3">IF(C227 &lt;&gt; "", CONCATENATE("BID#",CELL("row", B227)),"")</f>
        <v/>
      </c>
      <c r="C227" s="1"/>
      <c r="D227" s="2" t="s">
        <v>914</v>
      </c>
      <c r="E227" s="15"/>
      <c r="F227" s="10">
        <v>250</v>
      </c>
      <c r="G227" s="15"/>
      <c r="H227" s="1" t="s">
        <v>831</v>
      </c>
      <c r="I227" s="7" t="s">
        <v>819</v>
      </c>
      <c r="J227" s="15" t="s">
        <v>841</v>
      </c>
      <c r="K227" s="1"/>
      <c r="L227" s="15"/>
      <c r="M227" s="15"/>
      <c r="N227" s="15"/>
      <c r="O227" s="7"/>
      <c r="P227" s="10"/>
      <c r="Q227" s="10"/>
      <c r="R227" s="10"/>
      <c r="S227" s="10"/>
      <c r="T227" s="10"/>
      <c r="U227" s="10"/>
    </row>
    <row r="228" spans="1:21" ht="23" x14ac:dyDescent="0.3">
      <c r="A228" s="1" t="s">
        <v>604</v>
      </c>
      <c r="B228" s="1" t="str">
        <f t="shared" ca="1" si="3"/>
        <v/>
      </c>
      <c r="C228" s="1"/>
      <c r="D228" s="2" t="s">
        <v>915</v>
      </c>
      <c r="E228" s="15">
        <v>1.7</v>
      </c>
      <c r="F228" s="10"/>
      <c r="G228" s="15">
        <v>5.45</v>
      </c>
      <c r="H228" s="1" t="s">
        <v>475</v>
      </c>
      <c r="I228" s="7" t="s">
        <v>913</v>
      </c>
      <c r="J228" s="15" t="s">
        <v>841</v>
      </c>
      <c r="K228" s="1"/>
      <c r="L228" s="15"/>
      <c r="M228" s="15"/>
      <c r="N228" s="15"/>
      <c r="O228" s="7"/>
      <c r="P228" s="10"/>
      <c r="Q228" s="10"/>
      <c r="R228" s="10"/>
      <c r="S228" s="10"/>
      <c r="T228" s="10"/>
      <c r="U228" s="10"/>
    </row>
    <row r="229" spans="1:21" ht="23" x14ac:dyDescent="0.3">
      <c r="A229" s="1" t="s">
        <v>604</v>
      </c>
      <c r="B229" s="1" t="str">
        <f t="shared" ca="1" si="3"/>
        <v/>
      </c>
      <c r="C229" s="1"/>
      <c r="D229" s="2" t="s">
        <v>916</v>
      </c>
      <c r="E229" s="15"/>
      <c r="F229" s="10">
        <v>250</v>
      </c>
      <c r="G229" s="15"/>
      <c r="H229" s="1" t="s">
        <v>831</v>
      </c>
      <c r="I229" s="7" t="s">
        <v>819</v>
      </c>
      <c r="J229" s="15" t="s">
        <v>841</v>
      </c>
      <c r="K229" s="1"/>
      <c r="L229" s="15"/>
      <c r="M229" s="15"/>
      <c r="N229" s="15"/>
      <c r="O229" s="7"/>
      <c r="P229" s="10"/>
      <c r="Q229" s="10"/>
      <c r="R229" s="10"/>
      <c r="S229" s="10"/>
      <c r="T229" s="10"/>
      <c r="U229" s="10"/>
    </row>
    <row r="230" spans="1:21" ht="23" x14ac:dyDescent="0.3">
      <c r="A230" s="1" t="s">
        <v>604</v>
      </c>
      <c r="B230" s="1" t="str">
        <f t="shared" ca="1" si="3"/>
        <v/>
      </c>
      <c r="C230" s="1"/>
      <c r="D230" s="2" t="s">
        <v>917</v>
      </c>
      <c r="E230" s="15">
        <v>5.63</v>
      </c>
      <c r="F230" s="10">
        <v>5.7450000000000001</v>
      </c>
      <c r="G230" s="15">
        <v>5.86</v>
      </c>
      <c r="H230" s="1" t="s">
        <v>475</v>
      </c>
      <c r="I230" s="7" t="s">
        <v>819</v>
      </c>
      <c r="J230" s="15" t="s">
        <v>841</v>
      </c>
      <c r="K230" s="1"/>
      <c r="L230" s="15"/>
      <c r="M230" s="15"/>
      <c r="N230" s="15"/>
      <c r="O230" s="7"/>
      <c r="P230" s="10"/>
      <c r="Q230" s="10"/>
      <c r="R230" s="10"/>
      <c r="S230" s="10"/>
      <c r="T230" s="10"/>
      <c r="U230" s="10"/>
    </row>
    <row r="231" spans="1:21" ht="23" x14ac:dyDescent="0.3">
      <c r="A231" s="1" t="s">
        <v>604</v>
      </c>
      <c r="B231" s="1" t="str">
        <f t="shared" ca="1" si="3"/>
        <v/>
      </c>
      <c r="C231" s="1"/>
      <c r="D231" s="2" t="s">
        <v>918</v>
      </c>
      <c r="E231" s="15"/>
      <c r="F231" s="10"/>
      <c r="G231" s="15"/>
      <c r="H231" s="1" t="s">
        <v>475</v>
      </c>
      <c r="I231" s="7" t="s">
        <v>819</v>
      </c>
      <c r="J231" s="15" t="s">
        <v>841</v>
      </c>
      <c r="K231" s="1"/>
      <c r="L231" s="15"/>
      <c r="M231" s="15"/>
      <c r="N231" s="15"/>
      <c r="O231" s="7"/>
      <c r="P231" s="10"/>
      <c r="Q231" s="10"/>
      <c r="R231" s="10"/>
      <c r="S231" s="10"/>
      <c r="T231" s="10"/>
      <c r="U231" s="10"/>
    </row>
    <row r="232" spans="1:21" ht="23" x14ac:dyDescent="0.3">
      <c r="A232" s="1" t="s">
        <v>604</v>
      </c>
      <c r="B232" s="1" t="str">
        <f t="shared" ca="1" si="3"/>
        <v/>
      </c>
      <c r="C232" s="1"/>
      <c r="D232" s="2" t="s">
        <v>918</v>
      </c>
      <c r="E232" s="15"/>
      <c r="F232" s="10"/>
      <c r="G232" s="15"/>
      <c r="H232" s="1" t="s">
        <v>475</v>
      </c>
      <c r="I232" s="7" t="s">
        <v>819</v>
      </c>
      <c r="J232" s="15" t="s">
        <v>841</v>
      </c>
      <c r="K232" s="1"/>
      <c r="L232" s="15"/>
      <c r="M232" s="15"/>
      <c r="N232" s="15"/>
      <c r="O232" s="7"/>
      <c r="P232" s="10"/>
      <c r="Q232" s="10"/>
      <c r="R232" s="10"/>
      <c r="S232" s="10"/>
      <c r="T232" s="10"/>
      <c r="U232" s="10"/>
    </row>
    <row r="233" spans="1:21" x14ac:dyDescent="0.3">
      <c r="A233" s="1" t="s">
        <v>604</v>
      </c>
      <c r="B233" s="1" t="str">
        <f t="shared" ca="1" si="3"/>
        <v/>
      </c>
      <c r="C233" s="1"/>
      <c r="D233" s="2" t="s">
        <v>732</v>
      </c>
      <c r="E233" s="15"/>
      <c r="F233" s="15"/>
      <c r="G233" s="15"/>
      <c r="H233" s="1" t="s">
        <v>475</v>
      </c>
      <c r="I233" s="7"/>
      <c r="J233" s="15" t="s">
        <v>841</v>
      </c>
      <c r="K233" s="1"/>
      <c r="L233" s="15"/>
      <c r="M233" s="15"/>
      <c r="N233" s="15"/>
      <c r="O233" s="7"/>
      <c r="P233" s="10"/>
      <c r="Q233" s="10"/>
      <c r="R233" s="10"/>
      <c r="S233" s="10"/>
      <c r="T233" s="10"/>
      <c r="U233" s="10"/>
    </row>
    <row r="234" spans="1:21" ht="23" x14ac:dyDescent="0.3">
      <c r="A234" s="1" t="s">
        <v>604</v>
      </c>
      <c r="B234" s="1" t="str">
        <f t="shared" ca="1" si="3"/>
        <v/>
      </c>
      <c r="C234" s="1"/>
      <c r="D234" s="2" t="s">
        <v>733</v>
      </c>
      <c r="E234" s="15"/>
      <c r="F234" s="15"/>
      <c r="G234" s="15"/>
      <c r="H234" s="1" t="s">
        <v>475</v>
      </c>
      <c r="I234" s="7" t="s">
        <v>820</v>
      </c>
      <c r="J234" s="15" t="s">
        <v>841</v>
      </c>
      <c r="K234" s="1"/>
      <c r="L234" s="15"/>
      <c r="M234" s="15"/>
      <c r="N234" s="15"/>
      <c r="O234" s="7"/>
      <c r="P234" s="10"/>
      <c r="Q234" s="10"/>
      <c r="R234" s="10"/>
      <c r="S234" s="10"/>
      <c r="T234" s="10"/>
      <c r="U234" s="10"/>
    </row>
    <row r="235" spans="1:21" x14ac:dyDescent="0.3">
      <c r="A235" s="1" t="s">
        <v>604</v>
      </c>
      <c r="B235" s="1"/>
      <c r="C235" s="1" t="s">
        <v>919</v>
      </c>
      <c r="D235" s="2" t="s">
        <v>734</v>
      </c>
      <c r="E235" s="15"/>
      <c r="F235" s="15"/>
      <c r="G235" s="15" t="s">
        <v>841</v>
      </c>
      <c r="H235" s="4" t="s">
        <v>750</v>
      </c>
      <c r="I235" s="7" t="s">
        <v>766</v>
      </c>
      <c r="J235" s="15" t="s">
        <v>841</v>
      </c>
      <c r="K235" s="1"/>
      <c r="L235" s="15"/>
      <c r="M235" s="15"/>
      <c r="N235" s="15"/>
      <c r="O235" s="7"/>
      <c r="P235" s="10"/>
      <c r="Q235" s="10"/>
      <c r="R235" s="10"/>
      <c r="S235" s="10"/>
      <c r="T235" s="10"/>
      <c r="U235" s="10"/>
    </row>
    <row r="236" spans="1:21" ht="103.5" x14ac:dyDescent="0.3">
      <c r="A236" s="1" t="s">
        <v>604</v>
      </c>
      <c r="B236" s="1"/>
      <c r="C236" s="1" t="s">
        <v>920</v>
      </c>
      <c r="D236" s="2" t="s">
        <v>735</v>
      </c>
      <c r="E236" s="15" t="s">
        <v>840</v>
      </c>
      <c r="F236" s="15"/>
      <c r="G236" s="15" t="s">
        <v>921</v>
      </c>
      <c r="H236" s="1" t="s">
        <v>475</v>
      </c>
      <c r="I236" s="7" t="s">
        <v>922</v>
      </c>
      <c r="J236" s="15" t="s">
        <v>841</v>
      </c>
      <c r="K236" s="1"/>
      <c r="L236" s="15"/>
      <c r="M236" s="15"/>
      <c r="N236" s="15"/>
      <c r="O236" s="7"/>
      <c r="P236" s="10"/>
      <c r="Q236" s="10"/>
      <c r="R236" s="10"/>
      <c r="S236" s="10"/>
      <c r="T236" s="10"/>
      <c r="U236" s="10"/>
    </row>
    <row r="237" spans="1:21" x14ac:dyDescent="0.3">
      <c r="A237" s="1" t="s">
        <v>604</v>
      </c>
      <c r="B237" s="1" t="str">
        <f t="shared" ca="1" si="3"/>
        <v/>
      </c>
      <c r="C237" s="1"/>
      <c r="D237" s="2" t="s">
        <v>736</v>
      </c>
      <c r="E237" s="15"/>
      <c r="F237" s="15"/>
      <c r="G237" s="15"/>
      <c r="H237" s="1" t="s">
        <v>446</v>
      </c>
      <c r="I237" s="7" t="s">
        <v>821</v>
      </c>
      <c r="J237" s="15" t="s">
        <v>841</v>
      </c>
      <c r="K237" s="1"/>
      <c r="L237" s="15"/>
      <c r="M237" s="15"/>
      <c r="N237" s="15"/>
      <c r="O237" s="7"/>
      <c r="P237" s="10"/>
      <c r="Q237" s="10"/>
      <c r="R237" s="10"/>
      <c r="S237" s="10"/>
      <c r="T237" s="10"/>
      <c r="U237" s="10"/>
    </row>
    <row r="238" spans="1:21" x14ac:dyDescent="0.3">
      <c r="A238" s="1" t="s">
        <v>604</v>
      </c>
      <c r="B238" s="1" t="str">
        <f t="shared" ca="1" si="3"/>
        <v/>
      </c>
      <c r="C238" s="1"/>
      <c r="D238" s="2" t="s">
        <v>737</v>
      </c>
      <c r="E238" s="15"/>
      <c r="F238" s="15"/>
      <c r="G238" s="15"/>
      <c r="H238" s="1" t="s">
        <v>446</v>
      </c>
      <c r="I238" s="7" t="s">
        <v>821</v>
      </c>
      <c r="J238" s="15" t="s">
        <v>841</v>
      </c>
      <c r="K238" s="1"/>
      <c r="L238" s="15"/>
      <c r="M238" s="15"/>
      <c r="N238" s="15"/>
      <c r="O238" s="7"/>
      <c r="P238" s="10"/>
      <c r="Q238" s="10"/>
      <c r="R238" s="10"/>
      <c r="S238" s="10"/>
      <c r="T238" s="10"/>
      <c r="U238" s="10"/>
    </row>
    <row r="239" spans="1:21" x14ac:dyDescent="0.3">
      <c r="A239" s="1" t="s">
        <v>604</v>
      </c>
      <c r="B239" s="1" t="str">
        <f t="shared" ca="1" si="3"/>
        <v/>
      </c>
      <c r="C239" s="1"/>
      <c r="D239" s="2" t="s">
        <v>736</v>
      </c>
      <c r="E239" s="15"/>
      <c r="F239" s="15"/>
      <c r="G239" s="15"/>
      <c r="H239" s="1" t="s">
        <v>446</v>
      </c>
      <c r="I239" s="7" t="s">
        <v>822</v>
      </c>
      <c r="J239" s="15" t="s">
        <v>841</v>
      </c>
      <c r="K239" s="1"/>
      <c r="L239" s="15"/>
      <c r="M239" s="15"/>
      <c r="N239" s="15"/>
      <c r="O239" s="7"/>
      <c r="P239" s="10"/>
      <c r="Q239" s="10"/>
      <c r="R239" s="10"/>
      <c r="S239" s="10"/>
      <c r="T239" s="10"/>
      <c r="U239" s="10"/>
    </row>
    <row r="240" spans="1:21" x14ac:dyDescent="0.3">
      <c r="A240" s="1" t="s">
        <v>604</v>
      </c>
      <c r="B240" s="1" t="str">
        <f t="shared" ca="1" si="3"/>
        <v/>
      </c>
      <c r="C240" s="1"/>
      <c r="D240" s="2" t="s">
        <v>737</v>
      </c>
      <c r="E240" s="15"/>
      <c r="F240" s="15"/>
      <c r="G240" s="15"/>
      <c r="H240" s="1" t="s">
        <v>446</v>
      </c>
      <c r="I240" s="7" t="s">
        <v>822</v>
      </c>
      <c r="J240" s="15" t="s">
        <v>841</v>
      </c>
      <c r="K240" s="1"/>
      <c r="L240" s="15"/>
      <c r="M240" s="15"/>
      <c r="N240" s="15"/>
      <c r="O240" s="7"/>
      <c r="P240" s="10"/>
      <c r="Q240" s="10"/>
      <c r="R240" s="10"/>
      <c r="S240" s="10"/>
      <c r="T240" s="10"/>
      <c r="U240" s="10"/>
    </row>
    <row r="241" spans="1:21" x14ac:dyDescent="0.3">
      <c r="A241" s="1" t="s">
        <v>604</v>
      </c>
      <c r="B241" s="1" t="str">
        <f t="shared" ca="1" si="3"/>
        <v/>
      </c>
      <c r="C241" s="1"/>
      <c r="D241" s="2" t="s">
        <v>736</v>
      </c>
      <c r="E241" s="15"/>
      <c r="F241" s="15"/>
      <c r="G241" s="15"/>
      <c r="H241" s="1" t="s">
        <v>446</v>
      </c>
      <c r="I241" s="7" t="s">
        <v>823</v>
      </c>
      <c r="J241" s="15" t="s">
        <v>841</v>
      </c>
      <c r="K241" s="1"/>
      <c r="L241" s="15"/>
      <c r="M241" s="15"/>
      <c r="N241" s="15"/>
      <c r="O241" s="7"/>
      <c r="P241" s="10"/>
      <c r="Q241" s="10"/>
      <c r="R241" s="10"/>
      <c r="S241" s="10"/>
      <c r="T241" s="10"/>
      <c r="U241" s="10"/>
    </row>
    <row r="242" spans="1:21" x14ac:dyDescent="0.3">
      <c r="A242" s="1" t="s">
        <v>604</v>
      </c>
      <c r="B242" s="1" t="str">
        <f t="shared" ca="1" si="3"/>
        <v/>
      </c>
      <c r="C242" s="1"/>
      <c r="D242" s="2" t="s">
        <v>737</v>
      </c>
      <c r="E242" s="15"/>
      <c r="F242" s="15"/>
      <c r="G242" s="15"/>
      <c r="H242" s="1" t="s">
        <v>446</v>
      </c>
      <c r="I242" s="7" t="s">
        <v>823</v>
      </c>
      <c r="J242" s="15" t="s">
        <v>841</v>
      </c>
      <c r="K242" s="1"/>
      <c r="L242" s="15"/>
      <c r="M242" s="15"/>
      <c r="N242" s="15"/>
      <c r="O242" s="7"/>
      <c r="P242" s="10"/>
      <c r="Q242" s="10"/>
      <c r="R242" s="10"/>
      <c r="S242" s="10"/>
      <c r="T242" s="10"/>
      <c r="U242" s="10"/>
    </row>
    <row r="243" spans="1:21" ht="92" x14ac:dyDescent="0.3">
      <c r="A243" s="1" t="s">
        <v>604</v>
      </c>
      <c r="B243" s="1" t="str">
        <f t="shared" ca="1" si="3"/>
        <v/>
      </c>
      <c r="C243" s="1"/>
      <c r="D243" s="2" t="s">
        <v>738</v>
      </c>
      <c r="E243" s="15"/>
      <c r="F243" s="15"/>
      <c r="G243" s="15"/>
      <c r="H243" s="1" t="s">
        <v>475</v>
      </c>
      <c r="I243" s="7" t="s">
        <v>824</v>
      </c>
      <c r="J243" s="15" t="s">
        <v>841</v>
      </c>
      <c r="K243" s="1"/>
      <c r="L243" s="15"/>
      <c r="M243" s="15"/>
      <c r="N243" s="15"/>
      <c r="O243" s="7"/>
      <c r="P243" s="10"/>
      <c r="Q243" s="10"/>
      <c r="R243" s="10"/>
      <c r="S243" s="10"/>
      <c r="T243" s="10"/>
      <c r="U243" s="10"/>
    </row>
    <row r="244" spans="1:21" x14ac:dyDescent="0.3">
      <c r="A244" s="1" t="s">
        <v>604</v>
      </c>
      <c r="B244" s="1" t="str">
        <f t="shared" ca="1" si="3"/>
        <v/>
      </c>
      <c r="C244" s="1"/>
      <c r="D244" s="2" t="s">
        <v>739</v>
      </c>
      <c r="E244" s="15"/>
      <c r="F244" s="15"/>
      <c r="G244" s="15"/>
      <c r="H244" s="1" t="s">
        <v>446</v>
      </c>
      <c r="I244" s="7" t="s">
        <v>821</v>
      </c>
      <c r="J244" s="15" t="s">
        <v>841</v>
      </c>
      <c r="K244" s="1"/>
      <c r="L244" s="15"/>
      <c r="M244" s="15"/>
      <c r="N244" s="15"/>
      <c r="O244" s="7"/>
      <c r="P244" s="10"/>
      <c r="Q244" s="10"/>
      <c r="R244" s="10"/>
      <c r="S244" s="10"/>
      <c r="T244" s="10"/>
      <c r="U244" s="10"/>
    </row>
    <row r="245" spans="1:21" x14ac:dyDescent="0.3">
      <c r="A245" s="1" t="s">
        <v>604</v>
      </c>
      <c r="B245" s="1" t="str">
        <f t="shared" ca="1" si="3"/>
        <v/>
      </c>
      <c r="C245" s="1"/>
      <c r="D245" s="2" t="s">
        <v>740</v>
      </c>
      <c r="E245" s="15"/>
      <c r="F245" s="15"/>
      <c r="G245" s="15"/>
      <c r="H245" s="1" t="s">
        <v>446</v>
      </c>
      <c r="I245" s="7" t="s">
        <v>821</v>
      </c>
      <c r="J245" s="15" t="s">
        <v>841</v>
      </c>
      <c r="K245" s="1"/>
      <c r="L245" s="15"/>
      <c r="M245" s="15"/>
      <c r="N245" s="15"/>
      <c r="O245" s="7"/>
      <c r="P245" s="10"/>
      <c r="Q245" s="10"/>
      <c r="R245" s="10"/>
      <c r="S245" s="10"/>
      <c r="T245" s="10"/>
      <c r="U245" s="10"/>
    </row>
    <row r="246" spans="1:21" x14ac:dyDescent="0.3">
      <c r="A246" s="1" t="s">
        <v>604</v>
      </c>
      <c r="B246" s="1" t="str">
        <f t="shared" ca="1" si="3"/>
        <v/>
      </c>
      <c r="C246" s="1"/>
      <c r="D246" s="2" t="s">
        <v>739</v>
      </c>
      <c r="E246" s="15"/>
      <c r="F246" s="15"/>
      <c r="G246" s="15"/>
      <c r="H246" s="1" t="s">
        <v>446</v>
      </c>
      <c r="I246" s="7" t="s">
        <v>822</v>
      </c>
      <c r="J246" s="15" t="s">
        <v>841</v>
      </c>
      <c r="K246" s="1"/>
      <c r="L246" s="15"/>
      <c r="M246" s="15"/>
      <c r="N246" s="15"/>
      <c r="O246" s="7"/>
      <c r="P246" s="10"/>
      <c r="Q246" s="10"/>
      <c r="R246" s="10"/>
      <c r="S246" s="10"/>
      <c r="T246" s="10"/>
      <c r="U246" s="10"/>
    </row>
    <row r="247" spans="1:21" x14ac:dyDescent="0.3">
      <c r="A247" s="1" t="s">
        <v>604</v>
      </c>
      <c r="B247" s="1" t="str">
        <f t="shared" ca="1" si="3"/>
        <v/>
      </c>
      <c r="C247" s="1"/>
      <c r="D247" s="2" t="s">
        <v>740</v>
      </c>
      <c r="E247" s="15"/>
      <c r="F247" s="15"/>
      <c r="G247" s="15"/>
      <c r="H247" s="1" t="s">
        <v>446</v>
      </c>
      <c r="I247" s="7" t="s">
        <v>822</v>
      </c>
      <c r="J247" s="15" t="s">
        <v>841</v>
      </c>
      <c r="K247" s="1"/>
      <c r="L247" s="15"/>
      <c r="M247" s="15"/>
      <c r="N247" s="15"/>
      <c r="O247" s="7"/>
      <c r="P247" s="10"/>
      <c r="Q247" s="10"/>
      <c r="R247" s="10"/>
      <c r="S247" s="10"/>
      <c r="T247" s="10"/>
      <c r="U247" s="10"/>
    </row>
    <row r="248" spans="1:21" x14ac:dyDescent="0.3">
      <c r="A248" s="1" t="s">
        <v>604</v>
      </c>
      <c r="B248" s="1" t="str">
        <f t="shared" ca="1" si="3"/>
        <v/>
      </c>
      <c r="C248" s="1"/>
      <c r="D248" s="2" t="s">
        <v>739</v>
      </c>
      <c r="E248" s="15"/>
      <c r="F248" s="15"/>
      <c r="G248" s="15"/>
      <c r="H248" s="1" t="s">
        <v>446</v>
      </c>
      <c r="I248" s="7" t="s">
        <v>823</v>
      </c>
      <c r="J248" s="15" t="s">
        <v>841</v>
      </c>
      <c r="K248" s="1"/>
      <c r="L248" s="15"/>
      <c r="M248" s="15"/>
      <c r="N248" s="15"/>
      <c r="O248" s="7"/>
      <c r="P248" s="10"/>
      <c r="Q248" s="10"/>
      <c r="R248" s="10"/>
      <c r="S248" s="10"/>
      <c r="T248" s="10"/>
      <c r="U248" s="10"/>
    </row>
    <row r="249" spans="1:21" x14ac:dyDescent="0.3">
      <c r="A249" s="1" t="s">
        <v>604</v>
      </c>
      <c r="B249" s="1" t="str">
        <f t="shared" ca="1" si="3"/>
        <v/>
      </c>
      <c r="C249" s="1"/>
      <c r="D249" s="2" t="s">
        <v>740</v>
      </c>
      <c r="E249" s="15"/>
      <c r="F249" s="15"/>
      <c r="G249" s="15"/>
      <c r="H249" s="1" t="s">
        <v>446</v>
      </c>
      <c r="I249" s="7" t="s">
        <v>823</v>
      </c>
      <c r="J249" s="15" t="s">
        <v>841</v>
      </c>
      <c r="K249" s="1"/>
      <c r="L249" s="15"/>
      <c r="M249" s="15"/>
      <c r="N249" s="15"/>
      <c r="O249" s="7"/>
      <c r="P249" s="10"/>
      <c r="Q249" s="10"/>
      <c r="R249" s="10"/>
      <c r="S249" s="10"/>
      <c r="T249" s="10"/>
      <c r="U249" s="10"/>
    </row>
    <row r="250" spans="1:21" x14ac:dyDescent="0.3">
      <c r="A250" s="1" t="s">
        <v>552</v>
      </c>
      <c r="B250" s="1" t="str">
        <f t="shared" ca="1" si="3"/>
        <v/>
      </c>
      <c r="C250" s="1"/>
      <c r="D250" s="2" t="s">
        <v>553</v>
      </c>
      <c r="E250" s="15"/>
      <c r="F250" s="15"/>
      <c r="G250" s="15"/>
      <c r="H250" s="1" t="s">
        <v>449</v>
      </c>
      <c r="I250" s="7" t="s">
        <v>571</v>
      </c>
      <c r="J250" s="15" t="s">
        <v>841</v>
      </c>
      <c r="K250" s="1"/>
      <c r="L250" s="15"/>
      <c r="M250" s="15"/>
      <c r="N250" s="15"/>
      <c r="O250" s="7"/>
      <c r="P250" s="10"/>
      <c r="Q250" s="10"/>
      <c r="R250" s="10"/>
      <c r="S250" s="10"/>
      <c r="T250" s="10"/>
      <c r="U250" s="10"/>
    </row>
    <row r="251" spans="1:21" x14ac:dyDescent="0.3">
      <c r="A251" s="1" t="s">
        <v>552</v>
      </c>
      <c r="B251" s="1" t="str">
        <f t="shared" ca="1" si="3"/>
        <v/>
      </c>
      <c r="C251" s="1"/>
      <c r="D251" s="2" t="s">
        <v>554</v>
      </c>
      <c r="E251" s="15"/>
      <c r="F251" s="15"/>
      <c r="G251" s="15"/>
      <c r="H251" s="1" t="s">
        <v>529</v>
      </c>
      <c r="I251" s="7" t="s">
        <v>572</v>
      </c>
      <c r="J251" s="15" t="s">
        <v>841</v>
      </c>
      <c r="K251" s="1"/>
      <c r="L251" s="15"/>
      <c r="M251" s="15"/>
      <c r="N251" s="15"/>
      <c r="O251" s="7"/>
      <c r="P251" s="10"/>
      <c r="Q251" s="10"/>
      <c r="R251" s="10"/>
      <c r="S251" s="10"/>
      <c r="T251" s="10"/>
      <c r="U251" s="10"/>
    </row>
    <row r="252" spans="1:21" x14ac:dyDescent="0.3">
      <c r="A252" s="1" t="s">
        <v>552</v>
      </c>
      <c r="B252" s="1" t="str">
        <f t="shared" ca="1" si="3"/>
        <v/>
      </c>
      <c r="C252" s="1"/>
      <c r="D252" s="2" t="s">
        <v>555</v>
      </c>
      <c r="E252" s="15"/>
      <c r="F252" s="15"/>
      <c r="G252" s="15"/>
      <c r="H252" s="1" t="s">
        <v>529</v>
      </c>
      <c r="I252" s="7" t="s">
        <v>573</v>
      </c>
      <c r="J252" s="15" t="s">
        <v>841</v>
      </c>
      <c r="K252" s="1"/>
      <c r="L252" s="15"/>
      <c r="M252" s="15"/>
      <c r="N252" s="15"/>
      <c r="O252" s="7"/>
      <c r="P252" s="10"/>
      <c r="Q252" s="10"/>
      <c r="R252" s="10"/>
      <c r="S252" s="10"/>
      <c r="T252" s="10"/>
      <c r="U252" s="10"/>
    </row>
    <row r="253" spans="1:21" x14ac:dyDescent="0.3">
      <c r="A253" s="1" t="s">
        <v>552</v>
      </c>
      <c r="B253" s="1" t="str">
        <f t="shared" ca="1" si="3"/>
        <v/>
      </c>
      <c r="C253" s="1"/>
      <c r="D253" s="2" t="s">
        <v>741</v>
      </c>
      <c r="E253" s="15"/>
      <c r="F253" s="15"/>
      <c r="G253" s="15"/>
      <c r="H253" s="1" t="s">
        <v>529</v>
      </c>
      <c r="I253" s="7" t="s">
        <v>825</v>
      </c>
      <c r="J253" s="15" t="s">
        <v>841</v>
      </c>
      <c r="K253" s="1"/>
      <c r="L253" s="15"/>
      <c r="M253" s="15"/>
      <c r="N253" s="15"/>
      <c r="O253" s="7"/>
      <c r="P253" s="10"/>
      <c r="Q253" s="10"/>
      <c r="R253" s="10"/>
      <c r="S253" s="10"/>
      <c r="T253" s="10"/>
      <c r="U253" s="10"/>
    </row>
    <row r="254" spans="1:21" x14ac:dyDescent="0.3">
      <c r="A254" s="1" t="s">
        <v>552</v>
      </c>
      <c r="B254" s="1" t="str">
        <f t="shared" ca="1" si="3"/>
        <v/>
      </c>
      <c r="C254" s="1"/>
      <c r="D254" s="2" t="s">
        <v>742</v>
      </c>
      <c r="E254" s="15"/>
      <c r="F254" s="15"/>
      <c r="G254" s="15"/>
      <c r="H254" s="1" t="s">
        <v>475</v>
      </c>
      <c r="I254" s="7" t="s">
        <v>826</v>
      </c>
      <c r="J254" s="15" t="s">
        <v>841</v>
      </c>
      <c r="K254" s="1"/>
      <c r="L254" s="15"/>
      <c r="M254" s="15"/>
      <c r="N254" s="15"/>
      <c r="O254" s="7"/>
      <c r="P254" s="10"/>
      <c r="Q254" s="10"/>
      <c r="R254" s="10"/>
      <c r="S254" s="10"/>
      <c r="T254" s="10"/>
      <c r="U254" s="10"/>
    </row>
    <row r="255" spans="1:21" x14ac:dyDescent="0.3">
      <c r="A255" s="1" t="s">
        <v>552</v>
      </c>
      <c r="B255" s="1" t="str">
        <f t="shared" ca="1" si="3"/>
        <v/>
      </c>
      <c r="C255" s="1"/>
      <c r="D255" s="2" t="s">
        <v>585</v>
      </c>
      <c r="E255" s="15"/>
      <c r="F255" s="15"/>
      <c r="G255" s="15"/>
      <c r="H255" s="1" t="s">
        <v>762</v>
      </c>
      <c r="I255" s="7"/>
      <c r="J255" s="15" t="s">
        <v>841</v>
      </c>
      <c r="K255" s="1"/>
      <c r="L255" s="15"/>
      <c r="M255" s="15"/>
      <c r="N255" s="15"/>
      <c r="O255" s="7"/>
      <c r="P255" s="10"/>
      <c r="Q255" s="10"/>
      <c r="R255" s="10"/>
      <c r="S255" s="10"/>
      <c r="T255" s="10"/>
      <c r="U255" s="10"/>
    </row>
    <row r="256" spans="1:21" x14ac:dyDescent="0.3">
      <c r="A256" s="1" t="s">
        <v>552</v>
      </c>
      <c r="B256" s="1" t="str">
        <f t="shared" ca="1" si="3"/>
        <v/>
      </c>
      <c r="C256" s="1"/>
      <c r="D256" s="2" t="s">
        <v>586</v>
      </c>
      <c r="E256" s="15"/>
      <c r="F256" s="15"/>
      <c r="G256" s="15"/>
      <c r="H256" s="1" t="s">
        <v>453</v>
      </c>
      <c r="I256" s="7"/>
      <c r="J256" s="15" t="s">
        <v>841</v>
      </c>
      <c r="K256" s="1"/>
      <c r="L256" s="15"/>
      <c r="M256" s="15"/>
      <c r="N256" s="15"/>
      <c r="O256" s="7"/>
      <c r="P256" s="10"/>
      <c r="Q256" s="10"/>
      <c r="R256" s="10"/>
      <c r="S256" s="10"/>
      <c r="T256" s="10"/>
      <c r="U256" s="10"/>
    </row>
    <row r="257" spans="1:21" x14ac:dyDescent="0.3">
      <c r="A257" s="1" t="s">
        <v>552</v>
      </c>
      <c r="B257" s="1" t="str">
        <f t="shared" ca="1" si="3"/>
        <v/>
      </c>
      <c r="C257" s="1"/>
      <c r="D257" s="2" t="s">
        <v>587</v>
      </c>
      <c r="E257" s="15"/>
      <c r="F257" s="15"/>
      <c r="G257" s="15"/>
      <c r="H257" s="1" t="s">
        <v>478</v>
      </c>
      <c r="I257" s="7"/>
      <c r="J257" s="15" t="s">
        <v>841</v>
      </c>
      <c r="K257" s="1"/>
      <c r="L257" s="15"/>
      <c r="M257" s="15"/>
      <c r="N257" s="15"/>
      <c r="O257" s="7"/>
      <c r="P257" s="10"/>
      <c r="Q257" s="10"/>
      <c r="R257" s="10"/>
      <c r="S257" s="10"/>
      <c r="T257" s="10"/>
      <c r="U257" s="10"/>
    </row>
    <row r="258" spans="1:21" ht="46" x14ac:dyDescent="0.3">
      <c r="A258" s="1" t="s">
        <v>552</v>
      </c>
      <c r="B258" s="1" t="str">
        <f t="shared" ca="1" si="3"/>
        <v/>
      </c>
      <c r="C258" s="1"/>
      <c r="D258" s="2" t="s">
        <v>743</v>
      </c>
      <c r="E258" s="15"/>
      <c r="F258" s="15"/>
      <c r="G258" s="15"/>
      <c r="H258" s="1" t="s">
        <v>453</v>
      </c>
      <c r="I258" s="7" t="s">
        <v>422</v>
      </c>
      <c r="J258" s="15" t="s">
        <v>841</v>
      </c>
      <c r="K258" s="1"/>
      <c r="L258" s="15"/>
      <c r="M258" s="15"/>
      <c r="N258" s="15"/>
      <c r="O258" s="7"/>
      <c r="P258" s="10"/>
      <c r="Q258" s="10"/>
      <c r="R258" s="10"/>
      <c r="S258" s="10"/>
      <c r="T258" s="10"/>
      <c r="U258" s="10"/>
    </row>
    <row r="259" spans="1:21" ht="46" x14ac:dyDescent="0.3">
      <c r="A259" s="1" t="s">
        <v>552</v>
      </c>
      <c r="B259" s="1" t="str">
        <f t="shared" ca="1" si="3"/>
        <v/>
      </c>
      <c r="C259" s="1"/>
      <c r="D259" s="2" t="s">
        <v>744</v>
      </c>
      <c r="E259" s="15"/>
      <c r="F259" s="15"/>
      <c r="G259" s="15"/>
      <c r="H259" s="1" t="s">
        <v>478</v>
      </c>
      <c r="I259" s="7" t="s">
        <v>423</v>
      </c>
      <c r="J259" s="15" t="s">
        <v>841</v>
      </c>
      <c r="K259" s="1"/>
      <c r="L259" s="15"/>
      <c r="M259" s="15"/>
      <c r="N259" s="15"/>
      <c r="O259" s="7"/>
      <c r="P259" s="10"/>
      <c r="Q259" s="10"/>
      <c r="R259" s="10"/>
      <c r="S259" s="10"/>
      <c r="T259" s="10"/>
      <c r="U259" s="10"/>
    </row>
    <row r="260" spans="1:21" ht="46" x14ac:dyDescent="0.3">
      <c r="A260" s="1" t="s">
        <v>552</v>
      </c>
      <c r="B260" s="1" t="str">
        <f t="shared" ca="1" si="3"/>
        <v/>
      </c>
      <c r="C260" s="1"/>
      <c r="D260" s="2" t="s">
        <v>745</v>
      </c>
      <c r="E260" s="15"/>
      <c r="F260" s="15"/>
      <c r="G260" s="15"/>
      <c r="H260" s="1" t="s">
        <v>762</v>
      </c>
      <c r="I260" s="7" t="s">
        <v>424</v>
      </c>
      <c r="J260" s="15" t="s">
        <v>841</v>
      </c>
      <c r="K260" s="1"/>
      <c r="L260" s="15"/>
      <c r="M260" s="15"/>
      <c r="N260" s="15"/>
      <c r="O260" s="7"/>
      <c r="P260" s="10"/>
      <c r="Q260" s="10"/>
      <c r="R260" s="10"/>
      <c r="S260" s="10"/>
      <c r="T260" s="10"/>
      <c r="U260" s="10"/>
    </row>
    <row r="261" spans="1:21" ht="46" x14ac:dyDescent="0.3">
      <c r="A261" s="1" t="s">
        <v>552</v>
      </c>
      <c r="B261" s="1" t="str">
        <f t="shared" ca="1" si="3"/>
        <v/>
      </c>
      <c r="C261" s="1"/>
      <c r="D261" s="2" t="s">
        <v>746</v>
      </c>
      <c r="E261" s="15"/>
      <c r="F261" s="15"/>
      <c r="G261" s="15"/>
      <c r="H261" s="1" t="s">
        <v>478</v>
      </c>
      <c r="I261" s="7" t="s">
        <v>425</v>
      </c>
      <c r="J261" s="15" t="s">
        <v>841</v>
      </c>
      <c r="K261" s="1"/>
      <c r="L261" s="15"/>
      <c r="M261" s="15"/>
      <c r="N261" s="15"/>
      <c r="O261" s="7"/>
      <c r="P261" s="10"/>
      <c r="Q261" s="10"/>
      <c r="R261" s="10"/>
      <c r="S261" s="10"/>
      <c r="T261" s="10"/>
      <c r="U261" s="10"/>
    </row>
    <row r="262" spans="1:21" x14ac:dyDescent="0.3">
      <c r="A262" s="1" t="s">
        <v>552</v>
      </c>
      <c r="B262" s="1" t="str">
        <f t="shared" ca="1" si="3"/>
        <v/>
      </c>
      <c r="C262" s="1"/>
      <c r="D262" s="2" t="s">
        <v>556</v>
      </c>
      <c r="E262" s="15"/>
      <c r="F262" s="15"/>
      <c r="G262" s="15"/>
      <c r="H262" s="1" t="s">
        <v>453</v>
      </c>
      <c r="I262" s="7" t="s">
        <v>574</v>
      </c>
      <c r="J262" s="15" t="s">
        <v>841</v>
      </c>
      <c r="K262" s="1"/>
      <c r="L262" s="15"/>
      <c r="M262" s="15"/>
      <c r="N262" s="15"/>
      <c r="O262" s="7"/>
      <c r="P262" s="10"/>
      <c r="Q262" s="10"/>
      <c r="R262" s="10"/>
      <c r="S262" s="10"/>
      <c r="T262" s="10"/>
      <c r="U262" s="10"/>
    </row>
    <row r="263" spans="1:21" x14ac:dyDescent="0.3">
      <c r="A263" s="1" t="s">
        <v>552</v>
      </c>
      <c r="B263" s="1" t="str">
        <f t="shared" ca="1" si="3"/>
        <v/>
      </c>
      <c r="C263" s="1"/>
      <c r="D263" s="2" t="s">
        <v>557</v>
      </c>
      <c r="E263" s="15"/>
      <c r="F263" s="15"/>
      <c r="G263" s="15"/>
      <c r="H263" s="1" t="s">
        <v>478</v>
      </c>
      <c r="I263" s="7" t="s">
        <v>575</v>
      </c>
      <c r="J263" s="15" t="s">
        <v>841</v>
      </c>
      <c r="K263" s="1"/>
      <c r="L263" s="15"/>
      <c r="M263" s="15"/>
      <c r="N263" s="15"/>
      <c r="O263" s="7"/>
      <c r="P263" s="10"/>
      <c r="Q263" s="10"/>
      <c r="R263" s="10"/>
      <c r="S263" s="10"/>
      <c r="T263" s="10"/>
      <c r="U263" s="10"/>
    </row>
    <row r="264" spans="1:21" ht="23" x14ac:dyDescent="0.3">
      <c r="A264" s="1" t="s">
        <v>552</v>
      </c>
      <c r="B264" s="1" t="str">
        <f t="shared" ca="1" si="3"/>
        <v/>
      </c>
      <c r="C264" s="1"/>
      <c r="D264" s="2" t="s">
        <v>558</v>
      </c>
      <c r="E264" s="15"/>
      <c r="F264" s="15"/>
      <c r="G264" s="15"/>
      <c r="H264" s="1" t="s">
        <v>754</v>
      </c>
      <c r="I264" s="7" t="s">
        <v>576</v>
      </c>
      <c r="J264" s="15" t="s">
        <v>841</v>
      </c>
      <c r="K264" s="1"/>
      <c r="L264" s="15"/>
      <c r="M264" s="15"/>
      <c r="N264" s="15"/>
      <c r="O264" s="7"/>
      <c r="P264" s="10"/>
      <c r="Q264" s="10"/>
      <c r="R264" s="10"/>
      <c r="S264" s="10"/>
      <c r="T264" s="10"/>
      <c r="U264" s="10"/>
    </row>
    <row r="265" spans="1:21" ht="23" x14ac:dyDescent="0.3">
      <c r="A265" s="1" t="s">
        <v>552</v>
      </c>
      <c r="B265" s="1" t="str">
        <f t="shared" ca="1" si="3"/>
        <v/>
      </c>
      <c r="C265" s="1"/>
      <c r="D265" s="2" t="s">
        <v>559</v>
      </c>
      <c r="E265" s="15"/>
      <c r="F265" s="15"/>
      <c r="G265" s="15"/>
      <c r="H265" s="1" t="s">
        <v>457</v>
      </c>
      <c r="I265" s="7" t="s">
        <v>577</v>
      </c>
      <c r="J265" s="15" t="s">
        <v>841</v>
      </c>
      <c r="K265" s="1"/>
      <c r="L265" s="15"/>
      <c r="M265" s="15"/>
      <c r="N265" s="15"/>
      <c r="O265" s="7"/>
      <c r="P265" s="10"/>
      <c r="Q265" s="10"/>
      <c r="R265" s="10"/>
      <c r="S265" s="10"/>
      <c r="T265" s="10"/>
      <c r="U265" s="10"/>
    </row>
    <row r="266" spans="1:21" x14ac:dyDescent="0.3">
      <c r="A266" s="1" t="s">
        <v>552</v>
      </c>
      <c r="B266" s="1" t="str">
        <f t="shared" ca="1" si="3"/>
        <v/>
      </c>
      <c r="C266" s="1"/>
      <c r="D266" s="2" t="s">
        <v>560</v>
      </c>
      <c r="E266" s="15"/>
      <c r="F266" s="15"/>
      <c r="G266" s="15"/>
      <c r="H266" s="1" t="s">
        <v>763</v>
      </c>
      <c r="I266" s="7" t="s">
        <v>578</v>
      </c>
      <c r="J266" s="15" t="s">
        <v>841</v>
      </c>
      <c r="K266" s="1"/>
      <c r="L266" s="15"/>
      <c r="M266" s="15"/>
      <c r="N266" s="15"/>
      <c r="O266" s="7"/>
      <c r="P266" s="10"/>
      <c r="Q266" s="10"/>
      <c r="R266" s="10"/>
      <c r="S266" s="10"/>
      <c r="T266" s="10"/>
      <c r="U266" s="10"/>
    </row>
    <row r="267" spans="1:21" x14ac:dyDescent="0.3">
      <c r="A267" s="1" t="s">
        <v>552</v>
      </c>
      <c r="B267" s="1" t="str">
        <f t="shared" ca="1" si="3"/>
        <v/>
      </c>
      <c r="C267" s="1"/>
      <c r="D267" s="2" t="s">
        <v>561</v>
      </c>
      <c r="E267" s="15"/>
      <c r="F267" s="15"/>
      <c r="G267" s="15"/>
      <c r="H267" s="1" t="s">
        <v>764</v>
      </c>
      <c r="I267" s="7" t="s">
        <v>579</v>
      </c>
      <c r="J267" s="15" t="s">
        <v>841</v>
      </c>
      <c r="K267" s="1"/>
      <c r="L267" s="15"/>
      <c r="M267" s="15"/>
      <c r="N267" s="15"/>
      <c r="O267" s="7"/>
      <c r="P267" s="10"/>
      <c r="Q267" s="10"/>
      <c r="R267" s="10"/>
      <c r="S267" s="10"/>
      <c r="T267" s="10"/>
      <c r="U267" s="10"/>
    </row>
    <row r="268" spans="1:21" x14ac:dyDescent="0.3">
      <c r="A268" s="1" t="s">
        <v>552</v>
      </c>
      <c r="B268" s="1" t="str">
        <f t="shared" ca="1" si="3"/>
        <v/>
      </c>
      <c r="C268" s="1"/>
      <c r="D268" s="2" t="s">
        <v>562</v>
      </c>
      <c r="E268" s="15"/>
      <c r="F268" s="15"/>
      <c r="G268" s="15"/>
      <c r="H268" s="1" t="s">
        <v>764</v>
      </c>
      <c r="I268" s="7" t="s">
        <v>580</v>
      </c>
      <c r="J268" s="15" t="s">
        <v>841</v>
      </c>
      <c r="K268" s="1"/>
      <c r="L268" s="15"/>
      <c r="M268" s="15"/>
      <c r="N268" s="15"/>
      <c r="O268" s="7"/>
      <c r="P268" s="10"/>
      <c r="Q268" s="10"/>
      <c r="R268" s="10"/>
      <c r="S268" s="10"/>
      <c r="T268" s="10"/>
      <c r="U268" s="10"/>
    </row>
    <row r="269" spans="1:21" x14ac:dyDescent="0.3">
      <c r="A269" s="1" t="s">
        <v>552</v>
      </c>
      <c r="B269" s="1" t="str">
        <f t="shared" ca="1" si="3"/>
        <v/>
      </c>
      <c r="C269" s="1"/>
      <c r="D269" s="2" t="s">
        <v>563</v>
      </c>
      <c r="E269" s="15"/>
      <c r="F269" s="15"/>
      <c r="G269" s="15"/>
      <c r="H269" s="1" t="s">
        <v>478</v>
      </c>
      <c r="I269" s="7" t="s">
        <v>581</v>
      </c>
      <c r="J269" s="15" t="s">
        <v>841</v>
      </c>
      <c r="K269" s="1"/>
      <c r="L269" s="15"/>
      <c r="M269" s="15"/>
      <c r="N269" s="15"/>
      <c r="O269" s="7"/>
      <c r="P269" s="10"/>
      <c r="Q269" s="10"/>
      <c r="R269" s="10"/>
      <c r="S269" s="10"/>
      <c r="T269" s="10"/>
      <c r="U269" s="10"/>
    </row>
    <row r="270" spans="1:21" x14ac:dyDescent="0.3">
      <c r="A270" s="1" t="s">
        <v>552</v>
      </c>
      <c r="B270" s="1" t="str">
        <f t="shared" ca="1" si="3"/>
        <v/>
      </c>
      <c r="C270" s="1"/>
      <c r="D270" s="2" t="s">
        <v>564</v>
      </c>
      <c r="E270" s="15"/>
      <c r="F270" s="15"/>
      <c r="G270" s="15"/>
      <c r="H270" s="1" t="s">
        <v>530</v>
      </c>
      <c r="I270" s="7" t="s">
        <v>582</v>
      </c>
      <c r="J270" s="15" t="s">
        <v>841</v>
      </c>
      <c r="K270" s="1"/>
      <c r="L270" s="15"/>
      <c r="M270" s="15"/>
      <c r="N270" s="15"/>
      <c r="O270" s="7"/>
      <c r="P270" s="10"/>
      <c r="Q270" s="10"/>
      <c r="R270" s="10"/>
      <c r="S270" s="10"/>
      <c r="T270" s="10"/>
      <c r="U270" s="10"/>
    </row>
    <row r="271" spans="1:21" x14ac:dyDescent="0.3">
      <c r="A271" s="1" t="s">
        <v>552</v>
      </c>
      <c r="B271" s="1" t="str">
        <f t="shared" ca="1" si="3"/>
        <v/>
      </c>
      <c r="C271" s="1"/>
      <c r="D271" s="2" t="s">
        <v>565</v>
      </c>
      <c r="E271" s="15"/>
      <c r="F271" s="15"/>
      <c r="G271" s="15"/>
      <c r="H271" s="1" t="s">
        <v>449</v>
      </c>
      <c r="I271" s="7" t="s">
        <v>583</v>
      </c>
      <c r="J271" s="15" t="s">
        <v>841</v>
      </c>
      <c r="K271" s="1"/>
      <c r="L271" s="15"/>
      <c r="M271" s="15"/>
      <c r="N271" s="15"/>
      <c r="O271" s="7"/>
      <c r="P271" s="10"/>
      <c r="Q271" s="10"/>
      <c r="R271" s="10"/>
      <c r="S271" s="10"/>
      <c r="T271" s="10"/>
      <c r="U271" s="10"/>
    </row>
    <row r="272" spans="1:21" x14ac:dyDescent="0.3">
      <c r="A272" s="1" t="s">
        <v>552</v>
      </c>
      <c r="B272" s="1" t="str">
        <f t="shared" ca="1" si="3"/>
        <v/>
      </c>
      <c r="C272" s="1"/>
      <c r="D272" s="2" t="s">
        <v>566</v>
      </c>
      <c r="E272" s="15"/>
      <c r="F272" s="15"/>
      <c r="G272" s="15"/>
      <c r="H272" s="1" t="s">
        <v>475</v>
      </c>
      <c r="I272" s="7" t="s">
        <v>584</v>
      </c>
      <c r="J272" s="15" t="s">
        <v>841</v>
      </c>
      <c r="K272" s="1"/>
      <c r="L272" s="15"/>
      <c r="M272" s="15"/>
      <c r="N272" s="15"/>
      <c r="O272" s="7"/>
      <c r="P272" s="10"/>
      <c r="Q272" s="10"/>
      <c r="R272" s="10"/>
      <c r="S272" s="10"/>
      <c r="T272" s="10"/>
      <c r="U272" s="10"/>
    </row>
    <row r="273" spans="1:21" x14ac:dyDescent="0.3">
      <c r="A273" s="1" t="s">
        <v>552</v>
      </c>
      <c r="B273" s="1" t="str">
        <f t="shared" ca="1" si="3"/>
        <v/>
      </c>
      <c r="C273" s="1"/>
      <c r="D273" s="2" t="s">
        <v>567</v>
      </c>
      <c r="E273" s="15" t="s">
        <v>841</v>
      </c>
      <c r="F273" s="15"/>
      <c r="G273" s="15"/>
      <c r="H273" s="4" t="s">
        <v>750</v>
      </c>
      <c r="I273" s="7" t="s">
        <v>1618</v>
      </c>
      <c r="J273" s="15" t="s">
        <v>474</v>
      </c>
      <c r="K273" s="1"/>
      <c r="L273" s="15"/>
      <c r="M273" s="15"/>
      <c r="N273" s="15"/>
      <c r="O273" s="7"/>
      <c r="P273" s="10"/>
      <c r="Q273" s="10"/>
      <c r="R273" s="10"/>
      <c r="S273" s="10"/>
      <c r="T273" s="10"/>
      <c r="U273" s="10"/>
    </row>
    <row r="274" spans="1:21" ht="34.5" x14ac:dyDescent="0.3">
      <c r="A274" s="1" t="s">
        <v>552</v>
      </c>
      <c r="B274" s="1" t="str">
        <f t="shared" ca="1" si="3"/>
        <v/>
      </c>
      <c r="C274" s="1"/>
      <c r="D274" s="2" t="s">
        <v>568</v>
      </c>
      <c r="E274" s="15"/>
      <c r="F274" s="15"/>
      <c r="G274" s="15"/>
      <c r="H274" s="4" t="s">
        <v>750</v>
      </c>
      <c r="I274" s="7" t="s">
        <v>426</v>
      </c>
      <c r="J274" s="15" t="s">
        <v>841</v>
      </c>
      <c r="K274" s="1"/>
      <c r="L274" s="15"/>
      <c r="M274" s="15"/>
      <c r="N274" s="15"/>
      <c r="O274" s="7"/>
      <c r="P274" s="10"/>
      <c r="Q274" s="10"/>
      <c r="R274" s="10"/>
      <c r="S274" s="10"/>
      <c r="T274" s="10"/>
      <c r="U274" s="10"/>
    </row>
    <row r="275" spans="1:21" ht="34.5" x14ac:dyDescent="0.3">
      <c r="A275" s="1" t="s">
        <v>552</v>
      </c>
      <c r="B275" s="1" t="str">
        <f t="shared" ca="1" si="3"/>
        <v/>
      </c>
      <c r="C275" s="1"/>
      <c r="D275" s="2" t="s">
        <v>747</v>
      </c>
      <c r="E275" s="15"/>
      <c r="F275" s="15"/>
      <c r="G275" s="15"/>
      <c r="H275" s="4" t="s">
        <v>750</v>
      </c>
      <c r="I275" s="7" t="s">
        <v>427</v>
      </c>
      <c r="J275" s="15" t="s">
        <v>841</v>
      </c>
      <c r="K275" s="1"/>
      <c r="L275" s="15"/>
      <c r="M275" s="15"/>
      <c r="N275" s="15"/>
      <c r="O275" s="7"/>
      <c r="P275" s="10"/>
      <c r="Q275" s="10"/>
      <c r="R275" s="10"/>
      <c r="S275" s="10"/>
      <c r="T275" s="10"/>
      <c r="U275" s="10"/>
    </row>
    <row r="276" spans="1:21" x14ac:dyDescent="0.3">
      <c r="A276" s="1" t="s">
        <v>552</v>
      </c>
      <c r="B276" s="1" t="str">
        <f t="shared" ca="1" si="3"/>
        <v/>
      </c>
      <c r="C276" s="1"/>
      <c r="D276" s="2" t="s">
        <v>569</v>
      </c>
      <c r="E276" s="15"/>
      <c r="F276" s="15"/>
      <c r="G276" s="15"/>
      <c r="H276" s="4" t="s">
        <v>750</v>
      </c>
      <c r="I276" s="7" t="s">
        <v>428</v>
      </c>
      <c r="J276" s="15" t="s">
        <v>841</v>
      </c>
      <c r="K276" s="1"/>
      <c r="L276" s="15"/>
      <c r="M276" s="15"/>
      <c r="N276" s="15"/>
      <c r="O276" s="7"/>
      <c r="P276" s="10"/>
      <c r="Q276" s="10"/>
      <c r="R276" s="10"/>
      <c r="S276" s="10"/>
      <c r="T276" s="10"/>
      <c r="U276" s="10"/>
    </row>
    <row r="277" spans="1:21" x14ac:dyDescent="0.3">
      <c r="A277" s="1" t="s">
        <v>552</v>
      </c>
      <c r="B277" s="1" t="str">
        <f t="shared" ca="1" si="3"/>
        <v/>
      </c>
      <c r="C277" s="1"/>
      <c r="D277" s="2" t="s">
        <v>570</v>
      </c>
      <c r="E277" s="15"/>
      <c r="F277" s="15"/>
      <c r="G277" s="15"/>
      <c r="H277" s="4" t="s">
        <v>750</v>
      </c>
      <c r="I277" s="7" t="s">
        <v>429</v>
      </c>
      <c r="J277" s="15" t="s">
        <v>474</v>
      </c>
      <c r="K277" s="1"/>
      <c r="L277" s="15"/>
      <c r="M277" s="15"/>
      <c r="N277" s="15"/>
      <c r="O277" s="7"/>
      <c r="P277" s="10"/>
      <c r="Q277" s="10"/>
      <c r="R277" s="10"/>
      <c r="S277" s="10"/>
      <c r="T277" s="10"/>
      <c r="U277" s="10"/>
    </row>
    <row r="278" spans="1:21" x14ac:dyDescent="0.3">
      <c r="A278" s="18" t="s">
        <v>436</v>
      </c>
      <c r="B278" s="1" t="s">
        <v>92</v>
      </c>
      <c r="C278" s="10" t="s">
        <v>1014</v>
      </c>
      <c r="D278" s="19" t="s">
        <v>437</v>
      </c>
      <c r="E278" s="15"/>
      <c r="F278" s="15"/>
      <c r="G278" s="15">
        <v>1000</v>
      </c>
      <c r="H278" s="10" t="s">
        <v>1015</v>
      </c>
      <c r="I278" s="5" t="s">
        <v>1016</v>
      </c>
      <c r="J278" s="15" t="s">
        <v>474</v>
      </c>
      <c r="K278" s="1"/>
      <c r="L278" s="15"/>
      <c r="M278" s="15"/>
      <c r="N278" s="15"/>
      <c r="O278" s="7"/>
      <c r="P278" s="10"/>
      <c r="Q278" s="10"/>
      <c r="R278" s="10"/>
      <c r="S278" s="10"/>
      <c r="T278" s="10"/>
      <c r="U278" s="10"/>
    </row>
    <row r="279" spans="1:21" x14ac:dyDescent="0.3">
      <c r="A279" s="1"/>
      <c r="B279" s="1"/>
      <c r="C279" s="1"/>
      <c r="D279" s="2"/>
      <c r="E279" s="15"/>
      <c r="F279" s="15"/>
      <c r="G279" s="15"/>
      <c r="H279" s="4"/>
      <c r="I279" s="9"/>
      <c r="J279" s="15"/>
      <c r="K279" s="1"/>
      <c r="L279" s="15"/>
      <c r="M279" s="15"/>
      <c r="N279" s="15"/>
      <c r="O279" s="7"/>
      <c r="P279" s="10"/>
      <c r="Q279" s="10"/>
      <c r="R279" s="10"/>
      <c r="S279" s="10"/>
      <c r="T279" s="10"/>
      <c r="U279" s="10"/>
    </row>
    <row r="280" spans="1:21" x14ac:dyDescent="0.3">
      <c r="A280" s="1"/>
      <c r="B280" s="1"/>
      <c r="C280" s="1"/>
      <c r="D280" s="2"/>
      <c r="E280" s="15"/>
      <c r="F280" s="15"/>
      <c r="G280" s="15"/>
      <c r="H280" s="4"/>
      <c r="I280" s="9"/>
      <c r="J280" s="15"/>
      <c r="K280" s="1"/>
      <c r="L280" s="15"/>
      <c r="M280" s="15"/>
      <c r="N280" s="15"/>
      <c r="O280" s="7"/>
      <c r="P280" s="10"/>
      <c r="Q280" s="10"/>
      <c r="R280" s="10"/>
      <c r="S280" s="10"/>
      <c r="T280" s="10"/>
      <c r="U280" s="10"/>
    </row>
    <row r="281" spans="1:21" x14ac:dyDescent="0.3">
      <c r="A281" s="1"/>
      <c r="B281" s="1"/>
      <c r="C281" s="1"/>
      <c r="D281" s="2"/>
      <c r="E281" s="15"/>
      <c r="F281" s="15"/>
      <c r="G281" s="15"/>
      <c r="H281" s="4"/>
      <c r="I281" s="9"/>
      <c r="J281" s="15"/>
      <c r="K281" s="1"/>
      <c r="L281" s="15"/>
      <c r="M281" s="15"/>
      <c r="N281" s="15"/>
      <c r="O281" s="7"/>
      <c r="P281" s="10"/>
      <c r="Q281" s="10"/>
      <c r="R281" s="10"/>
      <c r="S281" s="10"/>
      <c r="T281" s="10"/>
      <c r="U281" s="10"/>
    </row>
    <row r="282" spans="1:21" x14ac:dyDescent="0.3">
      <c r="A282" s="1"/>
      <c r="B282" s="1"/>
      <c r="C282" s="1"/>
      <c r="D282" s="2"/>
      <c r="E282" s="15"/>
      <c r="F282" s="15"/>
      <c r="G282" s="15"/>
      <c r="H282" s="4"/>
      <c r="I282" s="9"/>
      <c r="J282" s="15"/>
      <c r="K282" s="1"/>
      <c r="L282" s="15"/>
      <c r="M282" s="15"/>
      <c r="N282" s="15"/>
      <c r="O282" s="7"/>
      <c r="P282" s="10"/>
      <c r="Q282" s="10"/>
      <c r="R282" s="10"/>
      <c r="S282" s="10"/>
      <c r="T282" s="10"/>
      <c r="U282" s="10"/>
    </row>
    <row r="283" spans="1:21" x14ac:dyDescent="0.3">
      <c r="A283" s="1"/>
      <c r="B283" s="1"/>
      <c r="C283" s="1"/>
      <c r="D283" s="2"/>
      <c r="E283" s="15"/>
      <c r="F283" s="15"/>
      <c r="G283" s="15"/>
      <c r="H283" s="4"/>
      <c r="I283" s="9"/>
      <c r="J283" s="15"/>
      <c r="K283" s="1"/>
      <c r="L283" s="15"/>
      <c r="M283" s="15"/>
      <c r="N283" s="15"/>
      <c r="O283" s="7"/>
      <c r="P283" s="10"/>
      <c r="Q283" s="10"/>
      <c r="R283" s="10"/>
      <c r="S283" s="10"/>
      <c r="T283" s="10"/>
      <c r="U283" s="10"/>
    </row>
    <row r="284" spans="1:21" x14ac:dyDescent="0.3">
      <c r="A284" s="1"/>
      <c r="B284" s="1"/>
      <c r="C284" s="1"/>
      <c r="D284" s="2"/>
      <c r="E284" s="15"/>
      <c r="F284" s="15"/>
      <c r="G284" s="15"/>
      <c r="H284" s="4"/>
      <c r="I284" s="9"/>
      <c r="J284" s="15"/>
      <c r="K284" s="1"/>
      <c r="L284" s="15"/>
      <c r="M284" s="15"/>
      <c r="N284" s="15"/>
      <c r="O284" s="7"/>
      <c r="P284" s="10"/>
      <c r="Q284" s="10"/>
      <c r="R284" s="10"/>
      <c r="S284" s="10"/>
      <c r="T284" s="10"/>
      <c r="U284" s="10"/>
    </row>
    <row r="285" spans="1:21" x14ac:dyDescent="0.3">
      <c r="A285" s="1"/>
      <c r="B285" s="1"/>
      <c r="C285" s="1"/>
      <c r="D285" s="2"/>
      <c r="E285" s="15"/>
      <c r="F285" s="15"/>
      <c r="G285" s="15"/>
      <c r="H285" s="4"/>
      <c r="I285" s="9"/>
      <c r="J285" s="15"/>
      <c r="K285" s="1"/>
      <c r="L285" s="15"/>
      <c r="M285" s="15"/>
      <c r="N285" s="15"/>
      <c r="O285" s="7"/>
      <c r="P285" s="10"/>
      <c r="Q285" s="10"/>
      <c r="R285" s="10"/>
      <c r="S285" s="10"/>
      <c r="T285" s="10"/>
      <c r="U285" s="10"/>
    </row>
    <row r="286" spans="1:21" x14ac:dyDescent="0.3">
      <c r="A286" s="1"/>
      <c r="B286" s="1"/>
      <c r="C286" s="1"/>
      <c r="D286" s="2"/>
      <c r="E286" s="15"/>
      <c r="F286" s="15"/>
      <c r="G286" s="15"/>
      <c r="H286" s="1"/>
      <c r="I286" s="9"/>
      <c r="J286" s="15"/>
      <c r="K286" s="1"/>
      <c r="L286" s="15"/>
      <c r="M286" s="15"/>
      <c r="N286" s="15"/>
      <c r="O286" s="7"/>
      <c r="P286" s="10"/>
      <c r="Q286" s="10"/>
      <c r="R286" s="10"/>
      <c r="S286" s="10"/>
      <c r="T286" s="10"/>
      <c r="U286" s="10"/>
    </row>
    <row r="287" spans="1:21" x14ac:dyDescent="0.3">
      <c r="A287" s="1"/>
      <c r="B287" s="1"/>
      <c r="C287" s="1"/>
      <c r="D287" s="2"/>
      <c r="E287" s="15"/>
      <c r="F287" s="15"/>
      <c r="G287" s="15"/>
      <c r="H287" s="4"/>
      <c r="I287" s="9"/>
      <c r="J287" s="15"/>
      <c r="K287" s="1"/>
      <c r="L287" s="15"/>
      <c r="M287" s="15"/>
      <c r="N287" s="15"/>
      <c r="O287" s="7"/>
      <c r="P287" s="10"/>
      <c r="Q287" s="10"/>
      <c r="R287" s="10"/>
      <c r="S287" s="10"/>
      <c r="T287" s="10"/>
      <c r="U287" s="10"/>
    </row>
    <row r="288" spans="1:21" ht="216" customHeight="1" x14ac:dyDescent="0.3">
      <c r="A288" s="1"/>
      <c r="B288" s="1"/>
      <c r="C288" s="1"/>
      <c r="D288" s="2"/>
      <c r="E288" s="15"/>
      <c r="F288" s="15"/>
      <c r="G288" s="15"/>
      <c r="H288" s="4"/>
      <c r="I288" s="7"/>
      <c r="J288" s="15"/>
      <c r="K288" s="1"/>
      <c r="L288" s="15"/>
      <c r="M288" s="15"/>
      <c r="N288" s="15"/>
      <c r="O288" s="7"/>
      <c r="P288" s="10"/>
      <c r="Q288" s="10"/>
      <c r="R288" s="10"/>
      <c r="S288" s="10"/>
      <c r="T288" s="10"/>
      <c r="U288" s="10"/>
    </row>
    <row r="289" spans="1:21" x14ac:dyDescent="0.3">
      <c r="A289" s="1"/>
      <c r="B289" s="1"/>
      <c r="C289" s="1"/>
      <c r="D289" s="2"/>
      <c r="E289" s="15"/>
      <c r="F289" s="15"/>
      <c r="G289" s="15"/>
      <c r="H289" s="4"/>
      <c r="I289" s="7"/>
      <c r="J289" s="15"/>
      <c r="K289" s="1"/>
      <c r="L289" s="15"/>
      <c r="M289" s="15"/>
      <c r="N289" s="15"/>
      <c r="O289" s="7"/>
      <c r="P289" s="10"/>
      <c r="Q289" s="10"/>
      <c r="R289" s="10"/>
      <c r="S289" s="10"/>
      <c r="T289" s="10"/>
      <c r="U289" s="10"/>
    </row>
    <row r="290" spans="1:21" x14ac:dyDescent="0.3">
      <c r="A290" s="1"/>
      <c r="B290" s="1"/>
      <c r="C290" s="1"/>
      <c r="D290" s="2"/>
      <c r="E290" s="15"/>
      <c r="F290" s="15"/>
      <c r="G290" s="15"/>
      <c r="H290" s="4"/>
      <c r="I290" s="7"/>
      <c r="J290" s="15"/>
      <c r="K290" s="1"/>
      <c r="L290" s="15"/>
      <c r="M290" s="15"/>
      <c r="N290" s="15"/>
      <c r="O290" s="7"/>
      <c r="P290" s="10"/>
      <c r="Q290" s="10"/>
      <c r="R290" s="10"/>
      <c r="S290" s="10"/>
      <c r="T290" s="10"/>
      <c r="U290" s="10"/>
    </row>
    <row r="291" spans="1:21" x14ac:dyDescent="0.3">
      <c r="A291" s="18"/>
      <c r="B291" s="1"/>
      <c r="C291" s="10"/>
      <c r="D291" s="19"/>
      <c r="E291" s="15"/>
      <c r="F291" s="15"/>
      <c r="G291" s="15"/>
      <c r="H291" s="10"/>
      <c r="I291" s="5"/>
      <c r="J291" s="15"/>
      <c r="K291" s="1"/>
      <c r="L291" s="15"/>
      <c r="M291" s="15"/>
      <c r="N291" s="15"/>
      <c r="O291" s="7"/>
      <c r="P291" s="10"/>
      <c r="Q291" s="10"/>
      <c r="R291" s="10"/>
      <c r="S291" s="10"/>
      <c r="T291" s="10"/>
      <c r="U291" s="10"/>
    </row>
    <row r="292" spans="1:21" x14ac:dyDescent="0.3">
      <c r="A292" s="10"/>
      <c r="B292" s="10"/>
      <c r="C292" s="10"/>
      <c r="D292" s="10"/>
      <c r="E292" s="22"/>
      <c r="F292" s="22"/>
      <c r="G292" s="22"/>
      <c r="H292" s="10"/>
      <c r="I292" s="10"/>
      <c r="J292" s="15"/>
      <c r="K292" s="1"/>
      <c r="L292" s="15"/>
      <c r="M292" s="15"/>
      <c r="N292" s="15"/>
      <c r="O292" s="7"/>
      <c r="P292" s="10"/>
      <c r="Q292" s="10"/>
      <c r="R292" s="10"/>
      <c r="S292" s="10"/>
      <c r="T292" s="10"/>
      <c r="U292" s="10"/>
    </row>
    <row r="293" spans="1:21" x14ac:dyDescent="0.3">
      <c r="A293" s="10"/>
      <c r="B293" s="10"/>
      <c r="C293" s="10"/>
      <c r="D293" s="10"/>
      <c r="E293" s="22"/>
      <c r="F293" s="22"/>
      <c r="G293" s="22"/>
      <c r="H293" s="10"/>
      <c r="I293" s="10"/>
      <c r="J293" s="15"/>
      <c r="K293" s="1"/>
      <c r="L293" s="15"/>
      <c r="M293" s="15"/>
      <c r="N293" s="15"/>
      <c r="O293" s="7"/>
      <c r="P293" s="10"/>
      <c r="Q293" s="10"/>
      <c r="R293" s="10"/>
      <c r="S293" s="10"/>
      <c r="T293" s="10"/>
      <c r="U293" s="10"/>
    </row>
    <row r="294" spans="1:21" x14ac:dyDescent="0.3">
      <c r="A294" s="10"/>
      <c r="B294" s="10"/>
      <c r="C294" s="10"/>
      <c r="D294" s="10"/>
      <c r="E294" s="22"/>
      <c r="F294" s="22"/>
      <c r="G294" s="22"/>
      <c r="H294" s="10"/>
      <c r="I294" s="10"/>
      <c r="J294" s="15"/>
      <c r="K294" s="1"/>
      <c r="L294" s="15"/>
      <c r="M294" s="15"/>
      <c r="N294" s="15"/>
      <c r="O294" s="7"/>
      <c r="P294" s="10"/>
      <c r="Q294" s="10"/>
      <c r="R294" s="10"/>
      <c r="S294" s="10"/>
      <c r="T294" s="10"/>
      <c r="U294" s="10"/>
    </row>
    <row r="295" spans="1:21" x14ac:dyDescent="0.3">
      <c r="A295" s="10"/>
      <c r="B295" s="10"/>
      <c r="C295" s="10"/>
      <c r="D295" s="10"/>
      <c r="E295" s="22"/>
      <c r="F295" s="22"/>
      <c r="G295" s="22"/>
      <c r="H295" s="10"/>
      <c r="I295" s="10"/>
      <c r="J295" s="15"/>
      <c r="K295" s="1"/>
      <c r="L295" s="15"/>
      <c r="M295" s="15"/>
      <c r="N295" s="15"/>
      <c r="O295" s="7"/>
      <c r="P295" s="10"/>
      <c r="Q295" s="10"/>
      <c r="R295" s="10"/>
      <c r="S295" s="10"/>
      <c r="T295" s="10"/>
      <c r="U295" s="10"/>
    </row>
    <row r="296" spans="1:21" x14ac:dyDescent="0.3">
      <c r="A296" s="10"/>
      <c r="B296" s="10"/>
      <c r="C296" s="10"/>
      <c r="D296" s="10"/>
      <c r="E296" s="22"/>
      <c r="F296" s="22"/>
      <c r="G296" s="22"/>
      <c r="H296" s="10"/>
      <c r="I296" s="10"/>
      <c r="J296" s="15"/>
      <c r="K296" s="1"/>
      <c r="L296" s="15"/>
      <c r="M296" s="15"/>
      <c r="N296" s="15"/>
      <c r="O296" s="7"/>
      <c r="P296" s="10"/>
      <c r="Q296" s="10"/>
      <c r="R296" s="10"/>
      <c r="S296" s="10"/>
      <c r="T296" s="10"/>
      <c r="U296" s="10"/>
    </row>
    <row r="297" spans="1:21" x14ac:dyDescent="0.3">
      <c r="A297" s="10"/>
      <c r="B297" s="10"/>
      <c r="C297" s="10"/>
      <c r="D297" s="10"/>
      <c r="E297" s="22"/>
      <c r="F297" s="22"/>
      <c r="G297" s="22"/>
      <c r="H297" s="10"/>
      <c r="I297" s="10"/>
      <c r="J297" s="15"/>
      <c r="K297" s="1"/>
      <c r="L297" s="15"/>
      <c r="M297" s="15"/>
      <c r="N297" s="15"/>
      <c r="O297" s="7"/>
      <c r="P297" s="10"/>
      <c r="Q297" s="10"/>
      <c r="R297" s="10"/>
      <c r="S297" s="10"/>
      <c r="T297" s="10"/>
      <c r="U297" s="10"/>
    </row>
    <row r="298" spans="1:21" x14ac:dyDescent="0.3">
      <c r="A298" s="10"/>
      <c r="B298" s="10"/>
      <c r="C298" s="10"/>
      <c r="D298" s="10"/>
      <c r="E298" s="22"/>
      <c r="F298" s="22"/>
      <c r="G298" s="22"/>
      <c r="H298" s="10"/>
      <c r="I298" s="10"/>
      <c r="J298" s="15"/>
      <c r="K298" s="1"/>
      <c r="L298" s="15"/>
      <c r="M298" s="15"/>
      <c r="N298" s="15"/>
      <c r="O298" s="7"/>
      <c r="P298" s="10"/>
      <c r="Q298" s="10"/>
      <c r="R298" s="10"/>
      <c r="S298" s="10"/>
      <c r="T298" s="10"/>
      <c r="U298" s="10"/>
    </row>
    <row r="299" spans="1:21" x14ac:dyDescent="0.3">
      <c r="A299" s="10"/>
      <c r="B299" s="10"/>
      <c r="C299" s="10"/>
      <c r="D299" s="10"/>
      <c r="E299" s="22"/>
      <c r="F299" s="22"/>
      <c r="G299" s="22"/>
      <c r="H299" s="10"/>
      <c r="I299" s="10"/>
      <c r="J299" s="15"/>
      <c r="K299" s="1"/>
      <c r="L299" s="15"/>
      <c r="M299" s="15"/>
      <c r="N299" s="15"/>
      <c r="O299" s="7"/>
      <c r="P299" s="10"/>
      <c r="Q299" s="10"/>
      <c r="R299" s="10"/>
      <c r="S299" s="10"/>
      <c r="T299" s="10"/>
      <c r="U299" s="10"/>
    </row>
    <row r="300" spans="1:21" x14ac:dyDescent="0.3">
      <c r="A300" s="10"/>
      <c r="B300" s="10"/>
      <c r="C300" s="10"/>
      <c r="D300" s="10"/>
      <c r="E300" s="22"/>
      <c r="F300" s="22"/>
      <c r="G300" s="22"/>
      <c r="H300" s="10"/>
      <c r="I300" s="10"/>
      <c r="J300" s="15"/>
      <c r="K300" s="1"/>
      <c r="L300" s="15"/>
      <c r="M300" s="15"/>
      <c r="N300" s="15"/>
      <c r="O300" s="7"/>
      <c r="P300" s="10"/>
      <c r="Q300" s="10"/>
      <c r="R300" s="10"/>
      <c r="S300" s="10"/>
      <c r="T300" s="10"/>
      <c r="U300" s="10"/>
    </row>
    <row r="301" spans="1:21" x14ac:dyDescent="0.3">
      <c r="A301" s="10"/>
      <c r="B301" s="10"/>
      <c r="C301" s="10"/>
      <c r="D301" s="10"/>
      <c r="E301" s="22"/>
      <c r="F301" s="22"/>
      <c r="G301" s="22"/>
      <c r="H301" s="10"/>
      <c r="I301" s="10"/>
      <c r="J301" s="15"/>
      <c r="K301" s="1"/>
      <c r="L301" s="15"/>
      <c r="M301" s="15"/>
      <c r="N301" s="15"/>
      <c r="O301" s="7"/>
      <c r="P301" s="10"/>
      <c r="Q301" s="10"/>
      <c r="R301" s="10"/>
      <c r="S301" s="10"/>
      <c r="T301" s="10"/>
      <c r="U301" s="10"/>
    </row>
    <row r="302" spans="1:21" x14ac:dyDescent="0.3">
      <c r="A302" s="10"/>
      <c r="B302" s="10"/>
      <c r="C302" s="10"/>
      <c r="D302" s="10"/>
      <c r="E302" s="22"/>
      <c r="F302" s="22"/>
      <c r="G302" s="22"/>
      <c r="H302" s="10"/>
      <c r="I302" s="10"/>
      <c r="J302" s="15"/>
      <c r="K302" s="1"/>
      <c r="L302" s="15"/>
      <c r="M302" s="15"/>
      <c r="N302" s="15"/>
      <c r="O302" s="7"/>
      <c r="P302" s="10"/>
      <c r="Q302" s="10"/>
      <c r="R302" s="10"/>
      <c r="S302" s="10"/>
      <c r="T302" s="10"/>
      <c r="U302" s="10"/>
    </row>
    <row r="303" spans="1:21" x14ac:dyDescent="0.3">
      <c r="A303" s="10"/>
      <c r="B303" s="10"/>
      <c r="C303" s="10"/>
      <c r="D303" s="10"/>
      <c r="E303" s="22"/>
      <c r="F303" s="22"/>
      <c r="G303" s="22"/>
      <c r="H303" s="10"/>
      <c r="I303" s="10"/>
      <c r="J303" s="15"/>
      <c r="K303" s="1"/>
      <c r="L303" s="15"/>
      <c r="M303" s="15"/>
      <c r="N303" s="15"/>
      <c r="O303" s="7"/>
      <c r="P303" s="10"/>
      <c r="Q303" s="10"/>
      <c r="R303" s="10"/>
      <c r="S303" s="10"/>
      <c r="T303" s="10"/>
      <c r="U303" s="10"/>
    </row>
    <row r="304" spans="1:21" x14ac:dyDescent="0.3">
      <c r="A304" s="10"/>
      <c r="B304" s="10"/>
      <c r="C304" s="10"/>
      <c r="D304" s="10"/>
      <c r="E304" s="22"/>
      <c r="F304" s="22"/>
      <c r="G304" s="22"/>
      <c r="H304" s="10"/>
      <c r="I304" s="10"/>
      <c r="J304" s="15"/>
      <c r="K304" s="1"/>
      <c r="L304" s="15"/>
      <c r="M304" s="15"/>
      <c r="N304" s="15"/>
      <c r="O304" s="7"/>
      <c r="P304" s="10"/>
      <c r="Q304" s="10"/>
      <c r="R304" s="10"/>
      <c r="S304" s="10"/>
      <c r="T304" s="10"/>
      <c r="U304" s="10"/>
    </row>
    <row r="305" spans="1:21" x14ac:dyDescent="0.3">
      <c r="A305" s="10"/>
      <c r="B305" s="10"/>
      <c r="C305" s="10"/>
      <c r="D305" s="10"/>
      <c r="E305" s="22"/>
      <c r="F305" s="22"/>
      <c r="G305" s="22"/>
      <c r="H305" s="10"/>
      <c r="I305" s="10"/>
      <c r="J305" s="15"/>
      <c r="K305" s="1"/>
      <c r="L305" s="15"/>
      <c r="M305" s="15"/>
      <c r="N305" s="15"/>
      <c r="O305" s="7"/>
      <c r="P305" s="10"/>
      <c r="Q305" s="10"/>
      <c r="R305" s="10"/>
      <c r="S305" s="10"/>
      <c r="T305" s="10"/>
      <c r="U305" s="10"/>
    </row>
    <row r="306" spans="1:21" x14ac:dyDescent="0.3">
      <c r="A306" s="10"/>
      <c r="B306" s="10"/>
      <c r="C306" s="10"/>
      <c r="D306" s="10"/>
      <c r="E306" s="22"/>
      <c r="F306" s="22"/>
      <c r="G306" s="22"/>
      <c r="H306" s="10"/>
      <c r="I306" s="10"/>
      <c r="J306" s="15"/>
      <c r="K306" s="1"/>
      <c r="L306" s="15"/>
      <c r="M306" s="15"/>
      <c r="N306" s="15"/>
      <c r="O306" s="7"/>
      <c r="P306" s="10"/>
      <c r="Q306" s="10"/>
      <c r="R306" s="10"/>
      <c r="S306" s="10"/>
      <c r="T306" s="10"/>
      <c r="U306" s="10"/>
    </row>
    <row r="307" spans="1:21" x14ac:dyDescent="0.3">
      <c r="A307" s="10"/>
      <c r="B307" s="10"/>
      <c r="C307" s="10"/>
      <c r="D307" s="10"/>
      <c r="E307" s="22"/>
      <c r="F307" s="22"/>
      <c r="G307" s="22"/>
      <c r="H307" s="10"/>
      <c r="I307" s="10"/>
      <c r="J307" s="15"/>
      <c r="K307" s="1"/>
      <c r="L307" s="15"/>
      <c r="M307" s="15"/>
      <c r="N307" s="15"/>
      <c r="O307" s="7"/>
      <c r="P307" s="10"/>
      <c r="Q307" s="10"/>
      <c r="R307" s="10"/>
      <c r="S307" s="10"/>
      <c r="T307" s="10"/>
      <c r="U307" s="10"/>
    </row>
    <row r="308" spans="1:21" x14ac:dyDescent="0.3">
      <c r="A308" s="10"/>
      <c r="B308" s="10"/>
      <c r="C308" s="10"/>
      <c r="D308" s="10"/>
      <c r="E308" s="22"/>
      <c r="F308" s="22"/>
      <c r="G308" s="22"/>
      <c r="H308" s="10"/>
      <c r="I308" s="10"/>
      <c r="J308" s="15"/>
      <c r="K308" s="1"/>
      <c r="L308" s="15"/>
      <c r="M308" s="15"/>
      <c r="N308" s="15"/>
      <c r="O308" s="7"/>
      <c r="P308" s="10"/>
      <c r="Q308" s="10"/>
      <c r="R308" s="10"/>
      <c r="S308" s="10"/>
      <c r="T308" s="10"/>
      <c r="U308" s="10"/>
    </row>
    <row r="309" spans="1:21" x14ac:dyDescent="0.3">
      <c r="A309" s="10"/>
      <c r="B309" s="10"/>
      <c r="C309" s="10"/>
      <c r="D309" s="10"/>
      <c r="E309" s="22"/>
      <c r="F309" s="22"/>
      <c r="G309" s="22"/>
      <c r="H309" s="10"/>
      <c r="I309" s="10"/>
      <c r="J309" s="15"/>
      <c r="K309" s="1"/>
      <c r="L309" s="15"/>
      <c r="M309" s="15"/>
      <c r="N309" s="15"/>
      <c r="O309" s="7"/>
      <c r="P309" s="10"/>
      <c r="Q309" s="10"/>
      <c r="R309" s="10"/>
      <c r="S309" s="10"/>
      <c r="T309" s="10"/>
      <c r="U309" s="10"/>
    </row>
    <row r="310" spans="1:21" x14ac:dyDescent="0.3">
      <c r="A310" s="10"/>
      <c r="B310" s="10"/>
      <c r="C310" s="10"/>
      <c r="D310" s="10"/>
      <c r="E310" s="22"/>
      <c r="F310" s="22"/>
      <c r="G310" s="22"/>
      <c r="H310" s="10"/>
      <c r="I310" s="10"/>
      <c r="J310" s="15"/>
      <c r="K310" s="1"/>
      <c r="L310" s="15"/>
      <c r="M310" s="15"/>
      <c r="N310" s="15"/>
      <c r="O310" s="7"/>
      <c r="P310" s="10"/>
      <c r="Q310" s="10"/>
      <c r="R310" s="10"/>
      <c r="S310" s="10"/>
      <c r="T310" s="10"/>
      <c r="U310" s="10"/>
    </row>
    <row r="311" spans="1:21" x14ac:dyDescent="0.3">
      <c r="A311" s="10"/>
      <c r="B311" s="10"/>
      <c r="C311" s="10"/>
      <c r="D311" s="10"/>
      <c r="E311" s="22"/>
      <c r="F311" s="22"/>
      <c r="G311" s="22"/>
      <c r="H311" s="10"/>
      <c r="I311" s="10"/>
      <c r="J311" s="15"/>
      <c r="K311" s="1"/>
      <c r="L311" s="15"/>
      <c r="M311" s="15"/>
      <c r="N311" s="15"/>
      <c r="O311" s="7"/>
      <c r="P311" s="10"/>
      <c r="Q311" s="10"/>
      <c r="R311" s="10"/>
      <c r="S311" s="10"/>
      <c r="T311" s="10"/>
      <c r="U311" s="10"/>
    </row>
    <row r="312" spans="1:21" x14ac:dyDescent="0.3">
      <c r="A312" s="10"/>
      <c r="B312" s="10"/>
      <c r="C312" s="10"/>
      <c r="D312" s="10"/>
      <c r="E312" s="22"/>
      <c r="F312" s="22"/>
      <c r="G312" s="22"/>
      <c r="H312" s="10"/>
      <c r="I312" s="10"/>
      <c r="J312" s="15"/>
      <c r="K312" s="1"/>
      <c r="L312" s="15"/>
      <c r="M312" s="15"/>
      <c r="N312" s="15"/>
      <c r="O312" s="7"/>
      <c r="P312" s="10"/>
      <c r="Q312" s="10"/>
      <c r="R312" s="10"/>
      <c r="S312" s="10"/>
      <c r="T312" s="10"/>
      <c r="U312" s="10"/>
    </row>
    <row r="313" spans="1:21" x14ac:dyDescent="0.3">
      <c r="A313" s="10"/>
      <c r="B313" s="10"/>
      <c r="C313" s="10"/>
      <c r="D313" s="10"/>
      <c r="E313" s="22"/>
      <c r="F313" s="22"/>
      <c r="G313" s="22"/>
      <c r="H313" s="10"/>
      <c r="I313" s="10"/>
      <c r="J313" s="15"/>
      <c r="K313" s="1"/>
      <c r="L313" s="15"/>
      <c r="M313" s="15"/>
      <c r="N313" s="15"/>
      <c r="O313" s="7"/>
      <c r="P313" s="10"/>
      <c r="Q313" s="10"/>
      <c r="R313" s="10"/>
      <c r="S313" s="10"/>
      <c r="T313" s="10"/>
      <c r="U313" s="10"/>
    </row>
    <row r="314" spans="1:21" x14ac:dyDescent="0.3">
      <c r="A314" s="10"/>
      <c r="B314" s="10"/>
      <c r="C314" s="10"/>
      <c r="D314" s="10"/>
      <c r="E314" s="22"/>
      <c r="F314" s="22"/>
      <c r="G314" s="22"/>
      <c r="H314" s="10"/>
      <c r="I314" s="10"/>
      <c r="J314" s="15"/>
      <c r="K314" s="1"/>
      <c r="L314" s="15"/>
      <c r="M314" s="15"/>
      <c r="N314" s="15"/>
      <c r="O314" s="7"/>
      <c r="P314" s="10"/>
      <c r="Q314" s="10"/>
      <c r="R314" s="10"/>
      <c r="S314" s="10"/>
      <c r="T314" s="10"/>
      <c r="U314" s="10"/>
    </row>
    <row r="315" spans="1:21" x14ac:dyDescent="0.3">
      <c r="A315" s="10"/>
      <c r="B315" s="10"/>
      <c r="C315" s="10"/>
      <c r="D315" s="10"/>
      <c r="E315" s="22"/>
      <c r="F315" s="22"/>
      <c r="G315" s="22"/>
      <c r="H315" s="10"/>
      <c r="I315" s="10"/>
      <c r="J315" s="15"/>
      <c r="K315" s="1"/>
      <c r="L315" s="15"/>
      <c r="M315" s="15"/>
      <c r="N315" s="15"/>
      <c r="O315" s="7"/>
      <c r="P315" s="10"/>
      <c r="Q315" s="10"/>
      <c r="R315" s="10"/>
      <c r="S315" s="10"/>
      <c r="T315" s="10"/>
      <c r="U315" s="10"/>
    </row>
    <row r="316" spans="1:21" x14ac:dyDescent="0.3">
      <c r="A316" s="10"/>
      <c r="B316" s="10"/>
      <c r="C316" s="10"/>
      <c r="D316" s="10"/>
      <c r="E316" s="22"/>
      <c r="F316" s="22"/>
      <c r="G316" s="22"/>
      <c r="H316" s="10"/>
      <c r="I316" s="10"/>
      <c r="J316" s="15"/>
      <c r="K316" s="1"/>
      <c r="L316" s="15"/>
      <c r="M316" s="15"/>
      <c r="N316" s="15"/>
      <c r="O316" s="7"/>
      <c r="P316" s="10"/>
      <c r="Q316" s="10"/>
      <c r="R316" s="10"/>
      <c r="S316" s="10"/>
      <c r="T316" s="10"/>
      <c r="U316" s="10"/>
    </row>
    <row r="317" spans="1:21" x14ac:dyDescent="0.3">
      <c r="A317" s="10"/>
      <c r="B317" s="10"/>
      <c r="C317" s="10"/>
      <c r="D317" s="10"/>
      <c r="E317" s="22"/>
      <c r="F317" s="22"/>
      <c r="G317" s="22"/>
      <c r="H317" s="10"/>
      <c r="I317" s="10"/>
      <c r="J317" s="15"/>
      <c r="K317" s="1"/>
      <c r="L317" s="15"/>
      <c r="M317" s="15"/>
      <c r="N317" s="15"/>
      <c r="O317" s="7"/>
      <c r="P317" s="10"/>
      <c r="Q317" s="10"/>
      <c r="R317" s="10"/>
      <c r="S317" s="10"/>
      <c r="T317" s="10"/>
      <c r="U317" s="10"/>
    </row>
    <row r="318" spans="1:21" x14ac:dyDescent="0.3">
      <c r="A318" s="10"/>
      <c r="B318" s="10"/>
      <c r="C318" s="10"/>
      <c r="D318" s="10"/>
      <c r="E318" s="22"/>
      <c r="F318" s="22"/>
      <c r="G318" s="22"/>
      <c r="H318" s="10"/>
      <c r="I318" s="10"/>
      <c r="J318" s="15"/>
      <c r="K318" s="1"/>
      <c r="L318" s="15"/>
      <c r="M318" s="15"/>
      <c r="N318" s="15"/>
      <c r="O318" s="7"/>
      <c r="P318" s="10"/>
      <c r="Q318" s="10"/>
      <c r="R318" s="10"/>
      <c r="S318" s="10"/>
      <c r="T318" s="10"/>
      <c r="U318" s="10"/>
    </row>
    <row r="319" spans="1:21" x14ac:dyDescent="0.3">
      <c r="A319" s="10"/>
      <c r="B319" s="10"/>
      <c r="C319" s="10"/>
      <c r="D319" s="10"/>
      <c r="E319" s="22"/>
      <c r="F319" s="22"/>
      <c r="G319" s="22"/>
      <c r="H319" s="10"/>
      <c r="I319" s="10"/>
      <c r="J319" s="15"/>
      <c r="K319" s="1"/>
      <c r="L319" s="15"/>
      <c r="M319" s="15"/>
      <c r="N319" s="15"/>
      <c r="O319" s="7"/>
      <c r="P319" s="10"/>
      <c r="Q319" s="10"/>
      <c r="R319" s="10"/>
      <c r="S319" s="10"/>
      <c r="T319" s="10"/>
      <c r="U319" s="10"/>
    </row>
    <row r="320" spans="1:21" x14ac:dyDescent="0.3">
      <c r="A320" s="10"/>
      <c r="B320" s="10"/>
      <c r="C320" s="10"/>
      <c r="D320" s="10"/>
      <c r="E320" s="22"/>
      <c r="F320" s="22"/>
      <c r="G320" s="22"/>
      <c r="H320" s="10"/>
      <c r="I320" s="10"/>
      <c r="J320" s="15"/>
      <c r="K320" s="1"/>
      <c r="L320" s="15"/>
      <c r="M320" s="15"/>
      <c r="N320" s="15"/>
      <c r="O320" s="7"/>
      <c r="P320" s="10"/>
      <c r="Q320" s="10"/>
      <c r="R320" s="10"/>
      <c r="S320" s="10"/>
      <c r="T320" s="10"/>
      <c r="U320" s="10"/>
    </row>
    <row r="321" spans="1:21" x14ac:dyDescent="0.3">
      <c r="A321" s="10"/>
      <c r="B321" s="10"/>
      <c r="C321" s="10"/>
      <c r="D321" s="10"/>
      <c r="E321" s="22"/>
      <c r="F321" s="22"/>
      <c r="G321" s="22"/>
      <c r="H321" s="10"/>
      <c r="I321" s="10"/>
      <c r="J321" s="15"/>
      <c r="K321" s="1"/>
      <c r="L321" s="15"/>
      <c r="M321" s="15"/>
      <c r="N321" s="15"/>
      <c r="O321" s="7"/>
      <c r="P321" s="10"/>
      <c r="Q321" s="10"/>
      <c r="R321" s="10"/>
      <c r="S321" s="10"/>
      <c r="T321" s="10"/>
      <c r="U321" s="10"/>
    </row>
    <row r="322" spans="1:21" x14ac:dyDescent="0.3">
      <c r="A322" s="10"/>
      <c r="B322" s="10"/>
      <c r="C322" s="10"/>
      <c r="D322" s="10"/>
      <c r="E322" s="22"/>
      <c r="F322" s="22"/>
      <c r="G322" s="22"/>
      <c r="H322" s="10"/>
      <c r="I322" s="10"/>
      <c r="J322" s="15"/>
      <c r="K322" s="1"/>
      <c r="L322" s="15"/>
      <c r="M322" s="15"/>
      <c r="N322" s="15"/>
      <c r="O322" s="7"/>
      <c r="P322" s="10"/>
      <c r="Q322" s="10"/>
      <c r="R322" s="10"/>
      <c r="S322" s="10"/>
      <c r="T322" s="10"/>
      <c r="U322" s="10"/>
    </row>
    <row r="323" spans="1:21" x14ac:dyDescent="0.3">
      <c r="A323" s="10"/>
      <c r="B323" s="10"/>
      <c r="C323" s="10"/>
      <c r="D323" s="10"/>
      <c r="E323" s="22"/>
      <c r="F323" s="22"/>
      <c r="G323" s="22"/>
      <c r="H323" s="10"/>
      <c r="I323" s="10"/>
      <c r="J323" s="15"/>
      <c r="K323" s="1"/>
      <c r="L323" s="15"/>
      <c r="M323" s="15"/>
      <c r="N323" s="15"/>
      <c r="O323" s="7"/>
      <c r="P323" s="10"/>
      <c r="Q323" s="10"/>
      <c r="R323" s="10"/>
      <c r="S323" s="10"/>
      <c r="T323" s="10"/>
      <c r="U323" s="10"/>
    </row>
    <row r="324" spans="1:21" x14ac:dyDescent="0.3">
      <c r="A324" s="10"/>
      <c r="B324" s="10"/>
      <c r="C324" s="10"/>
      <c r="D324" s="10"/>
      <c r="E324" s="22"/>
      <c r="F324" s="22"/>
      <c r="G324" s="22"/>
      <c r="H324" s="10"/>
      <c r="I324" s="10"/>
      <c r="J324" s="15"/>
      <c r="K324" s="1"/>
      <c r="L324" s="15"/>
      <c r="M324" s="15"/>
      <c r="N324" s="15"/>
      <c r="O324" s="7"/>
      <c r="P324" s="10"/>
      <c r="Q324" s="10"/>
      <c r="R324" s="10"/>
      <c r="S324" s="10"/>
      <c r="T324" s="10"/>
      <c r="U324" s="10"/>
    </row>
    <row r="325" spans="1:21" x14ac:dyDescent="0.3">
      <c r="A325" s="10"/>
      <c r="B325" s="10"/>
      <c r="C325" s="10"/>
      <c r="D325" s="10"/>
      <c r="E325" s="22"/>
      <c r="F325" s="22"/>
      <c r="G325" s="22"/>
      <c r="H325" s="10"/>
      <c r="I325" s="10"/>
      <c r="J325" s="15"/>
      <c r="K325" s="1"/>
      <c r="L325" s="15"/>
      <c r="M325" s="15"/>
      <c r="N325" s="15"/>
      <c r="O325" s="7"/>
      <c r="P325" s="10"/>
      <c r="Q325" s="10"/>
      <c r="R325" s="10"/>
      <c r="S325" s="10"/>
      <c r="T325" s="10"/>
      <c r="U325" s="10"/>
    </row>
    <row r="326" spans="1:21" x14ac:dyDescent="0.3">
      <c r="A326" s="10"/>
      <c r="B326" s="10"/>
      <c r="C326" s="10"/>
      <c r="D326" s="10"/>
      <c r="E326" s="22"/>
      <c r="F326" s="22"/>
      <c r="G326" s="22"/>
      <c r="H326" s="10"/>
      <c r="I326" s="10"/>
      <c r="J326" s="15"/>
      <c r="K326" s="1"/>
      <c r="L326" s="15"/>
      <c r="M326" s="15"/>
      <c r="N326" s="15"/>
      <c r="O326" s="7"/>
      <c r="P326" s="10"/>
      <c r="Q326" s="10"/>
      <c r="R326" s="10"/>
      <c r="S326" s="10"/>
      <c r="T326" s="10"/>
      <c r="U326" s="10"/>
    </row>
    <row r="327" spans="1:21" x14ac:dyDescent="0.3">
      <c r="A327" s="10"/>
      <c r="B327" s="10"/>
      <c r="C327" s="10"/>
      <c r="D327" s="10"/>
      <c r="E327" s="22"/>
      <c r="F327" s="22"/>
      <c r="G327" s="22"/>
      <c r="H327" s="10"/>
      <c r="I327" s="10"/>
      <c r="J327" s="15"/>
      <c r="K327" s="1"/>
      <c r="L327" s="15"/>
      <c r="M327" s="15"/>
      <c r="N327" s="15"/>
      <c r="O327" s="7"/>
      <c r="P327" s="10"/>
      <c r="Q327" s="10"/>
      <c r="R327" s="10"/>
      <c r="S327" s="10"/>
      <c r="T327" s="10"/>
      <c r="U327" s="10"/>
    </row>
    <row r="328" spans="1:21" x14ac:dyDescent="0.3">
      <c r="A328" s="10"/>
      <c r="B328" s="10"/>
      <c r="C328" s="10"/>
      <c r="D328" s="10"/>
      <c r="E328" s="22"/>
      <c r="F328" s="22"/>
      <c r="G328" s="22"/>
      <c r="H328" s="10"/>
      <c r="I328" s="10"/>
      <c r="J328" s="15"/>
      <c r="K328" s="1"/>
      <c r="L328" s="15"/>
      <c r="M328" s="15"/>
      <c r="N328" s="15"/>
      <c r="O328" s="7"/>
      <c r="P328" s="10"/>
      <c r="Q328" s="10"/>
      <c r="R328" s="10"/>
      <c r="S328" s="10"/>
      <c r="T328" s="10"/>
      <c r="U328" s="10"/>
    </row>
    <row r="329" spans="1:21" x14ac:dyDescent="0.3">
      <c r="A329" s="10"/>
      <c r="B329" s="10"/>
      <c r="C329" s="10"/>
      <c r="D329" s="10"/>
      <c r="E329" s="22"/>
      <c r="F329" s="22"/>
      <c r="G329" s="22"/>
      <c r="H329" s="10"/>
      <c r="I329" s="10"/>
      <c r="J329" s="15"/>
      <c r="K329" s="1"/>
      <c r="L329" s="15"/>
      <c r="M329" s="15"/>
      <c r="N329" s="15"/>
      <c r="O329" s="7"/>
      <c r="P329" s="10"/>
      <c r="Q329" s="10"/>
      <c r="R329" s="10"/>
      <c r="S329" s="10"/>
      <c r="T329" s="10"/>
      <c r="U329" s="10"/>
    </row>
    <row r="330" spans="1:21" x14ac:dyDescent="0.3">
      <c r="A330" s="10"/>
      <c r="B330" s="10"/>
      <c r="C330" s="10"/>
      <c r="D330" s="10"/>
      <c r="E330" s="22"/>
      <c r="F330" s="22"/>
      <c r="G330" s="22"/>
      <c r="H330" s="10"/>
      <c r="I330" s="10"/>
      <c r="J330" s="15"/>
      <c r="K330" s="1"/>
      <c r="L330" s="15"/>
      <c r="M330" s="15"/>
      <c r="N330" s="15"/>
      <c r="O330" s="7"/>
      <c r="P330" s="10"/>
      <c r="Q330" s="10"/>
      <c r="R330" s="10"/>
      <c r="S330" s="10"/>
      <c r="T330" s="10"/>
      <c r="U330" s="10"/>
    </row>
    <row r="331" spans="1:21" x14ac:dyDescent="0.3">
      <c r="A331" s="10"/>
      <c r="B331" s="10"/>
      <c r="C331" s="10"/>
      <c r="D331" s="10"/>
      <c r="E331" s="22"/>
      <c r="F331" s="22"/>
      <c r="G331" s="22"/>
      <c r="H331" s="10"/>
      <c r="I331" s="10"/>
      <c r="J331" s="15"/>
      <c r="K331" s="1"/>
      <c r="L331" s="15"/>
      <c r="M331" s="15"/>
      <c r="N331" s="15"/>
      <c r="O331" s="7"/>
      <c r="P331" s="10"/>
      <c r="Q331" s="10"/>
      <c r="R331" s="10"/>
      <c r="S331" s="10"/>
      <c r="T331" s="10"/>
      <c r="U331" s="10"/>
    </row>
    <row r="332" spans="1:21" x14ac:dyDescent="0.3">
      <c r="A332" s="10"/>
      <c r="B332" s="10"/>
      <c r="C332" s="10"/>
      <c r="D332" s="10"/>
      <c r="E332" s="22"/>
      <c r="F332" s="22"/>
      <c r="G332" s="22"/>
      <c r="H332" s="10"/>
      <c r="I332" s="10"/>
      <c r="J332" s="15"/>
      <c r="K332" s="1"/>
      <c r="L332" s="15"/>
      <c r="M332" s="15"/>
      <c r="N332" s="15"/>
      <c r="O332" s="7"/>
      <c r="P332" s="10"/>
      <c r="Q332" s="10"/>
      <c r="R332" s="10"/>
      <c r="S332" s="10"/>
      <c r="T332" s="10"/>
      <c r="U332" s="10"/>
    </row>
    <row r="333" spans="1:21" x14ac:dyDescent="0.3">
      <c r="A333" s="10"/>
      <c r="B333" s="10"/>
      <c r="C333" s="10"/>
      <c r="D333" s="10"/>
      <c r="E333" s="22"/>
      <c r="F333" s="22"/>
      <c r="G333" s="22"/>
      <c r="H333" s="10"/>
      <c r="I333" s="10"/>
      <c r="J333" s="15"/>
      <c r="K333" s="1"/>
      <c r="L333" s="15"/>
      <c r="M333" s="15"/>
      <c r="N333" s="15"/>
      <c r="O333" s="7"/>
      <c r="P333" s="10"/>
      <c r="Q333" s="10"/>
      <c r="R333" s="10"/>
      <c r="S333" s="10"/>
      <c r="T333" s="10"/>
      <c r="U333" s="10"/>
    </row>
    <row r="334" spans="1:21" x14ac:dyDescent="0.3">
      <c r="A334" s="10"/>
      <c r="B334" s="10"/>
      <c r="C334" s="10"/>
      <c r="D334" s="10"/>
      <c r="E334" s="22"/>
      <c r="F334" s="22"/>
      <c r="G334" s="22"/>
      <c r="H334" s="10"/>
      <c r="I334" s="10"/>
      <c r="J334" s="15"/>
      <c r="K334" s="1"/>
      <c r="L334" s="15"/>
      <c r="M334" s="15"/>
      <c r="N334" s="15"/>
      <c r="O334" s="7"/>
      <c r="P334" s="10"/>
      <c r="Q334" s="10"/>
      <c r="R334" s="10"/>
      <c r="S334" s="10"/>
      <c r="T334" s="10"/>
      <c r="U334" s="10"/>
    </row>
    <row r="335" spans="1:21" x14ac:dyDescent="0.3">
      <c r="A335" s="10"/>
      <c r="B335" s="10"/>
      <c r="C335" s="10"/>
      <c r="D335" s="10"/>
      <c r="E335" s="22"/>
      <c r="F335" s="22"/>
      <c r="G335" s="22"/>
      <c r="H335" s="10"/>
      <c r="I335" s="10"/>
      <c r="J335" s="15"/>
      <c r="K335" s="1"/>
      <c r="L335" s="15"/>
      <c r="M335" s="15"/>
      <c r="N335" s="15"/>
      <c r="O335" s="7"/>
      <c r="P335" s="10"/>
      <c r="Q335" s="10"/>
      <c r="R335" s="10"/>
      <c r="S335" s="10"/>
      <c r="T335" s="10"/>
      <c r="U335" s="10"/>
    </row>
    <row r="336" spans="1:21" x14ac:dyDescent="0.3">
      <c r="A336" s="10"/>
      <c r="B336" s="10"/>
      <c r="C336" s="10"/>
      <c r="D336" s="10"/>
      <c r="E336" s="22"/>
      <c r="F336" s="22"/>
      <c r="G336" s="22"/>
      <c r="H336" s="10"/>
      <c r="I336" s="10"/>
      <c r="J336" s="15"/>
      <c r="K336" s="1"/>
      <c r="L336" s="15"/>
      <c r="M336" s="15"/>
      <c r="N336" s="15"/>
      <c r="O336" s="7"/>
      <c r="P336" s="10"/>
      <c r="Q336" s="10"/>
      <c r="R336" s="10"/>
      <c r="S336" s="10"/>
      <c r="T336" s="10"/>
      <c r="U336" s="10"/>
    </row>
    <row r="337" spans="1:21" x14ac:dyDescent="0.3">
      <c r="A337" s="10"/>
      <c r="B337" s="10"/>
      <c r="C337" s="10"/>
      <c r="D337" s="10"/>
      <c r="E337" s="22"/>
      <c r="F337" s="22"/>
      <c r="G337" s="22"/>
      <c r="H337" s="10"/>
      <c r="I337" s="10"/>
      <c r="J337" s="15"/>
      <c r="K337" s="1"/>
      <c r="L337" s="15"/>
      <c r="M337" s="15"/>
      <c r="N337" s="15"/>
      <c r="O337" s="7"/>
      <c r="P337" s="10"/>
      <c r="Q337" s="10"/>
      <c r="R337" s="10"/>
      <c r="S337" s="10"/>
      <c r="T337" s="10"/>
      <c r="U337" s="10"/>
    </row>
    <row r="338" spans="1:21" x14ac:dyDescent="0.3">
      <c r="A338" s="10"/>
      <c r="B338" s="10"/>
      <c r="C338" s="10"/>
      <c r="D338" s="10"/>
      <c r="E338" s="22"/>
      <c r="F338" s="22"/>
      <c r="G338" s="22"/>
      <c r="H338" s="10"/>
      <c r="I338" s="10"/>
      <c r="J338" s="15"/>
      <c r="K338" s="1"/>
      <c r="L338" s="15"/>
      <c r="M338" s="15"/>
      <c r="N338" s="15"/>
      <c r="O338" s="7"/>
      <c r="P338" s="10"/>
      <c r="Q338" s="10"/>
      <c r="R338" s="10"/>
      <c r="S338" s="10"/>
      <c r="T338" s="10"/>
      <c r="U338" s="10"/>
    </row>
    <row r="339" spans="1:21" x14ac:dyDescent="0.3">
      <c r="A339" s="10"/>
      <c r="B339" s="10"/>
      <c r="C339" s="10"/>
      <c r="D339" s="10"/>
      <c r="E339" s="22"/>
      <c r="F339" s="22"/>
      <c r="G339" s="22"/>
      <c r="H339" s="10"/>
      <c r="I339" s="10"/>
      <c r="J339" s="15"/>
      <c r="K339" s="1"/>
      <c r="L339" s="15"/>
      <c r="M339" s="15"/>
      <c r="N339" s="15"/>
      <c r="O339" s="7"/>
      <c r="P339" s="10"/>
      <c r="Q339" s="10"/>
      <c r="R339" s="10"/>
      <c r="S339" s="10"/>
      <c r="T339" s="10"/>
      <c r="U339" s="10"/>
    </row>
    <row r="340" spans="1:21" x14ac:dyDescent="0.3">
      <c r="A340" s="10"/>
      <c r="B340" s="10"/>
      <c r="C340" s="10"/>
      <c r="D340" s="10"/>
      <c r="E340" s="22"/>
      <c r="F340" s="22"/>
      <c r="G340" s="22"/>
      <c r="H340" s="10"/>
      <c r="I340" s="10"/>
      <c r="J340" s="15"/>
      <c r="K340" s="1"/>
      <c r="L340" s="15"/>
      <c r="M340" s="15"/>
      <c r="N340" s="15"/>
      <c r="O340" s="7"/>
      <c r="P340" s="10"/>
      <c r="Q340" s="10"/>
      <c r="R340" s="10"/>
      <c r="S340" s="10"/>
      <c r="T340" s="10"/>
      <c r="U340" s="10"/>
    </row>
    <row r="341" spans="1:21" x14ac:dyDescent="0.3">
      <c r="A341" s="10"/>
      <c r="B341" s="10"/>
      <c r="C341" s="10"/>
      <c r="D341" s="10"/>
      <c r="E341" s="22"/>
      <c r="F341" s="22"/>
      <c r="G341" s="22"/>
      <c r="H341" s="10"/>
      <c r="I341" s="10"/>
      <c r="J341" s="15"/>
      <c r="K341" s="1"/>
      <c r="L341" s="15"/>
      <c r="M341" s="15"/>
      <c r="N341" s="15"/>
      <c r="O341" s="7"/>
      <c r="P341" s="10"/>
      <c r="Q341" s="10"/>
      <c r="R341" s="10"/>
      <c r="S341" s="10"/>
      <c r="T341" s="10"/>
      <c r="U341" s="10"/>
    </row>
    <row r="342" spans="1:21" x14ac:dyDescent="0.3">
      <c r="A342" s="10"/>
      <c r="B342" s="10"/>
      <c r="C342" s="10"/>
      <c r="D342" s="10"/>
      <c r="E342" s="22"/>
      <c r="F342" s="22"/>
      <c r="G342" s="22"/>
      <c r="H342" s="10"/>
      <c r="I342" s="10"/>
      <c r="J342" s="15"/>
      <c r="K342" s="1"/>
      <c r="L342" s="15"/>
      <c r="M342" s="15"/>
      <c r="N342" s="15"/>
      <c r="O342" s="7"/>
      <c r="P342" s="10"/>
      <c r="Q342" s="10"/>
      <c r="R342" s="10"/>
      <c r="S342" s="10"/>
      <c r="T342" s="10"/>
      <c r="U342" s="10"/>
    </row>
    <row r="343" spans="1:21" x14ac:dyDescent="0.3">
      <c r="A343" s="10"/>
      <c r="B343" s="10"/>
      <c r="C343" s="10"/>
      <c r="D343" s="10"/>
      <c r="E343" s="22"/>
      <c r="F343" s="22"/>
      <c r="G343" s="22"/>
      <c r="H343" s="10"/>
      <c r="I343" s="10"/>
      <c r="J343" s="15"/>
      <c r="K343" s="1"/>
      <c r="L343" s="15"/>
      <c r="M343" s="15"/>
      <c r="N343" s="15"/>
      <c r="O343" s="7"/>
      <c r="P343" s="10"/>
      <c r="Q343" s="10"/>
      <c r="R343" s="10"/>
      <c r="S343" s="10"/>
      <c r="T343" s="10"/>
      <c r="U343" s="10"/>
    </row>
    <row r="344" spans="1:21" x14ac:dyDescent="0.3">
      <c r="A344" s="10"/>
      <c r="B344" s="10"/>
      <c r="C344" s="10"/>
      <c r="D344" s="10"/>
      <c r="E344" s="22"/>
      <c r="F344" s="22"/>
      <c r="G344" s="22"/>
      <c r="H344" s="10"/>
      <c r="I344" s="10"/>
      <c r="J344" s="15"/>
      <c r="K344" s="1"/>
      <c r="L344" s="15"/>
      <c r="M344" s="15"/>
      <c r="N344" s="15"/>
      <c r="O344" s="7"/>
      <c r="P344" s="10"/>
      <c r="Q344" s="10"/>
      <c r="R344" s="10"/>
      <c r="S344" s="10"/>
      <c r="T344" s="10"/>
      <c r="U344" s="10"/>
    </row>
    <row r="345" spans="1:21" x14ac:dyDescent="0.3">
      <c r="A345" s="10"/>
      <c r="B345" s="10"/>
      <c r="C345" s="10"/>
      <c r="D345" s="10"/>
      <c r="E345" s="22"/>
      <c r="F345" s="22"/>
      <c r="G345" s="22"/>
      <c r="H345" s="10"/>
      <c r="I345" s="10"/>
      <c r="J345" s="15"/>
      <c r="K345" s="1"/>
      <c r="L345" s="15"/>
      <c r="M345" s="15"/>
      <c r="N345" s="15"/>
      <c r="O345" s="7"/>
      <c r="P345" s="10"/>
      <c r="Q345" s="10"/>
      <c r="R345" s="10"/>
      <c r="S345" s="10"/>
      <c r="T345" s="10"/>
      <c r="U345" s="10"/>
    </row>
    <row r="346" spans="1:21" x14ac:dyDescent="0.3">
      <c r="A346" s="10"/>
      <c r="B346" s="10"/>
      <c r="C346" s="10"/>
      <c r="D346" s="10"/>
      <c r="E346" s="22"/>
      <c r="F346" s="22"/>
      <c r="G346" s="22"/>
      <c r="H346" s="10"/>
      <c r="I346" s="10"/>
      <c r="J346" s="15"/>
      <c r="K346" s="1"/>
      <c r="L346" s="15"/>
      <c r="M346" s="15"/>
      <c r="N346" s="15"/>
      <c r="O346" s="7"/>
      <c r="P346" s="10"/>
      <c r="Q346" s="10"/>
      <c r="R346" s="10"/>
      <c r="S346" s="10"/>
      <c r="T346" s="10"/>
      <c r="U346" s="10"/>
    </row>
    <row r="347" spans="1:21" x14ac:dyDescent="0.3">
      <c r="A347" s="10"/>
      <c r="B347" s="10"/>
      <c r="C347" s="10"/>
      <c r="D347" s="10"/>
      <c r="E347" s="22"/>
      <c r="F347" s="22"/>
      <c r="G347" s="22"/>
      <c r="H347" s="10"/>
      <c r="I347" s="10"/>
      <c r="J347" s="15"/>
      <c r="K347" s="1"/>
      <c r="L347" s="15"/>
      <c r="M347" s="15"/>
      <c r="N347" s="15"/>
      <c r="O347" s="7"/>
      <c r="P347" s="10"/>
      <c r="Q347" s="10"/>
      <c r="R347" s="10"/>
      <c r="S347" s="10"/>
      <c r="T347" s="10"/>
      <c r="U347" s="10"/>
    </row>
    <row r="348" spans="1:21" x14ac:dyDescent="0.3">
      <c r="A348" s="10"/>
      <c r="B348" s="10"/>
      <c r="C348" s="10"/>
      <c r="D348" s="10"/>
      <c r="E348" s="22"/>
      <c r="F348" s="22"/>
      <c r="G348" s="22"/>
      <c r="H348" s="10"/>
      <c r="I348" s="10"/>
      <c r="J348" s="15"/>
      <c r="K348" s="1"/>
      <c r="L348" s="15"/>
      <c r="M348" s="15"/>
      <c r="N348" s="15"/>
      <c r="O348" s="7"/>
      <c r="P348" s="10"/>
      <c r="Q348" s="10"/>
      <c r="R348" s="10"/>
      <c r="S348" s="10"/>
      <c r="T348" s="10"/>
      <c r="U348" s="10"/>
    </row>
    <row r="349" spans="1:21" x14ac:dyDescent="0.3">
      <c r="A349" s="10"/>
      <c r="B349" s="10"/>
      <c r="C349" s="10"/>
      <c r="D349" s="10"/>
      <c r="E349" s="22"/>
      <c r="F349" s="22"/>
      <c r="G349" s="22"/>
      <c r="H349" s="10"/>
      <c r="I349" s="10"/>
      <c r="J349" s="15"/>
      <c r="K349" s="1"/>
      <c r="L349" s="15"/>
      <c r="M349" s="15"/>
      <c r="N349" s="15"/>
      <c r="O349" s="7"/>
      <c r="P349" s="10"/>
      <c r="Q349" s="10"/>
      <c r="R349" s="10"/>
      <c r="S349" s="10"/>
      <c r="T349" s="10"/>
      <c r="U349" s="10"/>
    </row>
    <row r="350" spans="1:21" x14ac:dyDescent="0.3">
      <c r="A350" s="10"/>
      <c r="B350" s="10"/>
      <c r="C350" s="10"/>
      <c r="D350" s="10"/>
      <c r="E350" s="22"/>
      <c r="F350" s="22"/>
      <c r="G350" s="22"/>
      <c r="H350" s="10"/>
      <c r="I350" s="10"/>
      <c r="J350" s="15"/>
      <c r="K350" s="1"/>
      <c r="L350" s="15"/>
      <c r="M350" s="15"/>
      <c r="N350" s="15"/>
      <c r="O350" s="7"/>
      <c r="P350" s="10"/>
      <c r="Q350" s="10"/>
      <c r="R350" s="10"/>
      <c r="S350" s="10"/>
      <c r="T350" s="10"/>
      <c r="U350" s="10"/>
    </row>
    <row r="351" spans="1:21" x14ac:dyDescent="0.3">
      <c r="A351" s="10"/>
      <c r="B351" s="10"/>
      <c r="C351" s="10"/>
      <c r="D351" s="10"/>
      <c r="E351" s="22"/>
      <c r="F351" s="22"/>
      <c r="G351" s="22"/>
      <c r="H351" s="10"/>
      <c r="I351" s="10"/>
      <c r="J351" s="15"/>
      <c r="K351" s="1"/>
      <c r="L351" s="15"/>
      <c r="M351" s="15"/>
      <c r="N351" s="15"/>
      <c r="O351" s="7"/>
      <c r="P351" s="10"/>
      <c r="Q351" s="10"/>
      <c r="R351" s="10"/>
      <c r="S351" s="10"/>
      <c r="T351" s="10"/>
      <c r="U351" s="10"/>
    </row>
    <row r="352" spans="1:21" x14ac:dyDescent="0.3">
      <c r="A352" s="10"/>
      <c r="B352" s="10"/>
      <c r="C352" s="10"/>
      <c r="D352" s="10"/>
      <c r="E352" s="22"/>
      <c r="F352" s="22"/>
      <c r="G352" s="22"/>
      <c r="H352" s="10"/>
      <c r="I352" s="10"/>
      <c r="J352" s="15"/>
      <c r="K352" s="1"/>
      <c r="L352" s="15"/>
      <c r="M352" s="15"/>
      <c r="N352" s="15"/>
      <c r="O352" s="7"/>
      <c r="P352" s="10"/>
      <c r="Q352" s="10"/>
      <c r="R352" s="10"/>
      <c r="S352" s="10"/>
      <c r="T352" s="10"/>
      <c r="U352" s="10"/>
    </row>
    <row r="353" spans="1:21" x14ac:dyDescent="0.3">
      <c r="A353" s="10"/>
      <c r="B353" s="10"/>
      <c r="C353" s="10"/>
      <c r="D353" s="10"/>
      <c r="E353" s="22"/>
      <c r="F353" s="22"/>
      <c r="G353" s="22"/>
      <c r="H353" s="10"/>
      <c r="I353" s="10"/>
      <c r="J353" s="15"/>
      <c r="K353" s="1"/>
      <c r="L353" s="15"/>
      <c r="M353" s="15"/>
      <c r="N353" s="15"/>
      <c r="O353" s="7"/>
      <c r="P353" s="10"/>
      <c r="Q353" s="10"/>
      <c r="R353" s="10"/>
      <c r="S353" s="10"/>
      <c r="T353" s="10"/>
      <c r="U353" s="10"/>
    </row>
    <row r="354" spans="1:21" x14ac:dyDescent="0.3">
      <c r="A354" s="10"/>
      <c r="B354" s="10"/>
      <c r="C354" s="10"/>
      <c r="D354" s="10"/>
      <c r="E354" s="22"/>
      <c r="F354" s="22"/>
      <c r="G354" s="22"/>
      <c r="H354" s="10"/>
      <c r="I354" s="10"/>
      <c r="J354" s="15"/>
      <c r="K354" s="1"/>
      <c r="L354" s="15"/>
      <c r="M354" s="15"/>
      <c r="N354" s="15"/>
      <c r="O354" s="7"/>
      <c r="P354" s="10"/>
      <c r="Q354" s="10"/>
      <c r="R354" s="10"/>
      <c r="S354" s="10"/>
      <c r="T354" s="10"/>
      <c r="U354" s="10"/>
    </row>
    <row r="355" spans="1:21" x14ac:dyDescent="0.3">
      <c r="A355" s="10"/>
      <c r="B355" s="10"/>
      <c r="C355" s="10"/>
      <c r="D355" s="10"/>
      <c r="E355" s="22"/>
      <c r="F355" s="22"/>
      <c r="G355" s="22"/>
      <c r="H355" s="10"/>
      <c r="I355" s="10"/>
      <c r="J355" s="15"/>
      <c r="K355" s="1"/>
      <c r="L355" s="15"/>
      <c r="M355" s="15"/>
      <c r="N355" s="15"/>
      <c r="O355" s="7"/>
      <c r="P355" s="10"/>
      <c r="Q355" s="10"/>
      <c r="R355" s="10"/>
      <c r="S355" s="10"/>
      <c r="T355" s="10"/>
      <c r="U355" s="10"/>
    </row>
    <row r="356" spans="1:21" x14ac:dyDescent="0.3">
      <c r="A356" s="10"/>
      <c r="B356" s="10"/>
      <c r="C356" s="10"/>
      <c r="D356" s="10"/>
      <c r="E356" s="22"/>
      <c r="F356" s="22"/>
      <c r="G356" s="22"/>
      <c r="H356" s="10"/>
      <c r="I356" s="10"/>
      <c r="J356" s="15"/>
      <c r="K356" s="1"/>
      <c r="L356" s="15"/>
      <c r="M356" s="15"/>
      <c r="N356" s="15"/>
      <c r="O356" s="7"/>
      <c r="P356" s="10"/>
      <c r="Q356" s="10"/>
      <c r="R356" s="10"/>
      <c r="S356" s="10"/>
      <c r="T356" s="10"/>
      <c r="U356" s="10"/>
    </row>
    <row r="357" spans="1:21" x14ac:dyDescent="0.3">
      <c r="A357" s="10"/>
      <c r="B357" s="10"/>
      <c r="C357" s="10"/>
      <c r="D357" s="10"/>
      <c r="E357" s="22"/>
      <c r="F357" s="22"/>
      <c r="G357" s="22"/>
      <c r="H357" s="10"/>
      <c r="I357" s="10"/>
      <c r="J357" s="15"/>
      <c r="K357" s="1"/>
      <c r="L357" s="15"/>
      <c r="M357" s="15"/>
      <c r="N357" s="15"/>
      <c r="O357" s="7"/>
      <c r="P357" s="10"/>
      <c r="Q357" s="10"/>
      <c r="R357" s="10"/>
      <c r="S357" s="10"/>
      <c r="T357" s="10"/>
      <c r="U357" s="10"/>
    </row>
    <row r="358" spans="1:21" x14ac:dyDescent="0.3">
      <c r="A358" s="10"/>
      <c r="B358" s="10"/>
      <c r="C358" s="10"/>
      <c r="D358" s="10"/>
      <c r="E358" s="22"/>
      <c r="F358" s="22"/>
      <c r="G358" s="22"/>
      <c r="H358" s="10"/>
      <c r="I358" s="10"/>
      <c r="J358" s="15"/>
      <c r="K358" s="1"/>
      <c r="L358" s="15"/>
      <c r="M358" s="15"/>
      <c r="N358" s="15"/>
      <c r="O358" s="7"/>
      <c r="P358" s="10"/>
      <c r="Q358" s="10"/>
      <c r="R358" s="10"/>
      <c r="S358" s="10"/>
      <c r="T358" s="10"/>
      <c r="U358" s="10"/>
    </row>
    <row r="359" spans="1:21" x14ac:dyDescent="0.3">
      <c r="A359" s="10"/>
      <c r="B359" s="10"/>
      <c r="C359" s="10"/>
      <c r="D359" s="10"/>
      <c r="E359" s="22"/>
      <c r="F359" s="22"/>
      <c r="G359" s="22"/>
      <c r="H359" s="10"/>
      <c r="I359" s="10"/>
      <c r="J359" s="15"/>
      <c r="K359" s="1"/>
      <c r="L359" s="15"/>
      <c r="M359" s="15"/>
      <c r="N359" s="15"/>
      <c r="O359" s="7"/>
      <c r="P359" s="10"/>
      <c r="Q359" s="10"/>
      <c r="R359" s="10"/>
      <c r="S359" s="10"/>
      <c r="T359" s="10"/>
      <c r="U359" s="10"/>
    </row>
    <row r="360" spans="1:21" x14ac:dyDescent="0.3">
      <c r="A360" s="10"/>
      <c r="B360" s="10"/>
      <c r="C360" s="10"/>
      <c r="D360" s="10"/>
      <c r="E360" s="22"/>
      <c r="F360" s="22"/>
      <c r="G360" s="22"/>
      <c r="H360" s="10"/>
      <c r="I360" s="10"/>
      <c r="J360" s="15"/>
      <c r="K360" s="1"/>
      <c r="L360" s="15"/>
      <c r="M360" s="15"/>
      <c r="N360" s="15"/>
      <c r="O360" s="7"/>
      <c r="P360" s="10"/>
      <c r="Q360" s="10"/>
      <c r="R360" s="10"/>
      <c r="S360" s="10"/>
      <c r="T360" s="10"/>
      <c r="U360" s="10"/>
    </row>
    <row r="361" spans="1:21" x14ac:dyDescent="0.3">
      <c r="A361" s="10"/>
      <c r="B361" s="10"/>
      <c r="C361" s="10"/>
      <c r="D361" s="10"/>
      <c r="E361" s="22"/>
      <c r="F361" s="22"/>
      <c r="G361" s="22"/>
      <c r="H361" s="10"/>
      <c r="I361" s="10"/>
      <c r="J361" s="15"/>
      <c r="K361" s="1"/>
      <c r="L361" s="15"/>
      <c r="M361" s="15"/>
      <c r="N361" s="15"/>
      <c r="O361" s="7"/>
      <c r="P361" s="10"/>
      <c r="Q361" s="10"/>
      <c r="R361" s="10"/>
      <c r="S361" s="10"/>
      <c r="T361" s="10"/>
      <c r="U361" s="10"/>
    </row>
    <row r="362" spans="1:21" x14ac:dyDescent="0.3">
      <c r="A362" s="10"/>
      <c r="B362" s="10"/>
      <c r="C362" s="10"/>
      <c r="D362" s="10"/>
      <c r="E362" s="22"/>
      <c r="F362" s="22"/>
      <c r="G362" s="22"/>
      <c r="H362" s="10"/>
      <c r="I362" s="10"/>
      <c r="J362" s="15"/>
      <c r="K362" s="1"/>
      <c r="L362" s="15"/>
      <c r="M362" s="15"/>
      <c r="N362" s="15"/>
      <c r="O362" s="7"/>
      <c r="P362" s="10"/>
      <c r="Q362" s="10"/>
      <c r="R362" s="10"/>
      <c r="S362" s="10"/>
      <c r="T362" s="10"/>
      <c r="U362" s="10"/>
    </row>
    <row r="363" spans="1:21" x14ac:dyDescent="0.3">
      <c r="A363" s="10"/>
      <c r="B363" s="10"/>
      <c r="C363" s="10"/>
      <c r="D363" s="10"/>
      <c r="E363" s="22"/>
      <c r="F363" s="22"/>
      <c r="G363" s="22"/>
      <c r="H363" s="10"/>
      <c r="I363" s="10"/>
      <c r="J363" s="15"/>
      <c r="K363" s="1"/>
      <c r="L363" s="15"/>
      <c r="M363" s="15"/>
      <c r="N363" s="15"/>
      <c r="O363" s="7"/>
      <c r="P363" s="10"/>
      <c r="Q363" s="10"/>
      <c r="R363" s="10"/>
      <c r="S363" s="10"/>
      <c r="T363" s="10"/>
      <c r="U363" s="10"/>
    </row>
    <row r="364" spans="1:21" x14ac:dyDescent="0.3">
      <c r="A364" s="10"/>
      <c r="B364" s="10"/>
      <c r="C364" s="10"/>
      <c r="D364" s="10"/>
      <c r="E364" s="22"/>
      <c r="F364" s="22"/>
      <c r="G364" s="22"/>
      <c r="H364" s="10"/>
      <c r="I364" s="10"/>
      <c r="J364" s="15"/>
      <c r="K364" s="1"/>
      <c r="L364" s="15"/>
      <c r="M364" s="15"/>
      <c r="N364" s="15"/>
      <c r="O364" s="7"/>
      <c r="P364" s="10"/>
      <c r="Q364" s="10"/>
      <c r="R364" s="10"/>
      <c r="S364" s="10"/>
      <c r="T364" s="10"/>
      <c r="U364" s="10"/>
    </row>
    <row r="365" spans="1:21" x14ac:dyDescent="0.3">
      <c r="A365" s="10"/>
      <c r="B365" s="10"/>
      <c r="C365" s="10"/>
      <c r="D365" s="10"/>
      <c r="E365" s="22"/>
      <c r="F365" s="22"/>
      <c r="G365" s="22"/>
      <c r="H365" s="10"/>
      <c r="I365" s="10"/>
      <c r="J365" s="15"/>
      <c r="K365" s="1"/>
      <c r="L365" s="15"/>
      <c r="M365" s="15"/>
      <c r="N365" s="15"/>
      <c r="O365" s="7"/>
      <c r="P365" s="10"/>
      <c r="Q365" s="10"/>
      <c r="R365" s="10"/>
      <c r="S365" s="10"/>
      <c r="T365" s="10"/>
      <c r="U365" s="10"/>
    </row>
    <row r="366" spans="1:21" x14ac:dyDescent="0.3">
      <c r="A366" s="10"/>
      <c r="B366" s="10"/>
      <c r="C366" s="10"/>
      <c r="D366" s="10"/>
      <c r="E366" s="22"/>
      <c r="F366" s="22"/>
      <c r="G366" s="22"/>
      <c r="H366" s="10"/>
      <c r="I366" s="10"/>
      <c r="J366" s="15"/>
      <c r="K366" s="1"/>
      <c r="L366" s="15"/>
      <c r="M366" s="15"/>
      <c r="N366" s="15"/>
      <c r="O366" s="7"/>
      <c r="P366" s="10"/>
      <c r="Q366" s="10"/>
      <c r="R366" s="10"/>
      <c r="S366" s="10"/>
      <c r="T366" s="10"/>
      <c r="U366" s="10"/>
    </row>
    <row r="367" spans="1:21" x14ac:dyDescent="0.3">
      <c r="A367" s="10"/>
      <c r="B367" s="10"/>
      <c r="C367" s="10"/>
      <c r="D367" s="10"/>
      <c r="E367" s="22"/>
      <c r="F367" s="22"/>
      <c r="G367" s="22"/>
      <c r="H367" s="10"/>
      <c r="I367" s="10"/>
      <c r="J367" s="15"/>
      <c r="K367" s="1"/>
      <c r="L367" s="15"/>
      <c r="M367" s="15"/>
      <c r="N367" s="15"/>
      <c r="O367" s="7"/>
      <c r="P367" s="10"/>
      <c r="Q367" s="10"/>
      <c r="R367" s="10"/>
      <c r="S367" s="10"/>
      <c r="T367" s="10"/>
      <c r="U367" s="10"/>
    </row>
    <row r="368" spans="1:21" x14ac:dyDescent="0.3">
      <c r="A368" s="10"/>
      <c r="B368" s="10"/>
      <c r="C368" s="10"/>
      <c r="D368" s="10"/>
      <c r="E368" s="22"/>
      <c r="F368" s="22"/>
      <c r="G368" s="22"/>
      <c r="H368" s="10"/>
      <c r="I368" s="10"/>
      <c r="J368" s="15"/>
      <c r="K368" s="1"/>
      <c r="L368" s="15"/>
      <c r="M368" s="15"/>
      <c r="N368" s="15"/>
      <c r="O368" s="7"/>
      <c r="P368" s="10"/>
      <c r="Q368" s="10"/>
      <c r="R368" s="10"/>
      <c r="S368" s="10"/>
      <c r="T368" s="10"/>
      <c r="U368" s="10"/>
    </row>
    <row r="369" spans="1:21" x14ac:dyDescent="0.3">
      <c r="A369" s="10"/>
      <c r="B369" s="10"/>
      <c r="C369" s="10"/>
      <c r="D369" s="10"/>
      <c r="E369" s="22"/>
      <c r="F369" s="22"/>
      <c r="G369" s="22"/>
      <c r="H369" s="10"/>
      <c r="I369" s="10"/>
      <c r="J369" s="15"/>
      <c r="K369" s="1"/>
      <c r="L369" s="15"/>
      <c r="M369" s="15"/>
      <c r="N369" s="15"/>
      <c r="O369" s="7"/>
      <c r="P369" s="10"/>
      <c r="Q369" s="10"/>
      <c r="R369" s="10"/>
      <c r="S369" s="10"/>
      <c r="T369" s="10"/>
      <c r="U369" s="10"/>
    </row>
    <row r="370" spans="1:21" x14ac:dyDescent="0.3">
      <c r="A370" s="10"/>
      <c r="B370" s="10"/>
      <c r="C370" s="10"/>
      <c r="D370" s="10"/>
      <c r="E370" s="22"/>
      <c r="F370" s="22"/>
      <c r="G370" s="22"/>
      <c r="H370" s="10"/>
      <c r="I370" s="10"/>
      <c r="J370" s="15"/>
      <c r="K370" s="1"/>
      <c r="L370" s="15"/>
      <c r="M370" s="15"/>
      <c r="N370" s="15"/>
      <c r="O370" s="7"/>
      <c r="P370" s="10"/>
      <c r="Q370" s="10"/>
      <c r="R370" s="10"/>
      <c r="S370" s="10"/>
      <c r="T370" s="10"/>
      <c r="U370" s="10"/>
    </row>
    <row r="371" spans="1:21" x14ac:dyDescent="0.3">
      <c r="A371" s="10"/>
      <c r="B371" s="10"/>
      <c r="C371" s="10"/>
      <c r="D371" s="10"/>
      <c r="E371" s="22"/>
      <c r="F371" s="22"/>
      <c r="G371" s="22"/>
      <c r="H371" s="10"/>
      <c r="I371" s="10"/>
      <c r="J371" s="15"/>
      <c r="K371" s="1"/>
      <c r="L371" s="15"/>
      <c r="M371" s="15"/>
      <c r="N371" s="15"/>
      <c r="O371" s="7"/>
      <c r="P371" s="10"/>
      <c r="Q371" s="10"/>
      <c r="R371" s="10"/>
      <c r="S371" s="10"/>
      <c r="T371" s="10"/>
      <c r="U371" s="10"/>
    </row>
    <row r="372" spans="1:21" x14ac:dyDescent="0.3">
      <c r="A372" s="10"/>
      <c r="B372" s="10"/>
      <c r="C372" s="10"/>
      <c r="D372" s="10"/>
      <c r="E372" s="22"/>
      <c r="F372" s="22"/>
      <c r="G372" s="22"/>
      <c r="H372" s="10"/>
      <c r="I372" s="10"/>
      <c r="J372" s="15"/>
      <c r="K372" s="1"/>
      <c r="L372" s="15"/>
      <c r="M372" s="15"/>
      <c r="N372" s="15"/>
      <c r="O372" s="7"/>
      <c r="P372" s="10"/>
      <c r="Q372" s="10"/>
      <c r="R372" s="10"/>
      <c r="S372" s="10"/>
      <c r="T372" s="10"/>
      <c r="U372" s="10"/>
    </row>
    <row r="373" spans="1:21" x14ac:dyDescent="0.3">
      <c r="A373" s="10"/>
      <c r="B373" s="10"/>
      <c r="C373" s="10"/>
      <c r="D373" s="10"/>
      <c r="E373" s="22"/>
      <c r="F373" s="22"/>
      <c r="G373" s="22"/>
      <c r="H373" s="10"/>
      <c r="I373" s="10"/>
      <c r="J373" s="15"/>
      <c r="K373" s="1"/>
      <c r="L373" s="15"/>
      <c r="M373" s="15"/>
      <c r="N373" s="15"/>
      <c r="O373" s="7"/>
      <c r="P373" s="10"/>
      <c r="Q373" s="10"/>
      <c r="R373" s="10"/>
      <c r="S373" s="10"/>
      <c r="T373" s="10"/>
      <c r="U373" s="10"/>
    </row>
    <row r="374" spans="1:21" x14ac:dyDescent="0.3">
      <c r="A374" s="10"/>
      <c r="B374" s="10"/>
      <c r="C374" s="10"/>
      <c r="D374" s="10"/>
      <c r="E374" s="22"/>
      <c r="F374" s="22"/>
      <c r="G374" s="22"/>
      <c r="H374" s="10"/>
      <c r="I374" s="10"/>
      <c r="J374" s="15"/>
      <c r="K374" s="1"/>
      <c r="L374" s="15"/>
      <c r="M374" s="15"/>
      <c r="N374" s="15"/>
      <c r="O374" s="7"/>
      <c r="P374" s="10"/>
      <c r="Q374" s="10"/>
      <c r="R374" s="10"/>
      <c r="S374" s="10"/>
      <c r="T374" s="10"/>
      <c r="U374" s="10"/>
    </row>
    <row r="375" spans="1:21" x14ac:dyDescent="0.3">
      <c r="A375" s="10"/>
      <c r="B375" s="10"/>
      <c r="C375" s="10"/>
      <c r="D375" s="10"/>
      <c r="E375" s="22"/>
      <c r="F375" s="22"/>
      <c r="G375" s="22"/>
      <c r="H375" s="10"/>
      <c r="I375" s="10"/>
      <c r="J375" s="15"/>
      <c r="K375" s="1"/>
      <c r="L375" s="15"/>
      <c r="M375" s="15"/>
      <c r="N375" s="15"/>
      <c r="O375" s="7"/>
      <c r="P375" s="10"/>
      <c r="Q375" s="10"/>
      <c r="R375" s="10"/>
      <c r="S375" s="10"/>
      <c r="T375" s="10"/>
      <c r="U375" s="10"/>
    </row>
    <row r="376" spans="1:21" x14ac:dyDescent="0.3">
      <c r="A376" s="10"/>
      <c r="B376" s="10"/>
      <c r="C376" s="10"/>
      <c r="D376" s="10"/>
      <c r="E376" s="22"/>
      <c r="F376" s="22"/>
      <c r="G376" s="22"/>
      <c r="H376" s="10"/>
      <c r="I376" s="10"/>
      <c r="J376" s="15"/>
      <c r="K376" s="1"/>
      <c r="L376" s="15"/>
      <c r="M376" s="15"/>
      <c r="N376" s="15"/>
      <c r="O376" s="7"/>
      <c r="P376" s="10"/>
      <c r="Q376" s="10"/>
      <c r="R376" s="10"/>
      <c r="S376" s="10"/>
      <c r="T376" s="10"/>
      <c r="U376" s="10"/>
    </row>
    <row r="377" spans="1:21" x14ac:dyDescent="0.3">
      <c r="A377" s="10"/>
      <c r="B377" s="10"/>
      <c r="C377" s="10"/>
      <c r="D377" s="10"/>
      <c r="E377" s="22"/>
      <c r="F377" s="22"/>
      <c r="G377" s="22"/>
      <c r="H377" s="10"/>
      <c r="I377" s="10"/>
      <c r="J377" s="15"/>
      <c r="K377" s="1"/>
      <c r="L377" s="15"/>
      <c r="M377" s="15"/>
      <c r="N377" s="15"/>
      <c r="O377" s="7"/>
      <c r="P377" s="10"/>
      <c r="Q377" s="10"/>
      <c r="R377" s="10"/>
      <c r="S377" s="10"/>
      <c r="T377" s="10"/>
      <c r="U377" s="10"/>
    </row>
    <row r="378" spans="1:21" x14ac:dyDescent="0.3">
      <c r="A378" s="10"/>
      <c r="B378" s="10"/>
      <c r="C378" s="10"/>
      <c r="D378" s="10"/>
      <c r="E378" s="22"/>
      <c r="F378" s="22"/>
      <c r="G378" s="22"/>
      <c r="H378" s="10"/>
      <c r="I378" s="10"/>
      <c r="J378" s="15"/>
      <c r="K378" s="1"/>
      <c r="L378" s="15"/>
      <c r="M378" s="15"/>
      <c r="N378" s="15"/>
      <c r="O378" s="7"/>
      <c r="P378" s="10"/>
      <c r="Q378" s="10"/>
      <c r="R378" s="10"/>
      <c r="S378" s="10"/>
      <c r="T378" s="10"/>
      <c r="U378" s="10"/>
    </row>
    <row r="379" spans="1:21" x14ac:dyDescent="0.3">
      <c r="A379" s="10"/>
      <c r="B379" s="10"/>
      <c r="C379" s="10"/>
      <c r="D379" s="10"/>
      <c r="E379" s="22"/>
      <c r="F379" s="22"/>
      <c r="G379" s="22"/>
      <c r="H379" s="10"/>
      <c r="I379" s="10"/>
      <c r="J379" s="15"/>
      <c r="K379" s="1"/>
      <c r="L379" s="15"/>
      <c r="M379" s="15"/>
      <c r="N379" s="15"/>
      <c r="O379" s="7"/>
      <c r="P379" s="10"/>
      <c r="Q379" s="10"/>
      <c r="R379" s="10"/>
      <c r="S379" s="10"/>
      <c r="T379" s="10"/>
      <c r="U379" s="10"/>
    </row>
    <row r="380" spans="1:21" x14ac:dyDescent="0.3">
      <c r="A380" s="10"/>
      <c r="B380" s="10"/>
      <c r="C380" s="10"/>
      <c r="D380" s="10"/>
      <c r="E380" s="22"/>
      <c r="F380" s="22"/>
      <c r="G380" s="22"/>
      <c r="H380" s="10"/>
      <c r="I380" s="10"/>
      <c r="J380" s="15"/>
      <c r="K380" s="1"/>
      <c r="L380" s="15"/>
      <c r="M380" s="15"/>
      <c r="N380" s="15"/>
      <c r="O380" s="7"/>
      <c r="P380" s="10"/>
      <c r="Q380" s="10"/>
      <c r="R380" s="10"/>
      <c r="S380" s="10"/>
      <c r="T380" s="10"/>
      <c r="U380" s="10"/>
    </row>
    <row r="381" spans="1:21" x14ac:dyDescent="0.3">
      <c r="A381" s="10"/>
      <c r="B381" s="10"/>
      <c r="C381" s="10"/>
      <c r="D381" s="10"/>
      <c r="E381" s="22"/>
      <c r="F381" s="22"/>
      <c r="G381" s="22"/>
      <c r="H381" s="10"/>
      <c r="I381" s="10"/>
      <c r="J381" s="15"/>
      <c r="K381" s="1"/>
      <c r="L381" s="15"/>
      <c r="M381" s="15"/>
      <c r="N381" s="15"/>
      <c r="O381" s="7"/>
      <c r="P381" s="10"/>
      <c r="Q381" s="10"/>
      <c r="R381" s="10"/>
      <c r="S381" s="10"/>
      <c r="T381" s="10"/>
      <c r="U381" s="10"/>
    </row>
    <row r="382" spans="1:21" x14ac:dyDescent="0.3">
      <c r="A382" s="10"/>
      <c r="B382" s="10"/>
      <c r="C382" s="10"/>
      <c r="D382" s="10"/>
      <c r="E382" s="22"/>
      <c r="F382" s="22"/>
      <c r="G382" s="22"/>
      <c r="H382" s="10"/>
      <c r="I382" s="10"/>
      <c r="J382" s="15"/>
      <c r="K382" s="1"/>
      <c r="L382" s="15"/>
      <c r="M382" s="15"/>
      <c r="N382" s="15"/>
      <c r="O382" s="7"/>
      <c r="P382" s="10"/>
      <c r="Q382" s="10"/>
      <c r="R382" s="10"/>
      <c r="S382" s="10"/>
      <c r="T382" s="10"/>
      <c r="U382" s="10"/>
    </row>
    <row r="383" spans="1:21" x14ac:dyDescent="0.3">
      <c r="A383" s="10"/>
      <c r="B383" s="10"/>
      <c r="C383" s="10"/>
      <c r="D383" s="10"/>
      <c r="E383" s="22"/>
      <c r="F383" s="22"/>
      <c r="G383" s="22"/>
      <c r="H383" s="10"/>
      <c r="I383" s="10"/>
      <c r="J383" s="15"/>
      <c r="K383" s="1"/>
      <c r="L383" s="15"/>
      <c r="M383" s="15"/>
      <c r="N383" s="15"/>
      <c r="O383" s="7"/>
      <c r="P383" s="10"/>
      <c r="Q383" s="10"/>
      <c r="R383" s="10"/>
      <c r="S383" s="10"/>
      <c r="T383" s="10"/>
      <c r="U383" s="10"/>
    </row>
    <row r="384" spans="1:21" x14ac:dyDescent="0.3">
      <c r="A384" s="10"/>
      <c r="B384" s="10"/>
      <c r="C384" s="10"/>
      <c r="D384" s="10"/>
      <c r="E384" s="22"/>
      <c r="F384" s="22"/>
      <c r="G384" s="22"/>
      <c r="H384" s="10"/>
      <c r="I384" s="10"/>
      <c r="J384" s="15"/>
      <c r="K384" s="1"/>
      <c r="L384" s="15"/>
      <c r="M384" s="15"/>
      <c r="N384" s="15"/>
      <c r="O384" s="7"/>
      <c r="P384" s="10"/>
      <c r="Q384" s="10"/>
      <c r="R384" s="10"/>
      <c r="S384" s="10"/>
      <c r="T384" s="10"/>
      <c r="U384" s="10"/>
    </row>
    <row r="385" spans="1:21" x14ac:dyDescent="0.3">
      <c r="A385" s="10"/>
      <c r="B385" s="10"/>
      <c r="C385" s="10"/>
      <c r="D385" s="10"/>
      <c r="E385" s="22"/>
      <c r="F385" s="22"/>
      <c r="G385" s="22"/>
      <c r="H385" s="10"/>
      <c r="I385" s="10"/>
      <c r="J385" s="15"/>
      <c r="K385" s="1"/>
      <c r="L385" s="15"/>
      <c r="M385" s="15"/>
      <c r="N385" s="15"/>
      <c r="O385" s="7"/>
      <c r="P385" s="10"/>
      <c r="Q385" s="10"/>
      <c r="R385" s="10"/>
      <c r="S385" s="10"/>
      <c r="T385" s="10"/>
      <c r="U385" s="10"/>
    </row>
    <row r="386" spans="1:21" x14ac:dyDescent="0.3">
      <c r="A386" s="10"/>
      <c r="B386" s="10"/>
      <c r="C386" s="10"/>
      <c r="D386" s="10"/>
      <c r="E386" s="22"/>
      <c r="F386" s="22"/>
      <c r="G386" s="22"/>
      <c r="H386" s="10"/>
      <c r="I386" s="10"/>
      <c r="J386" s="15"/>
      <c r="K386" s="1"/>
      <c r="L386" s="15"/>
      <c r="M386" s="15"/>
      <c r="N386" s="15"/>
      <c r="O386" s="7"/>
      <c r="P386" s="10"/>
      <c r="Q386" s="10"/>
      <c r="R386" s="10"/>
      <c r="S386" s="10"/>
      <c r="T386" s="10"/>
      <c r="U386" s="10"/>
    </row>
    <row r="387" spans="1:21" x14ac:dyDescent="0.3">
      <c r="A387" s="10"/>
      <c r="B387" s="10"/>
      <c r="C387" s="10"/>
      <c r="D387" s="10"/>
      <c r="E387" s="22"/>
      <c r="F387" s="22"/>
      <c r="G387" s="22"/>
      <c r="H387" s="10"/>
      <c r="I387" s="10"/>
      <c r="J387" s="15"/>
      <c r="K387" s="1"/>
      <c r="L387" s="15"/>
      <c r="M387" s="15"/>
      <c r="N387" s="15"/>
      <c r="O387" s="7"/>
      <c r="P387" s="10"/>
      <c r="Q387" s="10"/>
      <c r="R387" s="10"/>
      <c r="S387" s="10"/>
      <c r="T387" s="10"/>
      <c r="U387" s="10"/>
    </row>
    <row r="388" spans="1:21" x14ac:dyDescent="0.3">
      <c r="A388" s="10"/>
      <c r="B388" s="10"/>
      <c r="C388" s="10"/>
      <c r="D388" s="10"/>
      <c r="E388" s="22"/>
      <c r="F388" s="22"/>
      <c r="G388" s="22"/>
      <c r="H388" s="10"/>
      <c r="I388" s="10"/>
      <c r="J388" s="15"/>
      <c r="K388" s="1"/>
      <c r="L388" s="15"/>
      <c r="M388" s="15"/>
      <c r="N388" s="15"/>
      <c r="O388" s="7"/>
      <c r="P388" s="10"/>
      <c r="Q388" s="10"/>
      <c r="R388" s="10"/>
      <c r="S388" s="10"/>
      <c r="T388" s="10"/>
      <c r="U388" s="10"/>
    </row>
    <row r="389" spans="1:21" x14ac:dyDescent="0.3">
      <c r="A389" s="10"/>
      <c r="B389" s="10"/>
      <c r="C389" s="10"/>
      <c r="D389" s="10"/>
      <c r="E389" s="22"/>
      <c r="F389" s="22"/>
      <c r="G389" s="22"/>
      <c r="H389" s="10"/>
      <c r="I389" s="10"/>
      <c r="J389" s="15"/>
      <c r="K389" s="1"/>
      <c r="L389" s="15"/>
      <c r="M389" s="15"/>
      <c r="N389" s="15"/>
      <c r="O389" s="7"/>
      <c r="P389" s="10"/>
      <c r="Q389" s="10"/>
      <c r="R389" s="10"/>
      <c r="S389" s="10"/>
      <c r="T389" s="10"/>
      <c r="U389" s="10"/>
    </row>
    <row r="390" spans="1:21" x14ac:dyDescent="0.3">
      <c r="A390" s="10"/>
      <c r="B390" s="10"/>
      <c r="C390" s="10"/>
      <c r="D390" s="10"/>
      <c r="E390" s="22"/>
      <c r="F390" s="22"/>
      <c r="G390" s="22"/>
      <c r="H390" s="10"/>
      <c r="I390" s="10"/>
      <c r="J390" s="15"/>
      <c r="K390" s="1"/>
      <c r="L390" s="15"/>
      <c r="M390" s="15"/>
      <c r="N390" s="15"/>
      <c r="O390" s="7"/>
      <c r="P390" s="10"/>
      <c r="Q390" s="10"/>
      <c r="R390" s="10"/>
      <c r="S390" s="10"/>
      <c r="T390" s="10"/>
      <c r="U390" s="10"/>
    </row>
    <row r="391" spans="1:21" x14ac:dyDescent="0.3">
      <c r="A391" s="10"/>
      <c r="B391" s="10"/>
      <c r="C391" s="10"/>
      <c r="D391" s="10"/>
      <c r="E391" s="22"/>
      <c r="F391" s="22"/>
      <c r="G391" s="22"/>
      <c r="H391" s="10"/>
      <c r="I391" s="10"/>
      <c r="J391" s="15"/>
      <c r="K391" s="1"/>
      <c r="L391" s="15"/>
      <c r="M391" s="15"/>
      <c r="N391" s="15"/>
      <c r="O391" s="7"/>
      <c r="P391" s="10"/>
      <c r="Q391" s="10"/>
      <c r="R391" s="10"/>
      <c r="S391" s="10"/>
      <c r="T391" s="10"/>
      <c r="U391" s="10"/>
    </row>
    <row r="392" spans="1:21" x14ac:dyDescent="0.3">
      <c r="A392" s="10"/>
      <c r="B392" s="10"/>
      <c r="C392" s="10"/>
      <c r="D392" s="10"/>
      <c r="E392" s="22"/>
      <c r="F392" s="22"/>
      <c r="G392" s="22"/>
      <c r="H392" s="10"/>
      <c r="I392" s="10"/>
      <c r="J392" s="15"/>
      <c r="K392" s="1"/>
      <c r="L392" s="15"/>
      <c r="M392" s="15"/>
      <c r="N392" s="15"/>
      <c r="O392" s="7"/>
      <c r="P392" s="10"/>
      <c r="Q392" s="10"/>
      <c r="R392" s="10"/>
      <c r="S392" s="10"/>
      <c r="T392" s="10"/>
      <c r="U392" s="10"/>
    </row>
    <row r="393" spans="1:21" x14ac:dyDescent="0.3">
      <c r="A393" s="10"/>
      <c r="B393" s="10"/>
      <c r="C393" s="10"/>
      <c r="D393" s="10"/>
      <c r="E393" s="22"/>
      <c r="F393" s="22"/>
      <c r="G393" s="22"/>
      <c r="H393" s="10"/>
      <c r="I393" s="10"/>
      <c r="J393" s="15"/>
      <c r="K393" s="1"/>
      <c r="L393" s="15"/>
      <c r="M393" s="15"/>
      <c r="N393" s="15"/>
      <c r="O393" s="7"/>
      <c r="P393" s="10"/>
      <c r="Q393" s="10"/>
      <c r="R393" s="10"/>
      <c r="S393" s="10"/>
      <c r="T393" s="10"/>
      <c r="U393" s="10"/>
    </row>
    <row r="394" spans="1:21" x14ac:dyDescent="0.3">
      <c r="A394" s="10"/>
      <c r="B394" s="10"/>
      <c r="C394" s="10"/>
      <c r="D394" s="10"/>
      <c r="E394" s="22"/>
      <c r="F394" s="22"/>
      <c r="G394" s="22"/>
      <c r="H394" s="10"/>
      <c r="I394" s="10"/>
      <c r="J394" s="15"/>
      <c r="K394" s="1"/>
      <c r="L394" s="15"/>
      <c r="M394" s="15"/>
      <c r="N394" s="15"/>
      <c r="O394" s="7"/>
      <c r="P394" s="10"/>
      <c r="Q394" s="10"/>
      <c r="R394" s="10"/>
      <c r="S394" s="10"/>
      <c r="T394" s="10"/>
      <c r="U394" s="10"/>
    </row>
    <row r="395" spans="1:21" x14ac:dyDescent="0.3">
      <c r="A395" s="10"/>
      <c r="B395" s="10"/>
      <c r="C395" s="10"/>
      <c r="D395" s="10"/>
      <c r="E395" s="22"/>
      <c r="F395" s="22"/>
      <c r="G395" s="22"/>
      <c r="H395" s="10"/>
      <c r="I395" s="10"/>
      <c r="J395" s="15"/>
      <c r="K395" s="1"/>
      <c r="L395" s="15"/>
      <c r="M395" s="15"/>
      <c r="N395" s="15"/>
      <c r="O395" s="7"/>
      <c r="P395" s="10"/>
      <c r="Q395" s="10"/>
      <c r="R395" s="10"/>
      <c r="S395" s="10"/>
      <c r="T395" s="10"/>
      <c r="U395" s="10"/>
    </row>
    <row r="396" spans="1:21" x14ac:dyDescent="0.3">
      <c r="A396" s="10"/>
      <c r="B396" s="10"/>
      <c r="C396" s="10"/>
      <c r="D396" s="10"/>
      <c r="E396" s="22"/>
      <c r="F396" s="22"/>
      <c r="G396" s="22"/>
      <c r="H396" s="10"/>
      <c r="I396" s="10"/>
      <c r="J396" s="15"/>
      <c r="K396" s="1"/>
      <c r="L396" s="15"/>
      <c r="M396" s="15"/>
      <c r="N396" s="15"/>
      <c r="O396" s="7"/>
      <c r="P396" s="10"/>
      <c r="Q396" s="10"/>
      <c r="R396" s="10"/>
      <c r="S396" s="10"/>
      <c r="T396" s="10"/>
      <c r="U396" s="10"/>
    </row>
    <row r="397" spans="1:21" x14ac:dyDescent="0.3">
      <c r="A397" s="10"/>
      <c r="B397" s="10"/>
      <c r="C397" s="10"/>
      <c r="D397" s="10"/>
      <c r="E397" s="22"/>
      <c r="F397" s="22"/>
      <c r="G397" s="22"/>
      <c r="H397" s="10"/>
      <c r="I397" s="10"/>
      <c r="J397" s="15"/>
      <c r="K397" s="1"/>
      <c r="L397" s="15"/>
      <c r="M397" s="15"/>
      <c r="N397" s="15"/>
      <c r="O397" s="7"/>
      <c r="P397" s="10"/>
      <c r="Q397" s="10"/>
      <c r="R397" s="10"/>
      <c r="S397" s="10"/>
      <c r="T397" s="10"/>
      <c r="U397" s="10"/>
    </row>
    <row r="398" spans="1:21" x14ac:dyDescent="0.3">
      <c r="A398" s="10"/>
      <c r="B398" s="10"/>
      <c r="C398" s="10"/>
      <c r="D398" s="10"/>
      <c r="E398" s="22"/>
      <c r="F398" s="22"/>
      <c r="G398" s="22"/>
      <c r="H398" s="10"/>
      <c r="I398" s="10"/>
      <c r="J398" s="15"/>
      <c r="K398" s="1"/>
      <c r="L398" s="15"/>
      <c r="M398" s="15"/>
      <c r="N398" s="15"/>
      <c r="O398" s="7"/>
      <c r="P398" s="10"/>
      <c r="Q398" s="10"/>
      <c r="R398" s="10"/>
      <c r="S398" s="10"/>
      <c r="T398" s="10"/>
      <c r="U398" s="10"/>
    </row>
    <row r="399" spans="1:21" x14ac:dyDescent="0.3">
      <c r="A399" s="10"/>
      <c r="B399" s="10"/>
      <c r="C399" s="10"/>
      <c r="D399" s="10"/>
      <c r="E399" s="22"/>
      <c r="F399" s="22"/>
      <c r="G399" s="22"/>
      <c r="H399" s="10"/>
      <c r="I399" s="10"/>
      <c r="J399" s="15"/>
      <c r="K399" s="1"/>
      <c r="L399" s="15"/>
      <c r="M399" s="15"/>
      <c r="N399" s="15"/>
      <c r="O399" s="7"/>
      <c r="P399" s="10"/>
      <c r="Q399" s="10"/>
      <c r="R399" s="10"/>
      <c r="S399" s="10"/>
      <c r="T399" s="10"/>
      <c r="U399" s="10"/>
    </row>
    <row r="400" spans="1:21" x14ac:dyDescent="0.3">
      <c r="A400" s="10"/>
      <c r="B400" s="10"/>
      <c r="C400" s="10"/>
      <c r="D400" s="10"/>
      <c r="E400" s="22"/>
      <c r="F400" s="22"/>
      <c r="G400" s="22"/>
      <c r="H400" s="10"/>
      <c r="I400" s="10"/>
      <c r="J400" s="15"/>
      <c r="K400" s="1"/>
      <c r="L400" s="15"/>
      <c r="M400" s="15"/>
      <c r="N400" s="15"/>
      <c r="O400" s="7"/>
      <c r="P400" s="10"/>
      <c r="Q400" s="10"/>
      <c r="R400" s="10"/>
      <c r="S400" s="10"/>
      <c r="T400" s="10"/>
      <c r="U400" s="10"/>
    </row>
    <row r="401" spans="1:21" x14ac:dyDescent="0.3">
      <c r="A401" s="10"/>
      <c r="B401" s="10"/>
      <c r="C401" s="10"/>
      <c r="D401" s="10"/>
      <c r="E401" s="22"/>
      <c r="F401" s="22"/>
      <c r="G401" s="22"/>
      <c r="H401" s="10"/>
      <c r="I401" s="10"/>
      <c r="J401" s="15"/>
      <c r="K401" s="1"/>
      <c r="L401" s="15"/>
      <c r="M401" s="15"/>
      <c r="N401" s="15"/>
      <c r="O401" s="7"/>
      <c r="P401" s="10"/>
      <c r="Q401" s="10"/>
      <c r="R401" s="10"/>
      <c r="S401" s="10"/>
      <c r="T401" s="10"/>
      <c r="U401" s="10"/>
    </row>
    <row r="402" spans="1:21" x14ac:dyDescent="0.3">
      <c r="A402" s="10"/>
      <c r="B402" s="10"/>
      <c r="C402" s="10"/>
      <c r="D402" s="10"/>
      <c r="E402" s="22"/>
      <c r="F402" s="22"/>
      <c r="G402" s="22"/>
      <c r="H402" s="10"/>
      <c r="I402" s="10"/>
      <c r="J402" s="15"/>
      <c r="K402" s="1"/>
      <c r="L402" s="15"/>
      <c r="M402" s="15"/>
      <c r="N402" s="15"/>
      <c r="O402" s="7"/>
      <c r="P402" s="10"/>
      <c r="Q402" s="10"/>
      <c r="R402" s="10"/>
      <c r="S402" s="10"/>
      <c r="T402" s="10"/>
      <c r="U402" s="10"/>
    </row>
    <row r="403" spans="1:21" x14ac:dyDescent="0.3">
      <c r="A403" s="10"/>
      <c r="B403" s="10"/>
      <c r="C403" s="10"/>
      <c r="D403" s="10"/>
      <c r="E403" s="22"/>
      <c r="F403" s="22"/>
      <c r="G403" s="22"/>
      <c r="H403" s="10"/>
      <c r="I403" s="10"/>
      <c r="J403" s="15"/>
      <c r="K403" s="1"/>
      <c r="L403" s="15"/>
      <c r="M403" s="15"/>
      <c r="N403" s="15"/>
      <c r="O403" s="7"/>
      <c r="P403" s="10"/>
      <c r="Q403" s="10"/>
      <c r="R403" s="10"/>
      <c r="S403" s="10"/>
      <c r="T403" s="10"/>
      <c r="U403" s="10"/>
    </row>
    <row r="404" spans="1:21" x14ac:dyDescent="0.3">
      <c r="A404" s="10"/>
      <c r="B404" s="10"/>
      <c r="C404" s="10"/>
      <c r="D404" s="10"/>
      <c r="E404" s="22"/>
      <c r="F404" s="22"/>
      <c r="G404" s="22"/>
      <c r="H404" s="10"/>
      <c r="I404" s="10"/>
      <c r="J404" s="15"/>
      <c r="K404" s="1"/>
      <c r="L404" s="15"/>
      <c r="M404" s="15"/>
      <c r="N404" s="15"/>
      <c r="O404" s="7"/>
      <c r="P404" s="10"/>
      <c r="Q404" s="10"/>
      <c r="R404" s="10"/>
      <c r="S404" s="10"/>
      <c r="T404" s="10"/>
      <c r="U404" s="10"/>
    </row>
    <row r="405" spans="1:21" x14ac:dyDescent="0.3">
      <c r="A405" s="10"/>
      <c r="B405" s="10"/>
      <c r="C405" s="10"/>
      <c r="D405" s="10"/>
      <c r="E405" s="22"/>
      <c r="F405" s="22"/>
      <c r="G405" s="22"/>
      <c r="H405" s="10"/>
      <c r="I405" s="10"/>
      <c r="J405" s="15"/>
      <c r="K405" s="1"/>
      <c r="L405" s="15"/>
      <c r="M405" s="15"/>
      <c r="N405" s="15"/>
      <c r="O405" s="7"/>
      <c r="P405" s="10"/>
      <c r="Q405" s="10"/>
      <c r="R405" s="10"/>
      <c r="S405" s="10"/>
      <c r="T405" s="10"/>
      <c r="U405" s="10"/>
    </row>
    <row r="406" spans="1:21" x14ac:dyDescent="0.3">
      <c r="A406" s="10"/>
      <c r="B406" s="10"/>
      <c r="C406" s="10"/>
      <c r="D406" s="10"/>
      <c r="E406" s="22"/>
      <c r="F406" s="22"/>
      <c r="G406" s="22"/>
      <c r="H406" s="10"/>
      <c r="I406" s="10"/>
      <c r="J406" s="15"/>
      <c r="K406" s="1"/>
      <c r="L406" s="15"/>
      <c r="M406" s="15"/>
      <c r="N406" s="15"/>
      <c r="O406" s="7"/>
      <c r="P406" s="10"/>
      <c r="Q406" s="10"/>
      <c r="R406" s="10"/>
      <c r="S406" s="10"/>
      <c r="T406" s="10"/>
      <c r="U406" s="10"/>
    </row>
    <row r="407" spans="1:21" x14ac:dyDescent="0.3">
      <c r="A407" s="10"/>
      <c r="B407" s="10"/>
      <c r="C407" s="10"/>
      <c r="D407" s="10"/>
      <c r="E407" s="22"/>
      <c r="F407" s="22"/>
      <c r="G407" s="22"/>
      <c r="H407" s="10"/>
      <c r="I407" s="10"/>
      <c r="J407" s="15"/>
      <c r="K407" s="1"/>
      <c r="L407" s="15"/>
      <c r="M407" s="15"/>
      <c r="N407" s="15"/>
      <c r="O407" s="7"/>
      <c r="P407" s="10"/>
      <c r="Q407" s="10"/>
      <c r="R407" s="10"/>
      <c r="S407" s="10"/>
      <c r="T407" s="10"/>
      <c r="U407" s="10"/>
    </row>
    <row r="408" spans="1:21" x14ac:dyDescent="0.3">
      <c r="A408" s="10"/>
      <c r="B408" s="10"/>
      <c r="C408" s="10"/>
      <c r="D408" s="10"/>
      <c r="E408" s="22"/>
      <c r="F408" s="22"/>
      <c r="G408" s="22"/>
      <c r="H408" s="10"/>
      <c r="I408" s="10"/>
      <c r="J408" s="15"/>
      <c r="K408" s="1"/>
      <c r="L408" s="15"/>
      <c r="M408" s="15"/>
      <c r="N408" s="15"/>
      <c r="O408" s="7"/>
      <c r="P408" s="10"/>
      <c r="Q408" s="10"/>
      <c r="R408" s="10"/>
      <c r="S408" s="10"/>
      <c r="T408" s="10"/>
      <c r="U408" s="10"/>
    </row>
    <row r="409" spans="1:21" x14ac:dyDescent="0.3">
      <c r="A409" s="10"/>
      <c r="B409" s="10"/>
      <c r="C409" s="10"/>
      <c r="D409" s="10"/>
      <c r="E409" s="22"/>
      <c r="F409" s="22"/>
      <c r="G409" s="22"/>
      <c r="H409" s="10"/>
      <c r="I409" s="10"/>
      <c r="J409" s="15"/>
      <c r="K409" s="1"/>
      <c r="L409" s="15"/>
      <c r="M409" s="15"/>
      <c r="N409" s="15"/>
      <c r="O409" s="7"/>
      <c r="P409" s="10"/>
      <c r="Q409" s="10"/>
      <c r="R409" s="10"/>
      <c r="S409" s="10"/>
      <c r="T409" s="10"/>
      <c r="U409" s="10"/>
    </row>
    <row r="410" spans="1:21" x14ac:dyDescent="0.3">
      <c r="A410" s="10"/>
      <c r="B410" s="10"/>
      <c r="C410" s="10"/>
      <c r="D410" s="10"/>
      <c r="E410" s="22"/>
      <c r="F410" s="22"/>
      <c r="G410" s="22"/>
      <c r="H410" s="10"/>
      <c r="I410" s="10"/>
      <c r="J410" s="15"/>
      <c r="K410" s="1"/>
      <c r="L410" s="15"/>
      <c r="M410" s="15"/>
      <c r="N410" s="15"/>
      <c r="O410" s="7"/>
      <c r="P410" s="10"/>
      <c r="Q410" s="10"/>
      <c r="R410" s="10"/>
      <c r="S410" s="10"/>
      <c r="T410" s="10"/>
      <c r="U410" s="10"/>
    </row>
    <row r="411" spans="1:21" x14ac:dyDescent="0.3">
      <c r="A411" s="10"/>
      <c r="B411" s="10"/>
      <c r="C411" s="10"/>
      <c r="D411" s="10"/>
      <c r="E411" s="22"/>
      <c r="F411" s="22"/>
      <c r="G411" s="22"/>
      <c r="H411" s="10"/>
      <c r="I411" s="10"/>
      <c r="J411" s="15"/>
      <c r="K411" s="1"/>
      <c r="L411" s="15"/>
      <c r="M411" s="15"/>
      <c r="N411" s="15"/>
      <c r="O411" s="7"/>
      <c r="P411" s="10"/>
      <c r="Q411" s="10"/>
      <c r="R411" s="10"/>
      <c r="S411" s="10"/>
      <c r="T411" s="10"/>
      <c r="U411" s="10"/>
    </row>
    <row r="412" spans="1:21" x14ac:dyDescent="0.3">
      <c r="A412" s="10"/>
      <c r="B412" s="10"/>
      <c r="C412" s="10"/>
      <c r="D412" s="10"/>
      <c r="E412" s="22"/>
      <c r="F412" s="22"/>
      <c r="G412" s="22"/>
      <c r="H412" s="10"/>
      <c r="I412" s="10"/>
      <c r="J412" s="15"/>
      <c r="K412" s="1"/>
      <c r="L412" s="15"/>
      <c r="M412" s="15"/>
      <c r="N412" s="15"/>
      <c r="O412" s="7"/>
      <c r="P412" s="10"/>
      <c r="Q412" s="10"/>
      <c r="R412" s="10"/>
      <c r="S412" s="10"/>
      <c r="T412" s="10"/>
      <c r="U412" s="10"/>
    </row>
    <row r="413" spans="1:21" x14ac:dyDescent="0.3">
      <c r="A413" s="10"/>
      <c r="B413" s="10"/>
      <c r="C413" s="10"/>
      <c r="D413" s="10"/>
      <c r="E413" s="22"/>
      <c r="F413" s="22"/>
      <c r="G413" s="22"/>
      <c r="H413" s="10"/>
      <c r="I413" s="10"/>
      <c r="J413" s="15"/>
      <c r="K413" s="1"/>
      <c r="L413" s="15"/>
      <c r="M413" s="15"/>
      <c r="N413" s="15"/>
      <c r="O413" s="7"/>
      <c r="P413" s="10"/>
      <c r="Q413" s="10"/>
      <c r="R413" s="10"/>
      <c r="S413" s="10"/>
      <c r="T413" s="10"/>
      <c r="U413" s="10"/>
    </row>
    <row r="414" spans="1:21" x14ac:dyDescent="0.3">
      <c r="A414" s="10"/>
      <c r="B414" s="10"/>
      <c r="C414" s="10"/>
      <c r="D414" s="10"/>
      <c r="E414" s="22"/>
      <c r="F414" s="22"/>
      <c r="G414" s="22"/>
      <c r="H414" s="10"/>
      <c r="I414" s="10"/>
      <c r="J414" s="15"/>
      <c r="K414" s="1"/>
      <c r="L414" s="15"/>
      <c r="M414" s="15"/>
      <c r="N414" s="15"/>
      <c r="O414" s="7"/>
      <c r="P414" s="10"/>
      <c r="Q414" s="10"/>
      <c r="R414" s="10"/>
      <c r="S414" s="10"/>
      <c r="T414" s="10"/>
      <c r="U414" s="10"/>
    </row>
    <row r="415" spans="1:21" x14ac:dyDescent="0.3">
      <c r="A415" s="10"/>
      <c r="B415" s="10"/>
      <c r="C415" s="10"/>
      <c r="D415" s="10"/>
      <c r="E415" s="22"/>
      <c r="F415" s="22"/>
      <c r="G415" s="22"/>
      <c r="H415" s="10"/>
      <c r="I415" s="10"/>
      <c r="J415" s="15"/>
      <c r="K415" s="1"/>
      <c r="L415" s="15"/>
      <c r="M415" s="15"/>
      <c r="N415" s="15"/>
      <c r="O415" s="7"/>
      <c r="P415" s="10"/>
      <c r="Q415" s="10"/>
      <c r="R415" s="10"/>
      <c r="S415" s="10"/>
      <c r="T415" s="10"/>
      <c r="U415" s="10"/>
    </row>
    <row r="416" spans="1:21" x14ac:dyDescent="0.3">
      <c r="A416" s="10"/>
      <c r="B416" s="10"/>
      <c r="C416" s="10"/>
      <c r="D416" s="10"/>
      <c r="E416" s="22"/>
      <c r="F416" s="22"/>
      <c r="G416" s="22"/>
      <c r="H416" s="10"/>
      <c r="I416" s="10"/>
      <c r="J416" s="15"/>
      <c r="K416" s="1"/>
      <c r="L416" s="15"/>
      <c r="M416" s="15"/>
      <c r="N416" s="15"/>
      <c r="O416" s="7"/>
      <c r="P416" s="10"/>
      <c r="Q416" s="10"/>
      <c r="R416" s="10"/>
      <c r="S416" s="10"/>
      <c r="T416" s="10"/>
      <c r="U416" s="10"/>
    </row>
    <row r="417" spans="1:21" x14ac:dyDescent="0.3">
      <c r="A417" s="10"/>
      <c r="B417" s="10"/>
      <c r="C417" s="10"/>
      <c r="D417" s="10"/>
      <c r="E417" s="22"/>
      <c r="F417" s="22"/>
      <c r="G417" s="22"/>
      <c r="H417" s="10"/>
      <c r="I417" s="10"/>
      <c r="J417" s="15"/>
      <c r="K417" s="1"/>
      <c r="L417" s="15"/>
      <c r="M417" s="15"/>
      <c r="N417" s="15"/>
      <c r="O417" s="7"/>
      <c r="P417" s="10"/>
      <c r="Q417" s="10"/>
      <c r="R417" s="10"/>
      <c r="S417" s="10"/>
      <c r="T417" s="10"/>
      <c r="U417" s="10"/>
    </row>
    <row r="418" spans="1:21" x14ac:dyDescent="0.3">
      <c r="A418" s="10"/>
      <c r="B418" s="10"/>
      <c r="C418" s="10"/>
      <c r="D418" s="10"/>
      <c r="E418" s="22"/>
      <c r="F418" s="22"/>
      <c r="G418" s="22"/>
      <c r="H418" s="10"/>
      <c r="I418" s="10"/>
      <c r="J418" s="15"/>
      <c r="K418" s="1"/>
      <c r="L418" s="15"/>
      <c r="M418" s="15"/>
      <c r="N418" s="15"/>
      <c r="O418" s="7"/>
      <c r="P418" s="10"/>
      <c r="Q418" s="10"/>
      <c r="R418" s="10"/>
      <c r="S418" s="10"/>
      <c r="T418" s="10"/>
      <c r="U418" s="10"/>
    </row>
    <row r="419" spans="1:21" x14ac:dyDescent="0.3">
      <c r="A419" s="10"/>
      <c r="B419" s="10"/>
      <c r="C419" s="10"/>
      <c r="D419" s="10"/>
      <c r="E419" s="22"/>
      <c r="F419" s="22"/>
      <c r="G419" s="22"/>
      <c r="H419" s="10"/>
      <c r="I419" s="10"/>
      <c r="J419" s="15"/>
      <c r="K419" s="1"/>
      <c r="L419" s="15"/>
      <c r="M419" s="15"/>
      <c r="N419" s="15"/>
      <c r="O419" s="7"/>
      <c r="P419" s="10"/>
      <c r="Q419" s="10"/>
      <c r="R419" s="10"/>
      <c r="S419" s="10"/>
      <c r="T419" s="10"/>
      <c r="U419" s="10"/>
    </row>
    <row r="420" spans="1:21" x14ac:dyDescent="0.3">
      <c r="A420" s="10"/>
      <c r="B420" s="10"/>
      <c r="C420" s="10"/>
      <c r="D420" s="10"/>
      <c r="E420" s="22"/>
      <c r="F420" s="22"/>
      <c r="G420" s="22"/>
      <c r="H420" s="10"/>
      <c r="I420" s="10"/>
      <c r="J420" s="15"/>
      <c r="K420" s="1"/>
      <c r="L420" s="15"/>
      <c r="M420" s="15"/>
      <c r="N420" s="15"/>
      <c r="O420" s="7"/>
      <c r="P420" s="10"/>
      <c r="Q420" s="10"/>
      <c r="R420" s="10"/>
      <c r="S420" s="10"/>
      <c r="T420" s="10"/>
      <c r="U420" s="10"/>
    </row>
    <row r="421" spans="1:21" x14ac:dyDescent="0.3">
      <c r="A421" s="10"/>
      <c r="B421" s="10"/>
      <c r="C421" s="10"/>
      <c r="D421" s="10"/>
      <c r="E421" s="22"/>
      <c r="F421" s="22"/>
      <c r="G421" s="22"/>
      <c r="H421" s="10"/>
      <c r="I421" s="10"/>
      <c r="J421" s="15"/>
      <c r="K421" s="1"/>
      <c r="L421" s="15"/>
      <c r="M421" s="15"/>
      <c r="N421" s="15"/>
      <c r="O421" s="7"/>
      <c r="P421" s="10"/>
      <c r="Q421" s="10"/>
      <c r="R421" s="10"/>
      <c r="S421" s="10"/>
      <c r="T421" s="10"/>
      <c r="U421" s="10"/>
    </row>
    <row r="422" spans="1:21" x14ac:dyDescent="0.3">
      <c r="A422" s="10"/>
      <c r="B422" s="10"/>
      <c r="C422" s="10"/>
      <c r="D422" s="10"/>
      <c r="E422" s="22"/>
      <c r="F422" s="22"/>
      <c r="G422" s="22"/>
      <c r="H422" s="10"/>
      <c r="I422" s="10"/>
      <c r="J422" s="15"/>
      <c r="K422" s="1"/>
      <c r="L422" s="15"/>
      <c r="M422" s="15"/>
      <c r="N422" s="15"/>
      <c r="O422" s="7"/>
      <c r="P422" s="10"/>
      <c r="Q422" s="10"/>
      <c r="R422" s="10"/>
      <c r="S422" s="10"/>
      <c r="T422" s="10"/>
      <c r="U422" s="10"/>
    </row>
    <row r="423" spans="1:21" x14ac:dyDescent="0.3">
      <c r="A423" s="10"/>
      <c r="B423" s="10"/>
      <c r="C423" s="10"/>
      <c r="D423" s="10"/>
      <c r="E423" s="22"/>
      <c r="F423" s="22"/>
      <c r="G423" s="22"/>
      <c r="H423" s="10"/>
      <c r="I423" s="10"/>
      <c r="J423" s="15"/>
      <c r="K423" s="1"/>
      <c r="L423" s="15"/>
      <c r="M423" s="15"/>
      <c r="N423" s="15"/>
      <c r="O423" s="7"/>
      <c r="P423" s="10"/>
      <c r="Q423" s="10"/>
      <c r="R423" s="10"/>
      <c r="S423" s="10"/>
      <c r="T423" s="10"/>
      <c r="U423" s="10"/>
    </row>
    <row r="424" spans="1:21" x14ac:dyDescent="0.3">
      <c r="A424" s="10"/>
      <c r="B424" s="10"/>
      <c r="C424" s="10"/>
      <c r="D424" s="10"/>
      <c r="E424" s="22"/>
      <c r="F424" s="22"/>
      <c r="G424" s="22"/>
      <c r="H424" s="10"/>
      <c r="I424" s="10"/>
      <c r="J424" s="15"/>
      <c r="K424" s="1"/>
      <c r="L424" s="15"/>
      <c r="M424" s="15"/>
      <c r="N424" s="15"/>
      <c r="O424" s="7"/>
      <c r="P424" s="10"/>
      <c r="Q424" s="10"/>
      <c r="R424" s="10"/>
      <c r="S424" s="10"/>
      <c r="T424" s="10"/>
      <c r="U424" s="10"/>
    </row>
    <row r="425" spans="1:21" x14ac:dyDescent="0.3">
      <c r="A425" s="10"/>
      <c r="B425" s="10"/>
      <c r="C425" s="10"/>
      <c r="D425" s="10"/>
      <c r="E425" s="22"/>
      <c r="F425" s="22"/>
      <c r="G425" s="22"/>
      <c r="H425" s="10"/>
      <c r="I425" s="10"/>
      <c r="J425" s="15"/>
      <c r="K425" s="1"/>
      <c r="L425" s="15"/>
      <c r="M425" s="15"/>
      <c r="N425" s="15"/>
      <c r="O425" s="7"/>
      <c r="P425" s="10"/>
      <c r="Q425" s="10"/>
      <c r="R425" s="10"/>
      <c r="S425" s="10"/>
      <c r="T425" s="10"/>
      <c r="U425" s="10"/>
    </row>
    <row r="426" spans="1:21" x14ac:dyDescent="0.3">
      <c r="A426" s="10"/>
      <c r="B426" s="10"/>
      <c r="C426" s="10"/>
      <c r="D426" s="10"/>
      <c r="E426" s="22"/>
      <c r="F426" s="22"/>
      <c r="G426" s="22"/>
      <c r="H426" s="10"/>
      <c r="I426" s="10"/>
      <c r="J426" s="15"/>
      <c r="K426" s="1"/>
      <c r="L426" s="15"/>
      <c r="M426" s="15"/>
      <c r="N426" s="15"/>
      <c r="O426" s="7"/>
      <c r="P426" s="10"/>
      <c r="Q426" s="10"/>
      <c r="R426" s="10"/>
      <c r="S426" s="10"/>
      <c r="T426" s="10"/>
      <c r="U426" s="10"/>
    </row>
    <row r="427" spans="1:21" x14ac:dyDescent="0.3">
      <c r="A427" s="10"/>
      <c r="B427" s="10"/>
      <c r="C427" s="10"/>
      <c r="D427" s="10"/>
      <c r="E427" s="22"/>
      <c r="F427" s="22"/>
      <c r="G427" s="22"/>
      <c r="H427" s="10"/>
      <c r="I427" s="10"/>
      <c r="J427" s="15"/>
      <c r="K427" s="1"/>
      <c r="L427" s="15"/>
      <c r="M427" s="15"/>
      <c r="N427" s="15"/>
      <c r="O427" s="7"/>
      <c r="P427" s="10"/>
      <c r="Q427" s="10"/>
      <c r="R427" s="10"/>
      <c r="S427" s="10"/>
      <c r="T427" s="10"/>
      <c r="U427" s="10"/>
    </row>
    <row r="428" spans="1:21" x14ac:dyDescent="0.3">
      <c r="A428" s="10"/>
      <c r="B428" s="10"/>
      <c r="C428" s="10"/>
      <c r="D428" s="10"/>
      <c r="E428" s="22"/>
      <c r="F428" s="22"/>
      <c r="G428" s="22"/>
      <c r="H428" s="10"/>
      <c r="I428" s="10"/>
      <c r="J428" s="15"/>
      <c r="K428" s="1"/>
      <c r="L428" s="15"/>
      <c r="M428" s="15"/>
      <c r="N428" s="15"/>
      <c r="O428" s="7"/>
      <c r="P428" s="10"/>
      <c r="Q428" s="10"/>
      <c r="R428" s="10"/>
      <c r="S428" s="10"/>
      <c r="T428" s="10"/>
      <c r="U428" s="10"/>
    </row>
    <row r="429" spans="1:21" x14ac:dyDescent="0.3">
      <c r="A429" s="10"/>
      <c r="B429" s="10"/>
      <c r="C429" s="10"/>
      <c r="D429" s="10"/>
      <c r="E429" s="22"/>
      <c r="F429" s="22"/>
      <c r="G429" s="22"/>
      <c r="H429" s="10"/>
      <c r="I429" s="10"/>
      <c r="J429" s="15"/>
      <c r="K429" s="1"/>
      <c r="L429" s="15"/>
      <c r="M429" s="15"/>
      <c r="N429" s="15"/>
      <c r="O429" s="7"/>
      <c r="P429" s="10"/>
      <c r="Q429" s="10"/>
      <c r="R429" s="10"/>
      <c r="S429" s="10"/>
      <c r="T429" s="10"/>
      <c r="U429" s="10"/>
    </row>
    <row r="430" spans="1:21" x14ac:dyDescent="0.3">
      <c r="A430" s="10"/>
      <c r="B430" s="10"/>
      <c r="C430" s="10"/>
      <c r="D430" s="10"/>
      <c r="E430" s="22"/>
      <c r="F430" s="22"/>
      <c r="G430" s="22"/>
      <c r="H430" s="10"/>
      <c r="I430" s="10"/>
      <c r="J430" s="15"/>
      <c r="K430" s="1"/>
      <c r="L430" s="15"/>
      <c r="M430" s="15"/>
      <c r="N430" s="15"/>
      <c r="O430" s="7"/>
      <c r="P430" s="10"/>
      <c r="Q430" s="10"/>
      <c r="R430" s="10"/>
      <c r="S430" s="10"/>
      <c r="T430" s="10"/>
      <c r="U430" s="10"/>
    </row>
    <row r="431" spans="1:21" x14ac:dyDescent="0.3">
      <c r="A431" s="10"/>
      <c r="B431" s="10"/>
      <c r="C431" s="10"/>
      <c r="D431" s="10"/>
      <c r="E431" s="22"/>
      <c r="F431" s="22"/>
      <c r="G431" s="22"/>
      <c r="H431" s="10"/>
      <c r="I431" s="10"/>
      <c r="J431" s="15"/>
      <c r="K431" s="1"/>
      <c r="L431" s="15"/>
      <c r="M431" s="15"/>
      <c r="N431" s="15"/>
      <c r="O431" s="7"/>
      <c r="P431" s="10"/>
      <c r="Q431" s="10"/>
      <c r="R431" s="10"/>
      <c r="S431" s="10"/>
      <c r="T431" s="10"/>
      <c r="U431" s="10"/>
    </row>
    <row r="432" spans="1:21" x14ac:dyDescent="0.3">
      <c r="A432" s="10"/>
      <c r="B432" s="10"/>
      <c r="C432" s="10"/>
      <c r="D432" s="10"/>
      <c r="E432" s="22"/>
      <c r="F432" s="22"/>
      <c r="G432" s="22"/>
      <c r="H432" s="10"/>
      <c r="I432" s="10"/>
      <c r="J432" s="15"/>
      <c r="K432" s="1"/>
      <c r="L432" s="15"/>
      <c r="M432" s="15"/>
      <c r="N432" s="15"/>
      <c r="O432" s="7"/>
      <c r="P432" s="10"/>
      <c r="Q432" s="10"/>
      <c r="R432" s="10"/>
      <c r="S432" s="10"/>
      <c r="T432" s="10"/>
      <c r="U432" s="10"/>
    </row>
    <row r="433" spans="1:21" x14ac:dyDescent="0.3">
      <c r="A433" s="10"/>
      <c r="B433" s="10"/>
      <c r="C433" s="10"/>
      <c r="D433" s="10"/>
      <c r="E433" s="22"/>
      <c r="F433" s="22"/>
      <c r="G433" s="22"/>
      <c r="H433" s="10"/>
      <c r="I433" s="10"/>
      <c r="J433" s="15"/>
      <c r="K433" s="1"/>
      <c r="L433" s="15"/>
      <c r="M433" s="15"/>
      <c r="N433" s="15"/>
      <c r="O433" s="7"/>
      <c r="P433" s="10"/>
      <c r="Q433" s="10"/>
      <c r="R433" s="10"/>
      <c r="S433" s="10"/>
      <c r="T433" s="10"/>
      <c r="U433" s="10"/>
    </row>
    <row r="434" spans="1:21" x14ac:dyDescent="0.3">
      <c r="A434" s="10"/>
      <c r="B434" s="10"/>
      <c r="C434" s="10"/>
      <c r="D434" s="10"/>
      <c r="E434" s="22"/>
      <c r="F434" s="22"/>
      <c r="G434" s="22"/>
      <c r="H434" s="10"/>
      <c r="I434" s="10"/>
      <c r="J434" s="15"/>
      <c r="K434" s="1"/>
      <c r="L434" s="15"/>
      <c r="M434" s="15"/>
      <c r="N434" s="15"/>
      <c r="O434" s="7"/>
      <c r="P434" s="10"/>
      <c r="Q434" s="10"/>
      <c r="R434" s="10"/>
      <c r="S434" s="10"/>
      <c r="T434" s="10"/>
      <c r="U434" s="10"/>
    </row>
    <row r="435" spans="1:21" x14ac:dyDescent="0.3">
      <c r="A435" s="10"/>
      <c r="B435" s="10"/>
      <c r="C435" s="10"/>
      <c r="D435" s="10"/>
      <c r="E435" s="22"/>
      <c r="F435" s="22"/>
      <c r="G435" s="22"/>
      <c r="H435" s="10"/>
      <c r="I435" s="10"/>
      <c r="J435" s="15"/>
      <c r="K435" s="1"/>
      <c r="L435" s="15"/>
      <c r="M435" s="15"/>
      <c r="N435" s="15"/>
      <c r="O435" s="7"/>
      <c r="P435" s="10"/>
      <c r="Q435" s="10"/>
      <c r="R435" s="10"/>
      <c r="S435" s="10"/>
      <c r="T435" s="10"/>
      <c r="U435" s="10"/>
    </row>
    <row r="436" spans="1:21" x14ac:dyDescent="0.3">
      <c r="A436" s="10"/>
      <c r="B436" s="10"/>
      <c r="C436" s="10"/>
      <c r="D436" s="10"/>
      <c r="E436" s="22"/>
      <c r="F436" s="22"/>
      <c r="G436" s="22"/>
      <c r="H436" s="10"/>
      <c r="I436" s="10"/>
      <c r="J436" s="15"/>
      <c r="K436" s="1"/>
      <c r="L436" s="15"/>
      <c r="M436" s="15"/>
      <c r="N436" s="15"/>
      <c r="O436" s="7"/>
      <c r="P436" s="10"/>
      <c r="Q436" s="10"/>
      <c r="R436" s="10"/>
      <c r="S436" s="10"/>
      <c r="T436" s="10"/>
      <c r="U436" s="10"/>
    </row>
    <row r="437" spans="1:21" x14ac:dyDescent="0.3">
      <c r="A437" s="10"/>
      <c r="B437" s="10"/>
      <c r="C437" s="10"/>
      <c r="D437" s="10"/>
      <c r="E437" s="22"/>
      <c r="F437" s="22"/>
      <c r="G437" s="22"/>
      <c r="H437" s="10"/>
      <c r="I437" s="10"/>
      <c r="J437" s="15"/>
      <c r="K437" s="1"/>
      <c r="L437" s="15"/>
      <c r="M437" s="15"/>
      <c r="N437" s="15"/>
      <c r="O437" s="7"/>
      <c r="P437" s="10"/>
      <c r="Q437" s="10"/>
      <c r="R437" s="10"/>
      <c r="S437" s="10"/>
      <c r="T437" s="10"/>
      <c r="U437" s="10"/>
    </row>
    <row r="438" spans="1:21" x14ac:dyDescent="0.3">
      <c r="A438" s="10"/>
      <c r="B438" s="10"/>
      <c r="C438" s="10"/>
      <c r="D438" s="10"/>
      <c r="E438" s="22"/>
      <c r="F438" s="22"/>
      <c r="G438" s="22"/>
      <c r="H438" s="10"/>
      <c r="I438" s="10"/>
      <c r="J438" s="15"/>
      <c r="K438" s="1"/>
      <c r="L438" s="15"/>
      <c r="M438" s="15"/>
      <c r="N438" s="15"/>
      <c r="O438" s="7"/>
      <c r="P438" s="10"/>
      <c r="Q438" s="10"/>
      <c r="R438" s="10"/>
      <c r="S438" s="10"/>
      <c r="T438" s="10"/>
      <c r="U438" s="10"/>
    </row>
    <row r="439" spans="1:21" x14ac:dyDescent="0.3">
      <c r="A439" s="10"/>
      <c r="B439" s="10"/>
      <c r="C439" s="10"/>
      <c r="D439" s="10"/>
      <c r="E439" s="22"/>
      <c r="F439" s="22"/>
      <c r="G439" s="22"/>
      <c r="H439" s="10"/>
      <c r="I439" s="10"/>
      <c r="J439" s="15"/>
      <c r="K439" s="1"/>
      <c r="L439" s="15"/>
      <c r="M439" s="15"/>
      <c r="N439" s="15"/>
      <c r="O439" s="7"/>
      <c r="P439" s="10"/>
      <c r="Q439" s="10"/>
      <c r="R439" s="10"/>
      <c r="S439" s="10"/>
      <c r="T439" s="10"/>
      <c r="U439" s="10"/>
    </row>
    <row r="440" spans="1:21" x14ac:dyDescent="0.3">
      <c r="A440" s="10"/>
      <c r="B440" s="10"/>
      <c r="C440" s="10"/>
      <c r="D440" s="10"/>
      <c r="E440" s="22"/>
      <c r="F440" s="22"/>
      <c r="G440" s="22"/>
      <c r="H440" s="10"/>
      <c r="I440" s="10"/>
      <c r="J440" s="15"/>
      <c r="K440" s="1"/>
      <c r="L440" s="15"/>
      <c r="M440" s="15"/>
      <c r="N440" s="15"/>
      <c r="O440" s="7"/>
      <c r="P440" s="10"/>
      <c r="Q440" s="10"/>
      <c r="R440" s="10"/>
      <c r="S440" s="10"/>
      <c r="T440" s="10"/>
      <c r="U440" s="10"/>
    </row>
    <row r="441" spans="1:21" x14ac:dyDescent="0.3">
      <c r="A441" s="10"/>
      <c r="B441" s="10"/>
      <c r="C441" s="10"/>
      <c r="D441" s="10"/>
      <c r="E441" s="22"/>
      <c r="F441" s="22"/>
      <c r="G441" s="22"/>
      <c r="H441" s="10"/>
      <c r="I441" s="10"/>
      <c r="J441" s="15"/>
      <c r="K441" s="1"/>
      <c r="L441" s="15"/>
      <c r="M441" s="15"/>
      <c r="N441" s="15"/>
      <c r="O441" s="7"/>
      <c r="P441" s="10"/>
      <c r="Q441" s="10"/>
      <c r="R441" s="10"/>
      <c r="S441" s="10"/>
      <c r="T441" s="10"/>
      <c r="U441" s="10"/>
    </row>
    <row r="442" spans="1:21" x14ac:dyDescent="0.3">
      <c r="A442" s="10"/>
      <c r="B442" s="10"/>
      <c r="C442" s="10"/>
      <c r="D442" s="10"/>
      <c r="E442" s="22"/>
      <c r="F442" s="22"/>
      <c r="G442" s="22"/>
      <c r="H442" s="10"/>
      <c r="I442" s="10"/>
      <c r="J442" s="15"/>
      <c r="K442" s="1"/>
      <c r="L442" s="15"/>
      <c r="M442" s="15"/>
      <c r="N442" s="15"/>
      <c r="O442" s="7"/>
      <c r="P442" s="10"/>
      <c r="Q442" s="10"/>
      <c r="R442" s="10"/>
      <c r="S442" s="10"/>
      <c r="T442" s="10"/>
      <c r="U442" s="10"/>
    </row>
    <row r="443" spans="1:21" x14ac:dyDescent="0.3">
      <c r="A443" s="10"/>
      <c r="B443" s="10"/>
      <c r="C443" s="10"/>
      <c r="D443" s="10"/>
      <c r="E443" s="22"/>
      <c r="F443" s="22"/>
      <c r="G443" s="22"/>
      <c r="H443" s="10"/>
      <c r="I443" s="10"/>
      <c r="J443" s="15"/>
      <c r="K443" s="1"/>
      <c r="L443" s="15"/>
      <c r="M443" s="15"/>
      <c r="N443" s="15"/>
      <c r="O443" s="7"/>
      <c r="P443" s="10"/>
      <c r="Q443" s="10"/>
      <c r="R443" s="10"/>
      <c r="S443" s="10"/>
      <c r="T443" s="10"/>
      <c r="U443" s="10"/>
    </row>
    <row r="444" spans="1:21" x14ac:dyDescent="0.3">
      <c r="A444" s="10"/>
      <c r="B444" s="10"/>
      <c r="C444" s="10"/>
      <c r="D444" s="10"/>
      <c r="E444" s="22"/>
      <c r="F444" s="22"/>
      <c r="G444" s="22"/>
      <c r="H444" s="10"/>
      <c r="I444" s="10"/>
      <c r="J444" s="15"/>
      <c r="K444" s="1"/>
      <c r="L444" s="15"/>
      <c r="M444" s="15"/>
      <c r="N444" s="15"/>
      <c r="O444" s="7"/>
      <c r="P444" s="10"/>
      <c r="Q444" s="10"/>
      <c r="R444" s="10"/>
      <c r="S444" s="10"/>
      <c r="T444" s="10"/>
      <c r="U444" s="10"/>
    </row>
    <row r="445" spans="1:21" x14ac:dyDescent="0.3">
      <c r="A445" s="10"/>
      <c r="B445" s="10"/>
      <c r="C445" s="10"/>
      <c r="D445" s="10"/>
      <c r="E445" s="22"/>
      <c r="F445" s="22"/>
      <c r="G445" s="22"/>
      <c r="H445" s="10"/>
      <c r="I445" s="10"/>
      <c r="J445" s="15"/>
      <c r="K445" s="1"/>
      <c r="L445" s="15"/>
      <c r="M445" s="15"/>
      <c r="N445" s="15"/>
      <c r="O445" s="7"/>
      <c r="P445" s="10"/>
      <c r="Q445" s="10"/>
      <c r="R445" s="10"/>
      <c r="S445" s="10"/>
      <c r="T445" s="10"/>
      <c r="U445" s="10"/>
    </row>
    <row r="446" spans="1:21" x14ac:dyDescent="0.3">
      <c r="A446" s="10"/>
      <c r="B446" s="10"/>
      <c r="C446" s="10"/>
      <c r="D446" s="10"/>
      <c r="E446" s="22"/>
      <c r="F446" s="22"/>
      <c r="G446" s="22"/>
      <c r="H446" s="10"/>
      <c r="I446" s="10"/>
      <c r="J446" s="15"/>
      <c r="K446" s="1"/>
      <c r="L446" s="15"/>
      <c r="M446" s="15"/>
      <c r="N446" s="15"/>
      <c r="O446" s="7"/>
      <c r="P446" s="10"/>
      <c r="Q446" s="10"/>
      <c r="R446" s="10"/>
      <c r="S446" s="10"/>
      <c r="T446" s="10"/>
      <c r="U446" s="10"/>
    </row>
    <row r="447" spans="1:21" x14ac:dyDescent="0.3">
      <c r="A447" s="10"/>
      <c r="B447" s="10"/>
      <c r="C447" s="10"/>
      <c r="D447" s="10"/>
      <c r="E447" s="22"/>
      <c r="F447" s="22"/>
      <c r="G447" s="22"/>
      <c r="H447" s="10"/>
      <c r="I447" s="10"/>
      <c r="J447" s="15"/>
      <c r="K447" s="1"/>
      <c r="L447" s="15"/>
      <c r="M447" s="15"/>
      <c r="N447" s="15"/>
      <c r="O447" s="7"/>
      <c r="P447" s="10"/>
      <c r="Q447" s="10"/>
      <c r="R447" s="10"/>
      <c r="S447" s="10"/>
      <c r="T447" s="10"/>
      <c r="U447" s="10"/>
    </row>
    <row r="448" spans="1:21" x14ac:dyDescent="0.3">
      <c r="A448" s="10"/>
      <c r="B448" s="10"/>
      <c r="C448" s="10"/>
      <c r="D448" s="10"/>
      <c r="E448" s="22"/>
      <c r="F448" s="22"/>
      <c r="G448" s="22"/>
      <c r="H448" s="10"/>
      <c r="I448" s="10"/>
      <c r="J448" s="15"/>
      <c r="K448" s="1"/>
      <c r="L448" s="15"/>
      <c r="M448" s="15"/>
      <c r="N448" s="15"/>
      <c r="O448" s="7"/>
      <c r="P448" s="10"/>
      <c r="Q448" s="10"/>
      <c r="R448" s="10"/>
      <c r="S448" s="10"/>
      <c r="T448" s="10"/>
      <c r="U448" s="10"/>
    </row>
    <row r="449" spans="1:21" x14ac:dyDescent="0.3">
      <c r="A449" s="10"/>
      <c r="B449" s="10"/>
      <c r="C449" s="10"/>
      <c r="D449" s="10"/>
      <c r="E449" s="22"/>
      <c r="F449" s="22"/>
      <c r="G449" s="22"/>
      <c r="H449" s="10"/>
      <c r="I449" s="10"/>
      <c r="J449" s="15"/>
      <c r="K449" s="1"/>
      <c r="L449" s="15"/>
      <c r="M449" s="15"/>
      <c r="N449" s="15"/>
      <c r="O449" s="7"/>
      <c r="P449" s="10"/>
      <c r="Q449" s="10"/>
      <c r="R449" s="10"/>
      <c r="S449" s="10"/>
      <c r="T449" s="10"/>
      <c r="U449" s="10"/>
    </row>
    <row r="450" spans="1:21" x14ac:dyDescent="0.3">
      <c r="A450" s="10"/>
      <c r="B450" s="10"/>
      <c r="C450" s="10"/>
      <c r="D450" s="10"/>
      <c r="E450" s="22"/>
      <c r="F450" s="22"/>
      <c r="G450" s="22"/>
      <c r="H450" s="10"/>
      <c r="I450" s="10"/>
      <c r="J450" s="15"/>
      <c r="K450" s="1"/>
      <c r="L450" s="15"/>
      <c r="M450" s="15"/>
      <c r="N450" s="15"/>
      <c r="O450" s="7"/>
      <c r="P450" s="10"/>
      <c r="Q450" s="10"/>
      <c r="R450" s="10"/>
      <c r="S450" s="10"/>
      <c r="T450" s="10"/>
      <c r="U450" s="10"/>
    </row>
    <row r="451" spans="1:21" x14ac:dyDescent="0.3">
      <c r="A451" s="10"/>
      <c r="B451" s="10"/>
      <c r="C451" s="10"/>
      <c r="D451" s="10"/>
      <c r="E451" s="22"/>
      <c r="F451" s="22"/>
      <c r="G451" s="22"/>
      <c r="H451" s="10"/>
      <c r="I451" s="10"/>
      <c r="J451" s="15"/>
      <c r="K451" s="1"/>
      <c r="L451" s="15"/>
      <c r="M451" s="15"/>
      <c r="N451" s="15"/>
      <c r="O451" s="7"/>
      <c r="P451" s="10"/>
      <c r="Q451" s="10"/>
      <c r="R451" s="10"/>
      <c r="S451" s="10"/>
      <c r="T451" s="10"/>
      <c r="U451" s="10"/>
    </row>
    <row r="452" spans="1:21" x14ac:dyDescent="0.3">
      <c r="A452" s="10"/>
      <c r="B452" s="10"/>
      <c r="C452" s="10"/>
      <c r="D452" s="10"/>
      <c r="E452" s="22"/>
      <c r="F452" s="22"/>
      <c r="G452" s="22"/>
      <c r="H452" s="10"/>
      <c r="I452" s="10"/>
      <c r="J452" s="15"/>
      <c r="K452" s="1"/>
      <c r="L452" s="15"/>
      <c r="M452" s="15"/>
      <c r="N452" s="15"/>
      <c r="O452" s="7"/>
      <c r="P452" s="10"/>
      <c r="Q452" s="10"/>
      <c r="R452" s="10"/>
      <c r="S452" s="10"/>
      <c r="T452" s="10"/>
      <c r="U452" s="10"/>
    </row>
    <row r="453" spans="1:21" x14ac:dyDescent="0.3">
      <c r="A453" s="10"/>
      <c r="B453" s="10"/>
      <c r="C453" s="10"/>
      <c r="D453" s="10"/>
      <c r="E453" s="22"/>
      <c r="F453" s="22"/>
      <c r="G453" s="22"/>
      <c r="H453" s="10"/>
      <c r="I453" s="10"/>
      <c r="J453" s="15"/>
      <c r="K453" s="1"/>
      <c r="L453" s="15"/>
      <c r="M453" s="15"/>
      <c r="N453" s="15"/>
      <c r="O453" s="7"/>
      <c r="P453" s="10"/>
      <c r="Q453" s="10"/>
      <c r="R453" s="10"/>
      <c r="S453" s="10"/>
      <c r="T453" s="10"/>
      <c r="U453" s="10"/>
    </row>
    <row r="454" spans="1:21" x14ac:dyDescent="0.3">
      <c r="A454" s="10"/>
      <c r="B454" s="10"/>
      <c r="C454" s="10"/>
      <c r="D454" s="10"/>
      <c r="E454" s="22"/>
      <c r="F454" s="22"/>
      <c r="G454" s="22"/>
      <c r="H454" s="10"/>
      <c r="I454" s="10"/>
      <c r="J454" s="15"/>
      <c r="K454" s="1"/>
      <c r="L454" s="15"/>
      <c r="M454" s="15"/>
      <c r="N454" s="15"/>
      <c r="O454" s="7"/>
      <c r="P454" s="10"/>
      <c r="Q454" s="10"/>
      <c r="R454" s="10"/>
      <c r="S454" s="10"/>
      <c r="T454" s="10"/>
      <c r="U454" s="10"/>
    </row>
    <row r="455" spans="1:21" x14ac:dyDescent="0.3">
      <c r="A455" s="10"/>
      <c r="B455" s="10"/>
      <c r="C455" s="10"/>
      <c r="D455" s="10"/>
      <c r="E455" s="22"/>
      <c r="F455" s="22"/>
      <c r="G455" s="22"/>
      <c r="H455" s="10"/>
      <c r="I455" s="10"/>
      <c r="J455" s="15"/>
      <c r="K455" s="1"/>
      <c r="L455" s="15"/>
      <c r="M455" s="15"/>
      <c r="N455" s="15"/>
      <c r="O455" s="7"/>
      <c r="P455" s="10"/>
      <c r="Q455" s="10"/>
      <c r="R455" s="10"/>
      <c r="S455" s="10"/>
      <c r="T455" s="10"/>
      <c r="U455" s="10"/>
    </row>
    <row r="456" spans="1:21" x14ac:dyDescent="0.3">
      <c r="A456" s="10"/>
      <c r="B456" s="10"/>
      <c r="C456" s="10"/>
      <c r="D456" s="10"/>
      <c r="E456" s="22"/>
      <c r="F456" s="22"/>
      <c r="G456" s="22"/>
      <c r="H456" s="10"/>
      <c r="I456" s="10"/>
      <c r="J456" s="15"/>
      <c r="K456" s="1"/>
      <c r="L456" s="15"/>
      <c r="M456" s="15"/>
      <c r="N456" s="15"/>
      <c r="O456" s="7"/>
      <c r="P456" s="10"/>
      <c r="Q456" s="10"/>
      <c r="R456" s="10"/>
      <c r="S456" s="10"/>
      <c r="T456" s="10"/>
      <c r="U456" s="10"/>
    </row>
    <row r="457" spans="1:21" x14ac:dyDescent="0.3">
      <c r="A457" s="10"/>
      <c r="B457" s="10"/>
      <c r="C457" s="10"/>
      <c r="D457" s="10"/>
      <c r="E457" s="22"/>
      <c r="F457" s="22"/>
      <c r="G457" s="22"/>
      <c r="H457" s="10"/>
      <c r="I457" s="10"/>
      <c r="J457" s="15"/>
      <c r="K457" s="1"/>
      <c r="L457" s="15"/>
      <c r="M457" s="15"/>
      <c r="N457" s="15"/>
      <c r="O457" s="7"/>
      <c r="P457" s="10"/>
      <c r="Q457" s="10"/>
      <c r="R457" s="10"/>
      <c r="S457" s="10"/>
      <c r="T457" s="10"/>
      <c r="U457" s="10"/>
    </row>
    <row r="458" spans="1:21" x14ac:dyDescent="0.3">
      <c r="A458" s="10"/>
      <c r="B458" s="10"/>
      <c r="C458" s="10"/>
      <c r="D458" s="10"/>
      <c r="E458" s="22"/>
      <c r="F458" s="22"/>
      <c r="G458" s="22"/>
      <c r="H458" s="10"/>
      <c r="I458" s="10"/>
      <c r="J458" s="15"/>
      <c r="K458" s="1"/>
      <c r="L458" s="15"/>
      <c r="M458" s="15"/>
      <c r="N458" s="15"/>
      <c r="O458" s="7"/>
      <c r="P458" s="10"/>
      <c r="Q458" s="10"/>
      <c r="R458" s="10"/>
      <c r="S458" s="10"/>
      <c r="T458" s="10"/>
      <c r="U458" s="10"/>
    </row>
    <row r="459" spans="1:21" x14ac:dyDescent="0.3">
      <c r="A459" s="10"/>
      <c r="B459" s="10"/>
      <c r="C459" s="10"/>
      <c r="D459" s="10"/>
      <c r="E459" s="22"/>
      <c r="F459" s="22"/>
      <c r="G459" s="22"/>
      <c r="H459" s="10"/>
      <c r="I459" s="10"/>
      <c r="J459" s="15"/>
      <c r="K459" s="1"/>
      <c r="L459" s="15"/>
      <c r="M459" s="15"/>
      <c r="N459" s="15"/>
      <c r="O459" s="7"/>
      <c r="P459" s="10"/>
      <c r="Q459" s="10"/>
      <c r="R459" s="10"/>
      <c r="S459" s="10"/>
      <c r="T459" s="10"/>
      <c r="U459" s="10"/>
    </row>
    <row r="460" spans="1:21" x14ac:dyDescent="0.3">
      <c r="A460" s="10"/>
      <c r="B460" s="10"/>
      <c r="C460" s="10"/>
      <c r="D460" s="10"/>
      <c r="E460" s="22"/>
      <c r="F460" s="22"/>
      <c r="G460" s="22"/>
      <c r="H460" s="10"/>
      <c r="I460" s="10"/>
      <c r="J460" s="15"/>
      <c r="K460" s="1"/>
      <c r="L460" s="15"/>
      <c r="M460" s="15"/>
      <c r="N460" s="15"/>
      <c r="O460" s="7"/>
      <c r="P460" s="10"/>
      <c r="Q460" s="10"/>
      <c r="R460" s="10"/>
      <c r="S460" s="10"/>
      <c r="T460" s="10"/>
      <c r="U460" s="10"/>
    </row>
    <row r="461" spans="1:21" x14ac:dyDescent="0.3">
      <c r="A461" s="10"/>
      <c r="B461" s="10"/>
      <c r="C461" s="10"/>
      <c r="D461" s="10"/>
      <c r="E461" s="22"/>
      <c r="F461" s="22"/>
      <c r="G461" s="22"/>
      <c r="H461" s="10"/>
      <c r="I461" s="10"/>
      <c r="J461" s="15"/>
      <c r="K461" s="1"/>
      <c r="L461" s="15"/>
      <c r="M461" s="15"/>
      <c r="N461" s="15"/>
      <c r="O461" s="7"/>
      <c r="P461" s="10"/>
      <c r="Q461" s="10"/>
      <c r="R461" s="10"/>
      <c r="S461" s="10"/>
      <c r="T461" s="10"/>
      <c r="U461" s="10"/>
    </row>
    <row r="462" spans="1:21" x14ac:dyDescent="0.3">
      <c r="A462" s="10"/>
      <c r="B462" s="10"/>
      <c r="C462" s="10"/>
      <c r="D462" s="10"/>
      <c r="E462" s="22"/>
      <c r="F462" s="22"/>
      <c r="G462" s="22"/>
      <c r="H462" s="10"/>
      <c r="I462" s="10"/>
      <c r="J462" s="15"/>
      <c r="K462" s="1"/>
      <c r="L462" s="15"/>
      <c r="M462" s="15"/>
      <c r="N462" s="15"/>
      <c r="O462" s="7"/>
      <c r="P462" s="10"/>
      <c r="Q462" s="10"/>
      <c r="R462" s="10"/>
      <c r="S462" s="10"/>
      <c r="T462" s="10"/>
      <c r="U462" s="10"/>
    </row>
    <row r="463" spans="1:21" x14ac:dyDescent="0.3">
      <c r="A463" s="10"/>
      <c r="B463" s="10"/>
      <c r="C463" s="10"/>
      <c r="D463" s="10"/>
      <c r="E463" s="22"/>
      <c r="F463" s="22"/>
      <c r="G463" s="22"/>
      <c r="H463" s="10"/>
      <c r="I463" s="10"/>
      <c r="J463" s="15"/>
      <c r="K463" s="1"/>
      <c r="L463" s="15"/>
      <c r="M463" s="15"/>
      <c r="N463" s="15"/>
      <c r="O463" s="7"/>
      <c r="P463" s="10"/>
      <c r="Q463" s="10"/>
      <c r="R463" s="10"/>
      <c r="S463" s="10"/>
      <c r="T463" s="10"/>
      <c r="U463" s="10"/>
    </row>
    <row r="464" spans="1:21" x14ac:dyDescent="0.3">
      <c r="A464" s="10"/>
      <c r="B464" s="10"/>
      <c r="C464" s="10"/>
      <c r="D464" s="10"/>
      <c r="E464" s="22"/>
      <c r="F464" s="22"/>
      <c r="G464" s="22"/>
      <c r="H464" s="10"/>
      <c r="I464" s="10"/>
      <c r="J464" s="15"/>
      <c r="K464" s="1"/>
      <c r="L464" s="15"/>
      <c r="M464" s="15"/>
      <c r="N464" s="15"/>
      <c r="O464" s="7"/>
      <c r="P464" s="10"/>
      <c r="Q464" s="10"/>
      <c r="R464" s="10"/>
      <c r="S464" s="10"/>
      <c r="T464" s="10"/>
      <c r="U464" s="10"/>
    </row>
    <row r="465" spans="1:21" x14ac:dyDescent="0.3">
      <c r="A465" s="10"/>
      <c r="B465" s="10"/>
      <c r="C465" s="10"/>
      <c r="D465" s="10"/>
      <c r="E465" s="22"/>
      <c r="F465" s="22"/>
      <c r="G465" s="22"/>
      <c r="H465" s="10"/>
      <c r="I465" s="10"/>
      <c r="J465" s="15"/>
      <c r="K465" s="1"/>
      <c r="L465" s="15"/>
      <c r="M465" s="15"/>
      <c r="N465" s="15"/>
      <c r="O465" s="7"/>
      <c r="P465" s="10"/>
      <c r="Q465" s="10"/>
      <c r="R465" s="10"/>
      <c r="S465" s="10"/>
      <c r="T465" s="10"/>
      <c r="U465" s="10"/>
    </row>
    <row r="466" spans="1:21" x14ac:dyDescent="0.3">
      <c r="A466" s="10"/>
      <c r="B466" s="10"/>
      <c r="C466" s="10"/>
      <c r="D466" s="10"/>
      <c r="E466" s="22"/>
      <c r="F466" s="22"/>
      <c r="G466" s="22"/>
      <c r="H466" s="10"/>
      <c r="I466" s="10"/>
      <c r="J466" s="15"/>
      <c r="K466" s="1"/>
      <c r="L466" s="15"/>
      <c r="M466" s="15"/>
      <c r="N466" s="15"/>
      <c r="O466" s="7"/>
      <c r="P466" s="10"/>
      <c r="Q466" s="10"/>
      <c r="R466" s="10"/>
      <c r="S466" s="10"/>
      <c r="T466" s="10"/>
      <c r="U466" s="10"/>
    </row>
    <row r="467" spans="1:21" x14ac:dyDescent="0.3">
      <c r="A467" s="10"/>
      <c r="B467" s="10"/>
      <c r="C467" s="10"/>
      <c r="D467" s="10"/>
      <c r="E467" s="22"/>
      <c r="F467" s="22"/>
      <c r="G467" s="22"/>
      <c r="H467" s="10"/>
      <c r="I467" s="10"/>
      <c r="J467" s="15"/>
      <c r="K467" s="1"/>
      <c r="L467" s="15"/>
      <c r="M467" s="15"/>
      <c r="N467" s="15"/>
      <c r="O467" s="7"/>
      <c r="P467" s="10"/>
      <c r="Q467" s="10"/>
      <c r="R467" s="10"/>
      <c r="S467" s="10"/>
      <c r="T467" s="10"/>
      <c r="U467" s="10"/>
    </row>
    <row r="468" spans="1:21" x14ac:dyDescent="0.3">
      <c r="A468" s="10"/>
      <c r="B468" s="10"/>
      <c r="C468" s="10"/>
      <c r="D468" s="10"/>
      <c r="E468" s="22"/>
      <c r="F468" s="22"/>
      <c r="G468" s="22"/>
      <c r="H468" s="10"/>
      <c r="I468" s="10"/>
      <c r="J468" s="15"/>
      <c r="K468" s="1"/>
      <c r="L468" s="15"/>
      <c r="M468" s="15"/>
      <c r="N468" s="15"/>
      <c r="O468" s="7"/>
      <c r="P468" s="10"/>
      <c r="Q468" s="10"/>
      <c r="R468" s="10"/>
      <c r="S468" s="10"/>
      <c r="T468" s="10"/>
      <c r="U468" s="10"/>
    </row>
    <row r="469" spans="1:21" x14ac:dyDescent="0.3">
      <c r="A469" s="10"/>
      <c r="B469" s="10"/>
      <c r="C469" s="10"/>
      <c r="D469" s="10"/>
      <c r="E469" s="22"/>
      <c r="F469" s="22"/>
      <c r="G469" s="22"/>
      <c r="H469" s="10"/>
      <c r="I469" s="10"/>
      <c r="J469" s="15"/>
      <c r="K469" s="1"/>
      <c r="L469" s="15"/>
      <c r="M469" s="15"/>
      <c r="N469" s="15"/>
      <c r="O469" s="7"/>
      <c r="P469" s="10"/>
      <c r="Q469" s="10"/>
      <c r="R469" s="10"/>
      <c r="S469" s="10"/>
      <c r="T469" s="10"/>
      <c r="U469" s="10"/>
    </row>
    <row r="470" spans="1:21" x14ac:dyDescent="0.3">
      <c r="A470" s="10"/>
      <c r="B470" s="10"/>
      <c r="C470" s="10"/>
      <c r="D470" s="10"/>
      <c r="E470" s="22"/>
      <c r="F470" s="22"/>
      <c r="G470" s="22"/>
      <c r="H470" s="10"/>
      <c r="I470" s="10"/>
      <c r="J470" s="15"/>
      <c r="K470" s="1"/>
      <c r="L470" s="15"/>
      <c r="M470" s="15"/>
      <c r="N470" s="15"/>
      <c r="O470" s="7"/>
      <c r="P470" s="10"/>
      <c r="Q470" s="10"/>
      <c r="R470" s="10"/>
      <c r="S470" s="10"/>
      <c r="T470" s="10"/>
      <c r="U470" s="10"/>
    </row>
    <row r="471" spans="1:21" x14ac:dyDescent="0.3">
      <c r="A471" s="10"/>
      <c r="B471" s="10"/>
      <c r="C471" s="10"/>
      <c r="D471" s="10"/>
      <c r="E471" s="22"/>
      <c r="F471" s="22"/>
      <c r="G471" s="22"/>
      <c r="H471" s="10"/>
      <c r="I471" s="10"/>
      <c r="J471" s="15"/>
      <c r="K471" s="1"/>
      <c r="L471" s="15"/>
      <c r="M471" s="15"/>
      <c r="N471" s="15"/>
      <c r="O471" s="7"/>
      <c r="P471" s="10"/>
      <c r="Q471" s="10"/>
      <c r="R471" s="10"/>
      <c r="S471" s="10"/>
      <c r="T471" s="10"/>
      <c r="U471" s="10"/>
    </row>
    <row r="472" spans="1:21" x14ac:dyDescent="0.3">
      <c r="A472" s="10"/>
      <c r="B472" s="10"/>
      <c r="C472" s="10"/>
      <c r="D472" s="10"/>
      <c r="E472" s="22"/>
      <c r="F472" s="22"/>
      <c r="G472" s="22"/>
      <c r="H472" s="10"/>
      <c r="I472" s="10"/>
      <c r="J472" s="15"/>
      <c r="K472" s="1"/>
      <c r="L472" s="15"/>
      <c r="M472" s="15"/>
      <c r="N472" s="15"/>
      <c r="O472" s="7"/>
      <c r="P472" s="10"/>
      <c r="Q472" s="10"/>
      <c r="R472" s="10"/>
      <c r="S472" s="10"/>
      <c r="T472" s="10"/>
      <c r="U472" s="10"/>
    </row>
    <row r="473" spans="1:21" x14ac:dyDescent="0.3">
      <c r="A473" s="10"/>
      <c r="B473" s="10"/>
      <c r="C473" s="10"/>
      <c r="D473" s="10"/>
      <c r="E473" s="22"/>
      <c r="F473" s="22"/>
      <c r="G473" s="22"/>
      <c r="H473" s="10"/>
      <c r="I473" s="10"/>
      <c r="J473" s="15"/>
      <c r="K473" s="1"/>
      <c r="L473" s="15"/>
      <c r="M473" s="15"/>
      <c r="N473" s="15"/>
      <c r="O473" s="7"/>
      <c r="P473" s="10"/>
      <c r="Q473" s="10"/>
      <c r="R473" s="10"/>
      <c r="S473" s="10"/>
      <c r="T473" s="10"/>
      <c r="U473" s="10"/>
    </row>
    <row r="474" spans="1:21" x14ac:dyDescent="0.3">
      <c r="A474" s="10"/>
      <c r="B474" s="10"/>
      <c r="C474" s="10"/>
      <c r="D474" s="10"/>
      <c r="E474" s="22"/>
      <c r="F474" s="22"/>
      <c r="G474" s="22"/>
      <c r="H474" s="10"/>
      <c r="I474" s="10"/>
      <c r="J474" s="15"/>
      <c r="K474" s="1"/>
      <c r="L474" s="15"/>
      <c r="M474" s="15"/>
      <c r="N474" s="15"/>
      <c r="O474" s="7"/>
      <c r="P474" s="10"/>
      <c r="Q474" s="10"/>
      <c r="R474" s="10"/>
      <c r="S474" s="10"/>
      <c r="T474" s="10"/>
      <c r="U474" s="10"/>
    </row>
    <row r="475" spans="1:21" x14ac:dyDescent="0.3">
      <c r="A475" s="10"/>
      <c r="B475" s="10"/>
      <c r="C475" s="10"/>
      <c r="D475" s="10"/>
      <c r="E475" s="22"/>
      <c r="F475" s="22"/>
      <c r="G475" s="22"/>
      <c r="H475" s="10"/>
      <c r="I475" s="10"/>
      <c r="J475" s="15"/>
      <c r="K475" s="1"/>
      <c r="L475" s="15"/>
      <c r="M475" s="15"/>
      <c r="N475" s="15"/>
      <c r="O475" s="7"/>
      <c r="P475" s="10"/>
      <c r="Q475" s="10"/>
      <c r="R475" s="10"/>
      <c r="S475" s="10"/>
      <c r="T475" s="10"/>
      <c r="U475" s="10"/>
    </row>
    <row r="476" spans="1:21" x14ac:dyDescent="0.3">
      <c r="A476" s="10"/>
      <c r="B476" s="10"/>
      <c r="C476" s="10"/>
      <c r="D476" s="10"/>
      <c r="E476" s="22"/>
      <c r="F476" s="22"/>
      <c r="G476" s="22"/>
      <c r="H476" s="10"/>
      <c r="I476" s="10"/>
      <c r="J476" s="15"/>
      <c r="K476" s="1"/>
      <c r="L476" s="15"/>
      <c r="M476" s="15"/>
      <c r="N476" s="15"/>
      <c r="O476" s="7"/>
      <c r="P476" s="10"/>
      <c r="Q476" s="10"/>
      <c r="R476" s="10"/>
      <c r="S476" s="10"/>
      <c r="T476" s="10"/>
      <c r="U476" s="10"/>
    </row>
    <row r="477" spans="1:21" x14ac:dyDescent="0.3">
      <c r="A477" s="10"/>
      <c r="B477" s="10"/>
      <c r="C477" s="10"/>
      <c r="D477" s="10"/>
      <c r="E477" s="22"/>
      <c r="F477" s="22"/>
      <c r="G477" s="22"/>
      <c r="H477" s="10"/>
      <c r="I477" s="10"/>
      <c r="J477" s="15"/>
      <c r="K477" s="1"/>
      <c r="L477" s="15"/>
      <c r="M477" s="15"/>
      <c r="N477" s="15"/>
      <c r="O477" s="7"/>
      <c r="P477" s="10"/>
      <c r="Q477" s="10"/>
      <c r="R477" s="10"/>
      <c r="S477" s="10"/>
      <c r="T477" s="10"/>
      <c r="U477" s="10"/>
    </row>
    <row r="478" spans="1:21" x14ac:dyDescent="0.3">
      <c r="A478" s="10"/>
      <c r="B478" s="10"/>
      <c r="C478" s="10"/>
      <c r="D478" s="10"/>
      <c r="E478" s="22"/>
      <c r="F478" s="22"/>
      <c r="G478" s="22"/>
      <c r="H478" s="10"/>
      <c r="I478" s="10"/>
      <c r="J478" s="15"/>
      <c r="K478" s="1"/>
      <c r="L478" s="15"/>
      <c r="M478" s="15"/>
      <c r="N478" s="15"/>
      <c r="O478" s="7"/>
      <c r="P478" s="10"/>
      <c r="Q478" s="10"/>
      <c r="R478" s="10"/>
      <c r="S478" s="10"/>
      <c r="T478" s="10"/>
      <c r="U478" s="10"/>
    </row>
    <row r="479" spans="1:21" x14ac:dyDescent="0.3">
      <c r="A479" s="10"/>
      <c r="B479" s="10"/>
      <c r="C479" s="10"/>
      <c r="D479" s="10"/>
      <c r="E479" s="22"/>
      <c r="F479" s="22"/>
      <c r="G479" s="22"/>
      <c r="H479" s="10"/>
      <c r="I479" s="10"/>
      <c r="J479" s="15"/>
      <c r="K479" s="1"/>
      <c r="L479" s="15"/>
      <c r="M479" s="15"/>
      <c r="N479" s="15"/>
      <c r="O479" s="7"/>
      <c r="P479" s="10"/>
      <c r="Q479" s="10"/>
      <c r="R479" s="10"/>
      <c r="S479" s="10"/>
      <c r="T479" s="10"/>
      <c r="U479" s="10"/>
    </row>
    <row r="480" spans="1:21" x14ac:dyDescent="0.3">
      <c r="A480" s="10"/>
      <c r="B480" s="10"/>
      <c r="C480" s="10"/>
      <c r="D480" s="10"/>
      <c r="E480" s="22"/>
      <c r="F480" s="22"/>
      <c r="G480" s="22"/>
      <c r="H480" s="10"/>
      <c r="I480" s="10"/>
      <c r="J480" s="15"/>
      <c r="K480" s="1"/>
      <c r="L480" s="15"/>
      <c r="M480" s="15"/>
      <c r="N480" s="15"/>
      <c r="O480" s="7"/>
      <c r="P480" s="10"/>
      <c r="Q480" s="10"/>
      <c r="R480" s="10"/>
      <c r="S480" s="10"/>
      <c r="T480" s="10"/>
      <c r="U480" s="10"/>
    </row>
    <row r="481" spans="1:21" x14ac:dyDescent="0.3">
      <c r="A481" s="10"/>
      <c r="B481" s="10"/>
      <c r="C481" s="10"/>
      <c r="D481" s="10"/>
      <c r="E481" s="22"/>
      <c r="F481" s="22"/>
      <c r="G481" s="22"/>
      <c r="H481" s="10"/>
      <c r="I481" s="10"/>
      <c r="J481" s="15"/>
      <c r="K481" s="1"/>
      <c r="L481" s="15"/>
      <c r="M481" s="15"/>
      <c r="N481" s="15"/>
      <c r="O481" s="7"/>
      <c r="P481" s="10"/>
      <c r="Q481" s="10"/>
      <c r="R481" s="10"/>
      <c r="S481" s="10"/>
      <c r="T481" s="10"/>
      <c r="U481" s="10"/>
    </row>
    <row r="482" spans="1:21" x14ac:dyDescent="0.3">
      <c r="A482" s="10"/>
      <c r="B482" s="10"/>
      <c r="C482" s="10"/>
      <c r="D482" s="10"/>
      <c r="E482" s="22"/>
      <c r="F482" s="22"/>
      <c r="G482" s="22"/>
      <c r="H482" s="10"/>
      <c r="I482" s="10"/>
      <c r="J482" s="15"/>
      <c r="K482" s="1"/>
      <c r="L482" s="15"/>
      <c r="M482" s="15"/>
      <c r="N482" s="15"/>
      <c r="O482" s="7"/>
      <c r="P482" s="10"/>
      <c r="Q482" s="10"/>
      <c r="R482" s="10"/>
      <c r="S482" s="10"/>
      <c r="T482" s="10"/>
      <c r="U482" s="10"/>
    </row>
    <row r="483" spans="1:21" x14ac:dyDescent="0.3">
      <c r="A483" s="10"/>
      <c r="B483" s="10"/>
      <c r="C483" s="10"/>
      <c r="D483" s="10"/>
      <c r="E483" s="22"/>
      <c r="F483" s="22"/>
      <c r="G483" s="22"/>
      <c r="H483" s="10"/>
      <c r="I483" s="10"/>
      <c r="J483" s="15"/>
      <c r="K483" s="1"/>
      <c r="L483" s="15"/>
      <c r="M483" s="15"/>
      <c r="N483" s="15"/>
      <c r="O483" s="7"/>
      <c r="P483" s="10"/>
      <c r="Q483" s="10"/>
      <c r="R483" s="10"/>
      <c r="S483" s="10"/>
      <c r="T483" s="10"/>
      <c r="U483" s="10"/>
    </row>
    <row r="484" spans="1:21" x14ac:dyDescent="0.3">
      <c r="A484" s="10"/>
      <c r="B484" s="10"/>
      <c r="C484" s="10"/>
      <c r="D484" s="10"/>
      <c r="E484" s="22"/>
      <c r="F484" s="22"/>
      <c r="G484" s="22"/>
      <c r="H484" s="10"/>
      <c r="I484" s="10"/>
      <c r="J484" s="15"/>
      <c r="K484" s="1"/>
      <c r="L484" s="15"/>
      <c r="M484" s="15"/>
      <c r="N484" s="15"/>
      <c r="O484" s="7"/>
      <c r="P484" s="10"/>
      <c r="Q484" s="10"/>
      <c r="R484" s="10"/>
      <c r="S484" s="10"/>
      <c r="T484" s="10"/>
      <c r="U484" s="10"/>
    </row>
    <row r="485" spans="1:21" x14ac:dyDescent="0.3">
      <c r="A485" s="10"/>
      <c r="B485" s="10"/>
      <c r="C485" s="10"/>
      <c r="D485" s="10"/>
      <c r="E485" s="22"/>
      <c r="F485" s="22"/>
      <c r="G485" s="22"/>
      <c r="H485" s="10"/>
      <c r="I485" s="10"/>
      <c r="J485" s="15"/>
      <c r="K485" s="1"/>
      <c r="L485" s="15"/>
      <c r="M485" s="15"/>
      <c r="N485" s="15"/>
      <c r="O485" s="7"/>
      <c r="P485" s="10"/>
      <c r="Q485" s="10"/>
      <c r="R485" s="10"/>
      <c r="S485" s="10"/>
      <c r="T485" s="10"/>
      <c r="U485" s="10"/>
    </row>
    <row r="486" spans="1:21" x14ac:dyDescent="0.3">
      <c r="A486" s="10"/>
      <c r="B486" s="10"/>
      <c r="C486" s="10"/>
      <c r="D486" s="10"/>
      <c r="E486" s="22"/>
      <c r="F486" s="22"/>
      <c r="G486" s="22"/>
      <c r="H486" s="10"/>
      <c r="I486" s="10"/>
      <c r="J486" s="15"/>
      <c r="K486" s="1"/>
      <c r="L486" s="15"/>
      <c r="M486" s="15"/>
      <c r="N486" s="15"/>
      <c r="O486" s="7"/>
      <c r="P486" s="10"/>
      <c r="Q486" s="10"/>
      <c r="R486" s="10"/>
      <c r="S486" s="10"/>
      <c r="T486" s="10"/>
      <c r="U486" s="10"/>
    </row>
    <row r="487" spans="1:21" x14ac:dyDescent="0.3">
      <c r="A487" s="10"/>
      <c r="B487" s="10"/>
      <c r="C487" s="10"/>
      <c r="D487" s="10"/>
      <c r="E487" s="22"/>
      <c r="F487" s="22"/>
      <c r="G487" s="22"/>
      <c r="H487" s="10"/>
      <c r="I487" s="10"/>
      <c r="J487" s="15"/>
      <c r="K487" s="1"/>
      <c r="L487" s="15"/>
      <c r="M487" s="15"/>
      <c r="N487" s="15"/>
      <c r="O487" s="7"/>
      <c r="P487" s="10"/>
      <c r="Q487" s="10"/>
      <c r="R487" s="10"/>
      <c r="S487" s="10"/>
      <c r="T487" s="10"/>
      <c r="U487" s="10"/>
    </row>
    <row r="488" spans="1:21" x14ac:dyDescent="0.3">
      <c r="A488" s="10"/>
      <c r="B488" s="10"/>
      <c r="C488" s="10"/>
      <c r="D488" s="10"/>
      <c r="E488" s="22"/>
      <c r="F488" s="22"/>
      <c r="G488" s="22"/>
      <c r="H488" s="10"/>
      <c r="I488" s="10"/>
      <c r="J488" s="15"/>
      <c r="K488" s="1"/>
      <c r="L488" s="15"/>
      <c r="M488" s="15"/>
      <c r="N488" s="15"/>
      <c r="O488" s="7"/>
      <c r="P488" s="10"/>
      <c r="Q488" s="10"/>
      <c r="R488" s="10"/>
      <c r="S488" s="10"/>
      <c r="T488" s="10"/>
      <c r="U488" s="10"/>
    </row>
    <row r="489" spans="1:21" x14ac:dyDescent="0.3">
      <c r="A489" s="10"/>
      <c r="B489" s="10"/>
      <c r="C489" s="10"/>
      <c r="D489" s="10"/>
      <c r="E489" s="22"/>
      <c r="F489" s="22"/>
      <c r="G489" s="22"/>
      <c r="H489" s="10"/>
      <c r="I489" s="10"/>
      <c r="J489" s="15"/>
      <c r="K489" s="1"/>
      <c r="L489" s="15"/>
      <c r="M489" s="15"/>
      <c r="N489" s="15"/>
      <c r="O489" s="7"/>
      <c r="P489" s="10"/>
      <c r="Q489" s="10"/>
      <c r="R489" s="10"/>
      <c r="S489" s="10"/>
      <c r="T489" s="10"/>
      <c r="U489" s="10"/>
    </row>
    <row r="490" spans="1:21" x14ac:dyDescent="0.3">
      <c r="A490" s="10"/>
      <c r="B490" s="10"/>
      <c r="C490" s="10"/>
      <c r="D490" s="10"/>
      <c r="E490" s="22"/>
      <c r="F490" s="22"/>
      <c r="G490" s="22"/>
      <c r="H490" s="10"/>
      <c r="I490" s="10"/>
      <c r="J490" s="15"/>
      <c r="K490" s="1"/>
      <c r="L490" s="15"/>
      <c r="M490" s="15"/>
      <c r="N490" s="15"/>
      <c r="O490" s="7"/>
      <c r="P490" s="10"/>
      <c r="Q490" s="10"/>
      <c r="R490" s="10"/>
      <c r="S490" s="10"/>
      <c r="T490" s="10"/>
      <c r="U490" s="10"/>
    </row>
    <row r="491" spans="1:21" x14ac:dyDescent="0.3">
      <c r="A491" s="10"/>
      <c r="B491" s="10"/>
      <c r="C491" s="10"/>
      <c r="D491" s="10"/>
      <c r="E491" s="22"/>
      <c r="F491" s="22"/>
      <c r="G491" s="22"/>
      <c r="H491" s="10"/>
      <c r="I491" s="10"/>
      <c r="J491" s="15"/>
      <c r="K491" s="1"/>
      <c r="L491" s="15"/>
      <c r="M491" s="15"/>
      <c r="N491" s="15"/>
      <c r="O491" s="7"/>
      <c r="P491" s="10"/>
      <c r="Q491" s="10"/>
      <c r="R491" s="10"/>
      <c r="S491" s="10"/>
      <c r="T491" s="10"/>
      <c r="U491" s="10"/>
    </row>
    <row r="492" spans="1:21" x14ac:dyDescent="0.3">
      <c r="A492" s="10"/>
      <c r="B492" s="10"/>
      <c r="C492" s="10"/>
      <c r="D492" s="10"/>
      <c r="E492" s="22"/>
      <c r="F492" s="22"/>
      <c r="G492" s="22"/>
      <c r="H492" s="10"/>
      <c r="I492" s="10"/>
      <c r="J492" s="15"/>
      <c r="K492" s="1"/>
      <c r="L492" s="15"/>
      <c r="M492" s="15"/>
      <c r="N492" s="15"/>
      <c r="O492" s="7"/>
      <c r="P492" s="10"/>
      <c r="Q492" s="10"/>
      <c r="R492" s="10"/>
      <c r="S492" s="10"/>
      <c r="T492" s="10"/>
      <c r="U492" s="10"/>
    </row>
    <row r="493" spans="1:21" x14ac:dyDescent="0.3">
      <c r="A493" s="10"/>
      <c r="B493" s="10"/>
      <c r="C493" s="10"/>
      <c r="D493" s="10"/>
      <c r="E493" s="22"/>
      <c r="F493" s="22"/>
      <c r="G493" s="22"/>
      <c r="H493" s="10"/>
      <c r="I493" s="10"/>
      <c r="J493" s="15"/>
      <c r="K493" s="1"/>
      <c r="L493" s="15"/>
      <c r="M493" s="15"/>
      <c r="N493" s="15"/>
      <c r="O493" s="7"/>
      <c r="P493" s="10"/>
      <c r="Q493" s="10"/>
      <c r="R493" s="10"/>
      <c r="S493" s="10"/>
      <c r="T493" s="10"/>
      <c r="U493" s="10"/>
    </row>
    <row r="494" spans="1:21" x14ac:dyDescent="0.3">
      <c r="A494" s="10"/>
      <c r="B494" s="10"/>
      <c r="C494" s="10"/>
      <c r="D494" s="10"/>
      <c r="E494" s="22"/>
      <c r="F494" s="22"/>
      <c r="G494" s="22"/>
      <c r="H494" s="10"/>
      <c r="I494" s="10"/>
      <c r="J494" s="15"/>
      <c r="K494" s="1"/>
      <c r="L494" s="15"/>
      <c r="M494" s="15"/>
      <c r="N494" s="15"/>
      <c r="O494" s="7"/>
      <c r="P494" s="10"/>
      <c r="Q494" s="10"/>
      <c r="R494" s="10"/>
      <c r="S494" s="10"/>
      <c r="T494" s="10"/>
      <c r="U494" s="10"/>
    </row>
    <row r="495" spans="1:21" x14ac:dyDescent="0.3">
      <c r="A495" s="10"/>
      <c r="B495" s="10"/>
      <c r="C495" s="10"/>
      <c r="D495" s="10"/>
      <c r="E495" s="22"/>
      <c r="F495" s="22"/>
      <c r="G495" s="22"/>
      <c r="H495" s="10"/>
      <c r="I495" s="10"/>
      <c r="J495" s="15"/>
      <c r="K495" s="1"/>
      <c r="L495" s="15"/>
      <c r="M495" s="15"/>
      <c r="N495" s="15"/>
      <c r="O495" s="7"/>
      <c r="P495" s="10"/>
      <c r="Q495" s="10"/>
      <c r="R495" s="10"/>
      <c r="S495" s="10"/>
      <c r="T495" s="10"/>
      <c r="U495" s="10"/>
    </row>
    <row r="496" spans="1:21" x14ac:dyDescent="0.3">
      <c r="A496" s="10"/>
      <c r="B496" s="10"/>
      <c r="C496" s="10"/>
      <c r="D496" s="10"/>
      <c r="E496" s="22"/>
      <c r="F496" s="22"/>
      <c r="G496" s="22"/>
      <c r="H496" s="10"/>
      <c r="I496" s="10"/>
      <c r="J496" s="15"/>
      <c r="K496" s="1"/>
      <c r="L496" s="15"/>
      <c r="M496" s="15"/>
      <c r="N496" s="15"/>
      <c r="O496" s="7"/>
      <c r="P496" s="10"/>
      <c r="Q496" s="10"/>
      <c r="R496" s="10"/>
      <c r="S496" s="10"/>
      <c r="T496" s="10"/>
      <c r="U496" s="10"/>
    </row>
    <row r="497" spans="1:21" x14ac:dyDescent="0.3">
      <c r="A497" s="10"/>
      <c r="B497" s="10"/>
      <c r="C497" s="10"/>
      <c r="D497" s="10"/>
      <c r="E497" s="22"/>
      <c r="F497" s="22"/>
      <c r="G497" s="22"/>
      <c r="H497" s="10"/>
      <c r="I497" s="10"/>
      <c r="J497" s="15"/>
      <c r="K497" s="1"/>
      <c r="L497" s="15"/>
      <c r="M497" s="15"/>
      <c r="N497" s="15"/>
      <c r="O497" s="7"/>
      <c r="P497" s="10"/>
      <c r="Q497" s="10"/>
      <c r="R497" s="10"/>
      <c r="S497" s="10"/>
      <c r="T497" s="10"/>
      <c r="U497" s="10"/>
    </row>
    <row r="498" spans="1:21" x14ac:dyDescent="0.3">
      <c r="A498" s="10"/>
      <c r="B498" s="10"/>
      <c r="C498" s="10"/>
      <c r="D498" s="10"/>
      <c r="E498" s="22"/>
      <c r="F498" s="22"/>
      <c r="G498" s="22"/>
      <c r="H498" s="10"/>
      <c r="I498" s="10"/>
      <c r="J498" s="15"/>
      <c r="K498" s="1"/>
      <c r="L498" s="15"/>
      <c r="M498" s="15"/>
      <c r="N498" s="15"/>
      <c r="O498" s="7"/>
      <c r="P498" s="10"/>
      <c r="Q498" s="10"/>
      <c r="R498" s="10"/>
      <c r="S498" s="10"/>
      <c r="T498" s="10"/>
      <c r="U498" s="10"/>
    </row>
    <row r="499" spans="1:21" x14ac:dyDescent="0.3">
      <c r="A499" s="10"/>
      <c r="B499" s="10"/>
      <c r="C499" s="10"/>
      <c r="D499" s="10"/>
      <c r="E499" s="22"/>
      <c r="F499" s="22"/>
      <c r="G499" s="22"/>
      <c r="H499" s="10"/>
      <c r="I499" s="10"/>
      <c r="J499" s="15"/>
      <c r="K499" s="1"/>
      <c r="L499" s="15"/>
      <c r="M499" s="15"/>
      <c r="N499" s="15"/>
      <c r="O499" s="7"/>
      <c r="P499" s="10"/>
      <c r="Q499" s="10"/>
      <c r="R499" s="10"/>
      <c r="S499" s="10"/>
      <c r="T499" s="10"/>
      <c r="U499" s="10"/>
    </row>
    <row r="500" spans="1:21" x14ac:dyDescent="0.3">
      <c r="A500" s="10"/>
      <c r="B500" s="10"/>
      <c r="C500" s="10"/>
      <c r="D500" s="10"/>
      <c r="E500" s="22"/>
      <c r="F500" s="22"/>
      <c r="G500" s="22"/>
      <c r="H500" s="10"/>
      <c r="I500" s="10"/>
      <c r="J500" s="15"/>
      <c r="K500" s="1"/>
      <c r="L500" s="15"/>
      <c r="M500" s="15"/>
      <c r="N500" s="15"/>
      <c r="O500" s="7"/>
      <c r="P500" s="10"/>
      <c r="Q500" s="10"/>
      <c r="R500" s="10"/>
      <c r="S500" s="10"/>
      <c r="T500" s="10"/>
      <c r="U500" s="10"/>
    </row>
    <row r="501" spans="1:21" x14ac:dyDescent="0.3">
      <c r="A501" s="10"/>
      <c r="B501" s="10"/>
      <c r="C501" s="10"/>
      <c r="D501" s="10"/>
      <c r="E501" s="22"/>
      <c r="F501" s="22"/>
      <c r="G501" s="22"/>
      <c r="H501" s="10"/>
      <c r="I501" s="10"/>
      <c r="J501" s="15"/>
      <c r="K501" s="1"/>
      <c r="L501" s="15"/>
      <c r="M501" s="15"/>
      <c r="N501" s="15"/>
      <c r="O501" s="7"/>
      <c r="P501" s="10"/>
      <c r="Q501" s="10"/>
      <c r="R501" s="10"/>
      <c r="S501" s="10"/>
      <c r="T501" s="10"/>
      <c r="U501" s="10"/>
    </row>
    <row r="502" spans="1:21" x14ac:dyDescent="0.3">
      <c r="A502" s="10"/>
      <c r="B502" s="10"/>
      <c r="C502" s="10"/>
      <c r="D502" s="10"/>
      <c r="E502" s="22"/>
      <c r="F502" s="22"/>
      <c r="G502" s="22"/>
      <c r="H502" s="10"/>
      <c r="I502" s="10"/>
      <c r="J502" s="15"/>
      <c r="K502" s="1"/>
      <c r="L502" s="15"/>
      <c r="M502" s="15"/>
      <c r="N502" s="15"/>
      <c r="O502" s="7"/>
      <c r="P502" s="10"/>
      <c r="Q502" s="10"/>
      <c r="R502" s="10"/>
      <c r="S502" s="10"/>
      <c r="T502" s="10"/>
      <c r="U502" s="10"/>
    </row>
    <row r="503" spans="1:21" x14ac:dyDescent="0.3">
      <c r="A503" s="10"/>
      <c r="B503" s="10"/>
      <c r="C503" s="10"/>
      <c r="D503" s="10"/>
      <c r="E503" s="22"/>
      <c r="F503" s="22"/>
      <c r="G503" s="22"/>
      <c r="H503" s="10"/>
      <c r="I503" s="10"/>
      <c r="J503" s="15"/>
      <c r="K503" s="1"/>
      <c r="L503" s="15"/>
      <c r="M503" s="15"/>
      <c r="N503" s="15"/>
      <c r="O503" s="7"/>
      <c r="P503" s="10"/>
      <c r="Q503" s="10"/>
      <c r="R503" s="10"/>
      <c r="S503" s="10"/>
      <c r="T503" s="10"/>
      <c r="U503" s="10"/>
    </row>
    <row r="504" spans="1:21" x14ac:dyDescent="0.3">
      <c r="A504" s="10"/>
      <c r="B504" s="10"/>
      <c r="C504" s="10"/>
      <c r="D504" s="10"/>
      <c r="E504" s="22"/>
      <c r="F504" s="22"/>
      <c r="G504" s="22"/>
      <c r="H504" s="10"/>
      <c r="I504" s="10"/>
      <c r="J504" s="15"/>
      <c r="K504" s="1"/>
      <c r="L504" s="15"/>
      <c r="M504" s="15"/>
      <c r="N504" s="15"/>
      <c r="O504" s="7"/>
      <c r="P504" s="10"/>
      <c r="Q504" s="10"/>
      <c r="R504" s="10"/>
      <c r="S504" s="10"/>
      <c r="T504" s="10"/>
      <c r="U504" s="10"/>
    </row>
    <row r="505" spans="1:21" x14ac:dyDescent="0.3">
      <c r="A505" s="10"/>
      <c r="B505" s="10"/>
      <c r="C505" s="10"/>
      <c r="D505" s="10"/>
      <c r="E505" s="22"/>
      <c r="F505" s="22"/>
      <c r="G505" s="22"/>
      <c r="H505" s="10"/>
      <c r="I505" s="10"/>
      <c r="J505" s="15"/>
      <c r="K505" s="1"/>
      <c r="L505" s="15"/>
      <c r="M505" s="15"/>
      <c r="N505" s="15"/>
      <c r="O505" s="7"/>
      <c r="P505" s="10"/>
      <c r="Q505" s="10"/>
      <c r="R505" s="10"/>
      <c r="S505" s="10"/>
      <c r="T505" s="10"/>
      <c r="U505" s="10"/>
    </row>
    <row r="506" spans="1:21" x14ac:dyDescent="0.3">
      <c r="A506" s="10"/>
      <c r="B506" s="10"/>
      <c r="C506" s="10"/>
      <c r="D506" s="10"/>
      <c r="E506" s="22"/>
      <c r="F506" s="22"/>
      <c r="G506" s="22"/>
      <c r="H506" s="10"/>
      <c r="I506" s="10"/>
      <c r="J506" s="15"/>
      <c r="K506" s="1"/>
      <c r="L506" s="15"/>
      <c r="M506" s="15"/>
      <c r="N506" s="15"/>
      <c r="O506" s="7"/>
      <c r="P506" s="10"/>
      <c r="Q506" s="10"/>
      <c r="R506" s="10"/>
      <c r="S506" s="10"/>
      <c r="T506" s="10"/>
      <c r="U506" s="10"/>
    </row>
    <row r="507" spans="1:21" x14ac:dyDescent="0.3">
      <c r="A507" s="10"/>
      <c r="B507" s="10"/>
      <c r="C507" s="10"/>
      <c r="D507" s="10"/>
      <c r="E507" s="22"/>
      <c r="F507" s="22"/>
      <c r="G507" s="22"/>
      <c r="H507" s="10"/>
      <c r="I507" s="10"/>
      <c r="J507" s="15"/>
      <c r="K507" s="1"/>
      <c r="L507" s="15"/>
      <c r="M507" s="15"/>
      <c r="N507" s="15"/>
      <c r="O507" s="7"/>
      <c r="P507" s="10"/>
      <c r="Q507" s="10"/>
      <c r="R507" s="10"/>
      <c r="S507" s="10"/>
      <c r="T507" s="10"/>
      <c r="U507" s="10"/>
    </row>
    <row r="508" spans="1:21" x14ac:dyDescent="0.3">
      <c r="A508" s="10"/>
      <c r="B508" s="10"/>
      <c r="C508" s="10"/>
      <c r="D508" s="10"/>
      <c r="E508" s="22"/>
      <c r="F508" s="22"/>
      <c r="G508" s="22"/>
      <c r="H508" s="10"/>
      <c r="I508" s="10"/>
      <c r="J508" s="15"/>
      <c r="K508" s="1"/>
      <c r="L508" s="15"/>
      <c r="M508" s="15"/>
      <c r="N508" s="15"/>
      <c r="O508" s="7"/>
      <c r="P508" s="10"/>
      <c r="Q508" s="10"/>
      <c r="R508" s="10"/>
      <c r="S508" s="10"/>
      <c r="T508" s="10"/>
      <c r="U508" s="10"/>
    </row>
    <row r="509" spans="1:21" x14ac:dyDescent="0.3">
      <c r="A509" s="10"/>
      <c r="B509" s="10"/>
      <c r="C509" s="10"/>
      <c r="D509" s="10"/>
      <c r="E509" s="22"/>
      <c r="F509" s="22"/>
      <c r="G509" s="22"/>
      <c r="H509" s="10"/>
      <c r="I509" s="10"/>
      <c r="J509" s="15"/>
      <c r="K509" s="1"/>
      <c r="L509" s="15"/>
      <c r="M509" s="15"/>
      <c r="N509" s="15"/>
      <c r="O509" s="7"/>
      <c r="P509" s="10"/>
      <c r="Q509" s="10"/>
      <c r="R509" s="10"/>
      <c r="S509" s="10"/>
      <c r="T509" s="10"/>
      <c r="U509" s="10"/>
    </row>
    <row r="510" spans="1:21" x14ac:dyDescent="0.3">
      <c r="A510" s="10"/>
      <c r="B510" s="10"/>
      <c r="C510" s="10"/>
      <c r="D510" s="10"/>
      <c r="E510" s="22"/>
      <c r="F510" s="22"/>
      <c r="G510" s="22"/>
      <c r="H510" s="10"/>
      <c r="I510" s="10"/>
      <c r="J510" s="15"/>
      <c r="K510" s="1"/>
      <c r="L510" s="15"/>
      <c r="M510" s="15"/>
      <c r="N510" s="15"/>
      <c r="O510" s="7"/>
      <c r="P510" s="10"/>
      <c r="Q510" s="10"/>
      <c r="R510" s="10"/>
      <c r="S510" s="10"/>
      <c r="T510" s="10"/>
      <c r="U510" s="10"/>
    </row>
    <row r="511" spans="1:21" x14ac:dyDescent="0.3">
      <c r="A511" s="10"/>
      <c r="B511" s="10"/>
      <c r="C511" s="10"/>
      <c r="D511" s="10"/>
      <c r="E511" s="22"/>
      <c r="F511" s="22"/>
      <c r="G511" s="22"/>
      <c r="H511" s="10"/>
      <c r="I511" s="10"/>
      <c r="J511" s="15"/>
      <c r="K511" s="1"/>
      <c r="L511" s="15"/>
      <c r="M511" s="15"/>
      <c r="N511" s="15"/>
      <c r="O511" s="7"/>
      <c r="P511" s="10"/>
      <c r="Q511" s="10"/>
      <c r="R511" s="10"/>
      <c r="S511" s="10"/>
      <c r="T511" s="10"/>
      <c r="U511" s="10"/>
    </row>
    <row r="512" spans="1:21" x14ac:dyDescent="0.3">
      <c r="A512" s="10"/>
      <c r="B512" s="10"/>
      <c r="C512" s="10"/>
      <c r="D512" s="10"/>
      <c r="E512" s="22"/>
      <c r="F512" s="22"/>
      <c r="G512" s="22"/>
      <c r="H512" s="10"/>
      <c r="I512" s="10"/>
      <c r="J512" s="15"/>
      <c r="K512" s="1"/>
      <c r="L512" s="15"/>
      <c r="M512" s="15"/>
      <c r="N512" s="15"/>
      <c r="O512" s="7"/>
      <c r="P512" s="10"/>
      <c r="Q512" s="10"/>
      <c r="R512" s="10"/>
      <c r="S512" s="10"/>
      <c r="T512" s="10"/>
      <c r="U512" s="10"/>
    </row>
    <row r="513" spans="1:21" x14ac:dyDescent="0.3">
      <c r="A513" s="10"/>
      <c r="B513" s="10"/>
      <c r="C513" s="10"/>
      <c r="D513" s="10"/>
      <c r="E513" s="22"/>
      <c r="F513" s="22"/>
      <c r="G513" s="22"/>
      <c r="H513" s="10"/>
      <c r="I513" s="10"/>
      <c r="J513" s="15"/>
      <c r="K513" s="1"/>
      <c r="L513" s="15"/>
      <c r="M513" s="15"/>
      <c r="N513" s="15"/>
      <c r="O513" s="7"/>
      <c r="P513" s="10"/>
      <c r="Q513" s="10"/>
      <c r="R513" s="10"/>
      <c r="S513" s="10"/>
      <c r="T513" s="10"/>
      <c r="U513" s="10"/>
    </row>
    <row r="514" spans="1:21" x14ac:dyDescent="0.3">
      <c r="A514" s="10"/>
      <c r="B514" s="10"/>
      <c r="C514" s="10"/>
      <c r="D514" s="10"/>
      <c r="E514" s="22"/>
      <c r="F514" s="22"/>
      <c r="G514" s="22"/>
      <c r="H514" s="10"/>
      <c r="I514" s="10"/>
      <c r="J514" s="15"/>
      <c r="K514" s="1"/>
      <c r="L514" s="15"/>
      <c r="M514" s="15"/>
      <c r="N514" s="15"/>
      <c r="O514" s="7"/>
      <c r="P514" s="10"/>
      <c r="Q514" s="10"/>
      <c r="R514" s="10"/>
      <c r="S514" s="10"/>
      <c r="T514" s="10"/>
      <c r="U514" s="10"/>
    </row>
    <row r="515" spans="1:21" x14ac:dyDescent="0.3">
      <c r="A515" s="10"/>
      <c r="B515" s="10"/>
      <c r="C515" s="10"/>
      <c r="D515" s="10"/>
      <c r="E515" s="22"/>
      <c r="F515" s="22"/>
      <c r="G515" s="22"/>
      <c r="H515" s="10"/>
      <c r="I515" s="10"/>
      <c r="J515" s="15"/>
      <c r="K515" s="1"/>
      <c r="L515" s="15"/>
      <c r="M515" s="15"/>
      <c r="N515" s="15"/>
      <c r="O515" s="7"/>
      <c r="P515" s="10"/>
      <c r="Q515" s="10"/>
      <c r="R515" s="10"/>
      <c r="S515" s="10"/>
      <c r="T515" s="10"/>
      <c r="U515" s="10"/>
    </row>
    <row r="516" spans="1:21" x14ac:dyDescent="0.3">
      <c r="A516" s="10"/>
      <c r="B516" s="10"/>
      <c r="C516" s="10"/>
      <c r="D516" s="10"/>
      <c r="E516" s="22"/>
      <c r="F516" s="22"/>
      <c r="G516" s="22"/>
      <c r="H516" s="10"/>
      <c r="I516" s="10"/>
      <c r="J516" s="15"/>
      <c r="K516" s="1"/>
      <c r="L516" s="15"/>
      <c r="M516" s="15"/>
      <c r="N516" s="15"/>
      <c r="O516" s="7"/>
      <c r="P516" s="10"/>
      <c r="Q516" s="10"/>
      <c r="R516" s="10"/>
      <c r="S516" s="10"/>
      <c r="T516" s="10"/>
      <c r="U516" s="10"/>
    </row>
    <row r="517" spans="1:21" x14ac:dyDescent="0.3">
      <c r="A517" s="10"/>
      <c r="B517" s="10"/>
      <c r="C517" s="10"/>
      <c r="D517" s="10"/>
      <c r="E517" s="22"/>
      <c r="F517" s="22"/>
      <c r="G517" s="22"/>
      <c r="H517" s="10"/>
      <c r="I517" s="10"/>
      <c r="J517" s="15"/>
      <c r="K517" s="1"/>
      <c r="L517" s="15"/>
      <c r="M517" s="15"/>
      <c r="N517" s="15"/>
      <c r="O517" s="7"/>
      <c r="P517" s="10"/>
      <c r="Q517" s="10"/>
      <c r="R517" s="10"/>
      <c r="S517" s="10"/>
      <c r="T517" s="10"/>
      <c r="U517" s="10"/>
    </row>
    <row r="518" spans="1:21" x14ac:dyDescent="0.3">
      <c r="A518" s="10"/>
      <c r="B518" s="10"/>
      <c r="C518" s="10"/>
      <c r="D518" s="10"/>
      <c r="E518" s="22"/>
      <c r="F518" s="22"/>
      <c r="G518" s="22"/>
      <c r="H518" s="10"/>
      <c r="I518" s="10"/>
      <c r="J518" s="15"/>
      <c r="K518" s="1"/>
      <c r="L518" s="15"/>
      <c r="M518" s="15"/>
      <c r="N518" s="15"/>
      <c r="O518" s="7"/>
      <c r="P518" s="10"/>
      <c r="Q518" s="10"/>
      <c r="R518" s="10"/>
      <c r="S518" s="10"/>
      <c r="T518" s="10"/>
      <c r="U518" s="10"/>
    </row>
    <row r="519" spans="1:21" x14ac:dyDescent="0.3">
      <c r="A519" s="10"/>
      <c r="B519" s="10"/>
      <c r="C519" s="10"/>
      <c r="D519" s="10"/>
      <c r="E519" s="22"/>
      <c r="F519" s="22"/>
      <c r="G519" s="22"/>
      <c r="H519" s="10"/>
      <c r="I519" s="10"/>
      <c r="J519" s="15"/>
      <c r="K519" s="1"/>
      <c r="L519" s="15"/>
      <c r="M519" s="15"/>
      <c r="N519" s="15"/>
      <c r="O519" s="7"/>
      <c r="P519" s="10"/>
      <c r="Q519" s="10"/>
      <c r="R519" s="10"/>
      <c r="S519" s="10"/>
      <c r="T519" s="10"/>
      <c r="U519" s="10"/>
    </row>
    <row r="520" spans="1:21" x14ac:dyDescent="0.3">
      <c r="A520" s="10"/>
      <c r="B520" s="10"/>
      <c r="C520" s="10"/>
      <c r="D520" s="10"/>
      <c r="E520" s="22"/>
      <c r="F520" s="22"/>
      <c r="G520" s="22"/>
      <c r="H520" s="10"/>
      <c r="I520" s="10"/>
      <c r="J520" s="15"/>
      <c r="K520" s="1"/>
      <c r="L520" s="15"/>
      <c r="M520" s="15"/>
      <c r="N520" s="15"/>
      <c r="O520" s="7"/>
      <c r="P520" s="10"/>
      <c r="Q520" s="10"/>
      <c r="R520" s="10"/>
      <c r="S520" s="10"/>
      <c r="T520" s="10"/>
      <c r="U520" s="10"/>
    </row>
    <row r="521" spans="1:21" x14ac:dyDescent="0.3">
      <c r="A521" s="10"/>
      <c r="B521" s="10"/>
      <c r="C521" s="10"/>
      <c r="D521" s="10"/>
      <c r="E521" s="22"/>
      <c r="F521" s="22"/>
      <c r="G521" s="22"/>
      <c r="H521" s="10"/>
      <c r="I521" s="10"/>
      <c r="J521" s="15"/>
      <c r="K521" s="1"/>
      <c r="L521" s="15"/>
      <c r="M521" s="15"/>
      <c r="N521" s="15"/>
      <c r="O521" s="7"/>
      <c r="P521" s="10"/>
      <c r="Q521" s="10"/>
      <c r="R521" s="10"/>
      <c r="S521" s="10"/>
      <c r="T521" s="10"/>
      <c r="U521" s="10"/>
    </row>
    <row r="522" spans="1:21" x14ac:dyDescent="0.3">
      <c r="A522" s="10"/>
      <c r="B522" s="10"/>
      <c r="C522" s="10"/>
      <c r="D522" s="10"/>
      <c r="E522" s="22"/>
      <c r="F522" s="22"/>
      <c r="G522" s="22"/>
      <c r="H522" s="10"/>
      <c r="I522" s="10"/>
      <c r="J522" s="15"/>
      <c r="K522" s="1"/>
      <c r="L522" s="15"/>
      <c r="M522" s="15"/>
      <c r="N522" s="15"/>
      <c r="O522" s="7"/>
      <c r="P522" s="10"/>
      <c r="Q522" s="10"/>
      <c r="R522" s="10"/>
      <c r="S522" s="10"/>
      <c r="T522" s="10"/>
      <c r="U522" s="10"/>
    </row>
    <row r="523" spans="1:21" x14ac:dyDescent="0.3">
      <c r="A523" s="10"/>
      <c r="B523" s="10"/>
      <c r="C523" s="10"/>
      <c r="D523" s="10"/>
      <c r="E523" s="22"/>
      <c r="F523" s="22"/>
      <c r="G523" s="22"/>
      <c r="H523" s="10"/>
      <c r="I523" s="10"/>
      <c r="J523" s="15"/>
      <c r="K523" s="1"/>
      <c r="L523" s="15"/>
      <c r="M523" s="15"/>
      <c r="N523" s="15"/>
      <c r="O523" s="7"/>
      <c r="P523" s="10"/>
      <c r="Q523" s="10"/>
      <c r="R523" s="10"/>
      <c r="S523" s="10"/>
      <c r="T523" s="10"/>
      <c r="U523" s="10"/>
    </row>
    <row r="524" spans="1:21" x14ac:dyDescent="0.3">
      <c r="A524" s="10"/>
      <c r="B524" s="10"/>
      <c r="C524" s="10"/>
      <c r="D524" s="10"/>
      <c r="E524" s="22"/>
      <c r="F524" s="22"/>
      <c r="G524" s="22"/>
      <c r="H524" s="10"/>
      <c r="I524" s="10"/>
      <c r="J524" s="15"/>
      <c r="K524" s="1"/>
      <c r="L524" s="15"/>
      <c r="M524" s="15"/>
      <c r="N524" s="15"/>
      <c r="O524" s="7"/>
      <c r="P524" s="10"/>
      <c r="Q524" s="10"/>
      <c r="R524" s="10"/>
      <c r="S524" s="10"/>
      <c r="T524" s="10"/>
      <c r="U524" s="10"/>
    </row>
    <row r="525" spans="1:21" x14ac:dyDescent="0.3">
      <c r="A525" s="10"/>
      <c r="B525" s="10"/>
      <c r="C525" s="10"/>
      <c r="D525" s="10"/>
      <c r="E525" s="22"/>
      <c r="F525" s="22"/>
      <c r="G525" s="22"/>
      <c r="H525" s="10"/>
      <c r="I525" s="10"/>
      <c r="J525" s="15"/>
      <c r="K525" s="1"/>
      <c r="L525" s="15"/>
      <c r="M525" s="15"/>
      <c r="N525" s="15"/>
      <c r="O525" s="7"/>
      <c r="P525" s="10"/>
      <c r="Q525" s="10"/>
      <c r="R525" s="10"/>
      <c r="S525" s="10"/>
      <c r="T525" s="10"/>
      <c r="U525" s="10"/>
    </row>
    <row r="526" spans="1:21" x14ac:dyDescent="0.3">
      <c r="A526" s="10"/>
      <c r="B526" s="10"/>
      <c r="C526" s="10"/>
      <c r="D526" s="10"/>
      <c r="E526" s="22"/>
      <c r="F526" s="22"/>
      <c r="G526" s="22"/>
      <c r="H526" s="10"/>
      <c r="I526" s="10"/>
      <c r="J526" s="15"/>
      <c r="K526" s="1"/>
      <c r="L526" s="15"/>
      <c r="M526" s="15"/>
      <c r="N526" s="15"/>
      <c r="O526" s="7"/>
      <c r="P526" s="10"/>
      <c r="Q526" s="10"/>
      <c r="R526" s="10"/>
      <c r="S526" s="10"/>
      <c r="T526" s="10"/>
      <c r="U526" s="10"/>
    </row>
    <row r="527" spans="1:21" x14ac:dyDescent="0.3">
      <c r="A527" s="10"/>
      <c r="B527" s="10"/>
      <c r="C527" s="10"/>
      <c r="D527" s="10"/>
      <c r="E527" s="22"/>
      <c r="F527" s="22"/>
      <c r="G527" s="22"/>
      <c r="H527" s="10"/>
      <c r="I527" s="10"/>
      <c r="J527" s="15"/>
      <c r="K527" s="1"/>
      <c r="L527" s="15"/>
      <c r="M527" s="15"/>
      <c r="N527" s="15"/>
      <c r="O527" s="7"/>
      <c r="P527" s="10"/>
      <c r="Q527" s="10"/>
      <c r="R527" s="10"/>
      <c r="S527" s="10"/>
      <c r="T527" s="10"/>
      <c r="U527" s="10"/>
    </row>
    <row r="528" spans="1:21" x14ac:dyDescent="0.3">
      <c r="A528" s="10"/>
      <c r="B528" s="10"/>
      <c r="C528" s="10"/>
      <c r="D528" s="10"/>
      <c r="E528" s="22"/>
      <c r="F528" s="22"/>
      <c r="G528" s="22"/>
      <c r="H528" s="10"/>
      <c r="I528" s="10"/>
      <c r="J528" s="15"/>
      <c r="K528" s="1"/>
      <c r="L528" s="15"/>
      <c r="M528" s="15"/>
      <c r="N528" s="15"/>
      <c r="O528" s="7"/>
      <c r="P528" s="10"/>
      <c r="Q528" s="10"/>
      <c r="R528" s="10"/>
      <c r="S528" s="10"/>
      <c r="T528" s="10"/>
      <c r="U528" s="10"/>
    </row>
    <row r="529" spans="1:21" x14ac:dyDescent="0.3">
      <c r="A529" s="10"/>
      <c r="B529" s="10"/>
      <c r="C529" s="10"/>
      <c r="D529" s="10"/>
      <c r="E529" s="22"/>
      <c r="F529" s="22"/>
      <c r="G529" s="22"/>
      <c r="H529" s="10"/>
      <c r="I529" s="10"/>
      <c r="J529" s="15"/>
      <c r="K529" s="1"/>
      <c r="L529" s="15"/>
      <c r="M529" s="15"/>
      <c r="N529" s="15"/>
      <c r="O529" s="7"/>
      <c r="P529" s="10"/>
      <c r="Q529" s="10"/>
      <c r="R529" s="10"/>
      <c r="S529" s="10"/>
      <c r="T529" s="10"/>
      <c r="U529" s="10"/>
    </row>
    <row r="530" spans="1:21" x14ac:dyDescent="0.3">
      <c r="A530" s="10"/>
      <c r="B530" s="10"/>
      <c r="C530" s="10"/>
      <c r="D530" s="10"/>
      <c r="E530" s="22"/>
      <c r="F530" s="22"/>
      <c r="G530" s="22"/>
      <c r="H530" s="10"/>
      <c r="I530" s="10"/>
      <c r="J530" s="15"/>
      <c r="K530" s="1"/>
      <c r="L530" s="15"/>
      <c r="M530" s="15"/>
      <c r="N530" s="15"/>
      <c r="O530" s="7"/>
      <c r="P530" s="10"/>
      <c r="Q530" s="10"/>
      <c r="R530" s="10"/>
      <c r="S530" s="10"/>
      <c r="T530" s="10"/>
      <c r="U530" s="10"/>
    </row>
    <row r="531" spans="1:21" x14ac:dyDescent="0.3">
      <c r="A531" s="10"/>
      <c r="B531" s="10"/>
      <c r="C531" s="10"/>
      <c r="D531" s="10"/>
      <c r="E531" s="22"/>
      <c r="F531" s="22"/>
      <c r="G531" s="22"/>
      <c r="H531" s="10"/>
      <c r="I531" s="10"/>
      <c r="J531" s="15"/>
      <c r="K531" s="1"/>
      <c r="L531" s="15"/>
      <c r="M531" s="15"/>
      <c r="N531" s="15"/>
      <c r="O531" s="7"/>
      <c r="P531" s="10"/>
      <c r="Q531" s="10"/>
      <c r="R531" s="10"/>
      <c r="S531" s="10"/>
      <c r="T531" s="10"/>
      <c r="U531" s="10"/>
    </row>
    <row r="532" spans="1:21" x14ac:dyDescent="0.3">
      <c r="A532" s="10"/>
      <c r="B532" s="10"/>
      <c r="C532" s="10"/>
      <c r="D532" s="10"/>
      <c r="E532" s="22"/>
      <c r="F532" s="22"/>
      <c r="G532" s="22"/>
      <c r="H532" s="10"/>
      <c r="I532" s="10"/>
      <c r="J532" s="15"/>
      <c r="K532" s="1"/>
      <c r="L532" s="15"/>
      <c r="M532" s="15"/>
      <c r="N532" s="15"/>
      <c r="O532" s="7"/>
      <c r="P532" s="10"/>
      <c r="Q532" s="10"/>
      <c r="R532" s="10"/>
      <c r="S532" s="10"/>
      <c r="T532" s="10"/>
      <c r="U532" s="10"/>
    </row>
    <row r="533" spans="1:21" x14ac:dyDescent="0.3">
      <c r="A533" s="10"/>
      <c r="B533" s="10"/>
      <c r="C533" s="10"/>
      <c r="D533" s="10"/>
      <c r="E533" s="22"/>
      <c r="F533" s="22"/>
      <c r="G533" s="22"/>
      <c r="H533" s="10"/>
      <c r="I533" s="10"/>
      <c r="J533" s="15"/>
      <c r="K533" s="1"/>
      <c r="L533" s="15"/>
      <c r="M533" s="15"/>
      <c r="N533" s="15"/>
      <c r="O533" s="7"/>
      <c r="P533" s="10"/>
      <c r="Q533" s="10"/>
      <c r="R533" s="10"/>
      <c r="S533" s="10"/>
      <c r="T533" s="10"/>
      <c r="U533" s="10"/>
    </row>
    <row r="534" spans="1:21" x14ac:dyDescent="0.3">
      <c r="A534" s="10"/>
      <c r="B534" s="10"/>
      <c r="C534" s="10"/>
      <c r="D534" s="10"/>
      <c r="E534" s="22"/>
      <c r="F534" s="22"/>
      <c r="G534" s="22"/>
      <c r="H534" s="10"/>
      <c r="I534" s="10"/>
      <c r="J534" s="15"/>
      <c r="K534" s="1"/>
      <c r="L534" s="15"/>
      <c r="M534" s="15"/>
      <c r="N534" s="15"/>
      <c r="O534" s="7"/>
      <c r="P534" s="10"/>
      <c r="Q534" s="10"/>
      <c r="R534" s="10"/>
      <c r="S534" s="10"/>
      <c r="T534" s="10"/>
      <c r="U534" s="10"/>
    </row>
    <row r="535" spans="1:21" x14ac:dyDescent="0.3">
      <c r="A535" s="10"/>
      <c r="B535" s="10"/>
      <c r="C535" s="10"/>
      <c r="D535" s="10"/>
      <c r="E535" s="22"/>
      <c r="F535" s="22"/>
      <c r="G535" s="22"/>
      <c r="H535" s="10"/>
      <c r="I535" s="10"/>
      <c r="J535" s="15"/>
      <c r="K535" s="1"/>
      <c r="L535" s="15"/>
      <c r="M535" s="15"/>
      <c r="N535" s="15"/>
      <c r="O535" s="7"/>
      <c r="P535" s="10"/>
      <c r="Q535" s="10"/>
      <c r="R535" s="10"/>
      <c r="S535" s="10"/>
      <c r="T535" s="10"/>
      <c r="U535" s="10"/>
    </row>
    <row r="536" spans="1:21" x14ac:dyDescent="0.3">
      <c r="A536" s="10"/>
      <c r="B536" s="10"/>
      <c r="C536" s="10"/>
      <c r="D536" s="10"/>
      <c r="E536" s="22"/>
      <c r="F536" s="22"/>
      <c r="G536" s="22"/>
      <c r="H536" s="10"/>
      <c r="I536" s="10"/>
      <c r="J536" s="15"/>
      <c r="K536" s="1"/>
      <c r="L536" s="15"/>
      <c r="M536" s="15"/>
      <c r="N536" s="15"/>
      <c r="O536" s="7"/>
      <c r="P536" s="10"/>
      <c r="Q536" s="10"/>
      <c r="R536" s="10"/>
      <c r="S536" s="10"/>
      <c r="T536" s="10"/>
      <c r="U536" s="10"/>
    </row>
    <row r="537" spans="1:21" x14ac:dyDescent="0.3">
      <c r="A537" s="10"/>
      <c r="B537" s="10"/>
      <c r="C537" s="10"/>
      <c r="D537" s="10"/>
      <c r="E537" s="22"/>
      <c r="F537" s="22"/>
      <c r="G537" s="22"/>
      <c r="H537" s="10"/>
      <c r="I537" s="10"/>
      <c r="J537" s="15"/>
      <c r="K537" s="1"/>
      <c r="L537" s="15"/>
      <c r="M537" s="15"/>
      <c r="N537" s="15"/>
      <c r="O537" s="7"/>
      <c r="P537" s="10"/>
      <c r="Q537" s="10"/>
      <c r="R537" s="10"/>
      <c r="S537" s="10"/>
      <c r="T537" s="10"/>
      <c r="U537" s="10"/>
    </row>
    <row r="538" spans="1:21" x14ac:dyDescent="0.3">
      <c r="A538" s="10"/>
      <c r="B538" s="10"/>
      <c r="C538" s="10"/>
      <c r="D538" s="10"/>
      <c r="E538" s="22"/>
      <c r="F538" s="22"/>
      <c r="G538" s="22"/>
      <c r="H538" s="10"/>
      <c r="I538" s="10"/>
      <c r="J538" s="15"/>
      <c r="K538" s="1"/>
      <c r="L538" s="15"/>
      <c r="M538" s="15"/>
      <c r="N538" s="15"/>
      <c r="O538" s="7"/>
      <c r="P538" s="10"/>
      <c r="Q538" s="10"/>
      <c r="R538" s="10"/>
      <c r="S538" s="10"/>
      <c r="T538" s="10"/>
      <c r="U538" s="10"/>
    </row>
    <row r="539" spans="1:21" x14ac:dyDescent="0.3">
      <c r="A539" s="10"/>
      <c r="B539" s="10"/>
      <c r="C539" s="10"/>
      <c r="D539" s="10"/>
      <c r="E539" s="22"/>
      <c r="F539" s="22"/>
      <c r="G539" s="22"/>
      <c r="H539" s="10"/>
      <c r="I539" s="10"/>
      <c r="J539" s="15"/>
      <c r="K539" s="1"/>
      <c r="L539" s="15"/>
      <c r="M539" s="15"/>
      <c r="N539" s="15"/>
      <c r="O539" s="7"/>
      <c r="P539" s="10"/>
      <c r="Q539" s="10"/>
      <c r="R539" s="10"/>
      <c r="S539" s="10"/>
      <c r="T539" s="10"/>
      <c r="U539" s="10"/>
    </row>
    <row r="540" spans="1:21" x14ac:dyDescent="0.3">
      <c r="A540" s="10"/>
      <c r="B540" s="10"/>
      <c r="C540" s="10"/>
      <c r="D540" s="10"/>
      <c r="E540" s="22"/>
      <c r="F540" s="22"/>
      <c r="G540" s="22"/>
      <c r="H540" s="10"/>
      <c r="I540" s="10"/>
      <c r="J540" s="15"/>
      <c r="K540" s="1"/>
      <c r="L540" s="15"/>
      <c r="M540" s="15"/>
      <c r="N540" s="15"/>
      <c r="O540" s="7"/>
      <c r="P540" s="10"/>
      <c r="Q540" s="10"/>
      <c r="R540" s="10"/>
      <c r="S540" s="10"/>
      <c r="T540" s="10"/>
      <c r="U540" s="10"/>
    </row>
    <row r="541" spans="1:21" x14ac:dyDescent="0.3">
      <c r="A541" s="10"/>
      <c r="B541" s="10"/>
      <c r="C541" s="10"/>
      <c r="D541" s="10"/>
      <c r="E541" s="22"/>
      <c r="F541" s="22"/>
      <c r="G541" s="22"/>
      <c r="H541" s="10"/>
      <c r="I541" s="10"/>
      <c r="J541" s="15"/>
      <c r="K541" s="1"/>
      <c r="L541" s="15"/>
      <c r="M541" s="15"/>
      <c r="N541" s="15"/>
      <c r="O541" s="7"/>
      <c r="P541" s="10"/>
      <c r="Q541" s="10"/>
      <c r="R541" s="10"/>
      <c r="S541" s="10"/>
      <c r="T541" s="10"/>
      <c r="U541" s="10"/>
    </row>
    <row r="542" spans="1:21" x14ac:dyDescent="0.3">
      <c r="A542" s="10"/>
      <c r="B542" s="10"/>
      <c r="C542" s="10"/>
      <c r="D542" s="10"/>
      <c r="E542" s="22"/>
      <c r="F542" s="22"/>
      <c r="G542" s="22"/>
      <c r="H542" s="10"/>
      <c r="I542" s="10"/>
      <c r="J542" s="15"/>
      <c r="K542" s="1"/>
      <c r="L542" s="15"/>
      <c r="M542" s="15"/>
      <c r="N542" s="15"/>
      <c r="O542" s="7"/>
      <c r="P542" s="10"/>
      <c r="Q542" s="10"/>
      <c r="R542" s="10"/>
      <c r="S542" s="10"/>
      <c r="T542" s="10"/>
      <c r="U542" s="10"/>
    </row>
    <row r="543" spans="1:21" x14ac:dyDescent="0.3">
      <c r="A543" s="10"/>
      <c r="B543" s="10"/>
      <c r="C543" s="10"/>
      <c r="D543" s="10"/>
      <c r="E543" s="22"/>
      <c r="F543" s="22"/>
      <c r="G543" s="22"/>
      <c r="H543" s="10"/>
      <c r="I543" s="10"/>
      <c r="J543" s="15"/>
      <c r="K543" s="1"/>
      <c r="L543" s="15"/>
      <c r="M543" s="15"/>
      <c r="N543" s="15"/>
      <c r="O543" s="7"/>
      <c r="P543" s="10"/>
      <c r="Q543" s="10"/>
      <c r="R543" s="10"/>
      <c r="S543" s="10"/>
      <c r="T543" s="10"/>
      <c r="U543" s="10"/>
    </row>
    <row r="544" spans="1:21" x14ac:dyDescent="0.3">
      <c r="A544" s="10"/>
      <c r="B544" s="10"/>
      <c r="C544" s="10"/>
      <c r="D544" s="10"/>
      <c r="E544" s="22"/>
      <c r="F544" s="22"/>
      <c r="G544" s="22"/>
      <c r="H544" s="10"/>
      <c r="I544" s="10"/>
      <c r="J544" s="15"/>
      <c r="K544" s="1"/>
      <c r="L544" s="15"/>
      <c r="M544" s="15"/>
      <c r="N544" s="15"/>
      <c r="O544" s="7"/>
      <c r="P544" s="10"/>
      <c r="Q544" s="10"/>
      <c r="R544" s="10"/>
      <c r="S544" s="10"/>
      <c r="T544" s="10"/>
      <c r="U544" s="10"/>
    </row>
    <row r="545" spans="1:21" x14ac:dyDescent="0.3">
      <c r="A545" s="10"/>
      <c r="B545" s="10"/>
      <c r="C545" s="10"/>
      <c r="D545" s="10"/>
      <c r="E545" s="22"/>
      <c r="F545" s="22"/>
      <c r="G545" s="22"/>
      <c r="H545" s="10"/>
      <c r="I545" s="10"/>
      <c r="J545" s="15"/>
      <c r="K545" s="1"/>
      <c r="L545" s="15"/>
      <c r="M545" s="15"/>
      <c r="N545" s="15"/>
      <c r="O545" s="7"/>
      <c r="P545" s="10"/>
      <c r="Q545" s="10"/>
      <c r="R545" s="10"/>
      <c r="S545" s="10"/>
      <c r="T545" s="10"/>
      <c r="U545" s="10"/>
    </row>
    <row r="546" spans="1:21" x14ac:dyDescent="0.3">
      <c r="A546" s="10"/>
      <c r="B546" s="10"/>
      <c r="C546" s="10"/>
      <c r="D546" s="10"/>
      <c r="E546" s="22"/>
      <c r="F546" s="22"/>
      <c r="G546" s="22"/>
      <c r="H546" s="10"/>
      <c r="I546" s="10"/>
      <c r="J546" s="15"/>
      <c r="K546" s="1"/>
      <c r="L546" s="15"/>
      <c r="M546" s="15"/>
      <c r="N546" s="15"/>
      <c r="O546" s="7"/>
      <c r="P546" s="10"/>
      <c r="Q546" s="10"/>
      <c r="R546" s="10"/>
      <c r="S546" s="10"/>
      <c r="T546" s="10"/>
      <c r="U546" s="10"/>
    </row>
    <row r="547" spans="1:21" x14ac:dyDescent="0.3">
      <c r="A547" s="10"/>
      <c r="B547" s="10"/>
      <c r="C547" s="10"/>
      <c r="D547" s="10"/>
      <c r="E547" s="22"/>
      <c r="F547" s="22"/>
      <c r="G547" s="22"/>
      <c r="H547" s="10"/>
      <c r="I547" s="10"/>
      <c r="J547" s="15"/>
      <c r="K547" s="1"/>
      <c r="L547" s="15"/>
      <c r="M547" s="15"/>
      <c r="N547" s="15"/>
      <c r="O547" s="7"/>
      <c r="P547" s="10"/>
      <c r="Q547" s="10"/>
      <c r="R547" s="10"/>
      <c r="S547" s="10"/>
      <c r="T547" s="10"/>
      <c r="U547" s="10"/>
    </row>
    <row r="548" spans="1:21" x14ac:dyDescent="0.3">
      <c r="A548" s="10"/>
      <c r="B548" s="10"/>
      <c r="C548" s="10"/>
      <c r="D548" s="10"/>
      <c r="E548" s="22"/>
      <c r="F548" s="22"/>
      <c r="G548" s="22"/>
      <c r="H548" s="10"/>
      <c r="I548" s="10"/>
      <c r="J548" s="15"/>
      <c r="K548" s="1"/>
      <c r="L548" s="15"/>
      <c r="M548" s="15"/>
      <c r="N548" s="15"/>
      <c r="O548" s="7"/>
      <c r="P548" s="10"/>
      <c r="Q548" s="10"/>
      <c r="R548" s="10"/>
      <c r="S548" s="10"/>
      <c r="T548" s="10"/>
      <c r="U548" s="10"/>
    </row>
    <row r="549" spans="1:21" x14ac:dyDescent="0.3">
      <c r="A549" s="10"/>
      <c r="B549" s="10"/>
      <c r="C549" s="10"/>
      <c r="D549" s="10"/>
      <c r="E549" s="22"/>
      <c r="F549" s="22"/>
      <c r="G549" s="22"/>
      <c r="H549" s="10"/>
      <c r="I549" s="10"/>
      <c r="J549" s="15"/>
      <c r="K549" s="1"/>
      <c r="L549" s="15"/>
      <c r="M549" s="15"/>
      <c r="N549" s="15"/>
      <c r="O549" s="7"/>
      <c r="P549" s="10"/>
      <c r="Q549" s="10"/>
      <c r="R549" s="10"/>
      <c r="S549" s="10"/>
      <c r="T549" s="10"/>
      <c r="U549" s="10"/>
    </row>
    <row r="550" spans="1:21" x14ac:dyDescent="0.3">
      <c r="A550" s="10"/>
      <c r="B550" s="10"/>
      <c r="C550" s="10"/>
      <c r="D550" s="10"/>
      <c r="E550" s="22"/>
      <c r="F550" s="22"/>
      <c r="G550" s="22"/>
      <c r="H550" s="10"/>
      <c r="I550" s="10"/>
      <c r="J550" s="15"/>
      <c r="K550" s="1"/>
      <c r="L550" s="15"/>
      <c r="M550" s="15"/>
      <c r="N550" s="15"/>
      <c r="O550" s="7"/>
      <c r="P550" s="10"/>
      <c r="Q550" s="10"/>
      <c r="R550" s="10"/>
      <c r="S550" s="10"/>
      <c r="T550" s="10"/>
      <c r="U550" s="10"/>
    </row>
    <row r="551" spans="1:21" x14ac:dyDescent="0.3">
      <c r="A551" s="10"/>
      <c r="B551" s="10"/>
      <c r="C551" s="10"/>
      <c r="D551" s="10"/>
      <c r="E551" s="22"/>
      <c r="F551" s="22"/>
      <c r="G551" s="22"/>
      <c r="H551" s="10"/>
      <c r="I551" s="10"/>
      <c r="J551" s="15"/>
      <c r="K551" s="1"/>
      <c r="L551" s="15"/>
      <c r="M551" s="15"/>
      <c r="N551" s="15"/>
      <c r="O551" s="7"/>
      <c r="P551" s="10"/>
      <c r="Q551" s="10"/>
      <c r="R551" s="10"/>
      <c r="S551" s="10"/>
      <c r="T551" s="10"/>
      <c r="U551" s="10"/>
    </row>
    <row r="552" spans="1:21" x14ac:dyDescent="0.3">
      <c r="A552" s="10"/>
      <c r="B552" s="10"/>
      <c r="C552" s="10"/>
      <c r="D552" s="10"/>
      <c r="E552" s="22"/>
      <c r="F552" s="22"/>
      <c r="G552" s="22"/>
      <c r="H552" s="10"/>
      <c r="I552" s="10"/>
      <c r="J552" s="15"/>
      <c r="K552" s="1"/>
      <c r="L552" s="15"/>
      <c r="M552" s="15"/>
      <c r="N552" s="15"/>
      <c r="O552" s="7"/>
      <c r="P552" s="10"/>
      <c r="Q552" s="10"/>
      <c r="R552" s="10"/>
      <c r="S552" s="10"/>
      <c r="T552" s="10"/>
      <c r="U552" s="10"/>
    </row>
    <row r="553" spans="1:21" x14ac:dyDescent="0.3">
      <c r="A553" s="10"/>
      <c r="B553" s="10"/>
      <c r="C553" s="10"/>
      <c r="D553" s="10"/>
      <c r="E553" s="22"/>
      <c r="F553" s="22"/>
      <c r="G553" s="22"/>
      <c r="H553" s="10"/>
      <c r="I553" s="10"/>
      <c r="J553" s="15"/>
      <c r="K553" s="1"/>
      <c r="L553" s="15"/>
      <c r="M553" s="15"/>
      <c r="N553" s="15"/>
      <c r="O553" s="7"/>
      <c r="P553" s="10"/>
      <c r="Q553" s="10"/>
      <c r="R553" s="10"/>
      <c r="S553" s="10"/>
      <c r="T553" s="10"/>
      <c r="U553" s="10"/>
    </row>
    <row r="554" spans="1:21" x14ac:dyDescent="0.3">
      <c r="A554" s="10"/>
      <c r="B554" s="10"/>
      <c r="C554" s="10"/>
      <c r="D554" s="10"/>
      <c r="E554" s="22"/>
      <c r="F554" s="22"/>
      <c r="G554" s="22"/>
      <c r="H554" s="10"/>
      <c r="I554" s="10"/>
      <c r="J554" s="15"/>
      <c r="K554" s="1"/>
      <c r="L554" s="15"/>
      <c r="M554" s="15"/>
      <c r="N554" s="15"/>
      <c r="O554" s="7"/>
      <c r="P554" s="10"/>
      <c r="Q554" s="10"/>
      <c r="R554" s="10"/>
      <c r="S554" s="10"/>
      <c r="T554" s="10"/>
      <c r="U554" s="10"/>
    </row>
    <row r="555" spans="1:21" x14ac:dyDescent="0.3">
      <c r="A555" s="10"/>
      <c r="B555" s="10"/>
      <c r="C555" s="10"/>
      <c r="D555" s="10"/>
      <c r="E555" s="22"/>
      <c r="F555" s="22"/>
      <c r="G555" s="22"/>
      <c r="H555" s="10"/>
      <c r="I555" s="10"/>
      <c r="J555" s="15"/>
      <c r="K555" s="1"/>
      <c r="L555" s="15"/>
      <c r="M555" s="15"/>
      <c r="N555" s="15"/>
      <c r="O555" s="7"/>
      <c r="P555" s="10"/>
      <c r="Q555" s="10"/>
      <c r="R555" s="10"/>
      <c r="S555" s="10"/>
      <c r="T555" s="10"/>
      <c r="U555" s="10"/>
    </row>
    <row r="556" spans="1:21" x14ac:dyDescent="0.3">
      <c r="A556" s="10"/>
      <c r="B556" s="10"/>
      <c r="C556" s="10"/>
      <c r="D556" s="10"/>
      <c r="E556" s="22"/>
      <c r="F556" s="22"/>
      <c r="G556" s="22"/>
      <c r="H556" s="10"/>
      <c r="I556" s="10"/>
      <c r="J556" s="15"/>
      <c r="K556" s="1"/>
      <c r="L556" s="15"/>
      <c r="M556" s="15"/>
      <c r="N556" s="15"/>
      <c r="O556" s="7"/>
      <c r="P556" s="10"/>
      <c r="Q556" s="10"/>
      <c r="R556" s="10"/>
      <c r="S556" s="10"/>
      <c r="T556" s="10"/>
      <c r="U556" s="10"/>
    </row>
    <row r="557" spans="1:21" x14ac:dyDescent="0.3">
      <c r="A557" s="10"/>
      <c r="B557" s="10"/>
      <c r="C557" s="10"/>
      <c r="D557" s="10"/>
      <c r="E557" s="22"/>
      <c r="F557" s="22"/>
      <c r="G557" s="22"/>
      <c r="H557" s="10"/>
      <c r="I557" s="10"/>
      <c r="J557" s="15"/>
      <c r="K557" s="1"/>
      <c r="L557" s="15"/>
      <c r="M557" s="15"/>
      <c r="N557" s="15"/>
      <c r="O557" s="7"/>
      <c r="P557" s="10"/>
      <c r="Q557" s="10"/>
      <c r="R557" s="10"/>
      <c r="S557" s="10"/>
      <c r="T557" s="10"/>
      <c r="U557" s="10"/>
    </row>
    <row r="558" spans="1:21" x14ac:dyDescent="0.3">
      <c r="A558" s="10"/>
      <c r="B558" s="10"/>
      <c r="C558" s="10"/>
      <c r="D558" s="10"/>
      <c r="E558" s="22"/>
      <c r="F558" s="22"/>
      <c r="G558" s="22"/>
      <c r="H558" s="10"/>
      <c r="I558" s="10"/>
      <c r="J558" s="15"/>
      <c r="K558" s="1"/>
      <c r="L558" s="15"/>
      <c r="M558" s="15"/>
      <c r="N558" s="15"/>
      <c r="O558" s="7"/>
      <c r="P558" s="10"/>
      <c r="Q558" s="10"/>
      <c r="R558" s="10"/>
      <c r="S558" s="10"/>
      <c r="T558" s="10"/>
      <c r="U558" s="10"/>
    </row>
    <row r="559" spans="1:21" x14ac:dyDescent="0.3">
      <c r="A559" s="10"/>
      <c r="B559" s="10"/>
      <c r="C559" s="10"/>
      <c r="D559" s="10"/>
      <c r="E559" s="22"/>
      <c r="F559" s="22"/>
      <c r="G559" s="22"/>
      <c r="H559" s="10"/>
      <c r="I559" s="10"/>
      <c r="J559" s="15"/>
      <c r="K559" s="1"/>
      <c r="L559" s="15"/>
      <c r="M559" s="15"/>
      <c r="N559" s="15"/>
      <c r="O559" s="7"/>
      <c r="P559" s="10"/>
      <c r="Q559" s="10"/>
      <c r="R559" s="10"/>
      <c r="S559" s="10"/>
      <c r="T559" s="10"/>
      <c r="U559" s="10"/>
    </row>
    <row r="560" spans="1:21" x14ac:dyDescent="0.3">
      <c r="A560" s="10"/>
      <c r="B560" s="10"/>
      <c r="C560" s="10"/>
      <c r="D560" s="10"/>
      <c r="E560" s="22"/>
      <c r="F560" s="22"/>
      <c r="G560" s="22"/>
      <c r="H560" s="10"/>
      <c r="I560" s="10"/>
      <c r="J560" s="15"/>
      <c r="K560" s="1"/>
      <c r="L560" s="15"/>
      <c r="M560" s="15"/>
      <c r="N560" s="15"/>
      <c r="O560" s="7"/>
      <c r="P560" s="10"/>
      <c r="Q560" s="10"/>
      <c r="R560" s="10"/>
      <c r="S560" s="10"/>
      <c r="T560" s="10"/>
      <c r="U560" s="10"/>
    </row>
    <row r="561" spans="1:21" x14ac:dyDescent="0.3">
      <c r="A561" s="10"/>
      <c r="B561" s="10"/>
      <c r="C561" s="10"/>
      <c r="D561" s="10"/>
      <c r="E561" s="22"/>
      <c r="F561" s="22"/>
      <c r="G561" s="22"/>
      <c r="H561" s="10"/>
      <c r="I561" s="10"/>
      <c r="J561" s="15"/>
      <c r="K561" s="1"/>
      <c r="L561" s="15"/>
      <c r="M561" s="15"/>
      <c r="N561" s="15"/>
      <c r="O561" s="7"/>
      <c r="P561" s="10"/>
      <c r="Q561" s="10"/>
      <c r="R561" s="10"/>
      <c r="S561" s="10"/>
      <c r="T561" s="10"/>
      <c r="U561" s="10"/>
    </row>
    <row r="562" spans="1:21" x14ac:dyDescent="0.3">
      <c r="A562" s="10"/>
      <c r="B562" s="10"/>
      <c r="C562" s="10"/>
      <c r="D562" s="10"/>
      <c r="E562" s="22"/>
      <c r="F562" s="22"/>
      <c r="G562" s="22"/>
      <c r="H562" s="10"/>
      <c r="I562" s="10"/>
      <c r="J562" s="15"/>
      <c r="K562" s="1"/>
      <c r="L562" s="15"/>
      <c r="M562" s="15"/>
      <c r="N562" s="15"/>
      <c r="O562" s="7"/>
      <c r="P562" s="10"/>
      <c r="Q562" s="10"/>
      <c r="R562" s="10"/>
      <c r="S562" s="10"/>
      <c r="T562" s="10"/>
      <c r="U562" s="10"/>
    </row>
    <row r="563" spans="1:21" x14ac:dyDescent="0.3">
      <c r="A563" s="10"/>
      <c r="B563" s="10"/>
      <c r="C563" s="10"/>
      <c r="D563" s="10"/>
      <c r="E563" s="22"/>
      <c r="F563" s="22"/>
      <c r="G563" s="22"/>
      <c r="H563" s="10"/>
      <c r="I563" s="10"/>
      <c r="J563" s="15"/>
      <c r="K563" s="1"/>
      <c r="L563" s="15"/>
      <c r="M563" s="15"/>
      <c r="N563" s="15"/>
      <c r="O563" s="7"/>
      <c r="P563" s="10"/>
      <c r="Q563" s="10"/>
      <c r="R563" s="10"/>
      <c r="S563" s="10"/>
      <c r="T563" s="10"/>
      <c r="U563" s="10"/>
    </row>
    <row r="564" spans="1:21" x14ac:dyDescent="0.3">
      <c r="A564" s="10"/>
      <c r="B564" s="10"/>
      <c r="C564" s="10"/>
      <c r="D564" s="10"/>
      <c r="E564" s="22"/>
      <c r="F564" s="22"/>
      <c r="G564" s="22"/>
      <c r="H564" s="10"/>
      <c r="I564" s="10"/>
      <c r="J564" s="15"/>
      <c r="K564" s="1"/>
      <c r="L564" s="15"/>
      <c r="M564" s="15"/>
      <c r="N564" s="15"/>
      <c r="O564" s="7"/>
      <c r="P564" s="10"/>
      <c r="Q564" s="10"/>
      <c r="R564" s="10"/>
      <c r="S564" s="10"/>
      <c r="T564" s="10"/>
      <c r="U564" s="10"/>
    </row>
    <row r="565" spans="1:21" x14ac:dyDescent="0.3">
      <c r="A565" s="10"/>
      <c r="B565" s="10"/>
      <c r="C565" s="10"/>
      <c r="D565" s="10"/>
      <c r="E565" s="22"/>
      <c r="F565" s="22"/>
      <c r="G565" s="22"/>
      <c r="H565" s="10"/>
      <c r="I565" s="10"/>
      <c r="J565" s="15"/>
      <c r="K565" s="1"/>
      <c r="L565" s="15"/>
      <c r="M565" s="15"/>
      <c r="N565" s="15"/>
      <c r="O565" s="7"/>
      <c r="P565" s="10"/>
      <c r="Q565" s="10"/>
      <c r="R565" s="10"/>
      <c r="S565" s="10"/>
      <c r="T565" s="10"/>
      <c r="U565" s="10"/>
    </row>
    <row r="566" spans="1:21" x14ac:dyDescent="0.3">
      <c r="A566" s="10"/>
      <c r="B566" s="10"/>
      <c r="C566" s="10"/>
      <c r="D566" s="10"/>
      <c r="E566" s="22"/>
      <c r="F566" s="22"/>
      <c r="G566" s="22"/>
      <c r="H566" s="10"/>
      <c r="I566" s="10"/>
      <c r="J566" s="15"/>
      <c r="K566" s="1"/>
      <c r="L566" s="15"/>
      <c r="M566" s="15"/>
      <c r="N566" s="15"/>
      <c r="O566" s="7"/>
      <c r="P566" s="10"/>
      <c r="Q566" s="10"/>
      <c r="R566" s="10"/>
      <c r="S566" s="10"/>
      <c r="T566" s="10"/>
      <c r="U566" s="10"/>
    </row>
    <row r="567" spans="1:21" x14ac:dyDescent="0.3">
      <c r="A567" s="10"/>
      <c r="B567" s="10"/>
      <c r="C567" s="10"/>
      <c r="D567" s="10"/>
      <c r="E567" s="22"/>
      <c r="F567" s="22"/>
      <c r="G567" s="22"/>
      <c r="H567" s="10"/>
      <c r="I567" s="10"/>
      <c r="J567" s="15"/>
      <c r="K567" s="1"/>
      <c r="L567" s="15"/>
      <c r="M567" s="15"/>
      <c r="N567" s="15"/>
      <c r="O567" s="7"/>
      <c r="P567" s="10"/>
      <c r="Q567" s="10"/>
      <c r="R567" s="10"/>
      <c r="S567" s="10"/>
      <c r="T567" s="10"/>
      <c r="U567" s="10"/>
    </row>
    <row r="568" spans="1:21" x14ac:dyDescent="0.3">
      <c r="A568" s="10"/>
      <c r="B568" s="10"/>
      <c r="C568" s="10"/>
      <c r="D568" s="10"/>
      <c r="E568" s="22"/>
      <c r="F568" s="22"/>
      <c r="G568" s="22"/>
      <c r="H568" s="10"/>
      <c r="I568" s="10"/>
      <c r="J568" s="15"/>
      <c r="K568" s="1"/>
      <c r="L568" s="15"/>
      <c r="M568" s="15"/>
      <c r="N568" s="15"/>
      <c r="O568" s="7"/>
      <c r="P568" s="10"/>
      <c r="Q568" s="10"/>
      <c r="R568" s="10"/>
      <c r="S568" s="10"/>
      <c r="T568" s="10"/>
      <c r="U568" s="10"/>
    </row>
    <row r="569" spans="1:21" x14ac:dyDescent="0.3">
      <c r="A569" s="10"/>
      <c r="B569" s="10"/>
      <c r="C569" s="10"/>
      <c r="D569" s="10"/>
      <c r="E569" s="22"/>
      <c r="F569" s="22"/>
      <c r="G569" s="22"/>
      <c r="H569" s="10"/>
      <c r="I569" s="10"/>
      <c r="J569" s="15"/>
      <c r="K569" s="1"/>
      <c r="L569" s="15"/>
      <c r="M569" s="15"/>
      <c r="N569" s="15"/>
      <c r="O569" s="7"/>
      <c r="P569" s="10"/>
      <c r="Q569" s="10"/>
      <c r="R569" s="10"/>
      <c r="S569" s="10"/>
      <c r="T569" s="10"/>
      <c r="U569" s="10"/>
    </row>
    <row r="570" spans="1:21" x14ac:dyDescent="0.3">
      <c r="A570" s="10"/>
      <c r="B570" s="10"/>
      <c r="C570" s="10"/>
      <c r="D570" s="10"/>
      <c r="E570" s="22"/>
      <c r="F570" s="22"/>
      <c r="G570" s="22"/>
      <c r="H570" s="10"/>
      <c r="I570" s="10"/>
      <c r="J570" s="15"/>
      <c r="K570" s="1"/>
      <c r="L570" s="15"/>
      <c r="M570" s="15"/>
      <c r="N570" s="15"/>
      <c r="O570" s="7"/>
      <c r="P570" s="10"/>
      <c r="Q570" s="10"/>
      <c r="R570" s="10"/>
      <c r="S570" s="10"/>
      <c r="T570" s="10"/>
      <c r="U570" s="10"/>
    </row>
    <row r="571" spans="1:21" x14ac:dyDescent="0.3">
      <c r="A571" s="10"/>
      <c r="B571" s="10"/>
      <c r="C571" s="10"/>
      <c r="D571" s="10"/>
      <c r="E571" s="22"/>
      <c r="F571" s="22"/>
      <c r="G571" s="22"/>
      <c r="H571" s="10"/>
      <c r="I571" s="10"/>
      <c r="J571" s="15"/>
      <c r="K571" s="1"/>
      <c r="L571" s="15"/>
      <c r="M571" s="15"/>
      <c r="N571" s="15"/>
      <c r="O571" s="7"/>
      <c r="P571" s="10"/>
      <c r="Q571" s="10"/>
      <c r="R571" s="10"/>
      <c r="S571" s="10"/>
      <c r="T571" s="10"/>
      <c r="U571" s="10"/>
    </row>
    <row r="572" spans="1:21" x14ac:dyDescent="0.3">
      <c r="A572" s="10"/>
      <c r="B572" s="10"/>
      <c r="C572" s="10"/>
      <c r="D572" s="10"/>
      <c r="E572" s="22"/>
      <c r="F572" s="22"/>
      <c r="G572" s="22"/>
      <c r="H572" s="10"/>
      <c r="I572" s="10"/>
      <c r="J572" s="15"/>
      <c r="K572" s="1"/>
      <c r="L572" s="15"/>
      <c r="M572" s="15"/>
      <c r="N572" s="15"/>
      <c r="O572" s="7"/>
      <c r="P572" s="10"/>
      <c r="Q572" s="10"/>
      <c r="R572" s="10"/>
      <c r="S572" s="10"/>
      <c r="T572" s="10"/>
      <c r="U572" s="10"/>
    </row>
    <row r="573" spans="1:21" x14ac:dyDescent="0.3">
      <c r="A573" s="10"/>
      <c r="B573" s="10"/>
      <c r="C573" s="10"/>
      <c r="D573" s="10"/>
      <c r="E573" s="22"/>
      <c r="F573" s="22"/>
      <c r="G573" s="22"/>
      <c r="H573" s="10"/>
      <c r="I573" s="10"/>
      <c r="J573" s="15"/>
      <c r="K573" s="1"/>
      <c r="L573" s="15"/>
      <c r="M573" s="15"/>
      <c r="N573" s="15"/>
      <c r="O573" s="7"/>
      <c r="P573" s="10"/>
      <c r="Q573" s="10"/>
      <c r="R573" s="10"/>
      <c r="S573" s="10"/>
      <c r="T573" s="10"/>
      <c r="U573" s="10"/>
    </row>
    <row r="574" spans="1:21" x14ac:dyDescent="0.3">
      <c r="A574" s="10"/>
      <c r="B574" s="10"/>
      <c r="C574" s="10"/>
      <c r="D574" s="10"/>
      <c r="E574" s="22"/>
      <c r="F574" s="22"/>
      <c r="G574" s="22"/>
      <c r="H574" s="10"/>
      <c r="I574" s="10"/>
      <c r="J574" s="15"/>
      <c r="K574" s="1"/>
      <c r="L574" s="15"/>
      <c r="M574" s="15"/>
      <c r="N574" s="15"/>
      <c r="O574" s="7"/>
      <c r="P574" s="10"/>
      <c r="Q574" s="10"/>
      <c r="R574" s="10"/>
      <c r="S574" s="10"/>
      <c r="T574" s="10"/>
      <c r="U574" s="10"/>
    </row>
    <row r="575" spans="1:21" x14ac:dyDescent="0.3">
      <c r="A575" s="10"/>
      <c r="B575" s="10"/>
      <c r="C575" s="10"/>
      <c r="D575" s="10"/>
      <c r="E575" s="22"/>
      <c r="F575" s="22"/>
      <c r="G575" s="22"/>
      <c r="H575" s="10"/>
      <c r="I575" s="10"/>
      <c r="J575" s="15"/>
      <c r="K575" s="1"/>
      <c r="L575" s="15"/>
      <c r="M575" s="15"/>
      <c r="N575" s="15"/>
      <c r="O575" s="7"/>
      <c r="P575" s="10"/>
      <c r="Q575" s="10"/>
      <c r="R575" s="10"/>
      <c r="S575" s="10"/>
      <c r="T575" s="10"/>
      <c r="U575" s="10"/>
    </row>
    <row r="576" spans="1:21" x14ac:dyDescent="0.3">
      <c r="A576" s="10"/>
      <c r="B576" s="10"/>
      <c r="C576" s="10"/>
      <c r="D576" s="10"/>
      <c r="E576" s="22"/>
      <c r="F576" s="22"/>
      <c r="G576" s="22"/>
      <c r="H576" s="10"/>
      <c r="I576" s="10"/>
      <c r="J576" s="15"/>
      <c r="K576" s="1"/>
      <c r="L576" s="15"/>
      <c r="M576" s="15"/>
      <c r="N576" s="15"/>
      <c r="O576" s="7"/>
      <c r="P576" s="10"/>
      <c r="Q576" s="10"/>
      <c r="R576" s="10"/>
      <c r="S576" s="10"/>
      <c r="T576" s="10"/>
      <c r="U576" s="10"/>
    </row>
    <row r="577" spans="1:21" x14ac:dyDescent="0.3">
      <c r="A577" s="10"/>
      <c r="B577" s="10"/>
      <c r="C577" s="10"/>
      <c r="D577" s="10"/>
      <c r="E577" s="22"/>
      <c r="F577" s="22"/>
      <c r="G577" s="22"/>
      <c r="H577" s="10"/>
      <c r="I577" s="10"/>
      <c r="J577" s="15"/>
      <c r="K577" s="1"/>
      <c r="L577" s="15"/>
      <c r="M577" s="15"/>
      <c r="N577" s="15"/>
      <c r="O577" s="7"/>
      <c r="P577" s="10"/>
      <c r="Q577" s="10"/>
      <c r="R577" s="10"/>
      <c r="S577" s="10"/>
      <c r="T577" s="10"/>
      <c r="U577" s="10"/>
    </row>
    <row r="578" spans="1:21" x14ac:dyDescent="0.3">
      <c r="A578" s="10"/>
      <c r="B578" s="10"/>
      <c r="C578" s="10"/>
      <c r="D578" s="10"/>
      <c r="E578" s="22"/>
      <c r="F578" s="22"/>
      <c r="G578" s="22"/>
      <c r="H578" s="10"/>
      <c r="I578" s="10"/>
      <c r="J578" s="15"/>
      <c r="K578" s="1"/>
      <c r="L578" s="15"/>
      <c r="M578" s="15"/>
      <c r="N578" s="15"/>
      <c r="O578" s="7"/>
      <c r="P578" s="10"/>
      <c r="Q578" s="10"/>
      <c r="R578" s="10"/>
      <c r="S578" s="10"/>
      <c r="T578" s="10"/>
      <c r="U578" s="10"/>
    </row>
    <row r="579" spans="1:21" x14ac:dyDescent="0.3">
      <c r="A579" s="10"/>
      <c r="B579" s="10"/>
      <c r="C579" s="10"/>
      <c r="D579" s="10"/>
      <c r="E579" s="22"/>
      <c r="F579" s="22"/>
      <c r="G579" s="22"/>
      <c r="H579" s="10"/>
      <c r="I579" s="10"/>
      <c r="J579" s="15"/>
      <c r="K579" s="1"/>
      <c r="L579" s="15"/>
      <c r="M579" s="15"/>
      <c r="N579" s="15"/>
      <c r="O579" s="7"/>
      <c r="P579" s="10"/>
      <c r="Q579" s="10"/>
      <c r="R579" s="10"/>
      <c r="S579" s="10"/>
      <c r="T579" s="10"/>
      <c r="U579" s="10"/>
    </row>
    <row r="580" spans="1:21" x14ac:dyDescent="0.3">
      <c r="A580" s="10"/>
      <c r="B580" s="10"/>
      <c r="C580" s="10"/>
      <c r="D580" s="10"/>
      <c r="E580" s="22"/>
      <c r="F580" s="22"/>
      <c r="G580" s="22"/>
      <c r="H580" s="10"/>
      <c r="I580" s="10"/>
      <c r="J580" s="15"/>
      <c r="K580" s="1"/>
      <c r="L580" s="15"/>
      <c r="M580" s="15"/>
      <c r="N580" s="15"/>
      <c r="O580" s="7"/>
      <c r="P580" s="10"/>
      <c r="Q580" s="10"/>
      <c r="R580" s="10"/>
      <c r="S580" s="10"/>
      <c r="T580" s="10"/>
      <c r="U580" s="10"/>
    </row>
    <row r="581" spans="1:21" x14ac:dyDescent="0.3">
      <c r="A581" s="10"/>
      <c r="B581" s="10"/>
      <c r="C581" s="10"/>
      <c r="D581" s="10"/>
      <c r="E581" s="22"/>
      <c r="F581" s="22"/>
      <c r="G581" s="22"/>
      <c r="H581" s="10"/>
      <c r="I581" s="10"/>
      <c r="J581" s="15"/>
      <c r="K581" s="1"/>
      <c r="L581" s="15"/>
      <c r="M581" s="15"/>
      <c r="N581" s="15"/>
      <c r="O581" s="7"/>
      <c r="P581" s="10"/>
      <c r="Q581" s="10"/>
      <c r="R581" s="10"/>
      <c r="S581" s="10"/>
      <c r="T581" s="10"/>
      <c r="U581" s="10"/>
    </row>
    <row r="582" spans="1:21" x14ac:dyDescent="0.3">
      <c r="A582" s="10"/>
      <c r="B582" s="10"/>
      <c r="C582" s="10"/>
      <c r="D582" s="10"/>
      <c r="E582" s="22"/>
      <c r="F582" s="22"/>
      <c r="G582" s="22"/>
      <c r="H582" s="10"/>
      <c r="I582" s="10"/>
      <c r="J582" s="15"/>
      <c r="K582" s="1"/>
      <c r="L582" s="15"/>
      <c r="M582" s="15"/>
      <c r="N582" s="15"/>
      <c r="O582" s="7"/>
      <c r="P582" s="10"/>
      <c r="Q582" s="10"/>
      <c r="R582" s="10"/>
      <c r="S582" s="10"/>
      <c r="T582" s="10"/>
      <c r="U582" s="10"/>
    </row>
    <row r="583" spans="1:21" x14ac:dyDescent="0.3">
      <c r="A583" s="10"/>
      <c r="B583" s="10"/>
      <c r="C583" s="10"/>
      <c r="D583" s="10"/>
      <c r="E583" s="22"/>
      <c r="F583" s="22"/>
      <c r="G583" s="22"/>
      <c r="H583" s="10"/>
      <c r="I583" s="10"/>
      <c r="J583" s="15"/>
      <c r="K583" s="1"/>
      <c r="L583" s="15"/>
      <c r="M583" s="15"/>
      <c r="N583" s="15"/>
      <c r="O583" s="7"/>
      <c r="P583" s="10"/>
      <c r="Q583" s="10"/>
      <c r="R583" s="10"/>
      <c r="S583" s="10"/>
      <c r="T583" s="10"/>
      <c r="U583" s="10"/>
    </row>
    <row r="584" spans="1:21" x14ac:dyDescent="0.3">
      <c r="A584" s="10"/>
      <c r="B584" s="10"/>
      <c r="C584" s="10"/>
      <c r="D584" s="10"/>
      <c r="E584" s="22"/>
      <c r="F584" s="22"/>
      <c r="G584" s="22"/>
      <c r="H584" s="10"/>
      <c r="I584" s="10"/>
      <c r="J584" s="15"/>
      <c r="K584" s="1"/>
      <c r="L584" s="15"/>
      <c r="M584" s="15"/>
      <c r="N584" s="15"/>
      <c r="O584" s="7"/>
      <c r="P584" s="10"/>
      <c r="Q584" s="10"/>
      <c r="R584" s="10"/>
      <c r="S584" s="10"/>
      <c r="T584" s="10"/>
      <c r="U584" s="10"/>
    </row>
    <row r="585" spans="1:21" x14ac:dyDescent="0.3">
      <c r="A585" s="10"/>
      <c r="B585" s="10"/>
      <c r="C585" s="10"/>
      <c r="D585" s="10"/>
      <c r="E585" s="22"/>
      <c r="F585" s="22"/>
      <c r="G585" s="22"/>
      <c r="H585" s="10"/>
      <c r="I585" s="10"/>
      <c r="J585" s="15"/>
      <c r="K585" s="1"/>
      <c r="L585" s="15"/>
      <c r="M585" s="15"/>
      <c r="N585" s="15"/>
      <c r="O585" s="7"/>
      <c r="P585" s="10"/>
      <c r="Q585" s="10"/>
      <c r="R585" s="10"/>
      <c r="S585" s="10"/>
      <c r="T585" s="10"/>
      <c r="U585" s="10"/>
    </row>
    <row r="586" spans="1:21" x14ac:dyDescent="0.3">
      <c r="A586" s="10"/>
      <c r="B586" s="10"/>
      <c r="C586" s="10"/>
      <c r="D586" s="10"/>
      <c r="E586" s="22"/>
      <c r="F586" s="22"/>
      <c r="G586" s="22"/>
      <c r="H586" s="10"/>
      <c r="I586" s="10"/>
      <c r="J586" s="15"/>
      <c r="K586" s="1"/>
      <c r="L586" s="15"/>
      <c r="M586" s="15"/>
      <c r="N586" s="15"/>
      <c r="O586" s="7"/>
      <c r="P586" s="10"/>
      <c r="Q586" s="10"/>
      <c r="R586" s="10"/>
      <c r="S586" s="10"/>
      <c r="T586" s="10"/>
      <c r="U586" s="10"/>
    </row>
    <row r="587" spans="1:21" x14ac:dyDescent="0.3">
      <c r="A587" s="10"/>
      <c r="B587" s="10"/>
      <c r="C587" s="10"/>
      <c r="D587" s="10"/>
      <c r="E587" s="22"/>
      <c r="F587" s="22"/>
      <c r="G587" s="22"/>
      <c r="H587" s="10"/>
      <c r="I587" s="10"/>
      <c r="J587" s="15"/>
      <c r="K587" s="1"/>
      <c r="L587" s="15"/>
      <c r="M587" s="15"/>
      <c r="N587" s="15"/>
      <c r="O587" s="7"/>
      <c r="P587" s="10"/>
      <c r="Q587" s="10"/>
      <c r="R587" s="10"/>
      <c r="S587" s="10"/>
      <c r="T587" s="10"/>
      <c r="U587" s="10"/>
    </row>
    <row r="588" spans="1:21" x14ac:dyDescent="0.3">
      <c r="A588" s="10"/>
      <c r="B588" s="10"/>
      <c r="C588" s="10"/>
      <c r="D588" s="10"/>
      <c r="E588" s="22"/>
      <c r="F588" s="22"/>
      <c r="G588" s="22"/>
      <c r="H588" s="10"/>
      <c r="I588" s="10"/>
      <c r="J588" s="15"/>
      <c r="K588" s="1"/>
      <c r="L588" s="15"/>
      <c r="M588" s="15"/>
      <c r="N588" s="15"/>
      <c r="O588" s="7"/>
      <c r="P588" s="10"/>
      <c r="Q588" s="10"/>
      <c r="R588" s="10"/>
      <c r="S588" s="10"/>
      <c r="T588" s="10"/>
      <c r="U588" s="10"/>
    </row>
    <row r="589" spans="1:21" x14ac:dyDescent="0.3">
      <c r="A589" s="10"/>
      <c r="B589" s="10"/>
      <c r="C589" s="10"/>
      <c r="D589" s="10"/>
      <c r="E589" s="22"/>
      <c r="F589" s="22"/>
      <c r="G589" s="22"/>
      <c r="H589" s="10"/>
      <c r="I589" s="10"/>
      <c r="J589" s="15"/>
      <c r="K589" s="1"/>
      <c r="L589" s="15"/>
      <c r="M589" s="15"/>
      <c r="N589" s="15"/>
      <c r="O589" s="7"/>
      <c r="P589" s="10"/>
      <c r="Q589" s="10"/>
      <c r="R589" s="10"/>
      <c r="S589" s="10"/>
      <c r="T589" s="10"/>
      <c r="U589" s="10"/>
    </row>
    <row r="590" spans="1:21" x14ac:dyDescent="0.3">
      <c r="A590" s="10"/>
      <c r="B590" s="10"/>
      <c r="C590" s="10"/>
      <c r="D590" s="10"/>
      <c r="E590" s="22"/>
      <c r="F590" s="22"/>
      <c r="G590" s="22"/>
      <c r="H590" s="10"/>
      <c r="I590" s="10"/>
      <c r="J590" s="15"/>
      <c r="K590" s="1"/>
      <c r="L590" s="15"/>
      <c r="M590" s="15"/>
      <c r="N590" s="15"/>
      <c r="O590" s="7"/>
      <c r="P590" s="10"/>
      <c r="Q590" s="10"/>
      <c r="R590" s="10"/>
      <c r="S590" s="10"/>
      <c r="T590" s="10"/>
      <c r="U590" s="10"/>
    </row>
    <row r="591" spans="1:21" x14ac:dyDescent="0.3">
      <c r="A591" s="10"/>
      <c r="B591" s="10"/>
      <c r="C591" s="10"/>
      <c r="D591" s="10"/>
      <c r="E591" s="22"/>
      <c r="F591" s="22"/>
      <c r="G591" s="22"/>
      <c r="H591" s="10"/>
      <c r="I591" s="10"/>
      <c r="J591" s="15"/>
      <c r="K591" s="1"/>
      <c r="L591" s="15"/>
      <c r="M591" s="15"/>
      <c r="N591" s="15"/>
      <c r="O591" s="7"/>
      <c r="P591" s="10"/>
      <c r="Q591" s="10"/>
      <c r="R591" s="10"/>
      <c r="S591" s="10"/>
      <c r="T591" s="10"/>
      <c r="U591" s="10"/>
    </row>
    <row r="592" spans="1:21" x14ac:dyDescent="0.3">
      <c r="A592" s="10"/>
      <c r="B592" s="10"/>
      <c r="C592" s="10"/>
      <c r="D592" s="10"/>
      <c r="E592" s="22"/>
      <c r="F592" s="22"/>
      <c r="G592" s="22"/>
      <c r="H592" s="10"/>
      <c r="I592" s="10"/>
      <c r="J592" s="15"/>
      <c r="K592" s="1"/>
      <c r="L592" s="15"/>
      <c r="M592" s="15"/>
      <c r="N592" s="15"/>
      <c r="O592" s="7"/>
      <c r="P592" s="10"/>
      <c r="Q592" s="10"/>
      <c r="R592" s="10"/>
      <c r="S592" s="10"/>
      <c r="T592" s="10"/>
      <c r="U592" s="10"/>
    </row>
    <row r="593" spans="1:21" x14ac:dyDescent="0.3">
      <c r="A593" s="10"/>
      <c r="B593" s="10"/>
      <c r="C593" s="10"/>
      <c r="D593" s="10"/>
      <c r="E593" s="22"/>
      <c r="F593" s="22"/>
      <c r="G593" s="22"/>
      <c r="H593" s="10"/>
      <c r="I593" s="10"/>
      <c r="J593" s="15"/>
      <c r="K593" s="1"/>
      <c r="L593" s="15"/>
      <c r="M593" s="15"/>
      <c r="N593" s="15"/>
      <c r="O593" s="7"/>
      <c r="P593" s="10"/>
      <c r="Q593" s="10"/>
      <c r="R593" s="10"/>
      <c r="S593" s="10"/>
      <c r="T593" s="10"/>
      <c r="U593" s="10"/>
    </row>
    <row r="594" spans="1:21" x14ac:dyDescent="0.3">
      <c r="A594" s="10"/>
      <c r="B594" s="10"/>
      <c r="C594" s="10"/>
      <c r="D594" s="10"/>
      <c r="E594" s="22"/>
      <c r="F594" s="22"/>
      <c r="G594" s="22"/>
      <c r="H594" s="10"/>
      <c r="I594" s="10"/>
      <c r="J594" s="15"/>
      <c r="K594" s="1"/>
      <c r="L594" s="15"/>
      <c r="M594" s="15"/>
      <c r="N594" s="15"/>
      <c r="O594" s="7"/>
      <c r="P594" s="10"/>
      <c r="Q594" s="10"/>
      <c r="R594" s="10"/>
      <c r="S594" s="10"/>
      <c r="T594" s="10"/>
      <c r="U594" s="10"/>
    </row>
    <row r="595" spans="1:21" x14ac:dyDescent="0.3">
      <c r="A595" s="10"/>
      <c r="B595" s="10"/>
      <c r="C595" s="10"/>
      <c r="D595" s="10"/>
      <c r="E595" s="22"/>
      <c r="F595" s="22"/>
      <c r="G595" s="22"/>
      <c r="H595" s="10"/>
      <c r="I595" s="10"/>
      <c r="J595" s="15"/>
      <c r="K595" s="1"/>
      <c r="L595" s="15"/>
      <c r="M595" s="15"/>
      <c r="N595" s="15"/>
      <c r="O595" s="7"/>
      <c r="P595" s="10"/>
      <c r="Q595" s="10"/>
      <c r="R595" s="10"/>
      <c r="S595" s="10"/>
      <c r="T595" s="10"/>
      <c r="U595" s="10"/>
    </row>
    <row r="596" spans="1:21" x14ac:dyDescent="0.3">
      <c r="A596" s="10"/>
      <c r="B596" s="10"/>
      <c r="C596" s="10"/>
      <c r="D596" s="10"/>
      <c r="E596" s="22"/>
      <c r="F596" s="22"/>
      <c r="G596" s="22"/>
      <c r="H596" s="10"/>
      <c r="I596" s="10"/>
      <c r="J596" s="15"/>
      <c r="K596" s="1"/>
      <c r="L596" s="15"/>
      <c r="M596" s="15"/>
      <c r="N596" s="15"/>
      <c r="O596" s="7"/>
      <c r="P596" s="10"/>
      <c r="Q596" s="10"/>
      <c r="R596" s="10"/>
      <c r="S596" s="10"/>
      <c r="T596" s="10"/>
      <c r="U596" s="10"/>
    </row>
    <row r="597" spans="1:21" x14ac:dyDescent="0.3">
      <c r="A597" s="10"/>
      <c r="B597" s="10"/>
      <c r="C597" s="10"/>
      <c r="D597" s="10"/>
      <c r="E597" s="22"/>
      <c r="F597" s="22"/>
      <c r="G597" s="22"/>
      <c r="H597" s="10"/>
      <c r="I597" s="10"/>
      <c r="J597" s="15"/>
      <c r="K597" s="1"/>
      <c r="L597" s="15"/>
      <c r="M597" s="15"/>
      <c r="N597" s="15"/>
      <c r="O597" s="7"/>
      <c r="P597" s="10"/>
      <c r="Q597" s="10"/>
      <c r="R597" s="10"/>
      <c r="S597" s="10"/>
      <c r="T597" s="10"/>
      <c r="U597" s="10"/>
    </row>
    <row r="598" spans="1:21" x14ac:dyDescent="0.3">
      <c r="A598" s="10"/>
      <c r="B598" s="10"/>
      <c r="C598" s="10"/>
      <c r="D598" s="10"/>
      <c r="E598" s="22"/>
      <c r="F598" s="22"/>
      <c r="G598" s="22"/>
      <c r="H598" s="10"/>
      <c r="I598" s="10"/>
      <c r="J598" s="15"/>
      <c r="K598" s="1"/>
      <c r="L598" s="15"/>
      <c r="M598" s="15"/>
      <c r="N598" s="15"/>
      <c r="O598" s="7"/>
      <c r="P598" s="10"/>
      <c r="Q598" s="10"/>
      <c r="R598" s="10"/>
      <c r="S598" s="10"/>
      <c r="T598" s="10"/>
      <c r="U598" s="10"/>
    </row>
    <row r="599" spans="1:21" x14ac:dyDescent="0.3">
      <c r="A599" s="10"/>
      <c r="B599" s="10"/>
      <c r="C599" s="10"/>
      <c r="D599" s="10"/>
      <c r="E599" s="22"/>
      <c r="F599" s="22"/>
      <c r="G599" s="22"/>
      <c r="H599" s="10"/>
      <c r="I599" s="10"/>
      <c r="J599" s="15"/>
      <c r="K599" s="1"/>
      <c r="L599" s="15"/>
      <c r="M599" s="15"/>
      <c r="N599" s="15"/>
      <c r="O599" s="7"/>
      <c r="P599" s="10"/>
      <c r="Q599" s="10"/>
      <c r="R599" s="10"/>
      <c r="S599" s="10"/>
      <c r="T599" s="10"/>
      <c r="U599" s="10"/>
    </row>
    <row r="600" spans="1:21" x14ac:dyDescent="0.3">
      <c r="A600" s="10"/>
      <c r="B600" s="10"/>
      <c r="C600" s="10"/>
      <c r="D600" s="10"/>
      <c r="E600" s="22"/>
      <c r="F600" s="22"/>
      <c r="G600" s="22"/>
      <c r="H600" s="10"/>
      <c r="I600" s="10"/>
      <c r="J600" s="15"/>
      <c r="K600" s="1"/>
      <c r="L600" s="15"/>
      <c r="M600" s="15"/>
      <c r="N600" s="15"/>
      <c r="O600" s="7"/>
      <c r="P600" s="10"/>
      <c r="Q600" s="10"/>
      <c r="R600" s="10"/>
      <c r="S600" s="10"/>
      <c r="T600" s="10"/>
      <c r="U600" s="10"/>
    </row>
    <row r="601" spans="1:21" x14ac:dyDescent="0.3">
      <c r="A601" s="10"/>
      <c r="B601" s="10"/>
      <c r="C601" s="10"/>
      <c r="D601" s="10"/>
      <c r="E601" s="22"/>
      <c r="F601" s="22"/>
      <c r="G601" s="22"/>
      <c r="H601" s="10"/>
      <c r="I601" s="10"/>
      <c r="J601" s="15"/>
      <c r="K601" s="1"/>
      <c r="L601" s="15"/>
      <c r="M601" s="15"/>
      <c r="N601" s="15"/>
      <c r="O601" s="7"/>
      <c r="P601" s="10"/>
      <c r="Q601" s="10"/>
      <c r="R601" s="10"/>
      <c r="S601" s="10"/>
      <c r="T601" s="10"/>
      <c r="U601" s="10"/>
    </row>
    <row r="602" spans="1:21" x14ac:dyDescent="0.3">
      <c r="A602" s="10"/>
      <c r="B602" s="10"/>
      <c r="C602" s="10"/>
      <c r="D602" s="10"/>
      <c r="E602" s="22"/>
      <c r="F602" s="22"/>
      <c r="G602" s="22"/>
      <c r="H602" s="10"/>
      <c r="I602" s="10"/>
      <c r="J602" s="15"/>
      <c r="K602" s="1"/>
      <c r="L602" s="15"/>
      <c r="M602" s="15"/>
      <c r="N602" s="15"/>
      <c r="O602" s="7"/>
      <c r="P602" s="10"/>
      <c r="Q602" s="10"/>
      <c r="R602" s="10"/>
      <c r="S602" s="10"/>
      <c r="T602" s="10"/>
      <c r="U602" s="10"/>
    </row>
    <row r="603" spans="1:21" x14ac:dyDescent="0.3">
      <c r="A603" s="10"/>
      <c r="B603" s="10"/>
      <c r="C603" s="10"/>
      <c r="D603" s="10"/>
      <c r="E603" s="22"/>
      <c r="F603" s="22"/>
      <c r="G603" s="22"/>
      <c r="H603" s="10"/>
      <c r="I603" s="10"/>
      <c r="J603" s="15"/>
      <c r="K603" s="1"/>
      <c r="L603" s="15"/>
      <c r="M603" s="15"/>
      <c r="N603" s="15"/>
      <c r="O603" s="7"/>
      <c r="P603" s="10"/>
      <c r="Q603" s="10"/>
      <c r="R603" s="10"/>
      <c r="S603" s="10"/>
      <c r="T603" s="10"/>
      <c r="U603" s="10"/>
    </row>
    <row r="604" spans="1:21" x14ac:dyDescent="0.3">
      <c r="A604" s="10"/>
      <c r="B604" s="10"/>
      <c r="C604" s="10"/>
      <c r="D604" s="10"/>
      <c r="E604" s="22"/>
      <c r="F604" s="22"/>
      <c r="G604" s="22"/>
      <c r="H604" s="10"/>
      <c r="I604" s="10"/>
      <c r="J604" s="15"/>
      <c r="K604" s="1"/>
      <c r="L604" s="15"/>
      <c r="M604" s="15"/>
      <c r="N604" s="15"/>
      <c r="O604" s="7"/>
      <c r="P604" s="10"/>
      <c r="Q604" s="10"/>
      <c r="R604" s="10"/>
      <c r="S604" s="10"/>
      <c r="T604" s="10"/>
      <c r="U604" s="10"/>
    </row>
    <row r="605" spans="1:21" x14ac:dyDescent="0.3">
      <c r="A605" s="10"/>
      <c r="B605" s="10"/>
      <c r="C605" s="10"/>
      <c r="D605" s="10"/>
      <c r="E605" s="22"/>
      <c r="F605" s="22"/>
      <c r="G605" s="22"/>
      <c r="H605" s="10"/>
      <c r="I605" s="10"/>
      <c r="J605" s="15"/>
      <c r="K605" s="1"/>
      <c r="L605" s="15"/>
      <c r="M605" s="15"/>
      <c r="N605" s="15"/>
      <c r="O605" s="7"/>
      <c r="P605" s="10"/>
      <c r="Q605" s="10"/>
      <c r="R605" s="10"/>
      <c r="S605" s="10"/>
      <c r="T605" s="10"/>
      <c r="U605" s="10"/>
    </row>
    <row r="606" spans="1:21" x14ac:dyDescent="0.3">
      <c r="A606" s="10"/>
      <c r="B606" s="10"/>
      <c r="C606" s="10"/>
      <c r="D606" s="10"/>
      <c r="E606" s="22"/>
      <c r="F606" s="22"/>
      <c r="G606" s="22"/>
      <c r="H606" s="10"/>
      <c r="I606" s="10"/>
      <c r="J606" s="15"/>
      <c r="K606" s="1"/>
      <c r="L606" s="15"/>
      <c r="M606" s="15"/>
      <c r="N606" s="15"/>
      <c r="O606" s="7"/>
      <c r="P606" s="10"/>
      <c r="Q606" s="10"/>
      <c r="R606" s="10"/>
      <c r="S606" s="10"/>
      <c r="T606" s="10"/>
      <c r="U606" s="10"/>
    </row>
    <row r="607" spans="1:21" x14ac:dyDescent="0.3">
      <c r="A607" s="10"/>
      <c r="B607" s="10"/>
      <c r="C607" s="10"/>
      <c r="D607" s="10"/>
      <c r="E607" s="22"/>
      <c r="F607" s="22"/>
      <c r="G607" s="22"/>
      <c r="H607" s="10"/>
      <c r="I607" s="10"/>
      <c r="J607" s="15"/>
      <c r="K607" s="1"/>
      <c r="L607" s="15"/>
      <c r="M607" s="15"/>
      <c r="N607" s="15"/>
      <c r="O607" s="7"/>
      <c r="P607" s="10"/>
      <c r="Q607" s="10"/>
      <c r="R607" s="10"/>
      <c r="S607" s="10"/>
      <c r="T607" s="10"/>
      <c r="U607" s="10"/>
    </row>
    <row r="608" spans="1:21" x14ac:dyDescent="0.3">
      <c r="A608" s="10"/>
      <c r="B608" s="10"/>
      <c r="C608" s="10"/>
      <c r="D608" s="10"/>
      <c r="E608" s="22"/>
      <c r="F608" s="22"/>
      <c r="G608" s="22"/>
      <c r="H608" s="10"/>
      <c r="I608" s="10"/>
      <c r="J608" s="15"/>
      <c r="K608" s="1"/>
      <c r="L608" s="15"/>
      <c r="M608" s="15"/>
      <c r="N608" s="15"/>
      <c r="O608" s="7"/>
      <c r="P608" s="10"/>
      <c r="Q608" s="10"/>
      <c r="R608" s="10"/>
      <c r="S608" s="10"/>
      <c r="T608" s="10"/>
      <c r="U608" s="10"/>
    </row>
    <row r="609" spans="1:21" x14ac:dyDescent="0.3">
      <c r="A609" s="10"/>
      <c r="B609" s="10"/>
      <c r="C609" s="10"/>
      <c r="D609" s="10"/>
      <c r="E609" s="22"/>
      <c r="F609" s="22"/>
      <c r="G609" s="22"/>
      <c r="H609" s="10"/>
      <c r="I609" s="10"/>
      <c r="J609" s="15"/>
      <c r="K609" s="1"/>
      <c r="L609" s="15"/>
      <c r="M609" s="15"/>
      <c r="N609" s="15"/>
      <c r="O609" s="7"/>
      <c r="P609" s="10"/>
      <c r="Q609" s="10"/>
      <c r="R609" s="10"/>
      <c r="S609" s="10"/>
      <c r="T609" s="10"/>
      <c r="U609" s="10"/>
    </row>
    <row r="610" spans="1:21" x14ac:dyDescent="0.3">
      <c r="A610" s="10"/>
      <c r="B610" s="10"/>
      <c r="C610" s="10"/>
      <c r="D610" s="10"/>
      <c r="E610" s="22"/>
      <c r="F610" s="22"/>
      <c r="G610" s="22"/>
      <c r="H610" s="10"/>
      <c r="I610" s="10"/>
      <c r="J610" s="15"/>
      <c r="K610" s="1"/>
      <c r="L610" s="15"/>
      <c r="M610" s="15"/>
      <c r="N610" s="15"/>
      <c r="O610" s="7"/>
      <c r="P610" s="10"/>
      <c r="Q610" s="10"/>
      <c r="R610" s="10"/>
      <c r="S610" s="10"/>
      <c r="T610" s="10"/>
      <c r="U610" s="10"/>
    </row>
    <row r="611" spans="1:21" x14ac:dyDescent="0.3">
      <c r="A611" s="10"/>
      <c r="B611" s="10"/>
      <c r="C611" s="10"/>
      <c r="D611" s="10"/>
      <c r="E611" s="22"/>
      <c r="F611" s="22"/>
      <c r="G611" s="22"/>
      <c r="H611" s="10"/>
      <c r="I611" s="10"/>
      <c r="J611" s="15"/>
      <c r="K611" s="1"/>
      <c r="L611" s="15"/>
      <c r="M611" s="15"/>
      <c r="N611" s="15"/>
      <c r="O611" s="7"/>
      <c r="P611" s="10"/>
      <c r="Q611" s="10"/>
      <c r="R611" s="10"/>
      <c r="S611" s="10"/>
      <c r="T611" s="10"/>
      <c r="U611" s="10"/>
    </row>
    <row r="612" spans="1:21" x14ac:dyDescent="0.3">
      <c r="A612" s="10"/>
      <c r="B612" s="10"/>
      <c r="C612" s="10"/>
      <c r="D612" s="10"/>
      <c r="E612" s="22"/>
      <c r="F612" s="22"/>
      <c r="G612" s="22"/>
      <c r="H612" s="10"/>
      <c r="I612" s="10"/>
      <c r="J612" s="15"/>
      <c r="K612" s="1"/>
      <c r="L612" s="15"/>
      <c r="M612" s="15"/>
      <c r="N612" s="15"/>
      <c r="O612" s="7"/>
      <c r="P612" s="10"/>
      <c r="Q612" s="10"/>
      <c r="R612" s="10"/>
      <c r="S612" s="10"/>
      <c r="T612" s="10"/>
      <c r="U612" s="10"/>
    </row>
    <row r="613" spans="1:21" x14ac:dyDescent="0.3">
      <c r="A613" s="10"/>
      <c r="B613" s="10"/>
      <c r="C613" s="10"/>
      <c r="D613" s="10"/>
      <c r="E613" s="22"/>
      <c r="F613" s="22"/>
      <c r="G613" s="22"/>
      <c r="H613" s="10"/>
      <c r="I613" s="10"/>
      <c r="J613" s="15"/>
      <c r="K613" s="1"/>
      <c r="L613" s="15"/>
      <c r="M613" s="15"/>
      <c r="N613" s="15"/>
      <c r="O613" s="7"/>
      <c r="P613" s="10"/>
      <c r="Q613" s="10"/>
      <c r="R613" s="10"/>
      <c r="S613" s="10"/>
      <c r="T613" s="10"/>
      <c r="U613" s="10"/>
    </row>
    <row r="614" spans="1:21" x14ac:dyDescent="0.3">
      <c r="A614" s="10"/>
      <c r="B614" s="10"/>
      <c r="C614" s="10"/>
      <c r="D614" s="10"/>
      <c r="E614" s="22"/>
      <c r="F614" s="22"/>
      <c r="G614" s="22"/>
      <c r="H614" s="10"/>
      <c r="I614" s="10"/>
      <c r="J614" s="15"/>
      <c r="K614" s="1"/>
      <c r="L614" s="15"/>
      <c r="M614" s="15"/>
      <c r="N614" s="15"/>
      <c r="O614" s="7"/>
      <c r="P614" s="10"/>
      <c r="Q614" s="10"/>
      <c r="R614" s="10"/>
      <c r="S614" s="10"/>
      <c r="T614" s="10"/>
      <c r="U614" s="10"/>
    </row>
    <row r="615" spans="1:21" x14ac:dyDescent="0.3">
      <c r="A615" s="10"/>
      <c r="B615" s="10"/>
      <c r="C615" s="10"/>
      <c r="D615" s="10"/>
      <c r="E615" s="22"/>
      <c r="F615" s="22"/>
      <c r="G615" s="22"/>
      <c r="H615" s="10"/>
      <c r="I615" s="10"/>
      <c r="J615" s="15"/>
      <c r="K615" s="1"/>
      <c r="L615" s="15"/>
      <c r="M615" s="15"/>
      <c r="N615" s="15"/>
      <c r="O615" s="7"/>
      <c r="P615" s="10"/>
      <c r="Q615" s="10"/>
      <c r="R615" s="10"/>
      <c r="S615" s="10"/>
      <c r="T615" s="10"/>
      <c r="U615" s="10"/>
    </row>
    <row r="616" spans="1:21" x14ac:dyDescent="0.3">
      <c r="A616" s="10"/>
      <c r="B616" s="10"/>
      <c r="C616" s="10"/>
      <c r="D616" s="10"/>
      <c r="E616" s="22"/>
      <c r="F616" s="22"/>
      <c r="G616" s="22"/>
      <c r="H616" s="10"/>
      <c r="I616" s="10"/>
      <c r="J616" s="15"/>
      <c r="K616" s="1"/>
      <c r="L616" s="15"/>
      <c r="M616" s="15"/>
      <c r="N616" s="15"/>
      <c r="O616" s="7"/>
      <c r="P616" s="10"/>
      <c r="Q616" s="10"/>
      <c r="R616" s="10"/>
      <c r="S616" s="10"/>
      <c r="T616" s="10"/>
      <c r="U616" s="10"/>
    </row>
    <row r="617" spans="1:21" x14ac:dyDescent="0.3">
      <c r="A617" s="10"/>
      <c r="B617" s="10"/>
      <c r="C617" s="10"/>
      <c r="D617" s="10"/>
      <c r="E617" s="22"/>
      <c r="F617" s="22"/>
      <c r="G617" s="22"/>
      <c r="H617" s="10"/>
      <c r="I617" s="10"/>
      <c r="J617" s="15"/>
      <c r="K617" s="1"/>
      <c r="L617" s="15"/>
      <c r="M617" s="15"/>
      <c r="N617" s="15"/>
      <c r="O617" s="7"/>
      <c r="P617" s="10"/>
      <c r="Q617" s="10"/>
      <c r="R617" s="10"/>
      <c r="S617" s="10"/>
      <c r="T617" s="10"/>
      <c r="U617" s="10"/>
    </row>
    <row r="618" spans="1:21" x14ac:dyDescent="0.3">
      <c r="A618" s="10"/>
      <c r="B618" s="10"/>
      <c r="C618" s="10"/>
      <c r="D618" s="10"/>
      <c r="E618" s="22"/>
      <c r="F618" s="22"/>
      <c r="G618" s="22"/>
      <c r="H618" s="10"/>
      <c r="I618" s="10"/>
      <c r="J618" s="15"/>
      <c r="K618" s="1"/>
      <c r="L618" s="15"/>
      <c r="M618" s="15"/>
      <c r="N618" s="15"/>
      <c r="O618" s="7"/>
      <c r="P618" s="10"/>
      <c r="Q618" s="10"/>
      <c r="R618" s="10"/>
      <c r="S618" s="10"/>
      <c r="T618" s="10"/>
      <c r="U618" s="10"/>
    </row>
    <row r="619" spans="1:21" x14ac:dyDescent="0.3">
      <c r="A619" s="10"/>
      <c r="B619" s="10"/>
      <c r="C619" s="10"/>
      <c r="D619" s="10"/>
      <c r="E619" s="22"/>
      <c r="F619" s="22"/>
      <c r="G619" s="22"/>
      <c r="H619" s="10"/>
      <c r="I619" s="10"/>
      <c r="J619" s="15"/>
      <c r="K619" s="1"/>
      <c r="L619" s="15"/>
      <c r="M619" s="15"/>
      <c r="N619" s="15"/>
      <c r="O619" s="7"/>
      <c r="P619" s="10"/>
      <c r="Q619" s="10"/>
      <c r="R619" s="10"/>
      <c r="S619" s="10"/>
      <c r="T619" s="10"/>
      <c r="U619" s="10"/>
    </row>
    <row r="620" spans="1:21" x14ac:dyDescent="0.3">
      <c r="A620" s="10"/>
      <c r="B620" s="10"/>
      <c r="C620" s="10"/>
      <c r="D620" s="10"/>
      <c r="E620" s="22"/>
      <c r="F620" s="22"/>
      <c r="G620" s="22"/>
      <c r="H620" s="10"/>
      <c r="I620" s="10"/>
      <c r="J620" s="15"/>
      <c r="K620" s="1"/>
      <c r="L620" s="15"/>
      <c r="M620" s="15"/>
      <c r="N620" s="15"/>
      <c r="O620" s="7"/>
      <c r="P620" s="10"/>
      <c r="Q620" s="10"/>
      <c r="R620" s="10"/>
      <c r="S620" s="10"/>
      <c r="T620" s="10"/>
      <c r="U620" s="10"/>
    </row>
    <row r="621" spans="1:21" x14ac:dyDescent="0.3">
      <c r="A621" s="10"/>
      <c r="B621" s="10"/>
      <c r="C621" s="10"/>
      <c r="D621" s="10"/>
      <c r="E621" s="22"/>
      <c r="F621" s="22"/>
      <c r="G621" s="22"/>
      <c r="H621" s="10"/>
      <c r="I621" s="10"/>
      <c r="J621" s="15"/>
      <c r="K621" s="1"/>
      <c r="L621" s="15"/>
      <c r="M621" s="15"/>
      <c r="N621" s="15"/>
      <c r="O621" s="7"/>
      <c r="P621" s="10"/>
      <c r="Q621" s="10"/>
      <c r="R621" s="10"/>
      <c r="S621" s="10"/>
      <c r="T621" s="10"/>
      <c r="U621" s="10"/>
    </row>
    <row r="622" spans="1:21" x14ac:dyDescent="0.3">
      <c r="A622" s="10"/>
      <c r="B622" s="10"/>
      <c r="C622" s="10"/>
      <c r="D622" s="10"/>
      <c r="E622" s="22"/>
      <c r="F622" s="22"/>
      <c r="G622" s="22"/>
      <c r="H622" s="10"/>
      <c r="I622" s="10"/>
      <c r="J622" s="15"/>
      <c r="K622" s="1"/>
      <c r="L622" s="15"/>
      <c r="M622" s="15"/>
      <c r="N622" s="15"/>
      <c r="O622" s="7"/>
      <c r="P622" s="10"/>
      <c r="Q622" s="10"/>
      <c r="R622" s="10"/>
      <c r="S622" s="10"/>
      <c r="T622" s="10"/>
      <c r="U622" s="10"/>
    </row>
    <row r="623" spans="1:21" x14ac:dyDescent="0.3">
      <c r="A623" s="10"/>
      <c r="B623" s="10"/>
      <c r="C623" s="10"/>
      <c r="D623" s="10"/>
      <c r="E623" s="22"/>
      <c r="F623" s="22"/>
      <c r="G623" s="22"/>
      <c r="H623" s="10"/>
      <c r="I623" s="10"/>
      <c r="J623" s="15"/>
      <c r="K623" s="1"/>
      <c r="L623" s="15"/>
      <c r="M623" s="15"/>
      <c r="N623" s="15"/>
      <c r="O623" s="7"/>
      <c r="P623" s="10"/>
      <c r="Q623" s="10"/>
      <c r="R623" s="10"/>
      <c r="S623" s="10"/>
      <c r="T623" s="10"/>
      <c r="U623" s="10"/>
    </row>
    <row r="624" spans="1:21" x14ac:dyDescent="0.3">
      <c r="A624" s="10"/>
      <c r="B624" s="10"/>
      <c r="C624" s="10"/>
      <c r="D624" s="10"/>
      <c r="E624" s="22"/>
      <c r="F624" s="22"/>
      <c r="G624" s="22"/>
      <c r="H624" s="10"/>
      <c r="I624" s="10"/>
      <c r="J624" s="15"/>
      <c r="K624" s="1"/>
      <c r="L624" s="15"/>
      <c r="M624" s="15"/>
      <c r="N624" s="15"/>
      <c r="O624" s="7"/>
      <c r="P624" s="10"/>
      <c r="Q624" s="10"/>
      <c r="R624" s="10"/>
      <c r="S624" s="10"/>
      <c r="T624" s="10"/>
      <c r="U624" s="10"/>
    </row>
    <row r="625" spans="1:21" x14ac:dyDescent="0.3">
      <c r="A625" s="10"/>
      <c r="B625" s="10"/>
      <c r="C625" s="10"/>
      <c r="D625" s="10"/>
      <c r="E625" s="22"/>
      <c r="F625" s="22"/>
      <c r="G625" s="22"/>
      <c r="H625" s="10"/>
      <c r="I625" s="10"/>
      <c r="J625" s="15"/>
      <c r="K625" s="1"/>
      <c r="L625" s="15"/>
      <c r="M625" s="15"/>
      <c r="N625" s="15"/>
      <c r="O625" s="7"/>
      <c r="P625" s="10"/>
      <c r="Q625" s="10"/>
      <c r="R625" s="10"/>
      <c r="S625" s="10"/>
      <c r="T625" s="10"/>
      <c r="U625" s="10"/>
    </row>
    <row r="626" spans="1:21" x14ac:dyDescent="0.3">
      <c r="A626" s="10"/>
      <c r="B626" s="10"/>
      <c r="C626" s="10"/>
      <c r="D626" s="10"/>
      <c r="E626" s="22"/>
      <c r="F626" s="22"/>
      <c r="G626" s="22"/>
      <c r="H626" s="10"/>
      <c r="I626" s="10"/>
      <c r="J626" s="15"/>
      <c r="K626" s="1"/>
      <c r="L626" s="15"/>
      <c r="M626" s="15"/>
      <c r="N626" s="15"/>
      <c r="O626" s="7"/>
      <c r="P626" s="10"/>
      <c r="Q626" s="10"/>
      <c r="R626" s="10"/>
      <c r="S626" s="10"/>
      <c r="T626" s="10"/>
      <c r="U626" s="10"/>
    </row>
    <row r="627" spans="1:21" x14ac:dyDescent="0.3">
      <c r="A627" s="10"/>
      <c r="B627" s="10"/>
      <c r="C627" s="10"/>
      <c r="D627" s="10"/>
      <c r="E627" s="22"/>
      <c r="F627" s="22"/>
      <c r="G627" s="22"/>
      <c r="H627" s="10"/>
      <c r="I627" s="10"/>
      <c r="J627" s="15"/>
      <c r="K627" s="1"/>
      <c r="L627" s="15"/>
      <c r="M627" s="15"/>
      <c r="N627" s="15"/>
      <c r="O627" s="7"/>
      <c r="P627" s="10"/>
      <c r="Q627" s="10"/>
      <c r="R627" s="10"/>
      <c r="S627" s="10"/>
      <c r="T627" s="10"/>
      <c r="U627" s="10"/>
    </row>
    <row r="628" spans="1:21" x14ac:dyDescent="0.3">
      <c r="A628" s="10"/>
      <c r="B628" s="10"/>
      <c r="C628" s="10"/>
      <c r="D628" s="10"/>
      <c r="E628" s="22"/>
      <c r="F628" s="22"/>
      <c r="G628" s="22"/>
      <c r="H628" s="10"/>
      <c r="I628" s="10"/>
      <c r="J628" s="15"/>
      <c r="K628" s="1"/>
      <c r="L628" s="15"/>
      <c r="M628" s="15"/>
      <c r="N628" s="15"/>
      <c r="O628" s="7"/>
      <c r="P628" s="10"/>
      <c r="Q628" s="10"/>
      <c r="R628" s="10"/>
      <c r="S628" s="10"/>
      <c r="T628" s="10"/>
      <c r="U628" s="10"/>
    </row>
    <row r="629" spans="1:21" x14ac:dyDescent="0.3">
      <c r="A629" s="10"/>
      <c r="B629" s="10"/>
      <c r="C629" s="10"/>
      <c r="D629" s="10"/>
      <c r="E629" s="22"/>
      <c r="F629" s="22"/>
      <c r="G629" s="22"/>
      <c r="H629" s="10"/>
      <c r="I629" s="10"/>
      <c r="J629" s="15"/>
      <c r="K629" s="1"/>
      <c r="L629" s="15"/>
      <c r="M629" s="15"/>
      <c r="N629" s="15"/>
      <c r="O629" s="7"/>
      <c r="P629" s="10"/>
      <c r="Q629" s="10"/>
      <c r="R629" s="10"/>
      <c r="S629" s="10"/>
      <c r="T629" s="10"/>
      <c r="U629" s="10"/>
    </row>
    <row r="630" spans="1:21" x14ac:dyDescent="0.3">
      <c r="A630" s="10"/>
      <c r="B630" s="10"/>
      <c r="C630" s="10"/>
      <c r="D630" s="10"/>
      <c r="E630" s="22"/>
      <c r="F630" s="22"/>
      <c r="G630" s="22"/>
      <c r="H630" s="10"/>
      <c r="I630" s="10"/>
      <c r="J630" s="15"/>
      <c r="K630" s="1"/>
      <c r="L630" s="15"/>
      <c r="M630" s="15"/>
      <c r="N630" s="15"/>
      <c r="O630" s="7"/>
      <c r="P630" s="10"/>
      <c r="Q630" s="10"/>
      <c r="R630" s="10"/>
      <c r="S630" s="10"/>
      <c r="T630" s="10"/>
      <c r="U630" s="10"/>
    </row>
    <row r="631" spans="1:21" x14ac:dyDescent="0.3">
      <c r="A631" s="10"/>
      <c r="B631" s="10"/>
      <c r="C631" s="10"/>
      <c r="D631" s="10"/>
      <c r="E631" s="22"/>
      <c r="F631" s="22"/>
      <c r="G631" s="22"/>
      <c r="H631" s="10"/>
      <c r="I631" s="10"/>
      <c r="J631" s="15"/>
      <c r="K631" s="1"/>
      <c r="L631" s="15"/>
      <c r="M631" s="15"/>
      <c r="N631" s="15"/>
      <c r="O631" s="7"/>
      <c r="P631" s="10"/>
      <c r="Q631" s="10"/>
      <c r="R631" s="10"/>
      <c r="S631" s="10"/>
      <c r="T631" s="10"/>
      <c r="U631" s="10"/>
    </row>
    <row r="632" spans="1:21" x14ac:dyDescent="0.3">
      <c r="A632" s="10"/>
      <c r="B632" s="10"/>
      <c r="C632" s="10"/>
      <c r="D632" s="10"/>
      <c r="E632" s="22"/>
      <c r="F632" s="22"/>
      <c r="G632" s="22"/>
      <c r="H632" s="10"/>
      <c r="I632" s="10"/>
      <c r="J632" s="15"/>
      <c r="K632" s="1"/>
      <c r="L632" s="15"/>
      <c r="M632" s="15"/>
      <c r="N632" s="15"/>
      <c r="O632" s="7"/>
      <c r="P632" s="10"/>
      <c r="Q632" s="10"/>
      <c r="R632" s="10"/>
      <c r="S632" s="10"/>
      <c r="T632" s="10"/>
      <c r="U632" s="10"/>
    </row>
    <row r="633" spans="1:21" x14ac:dyDescent="0.3">
      <c r="A633" s="10"/>
      <c r="B633" s="10"/>
      <c r="C633" s="10"/>
      <c r="D633" s="10"/>
      <c r="E633" s="22"/>
      <c r="F633" s="22"/>
      <c r="G633" s="22"/>
      <c r="H633" s="10"/>
      <c r="I633" s="10"/>
      <c r="J633" s="15"/>
      <c r="K633" s="1"/>
      <c r="L633" s="15"/>
      <c r="M633" s="15"/>
      <c r="N633" s="15"/>
      <c r="O633" s="7"/>
      <c r="P633" s="10"/>
      <c r="Q633" s="10"/>
      <c r="R633" s="10"/>
      <c r="S633" s="10"/>
      <c r="T633" s="10"/>
      <c r="U633" s="10"/>
    </row>
    <row r="634" spans="1:21" x14ac:dyDescent="0.3">
      <c r="A634" s="10"/>
      <c r="B634" s="10"/>
      <c r="C634" s="10"/>
      <c r="D634" s="10"/>
      <c r="E634" s="22"/>
      <c r="F634" s="22"/>
      <c r="G634" s="22"/>
      <c r="H634" s="10"/>
      <c r="I634" s="10"/>
      <c r="J634" s="15"/>
      <c r="K634" s="1"/>
      <c r="L634" s="15"/>
      <c r="M634" s="15"/>
      <c r="N634" s="15"/>
      <c r="O634" s="7"/>
      <c r="P634" s="10"/>
      <c r="Q634" s="10"/>
      <c r="R634" s="10"/>
      <c r="S634" s="10"/>
      <c r="T634" s="10"/>
      <c r="U634" s="10"/>
    </row>
    <row r="635" spans="1:21" x14ac:dyDescent="0.3">
      <c r="A635" s="10"/>
      <c r="B635" s="10"/>
      <c r="C635" s="10"/>
      <c r="D635" s="10"/>
      <c r="E635" s="22"/>
      <c r="F635" s="22"/>
      <c r="G635" s="22"/>
      <c r="H635" s="10"/>
      <c r="I635" s="10"/>
      <c r="J635" s="15"/>
      <c r="K635" s="1"/>
      <c r="L635" s="15"/>
      <c r="M635" s="15"/>
      <c r="N635" s="15"/>
      <c r="O635" s="7"/>
      <c r="P635" s="10"/>
      <c r="Q635" s="10"/>
      <c r="R635" s="10"/>
      <c r="S635" s="10"/>
      <c r="T635" s="10"/>
      <c r="U635" s="10"/>
    </row>
    <row r="636" spans="1:21" x14ac:dyDescent="0.3">
      <c r="A636" s="10"/>
      <c r="B636" s="10"/>
      <c r="C636" s="10"/>
      <c r="D636" s="10"/>
      <c r="E636" s="22"/>
      <c r="F636" s="22"/>
      <c r="G636" s="22"/>
      <c r="H636" s="10"/>
      <c r="I636" s="10"/>
      <c r="J636" s="15"/>
      <c r="K636" s="1"/>
      <c r="L636" s="15"/>
      <c r="M636" s="15"/>
      <c r="N636" s="15"/>
      <c r="O636" s="7"/>
      <c r="P636" s="10"/>
      <c r="Q636" s="10"/>
      <c r="R636" s="10"/>
      <c r="S636" s="10"/>
      <c r="T636" s="10"/>
      <c r="U636" s="10"/>
    </row>
    <row r="637" spans="1:21" x14ac:dyDescent="0.3">
      <c r="A637" s="10"/>
      <c r="B637" s="10"/>
      <c r="C637" s="10"/>
      <c r="D637" s="10"/>
      <c r="E637" s="22"/>
      <c r="F637" s="22"/>
      <c r="G637" s="22"/>
      <c r="H637" s="10"/>
      <c r="I637" s="10"/>
      <c r="J637" s="15"/>
      <c r="K637" s="1"/>
      <c r="L637" s="15"/>
      <c r="M637" s="15"/>
      <c r="N637" s="15"/>
      <c r="O637" s="7"/>
      <c r="P637" s="10"/>
      <c r="Q637" s="10"/>
      <c r="R637" s="10"/>
      <c r="S637" s="10"/>
      <c r="T637" s="10"/>
      <c r="U637" s="10"/>
    </row>
    <row r="638" spans="1:21" x14ac:dyDescent="0.3">
      <c r="A638" s="10"/>
      <c r="B638" s="10"/>
      <c r="C638" s="10"/>
      <c r="D638" s="10"/>
      <c r="E638" s="22"/>
      <c r="F638" s="22"/>
      <c r="G638" s="22"/>
      <c r="H638" s="10"/>
      <c r="I638" s="10"/>
      <c r="J638" s="15"/>
      <c r="K638" s="1"/>
      <c r="L638" s="15"/>
      <c r="M638" s="15"/>
      <c r="N638" s="15"/>
      <c r="O638" s="7"/>
      <c r="P638" s="10"/>
      <c r="Q638" s="10"/>
      <c r="R638" s="10"/>
      <c r="S638" s="10"/>
      <c r="T638" s="10"/>
      <c r="U638" s="10"/>
    </row>
    <row r="639" spans="1:21" x14ac:dyDescent="0.3">
      <c r="A639" s="10"/>
      <c r="B639" s="10"/>
      <c r="C639" s="10"/>
      <c r="D639" s="10"/>
      <c r="E639" s="22"/>
      <c r="F639" s="22"/>
      <c r="G639" s="22"/>
      <c r="H639" s="10"/>
      <c r="I639" s="10"/>
      <c r="J639" s="15"/>
      <c r="K639" s="1"/>
      <c r="L639" s="15"/>
      <c r="M639" s="15"/>
      <c r="N639" s="15"/>
      <c r="O639" s="7"/>
      <c r="P639" s="10"/>
      <c r="Q639" s="10"/>
      <c r="R639" s="10"/>
      <c r="S639" s="10"/>
      <c r="T639" s="10"/>
      <c r="U639" s="10"/>
    </row>
    <row r="640" spans="1:21" x14ac:dyDescent="0.3">
      <c r="A640" s="10"/>
      <c r="B640" s="10"/>
      <c r="C640" s="10"/>
      <c r="D640" s="10"/>
      <c r="E640" s="22"/>
      <c r="F640" s="22"/>
      <c r="G640" s="22"/>
      <c r="H640" s="10"/>
      <c r="I640" s="10"/>
      <c r="J640" s="15"/>
      <c r="K640" s="1"/>
      <c r="L640" s="15"/>
      <c r="M640" s="15"/>
      <c r="N640" s="15"/>
      <c r="O640" s="7"/>
      <c r="P640" s="10"/>
      <c r="Q640" s="10"/>
      <c r="R640" s="10"/>
      <c r="S640" s="10"/>
      <c r="T640" s="10"/>
      <c r="U640" s="10"/>
    </row>
    <row r="641" spans="1:21" x14ac:dyDescent="0.3">
      <c r="A641" s="10"/>
      <c r="B641" s="10"/>
      <c r="C641" s="10"/>
      <c r="D641" s="10"/>
      <c r="E641" s="22"/>
      <c r="F641" s="22"/>
      <c r="G641" s="22"/>
      <c r="H641" s="10"/>
      <c r="I641" s="10"/>
      <c r="J641" s="15"/>
      <c r="K641" s="1"/>
      <c r="L641" s="15"/>
      <c r="M641" s="15"/>
      <c r="N641" s="15"/>
      <c r="O641" s="7"/>
      <c r="P641" s="10"/>
      <c r="Q641" s="10"/>
      <c r="R641" s="10"/>
      <c r="S641" s="10"/>
      <c r="T641" s="10"/>
      <c r="U641" s="10"/>
    </row>
    <row r="642" spans="1:21" x14ac:dyDescent="0.3">
      <c r="A642" s="10"/>
      <c r="B642" s="10"/>
      <c r="C642" s="10"/>
      <c r="D642" s="10"/>
      <c r="E642" s="22"/>
      <c r="F642" s="22"/>
      <c r="G642" s="22"/>
      <c r="H642" s="10"/>
      <c r="I642" s="10"/>
      <c r="J642" s="15"/>
      <c r="K642" s="1"/>
      <c r="L642" s="15"/>
      <c r="M642" s="15"/>
      <c r="N642" s="15"/>
      <c r="O642" s="7"/>
      <c r="P642" s="10"/>
      <c r="Q642" s="10"/>
      <c r="R642" s="10"/>
      <c r="S642" s="10"/>
      <c r="T642" s="10"/>
      <c r="U642" s="10"/>
    </row>
    <row r="643" spans="1:21" x14ac:dyDescent="0.3">
      <c r="A643" s="10"/>
      <c r="B643" s="10"/>
      <c r="C643" s="10"/>
      <c r="D643" s="10"/>
      <c r="E643" s="22"/>
      <c r="F643" s="22"/>
      <c r="G643" s="22"/>
      <c r="H643" s="10"/>
      <c r="I643" s="10"/>
      <c r="J643" s="15"/>
      <c r="K643" s="1"/>
      <c r="L643" s="15"/>
      <c r="M643" s="15"/>
      <c r="N643" s="15"/>
      <c r="O643" s="7"/>
      <c r="P643" s="10"/>
      <c r="Q643" s="10"/>
      <c r="R643" s="10"/>
      <c r="S643" s="10"/>
      <c r="T643" s="10"/>
      <c r="U643" s="10"/>
    </row>
    <row r="644" spans="1:21" x14ac:dyDescent="0.3">
      <c r="A644" s="10"/>
      <c r="B644" s="10"/>
      <c r="C644" s="10"/>
      <c r="D644" s="10"/>
      <c r="E644" s="22"/>
      <c r="F644" s="22"/>
      <c r="G644" s="22"/>
      <c r="H644" s="10"/>
      <c r="I644" s="10"/>
      <c r="J644" s="15"/>
      <c r="K644" s="1"/>
      <c r="L644" s="15"/>
      <c r="M644" s="15"/>
      <c r="N644" s="15"/>
      <c r="O644" s="7"/>
      <c r="P644" s="10"/>
      <c r="Q644" s="10"/>
      <c r="R644" s="10"/>
      <c r="S644" s="10"/>
      <c r="T644" s="10"/>
      <c r="U644" s="10"/>
    </row>
    <row r="645" spans="1:21" x14ac:dyDescent="0.3">
      <c r="A645" s="10"/>
      <c r="B645" s="10"/>
      <c r="C645" s="10"/>
      <c r="D645" s="10"/>
      <c r="E645" s="22"/>
      <c r="F645" s="22"/>
      <c r="G645" s="22"/>
      <c r="H645" s="10"/>
      <c r="I645" s="10"/>
      <c r="J645" s="15"/>
      <c r="K645" s="1"/>
      <c r="L645" s="15"/>
      <c r="M645" s="15"/>
      <c r="N645" s="15"/>
      <c r="O645" s="7"/>
      <c r="P645" s="10"/>
      <c r="Q645" s="10"/>
      <c r="R645" s="10"/>
      <c r="S645" s="10"/>
      <c r="T645" s="10"/>
      <c r="U645" s="10"/>
    </row>
    <row r="646" spans="1:21" x14ac:dyDescent="0.3">
      <c r="A646" s="10"/>
      <c r="B646" s="10"/>
      <c r="C646" s="10"/>
      <c r="D646" s="10"/>
      <c r="E646" s="22"/>
      <c r="F646" s="22"/>
      <c r="G646" s="22"/>
      <c r="H646" s="10"/>
      <c r="I646" s="10"/>
      <c r="J646" s="15"/>
      <c r="K646" s="1"/>
      <c r="L646" s="15"/>
      <c r="M646" s="15"/>
      <c r="N646" s="15"/>
      <c r="O646" s="7"/>
      <c r="P646" s="10"/>
      <c r="Q646" s="10"/>
      <c r="R646" s="10"/>
      <c r="S646" s="10"/>
      <c r="T646" s="10"/>
      <c r="U646" s="10"/>
    </row>
    <row r="647" spans="1:21" x14ac:dyDescent="0.3">
      <c r="A647" s="10"/>
      <c r="B647" s="10"/>
      <c r="C647" s="10"/>
      <c r="D647" s="10"/>
      <c r="E647" s="22"/>
      <c r="F647" s="22"/>
      <c r="G647" s="22"/>
      <c r="H647" s="10"/>
      <c r="I647" s="10"/>
      <c r="J647" s="15"/>
      <c r="K647" s="1"/>
      <c r="L647" s="15"/>
      <c r="M647" s="15"/>
      <c r="N647" s="15"/>
      <c r="O647" s="7"/>
      <c r="P647" s="10"/>
      <c r="Q647" s="10"/>
      <c r="R647" s="10"/>
      <c r="S647" s="10"/>
      <c r="T647" s="10"/>
      <c r="U647" s="10"/>
    </row>
    <row r="648" spans="1:21" x14ac:dyDescent="0.3">
      <c r="A648" s="10"/>
      <c r="B648" s="10"/>
      <c r="C648" s="10"/>
      <c r="D648" s="10"/>
      <c r="E648" s="22"/>
      <c r="F648" s="22"/>
      <c r="G648" s="22"/>
      <c r="H648" s="10"/>
      <c r="I648" s="10"/>
      <c r="J648" s="15"/>
      <c r="K648" s="1"/>
      <c r="L648" s="15"/>
      <c r="M648" s="15"/>
      <c r="N648" s="15"/>
      <c r="O648" s="7"/>
      <c r="P648" s="10"/>
      <c r="Q648" s="10"/>
      <c r="R648" s="10"/>
      <c r="S648" s="10"/>
      <c r="T648" s="10"/>
      <c r="U648" s="10"/>
    </row>
    <row r="649" spans="1:21" x14ac:dyDescent="0.3">
      <c r="A649" s="10"/>
      <c r="B649" s="10"/>
      <c r="C649" s="10"/>
      <c r="D649" s="10"/>
      <c r="E649" s="22"/>
      <c r="F649" s="22"/>
      <c r="G649" s="22"/>
      <c r="H649" s="10"/>
      <c r="I649" s="10"/>
      <c r="J649" s="15"/>
      <c r="K649" s="1"/>
      <c r="L649" s="15"/>
      <c r="M649" s="15"/>
      <c r="N649" s="15"/>
      <c r="O649" s="7"/>
      <c r="P649" s="10"/>
      <c r="Q649" s="10"/>
      <c r="R649" s="10"/>
      <c r="S649" s="10"/>
      <c r="T649" s="10"/>
      <c r="U649" s="10"/>
    </row>
    <row r="650" spans="1:21" x14ac:dyDescent="0.3">
      <c r="A650" s="10"/>
      <c r="B650" s="10"/>
      <c r="C650" s="10"/>
      <c r="D650" s="10"/>
      <c r="E650" s="22"/>
      <c r="F650" s="22"/>
      <c r="G650" s="22"/>
      <c r="H650" s="10"/>
      <c r="I650" s="10"/>
      <c r="J650" s="15"/>
      <c r="K650" s="1"/>
      <c r="L650" s="15"/>
      <c r="M650" s="15"/>
      <c r="N650" s="15"/>
      <c r="O650" s="7"/>
      <c r="P650" s="10"/>
      <c r="Q650" s="10"/>
      <c r="R650" s="10"/>
      <c r="S650" s="10"/>
      <c r="T650" s="10"/>
      <c r="U650" s="10"/>
    </row>
    <row r="651" spans="1:21" x14ac:dyDescent="0.3">
      <c r="A651" s="10"/>
      <c r="B651" s="10"/>
      <c r="C651" s="10"/>
      <c r="D651" s="10"/>
      <c r="E651" s="22"/>
      <c r="F651" s="22"/>
      <c r="G651" s="22"/>
      <c r="H651" s="10"/>
      <c r="I651" s="10"/>
      <c r="J651" s="15"/>
      <c r="K651" s="1"/>
      <c r="L651" s="15"/>
      <c r="M651" s="15"/>
      <c r="N651" s="15"/>
      <c r="O651" s="7"/>
      <c r="P651" s="10"/>
      <c r="Q651" s="10"/>
      <c r="R651" s="10"/>
      <c r="S651" s="10"/>
      <c r="T651" s="10"/>
      <c r="U651" s="10"/>
    </row>
    <row r="652" spans="1:21" x14ac:dyDescent="0.3">
      <c r="A652" s="10"/>
      <c r="B652" s="10"/>
      <c r="C652" s="10"/>
      <c r="D652" s="10"/>
      <c r="E652" s="22"/>
      <c r="F652" s="22"/>
      <c r="G652" s="22"/>
      <c r="H652" s="10"/>
      <c r="I652" s="10"/>
      <c r="J652" s="15"/>
      <c r="K652" s="1"/>
      <c r="L652" s="15"/>
      <c r="M652" s="15"/>
      <c r="N652" s="15"/>
      <c r="O652" s="7"/>
      <c r="P652" s="10"/>
      <c r="Q652" s="10"/>
      <c r="R652" s="10"/>
      <c r="S652" s="10"/>
      <c r="T652" s="10"/>
      <c r="U652" s="10"/>
    </row>
    <row r="653" spans="1:21" x14ac:dyDescent="0.3">
      <c r="A653" s="10"/>
      <c r="B653" s="10"/>
      <c r="C653" s="10"/>
      <c r="D653" s="10"/>
      <c r="E653" s="22"/>
      <c r="F653" s="22"/>
      <c r="G653" s="22"/>
      <c r="H653" s="10"/>
      <c r="I653" s="10"/>
      <c r="J653" s="15"/>
      <c r="K653" s="1"/>
      <c r="L653" s="15"/>
      <c r="M653" s="15"/>
      <c r="N653" s="15"/>
      <c r="O653" s="7"/>
      <c r="P653" s="10"/>
      <c r="Q653" s="10"/>
      <c r="R653" s="10"/>
      <c r="S653" s="10"/>
      <c r="T653" s="10"/>
      <c r="U653" s="10"/>
    </row>
    <row r="654" spans="1:21" x14ac:dyDescent="0.3">
      <c r="A654" s="10"/>
      <c r="B654" s="10"/>
      <c r="C654" s="10"/>
      <c r="D654" s="10"/>
      <c r="E654" s="22"/>
      <c r="F654" s="22"/>
      <c r="G654" s="22"/>
      <c r="H654" s="10"/>
      <c r="I654" s="10"/>
      <c r="J654" s="15"/>
      <c r="K654" s="1"/>
      <c r="L654" s="15"/>
      <c r="M654" s="15"/>
      <c r="N654" s="15"/>
      <c r="O654" s="7"/>
      <c r="P654" s="10"/>
      <c r="Q654" s="10"/>
      <c r="R654" s="10"/>
      <c r="S654" s="10"/>
      <c r="T654" s="10"/>
      <c r="U654" s="10"/>
    </row>
    <row r="655" spans="1:21" x14ac:dyDescent="0.3">
      <c r="A655" s="10"/>
      <c r="B655" s="10"/>
      <c r="C655" s="10"/>
      <c r="D655" s="10"/>
      <c r="E655" s="22"/>
      <c r="F655" s="22"/>
      <c r="G655" s="22"/>
      <c r="H655" s="10"/>
      <c r="I655" s="10"/>
      <c r="J655" s="15"/>
      <c r="K655" s="1"/>
      <c r="L655" s="15"/>
      <c r="M655" s="15"/>
      <c r="N655" s="15"/>
      <c r="O655" s="7"/>
      <c r="P655" s="10"/>
      <c r="Q655" s="10"/>
      <c r="R655" s="10"/>
      <c r="S655" s="10"/>
      <c r="T655" s="10"/>
      <c r="U655" s="10"/>
    </row>
    <row r="656" spans="1:21" x14ac:dyDescent="0.3">
      <c r="A656" s="10"/>
      <c r="B656" s="10"/>
      <c r="C656" s="10"/>
      <c r="D656" s="10"/>
      <c r="E656" s="22"/>
      <c r="F656" s="22"/>
      <c r="G656" s="22"/>
      <c r="H656" s="10"/>
      <c r="I656" s="10"/>
      <c r="J656" s="15"/>
      <c r="K656" s="1"/>
      <c r="L656" s="15"/>
      <c r="M656" s="15"/>
      <c r="N656" s="15"/>
      <c r="O656" s="7"/>
      <c r="P656" s="10"/>
      <c r="Q656" s="10"/>
      <c r="R656" s="10"/>
      <c r="S656" s="10"/>
      <c r="T656" s="10"/>
      <c r="U656" s="10"/>
    </row>
    <row r="657" spans="1:21" x14ac:dyDescent="0.3">
      <c r="A657" s="10"/>
      <c r="B657" s="10"/>
      <c r="C657" s="10"/>
      <c r="D657" s="10"/>
      <c r="E657" s="22"/>
      <c r="F657" s="22"/>
      <c r="G657" s="22"/>
      <c r="H657" s="10"/>
      <c r="I657" s="10"/>
      <c r="J657" s="15"/>
      <c r="K657" s="1"/>
      <c r="L657" s="15"/>
      <c r="M657" s="15"/>
      <c r="N657" s="15"/>
      <c r="O657" s="7"/>
      <c r="P657" s="10"/>
      <c r="Q657" s="10"/>
      <c r="R657" s="10"/>
      <c r="S657" s="10"/>
      <c r="T657" s="10"/>
      <c r="U657" s="10"/>
    </row>
    <row r="658" spans="1:21" x14ac:dyDescent="0.3">
      <c r="A658" s="10"/>
      <c r="B658" s="10"/>
      <c r="C658" s="10"/>
      <c r="D658" s="10"/>
      <c r="E658" s="22"/>
      <c r="F658" s="22"/>
      <c r="G658" s="22"/>
      <c r="H658" s="10"/>
      <c r="I658" s="10"/>
      <c r="J658" s="15"/>
      <c r="K658" s="1"/>
      <c r="L658" s="15"/>
      <c r="M658" s="15"/>
      <c r="N658" s="15"/>
      <c r="O658" s="7"/>
      <c r="P658" s="10"/>
      <c r="Q658" s="10"/>
      <c r="R658" s="10"/>
      <c r="S658" s="10"/>
      <c r="T658" s="10"/>
      <c r="U658" s="10"/>
    </row>
    <row r="659" spans="1:21" x14ac:dyDescent="0.3">
      <c r="A659" s="10"/>
      <c r="B659" s="10"/>
      <c r="C659" s="10"/>
      <c r="D659" s="10"/>
      <c r="E659" s="22"/>
      <c r="F659" s="22"/>
      <c r="G659" s="22"/>
      <c r="H659" s="10"/>
      <c r="I659" s="10"/>
      <c r="J659" s="15"/>
      <c r="K659" s="1"/>
      <c r="L659" s="15"/>
      <c r="M659" s="15"/>
      <c r="N659" s="15"/>
      <c r="O659" s="7"/>
      <c r="P659" s="10"/>
      <c r="Q659" s="10"/>
      <c r="R659" s="10"/>
      <c r="S659" s="10"/>
      <c r="T659" s="10"/>
      <c r="U659" s="10"/>
    </row>
    <row r="660" spans="1:21" x14ac:dyDescent="0.3">
      <c r="A660" s="10"/>
      <c r="B660" s="10"/>
      <c r="C660" s="10"/>
      <c r="D660" s="10"/>
      <c r="E660" s="22"/>
      <c r="F660" s="22"/>
      <c r="G660" s="22"/>
      <c r="H660" s="10"/>
      <c r="I660" s="10"/>
      <c r="J660" s="15"/>
      <c r="K660" s="1"/>
      <c r="L660" s="15"/>
      <c r="M660" s="15"/>
      <c r="N660" s="15"/>
      <c r="O660" s="7"/>
      <c r="P660" s="10"/>
      <c r="Q660" s="10"/>
      <c r="R660" s="10"/>
      <c r="S660" s="10"/>
      <c r="T660" s="10"/>
      <c r="U660" s="10"/>
    </row>
    <row r="661" spans="1:21" x14ac:dyDescent="0.3">
      <c r="A661" s="10"/>
      <c r="B661" s="10"/>
      <c r="C661" s="10"/>
      <c r="D661" s="10"/>
      <c r="E661" s="22"/>
      <c r="F661" s="22"/>
      <c r="G661" s="22"/>
      <c r="H661" s="10"/>
      <c r="I661" s="10"/>
      <c r="J661" s="15"/>
      <c r="K661" s="1"/>
      <c r="L661" s="15"/>
      <c r="M661" s="15"/>
      <c r="N661" s="15"/>
      <c r="O661" s="7"/>
      <c r="P661" s="10"/>
      <c r="Q661" s="10"/>
      <c r="R661" s="10"/>
      <c r="S661" s="10"/>
      <c r="T661" s="10"/>
      <c r="U661" s="10"/>
    </row>
    <row r="662" spans="1:21" x14ac:dyDescent="0.3">
      <c r="A662" s="10"/>
      <c r="B662" s="10"/>
      <c r="C662" s="10"/>
      <c r="D662" s="10"/>
      <c r="E662" s="22"/>
      <c r="F662" s="22"/>
      <c r="G662" s="22"/>
      <c r="H662" s="10"/>
      <c r="I662" s="10"/>
      <c r="J662" s="15"/>
      <c r="K662" s="1"/>
      <c r="L662" s="15"/>
      <c r="M662" s="15"/>
      <c r="N662" s="15"/>
      <c r="O662" s="7"/>
      <c r="P662" s="10"/>
      <c r="Q662" s="10"/>
      <c r="R662" s="10"/>
      <c r="S662" s="10"/>
      <c r="T662" s="10"/>
      <c r="U662" s="10"/>
    </row>
    <row r="663" spans="1:21" x14ac:dyDescent="0.3">
      <c r="A663" s="10"/>
      <c r="B663" s="10"/>
      <c r="C663" s="10"/>
      <c r="D663" s="10"/>
      <c r="E663" s="22"/>
      <c r="F663" s="22"/>
      <c r="G663" s="22"/>
      <c r="H663" s="10"/>
      <c r="I663" s="10"/>
      <c r="J663" s="15"/>
      <c r="K663" s="1"/>
      <c r="L663" s="15"/>
      <c r="M663" s="15"/>
      <c r="N663" s="15"/>
      <c r="O663" s="7"/>
      <c r="P663" s="10"/>
      <c r="Q663" s="10"/>
      <c r="R663" s="10"/>
      <c r="S663" s="10"/>
      <c r="T663" s="10"/>
      <c r="U663" s="10"/>
    </row>
    <row r="664" spans="1:21" x14ac:dyDescent="0.3">
      <c r="A664" s="10"/>
      <c r="B664" s="10"/>
      <c r="C664" s="10"/>
      <c r="D664" s="10"/>
      <c r="E664" s="22"/>
      <c r="F664" s="22"/>
      <c r="G664" s="22"/>
      <c r="H664" s="10"/>
      <c r="I664" s="10"/>
      <c r="J664" s="15"/>
      <c r="K664" s="1"/>
      <c r="L664" s="15"/>
      <c r="M664" s="15"/>
      <c r="N664" s="15"/>
      <c r="O664" s="7"/>
      <c r="P664" s="10"/>
      <c r="Q664" s="10"/>
      <c r="R664" s="10"/>
      <c r="S664" s="10"/>
      <c r="T664" s="10"/>
      <c r="U664" s="10"/>
    </row>
    <row r="665" spans="1:21" x14ac:dyDescent="0.3">
      <c r="A665" s="10"/>
      <c r="B665" s="10"/>
      <c r="C665" s="10"/>
      <c r="D665" s="10"/>
      <c r="E665" s="22"/>
      <c r="F665" s="22"/>
      <c r="G665" s="22"/>
      <c r="H665" s="10"/>
      <c r="I665" s="10"/>
      <c r="J665" s="15"/>
      <c r="K665" s="1"/>
      <c r="L665" s="15"/>
      <c r="M665" s="15"/>
      <c r="N665" s="15"/>
      <c r="O665" s="7"/>
      <c r="P665" s="10"/>
      <c r="Q665" s="10"/>
      <c r="R665" s="10"/>
      <c r="S665" s="10"/>
      <c r="T665" s="10"/>
      <c r="U665" s="10"/>
    </row>
    <row r="666" spans="1:21" x14ac:dyDescent="0.3">
      <c r="A666" s="10"/>
      <c r="B666" s="10"/>
      <c r="C666" s="10"/>
      <c r="D666" s="10"/>
      <c r="E666" s="22"/>
      <c r="F666" s="22"/>
      <c r="G666" s="22"/>
      <c r="H666" s="10"/>
      <c r="I666" s="10"/>
      <c r="J666" s="15"/>
      <c r="K666" s="1"/>
      <c r="L666" s="15"/>
      <c r="M666" s="15"/>
      <c r="N666" s="15"/>
      <c r="O666" s="7"/>
      <c r="P666" s="10"/>
      <c r="Q666" s="10"/>
      <c r="R666" s="10"/>
      <c r="S666" s="10"/>
      <c r="T666" s="10"/>
      <c r="U666" s="10"/>
    </row>
    <row r="667" spans="1:21" x14ac:dyDescent="0.3">
      <c r="A667" s="10"/>
      <c r="B667" s="10"/>
      <c r="C667" s="10"/>
      <c r="D667" s="10"/>
      <c r="E667" s="22"/>
      <c r="F667" s="22"/>
      <c r="G667" s="22"/>
      <c r="H667" s="10"/>
      <c r="I667" s="10"/>
      <c r="J667" s="15"/>
      <c r="K667" s="1"/>
      <c r="L667" s="15"/>
      <c r="M667" s="15"/>
      <c r="N667" s="15"/>
      <c r="O667" s="7"/>
      <c r="P667" s="10"/>
      <c r="Q667" s="10"/>
      <c r="R667" s="10"/>
      <c r="S667" s="10"/>
      <c r="T667" s="10"/>
      <c r="U667" s="10"/>
    </row>
    <row r="668" spans="1:21" x14ac:dyDescent="0.3">
      <c r="A668" s="10"/>
      <c r="B668" s="10"/>
      <c r="C668" s="10"/>
      <c r="D668" s="10"/>
      <c r="E668" s="22"/>
      <c r="F668" s="22"/>
      <c r="G668" s="22"/>
      <c r="H668" s="10"/>
      <c r="I668" s="10"/>
      <c r="J668" s="15"/>
      <c r="K668" s="1"/>
      <c r="L668" s="15"/>
      <c r="M668" s="15"/>
      <c r="N668" s="15"/>
      <c r="O668" s="7"/>
      <c r="P668" s="10"/>
      <c r="Q668" s="10"/>
      <c r="R668" s="10"/>
      <c r="S668" s="10"/>
      <c r="T668" s="10"/>
      <c r="U668" s="10"/>
    </row>
    <row r="669" spans="1:21" x14ac:dyDescent="0.3">
      <c r="A669" s="10"/>
      <c r="B669" s="10"/>
      <c r="C669" s="10"/>
      <c r="D669" s="10"/>
      <c r="E669" s="22"/>
      <c r="F669" s="22"/>
      <c r="G669" s="22"/>
      <c r="H669" s="10"/>
      <c r="I669" s="10"/>
      <c r="J669" s="15"/>
      <c r="K669" s="1"/>
      <c r="L669" s="15"/>
      <c r="M669" s="15"/>
      <c r="N669" s="15"/>
      <c r="O669" s="7"/>
      <c r="P669" s="10"/>
      <c r="Q669" s="10"/>
      <c r="R669" s="10"/>
      <c r="S669" s="10"/>
      <c r="T669" s="10"/>
      <c r="U669" s="10"/>
    </row>
    <row r="670" spans="1:21" x14ac:dyDescent="0.3">
      <c r="A670" s="10"/>
      <c r="B670" s="10"/>
      <c r="C670" s="10"/>
      <c r="D670" s="10"/>
      <c r="E670" s="22"/>
      <c r="F670" s="22"/>
      <c r="G670" s="22"/>
      <c r="H670" s="10"/>
      <c r="I670" s="10"/>
      <c r="J670" s="15"/>
      <c r="K670" s="1"/>
      <c r="L670" s="15"/>
      <c r="M670" s="15"/>
      <c r="N670" s="15"/>
      <c r="O670" s="7"/>
      <c r="P670" s="10"/>
      <c r="Q670" s="10"/>
      <c r="R670" s="10"/>
      <c r="S670" s="10"/>
      <c r="T670" s="10"/>
      <c r="U670" s="10"/>
    </row>
    <row r="671" spans="1:21" x14ac:dyDescent="0.3">
      <c r="A671" s="10"/>
      <c r="B671" s="10"/>
      <c r="C671" s="10"/>
      <c r="D671" s="10"/>
      <c r="E671" s="22"/>
      <c r="F671" s="22"/>
      <c r="G671" s="22"/>
      <c r="H671" s="10"/>
      <c r="I671" s="10"/>
      <c r="J671" s="15"/>
      <c r="K671" s="1"/>
      <c r="L671" s="15"/>
      <c r="M671" s="15"/>
      <c r="N671" s="15"/>
      <c r="O671" s="7"/>
      <c r="P671" s="10"/>
      <c r="Q671" s="10"/>
      <c r="R671" s="10"/>
      <c r="S671" s="10"/>
      <c r="T671" s="10"/>
      <c r="U671" s="10"/>
    </row>
    <row r="672" spans="1:21" x14ac:dyDescent="0.3">
      <c r="A672" s="10"/>
      <c r="B672" s="10"/>
      <c r="C672" s="10"/>
      <c r="D672" s="10"/>
      <c r="E672" s="22"/>
      <c r="F672" s="22"/>
      <c r="G672" s="22"/>
      <c r="H672" s="10"/>
      <c r="I672" s="10"/>
      <c r="J672" s="15"/>
      <c r="K672" s="1"/>
      <c r="L672" s="15"/>
      <c r="M672" s="15"/>
      <c r="N672" s="15"/>
      <c r="O672" s="7"/>
      <c r="P672" s="10"/>
      <c r="Q672" s="10"/>
      <c r="R672" s="10"/>
      <c r="S672" s="10"/>
      <c r="T672" s="10"/>
      <c r="U672" s="10"/>
    </row>
    <row r="673" spans="1:21" x14ac:dyDescent="0.3">
      <c r="A673" s="10"/>
      <c r="B673" s="10"/>
      <c r="C673" s="10"/>
      <c r="D673" s="10"/>
      <c r="E673" s="22"/>
      <c r="F673" s="22"/>
      <c r="G673" s="22"/>
      <c r="H673" s="10"/>
      <c r="I673" s="10"/>
      <c r="J673" s="15"/>
      <c r="K673" s="1"/>
      <c r="L673" s="15"/>
      <c r="M673" s="15"/>
      <c r="N673" s="15"/>
      <c r="O673" s="7"/>
      <c r="P673" s="10"/>
      <c r="Q673" s="10"/>
      <c r="R673" s="10"/>
      <c r="S673" s="10"/>
      <c r="T673" s="10"/>
      <c r="U673" s="10"/>
    </row>
    <row r="674" spans="1:21" x14ac:dyDescent="0.3">
      <c r="A674" s="10"/>
      <c r="B674" s="10"/>
      <c r="C674" s="10"/>
      <c r="D674" s="10"/>
      <c r="E674" s="22"/>
      <c r="F674" s="22"/>
      <c r="G674" s="22"/>
      <c r="H674" s="10"/>
      <c r="I674" s="10"/>
      <c r="J674" s="15"/>
      <c r="K674" s="1"/>
      <c r="L674" s="15"/>
      <c r="M674" s="15"/>
      <c r="N674" s="15"/>
      <c r="O674" s="7"/>
      <c r="P674" s="10"/>
      <c r="Q674" s="10"/>
      <c r="R674" s="10"/>
      <c r="S674" s="10"/>
      <c r="T674" s="10"/>
      <c r="U674" s="10"/>
    </row>
    <row r="675" spans="1:21" x14ac:dyDescent="0.3">
      <c r="A675" s="10"/>
      <c r="B675" s="10"/>
      <c r="C675" s="10"/>
      <c r="D675" s="10"/>
      <c r="E675" s="22"/>
      <c r="F675" s="22"/>
      <c r="G675" s="22"/>
      <c r="H675" s="10"/>
      <c r="I675" s="10"/>
      <c r="J675" s="15"/>
      <c r="K675" s="1"/>
      <c r="L675" s="15"/>
      <c r="M675" s="15"/>
      <c r="N675" s="15"/>
      <c r="O675" s="7"/>
      <c r="P675" s="10"/>
      <c r="Q675" s="10"/>
      <c r="R675" s="10"/>
      <c r="S675" s="10"/>
      <c r="T675" s="10"/>
      <c r="U675" s="10"/>
    </row>
    <row r="676" spans="1:21" x14ac:dyDescent="0.3">
      <c r="A676" s="10"/>
      <c r="B676" s="10"/>
      <c r="C676" s="10"/>
      <c r="D676" s="10"/>
      <c r="E676" s="22"/>
      <c r="F676" s="22"/>
      <c r="G676" s="22"/>
      <c r="H676" s="10"/>
      <c r="I676" s="10"/>
      <c r="J676" s="15"/>
      <c r="K676" s="1"/>
      <c r="L676" s="15"/>
      <c r="M676" s="15"/>
      <c r="N676" s="15"/>
      <c r="O676" s="7"/>
      <c r="P676" s="10"/>
      <c r="Q676" s="10"/>
      <c r="R676" s="10"/>
      <c r="S676" s="10"/>
      <c r="T676" s="10"/>
      <c r="U676" s="10"/>
    </row>
    <row r="677" spans="1:21" x14ac:dyDescent="0.3">
      <c r="A677" s="10"/>
      <c r="B677" s="10"/>
      <c r="C677" s="10"/>
      <c r="D677" s="10"/>
      <c r="E677" s="22"/>
      <c r="F677" s="22"/>
      <c r="G677" s="22"/>
      <c r="H677" s="10"/>
      <c r="I677" s="10"/>
      <c r="J677" s="15"/>
      <c r="K677" s="1"/>
      <c r="L677" s="15"/>
      <c r="M677" s="15"/>
      <c r="N677" s="15"/>
      <c r="O677" s="7"/>
      <c r="P677" s="10"/>
      <c r="Q677" s="10"/>
      <c r="R677" s="10"/>
      <c r="S677" s="10"/>
      <c r="T677" s="10"/>
      <c r="U677" s="10"/>
    </row>
    <row r="678" spans="1:21" x14ac:dyDescent="0.3">
      <c r="A678" s="10"/>
      <c r="B678" s="10"/>
      <c r="C678" s="10"/>
      <c r="D678" s="10"/>
      <c r="E678" s="22"/>
      <c r="F678" s="22"/>
      <c r="G678" s="22"/>
      <c r="H678" s="10"/>
      <c r="I678" s="10"/>
      <c r="J678" s="15"/>
      <c r="K678" s="1"/>
      <c r="L678" s="15"/>
      <c r="M678" s="15"/>
      <c r="N678" s="15"/>
      <c r="O678" s="7"/>
      <c r="P678" s="10"/>
      <c r="Q678" s="10"/>
      <c r="R678" s="10"/>
      <c r="S678" s="10"/>
      <c r="T678" s="10"/>
      <c r="U678" s="10"/>
    </row>
    <row r="679" spans="1:21" x14ac:dyDescent="0.3">
      <c r="A679" s="10"/>
      <c r="B679" s="10"/>
      <c r="C679" s="10"/>
      <c r="D679" s="10"/>
      <c r="E679" s="22"/>
      <c r="F679" s="22"/>
      <c r="G679" s="22"/>
      <c r="H679" s="10"/>
      <c r="I679" s="10"/>
      <c r="J679" s="15"/>
      <c r="K679" s="1"/>
      <c r="L679" s="15"/>
      <c r="M679" s="15"/>
      <c r="N679" s="15"/>
      <c r="O679" s="7"/>
      <c r="P679" s="10"/>
      <c r="Q679" s="10"/>
      <c r="R679" s="10"/>
      <c r="S679" s="10"/>
      <c r="T679" s="10"/>
      <c r="U679" s="10"/>
    </row>
    <row r="680" spans="1:21" x14ac:dyDescent="0.3">
      <c r="A680" s="10"/>
      <c r="B680" s="10"/>
      <c r="C680" s="10"/>
      <c r="D680" s="10"/>
      <c r="E680" s="22"/>
      <c r="F680" s="22"/>
      <c r="G680" s="22"/>
      <c r="H680" s="10"/>
      <c r="I680" s="10"/>
      <c r="J680" s="15"/>
      <c r="K680" s="1"/>
      <c r="L680" s="15"/>
      <c r="M680" s="15"/>
      <c r="N680" s="15"/>
      <c r="O680" s="7"/>
      <c r="P680" s="10"/>
      <c r="Q680" s="10"/>
      <c r="R680" s="10"/>
      <c r="S680" s="10"/>
      <c r="T680" s="10"/>
      <c r="U680" s="10"/>
    </row>
    <row r="681" spans="1:21" x14ac:dyDescent="0.3">
      <c r="A681" s="10"/>
      <c r="B681" s="10"/>
      <c r="C681" s="10"/>
      <c r="D681" s="10"/>
      <c r="E681" s="22"/>
      <c r="F681" s="22"/>
      <c r="G681" s="22"/>
      <c r="H681" s="10"/>
      <c r="I681" s="10"/>
      <c r="J681" s="15"/>
      <c r="K681" s="1"/>
      <c r="L681" s="15"/>
      <c r="M681" s="15"/>
      <c r="N681" s="15"/>
      <c r="O681" s="7"/>
      <c r="P681" s="10"/>
      <c r="Q681" s="10"/>
      <c r="R681" s="10"/>
      <c r="S681" s="10"/>
      <c r="T681" s="10"/>
      <c r="U681" s="10"/>
    </row>
    <row r="682" spans="1:21" x14ac:dyDescent="0.3">
      <c r="A682" s="10"/>
      <c r="B682" s="10"/>
      <c r="C682" s="10"/>
      <c r="D682" s="10"/>
      <c r="E682" s="22"/>
      <c r="F682" s="22"/>
      <c r="G682" s="22"/>
      <c r="H682" s="10"/>
      <c r="I682" s="10"/>
      <c r="J682" s="15"/>
      <c r="K682" s="1"/>
      <c r="L682" s="15"/>
      <c r="M682" s="15"/>
      <c r="N682" s="15"/>
      <c r="O682" s="7"/>
      <c r="P682" s="10"/>
      <c r="Q682" s="10"/>
      <c r="R682" s="10"/>
      <c r="S682" s="10"/>
      <c r="T682" s="10"/>
      <c r="U682" s="10"/>
    </row>
    <row r="683" spans="1:21" x14ac:dyDescent="0.3">
      <c r="A683" s="10"/>
      <c r="B683" s="10"/>
      <c r="C683" s="10"/>
      <c r="D683" s="10"/>
      <c r="E683" s="22"/>
      <c r="F683" s="22"/>
      <c r="G683" s="22"/>
      <c r="H683" s="10"/>
      <c r="I683" s="10"/>
      <c r="J683" s="15"/>
      <c r="K683" s="1"/>
      <c r="L683" s="15"/>
      <c r="M683" s="15"/>
      <c r="N683" s="15"/>
      <c r="O683" s="7"/>
      <c r="P683" s="10"/>
      <c r="Q683" s="10"/>
      <c r="R683" s="10"/>
      <c r="S683" s="10"/>
      <c r="T683" s="10"/>
      <c r="U683" s="10"/>
    </row>
    <row r="684" spans="1:21" x14ac:dyDescent="0.3">
      <c r="A684" s="10"/>
      <c r="B684" s="10"/>
      <c r="C684" s="10"/>
      <c r="D684" s="10"/>
      <c r="E684" s="22"/>
      <c r="F684" s="22"/>
      <c r="G684" s="22"/>
      <c r="H684" s="10"/>
      <c r="I684" s="10"/>
      <c r="J684" s="15"/>
      <c r="K684" s="1"/>
      <c r="L684" s="15"/>
      <c r="M684" s="15"/>
      <c r="N684" s="15"/>
      <c r="O684" s="7"/>
      <c r="P684" s="10"/>
      <c r="Q684" s="10"/>
      <c r="R684" s="10"/>
      <c r="S684" s="10"/>
      <c r="T684" s="10"/>
      <c r="U684" s="10"/>
    </row>
    <row r="685" spans="1:21" x14ac:dyDescent="0.3">
      <c r="A685" s="10"/>
      <c r="B685" s="10"/>
      <c r="C685" s="10"/>
      <c r="D685" s="10"/>
      <c r="E685" s="22"/>
      <c r="F685" s="22"/>
      <c r="G685" s="22"/>
      <c r="H685" s="10"/>
      <c r="I685" s="10"/>
      <c r="J685" s="15"/>
      <c r="K685" s="1"/>
      <c r="L685" s="15"/>
      <c r="M685" s="15"/>
      <c r="N685" s="15"/>
      <c r="O685" s="7"/>
      <c r="P685" s="10"/>
      <c r="Q685" s="10"/>
      <c r="R685" s="10"/>
      <c r="S685" s="10"/>
      <c r="T685" s="10"/>
      <c r="U685" s="10"/>
    </row>
    <row r="686" spans="1:21" x14ac:dyDescent="0.3">
      <c r="A686" s="10"/>
      <c r="B686" s="10"/>
      <c r="C686" s="10"/>
      <c r="D686" s="10"/>
      <c r="E686" s="22"/>
      <c r="F686" s="22"/>
      <c r="G686" s="22"/>
      <c r="H686" s="10"/>
      <c r="I686" s="10"/>
      <c r="J686" s="15"/>
      <c r="K686" s="1"/>
      <c r="L686" s="15"/>
      <c r="M686" s="15"/>
      <c r="N686" s="15"/>
      <c r="O686" s="7"/>
      <c r="P686" s="10"/>
      <c r="Q686" s="10"/>
      <c r="R686" s="10"/>
      <c r="S686" s="10"/>
      <c r="T686" s="10"/>
      <c r="U686" s="10"/>
    </row>
    <row r="687" spans="1:21" x14ac:dyDescent="0.3">
      <c r="A687" s="10"/>
      <c r="B687" s="10"/>
      <c r="C687" s="10"/>
      <c r="D687" s="10"/>
      <c r="E687" s="22"/>
      <c r="F687" s="22"/>
      <c r="G687" s="22"/>
      <c r="H687" s="10"/>
      <c r="I687" s="10"/>
      <c r="J687" s="15"/>
      <c r="K687" s="1"/>
      <c r="L687" s="15"/>
      <c r="M687" s="15"/>
      <c r="N687" s="15"/>
      <c r="O687" s="7"/>
      <c r="P687" s="10"/>
      <c r="Q687" s="10"/>
      <c r="R687" s="10"/>
      <c r="S687" s="10"/>
      <c r="T687" s="10"/>
      <c r="U687" s="10"/>
    </row>
    <row r="688" spans="1:21" x14ac:dyDescent="0.3">
      <c r="A688" s="10"/>
      <c r="B688" s="10"/>
      <c r="C688" s="10"/>
      <c r="D688" s="10"/>
      <c r="E688" s="22"/>
      <c r="F688" s="22"/>
      <c r="G688" s="22"/>
      <c r="H688" s="10"/>
      <c r="I688" s="10"/>
      <c r="J688" s="15"/>
      <c r="K688" s="1"/>
      <c r="L688" s="15"/>
      <c r="M688" s="15"/>
      <c r="N688" s="15"/>
      <c r="O688" s="7"/>
      <c r="P688" s="10"/>
      <c r="Q688" s="10"/>
      <c r="R688" s="10"/>
      <c r="S688" s="10"/>
      <c r="T688" s="10"/>
      <c r="U688" s="10"/>
    </row>
    <row r="689" spans="1:21" x14ac:dyDescent="0.3">
      <c r="A689" s="10"/>
      <c r="B689" s="10"/>
      <c r="C689" s="10"/>
      <c r="D689" s="10"/>
      <c r="E689" s="22"/>
      <c r="F689" s="22"/>
      <c r="G689" s="22"/>
      <c r="H689" s="10"/>
      <c r="I689" s="10"/>
      <c r="J689" s="15"/>
      <c r="K689" s="1"/>
      <c r="L689" s="15"/>
      <c r="M689" s="15"/>
      <c r="N689" s="15"/>
      <c r="O689" s="7"/>
      <c r="P689" s="10"/>
      <c r="Q689" s="10"/>
      <c r="R689" s="10"/>
      <c r="S689" s="10"/>
      <c r="T689" s="10"/>
      <c r="U689" s="10"/>
    </row>
    <row r="690" spans="1:21" x14ac:dyDescent="0.3">
      <c r="A690" s="10"/>
      <c r="B690" s="10"/>
      <c r="C690" s="10"/>
      <c r="D690" s="10"/>
      <c r="E690" s="22"/>
      <c r="F690" s="22"/>
      <c r="G690" s="22"/>
      <c r="H690" s="10"/>
      <c r="I690" s="10"/>
      <c r="J690" s="15"/>
      <c r="K690" s="1"/>
      <c r="L690" s="15"/>
      <c r="M690" s="15"/>
      <c r="N690" s="15"/>
      <c r="O690" s="7"/>
      <c r="P690" s="10"/>
      <c r="Q690" s="10"/>
      <c r="R690" s="10"/>
      <c r="S690" s="10"/>
      <c r="T690" s="10"/>
      <c r="U690" s="10"/>
    </row>
    <row r="691" spans="1:21" x14ac:dyDescent="0.3">
      <c r="A691" s="10"/>
      <c r="B691" s="10"/>
      <c r="C691" s="10"/>
      <c r="D691" s="10"/>
      <c r="E691" s="22"/>
      <c r="F691" s="22"/>
      <c r="G691" s="22"/>
      <c r="H691" s="10"/>
      <c r="I691" s="10"/>
      <c r="J691" s="15"/>
      <c r="K691" s="1"/>
      <c r="L691" s="15"/>
      <c r="M691" s="15"/>
      <c r="N691" s="15"/>
      <c r="O691" s="7"/>
      <c r="P691" s="10"/>
      <c r="Q691" s="10"/>
      <c r="R691" s="10"/>
      <c r="S691" s="10"/>
      <c r="T691" s="10"/>
      <c r="U691" s="10"/>
    </row>
    <row r="692" spans="1:21" x14ac:dyDescent="0.3">
      <c r="A692" s="10"/>
      <c r="B692" s="10"/>
      <c r="C692" s="10"/>
      <c r="D692" s="10"/>
      <c r="E692" s="22"/>
      <c r="F692" s="22"/>
      <c r="G692" s="22"/>
      <c r="H692" s="10"/>
      <c r="I692" s="10"/>
      <c r="J692" s="15"/>
      <c r="K692" s="1"/>
      <c r="L692" s="15"/>
      <c r="M692" s="15"/>
      <c r="N692" s="15"/>
      <c r="O692" s="7"/>
      <c r="P692" s="10"/>
      <c r="Q692" s="10"/>
      <c r="R692" s="10"/>
      <c r="S692" s="10"/>
      <c r="T692" s="10"/>
      <c r="U692" s="10"/>
    </row>
    <row r="693" spans="1:21" x14ac:dyDescent="0.3">
      <c r="A693" s="10"/>
      <c r="B693" s="10"/>
      <c r="C693" s="10"/>
      <c r="D693" s="10"/>
      <c r="E693" s="22"/>
      <c r="F693" s="22"/>
      <c r="G693" s="22"/>
      <c r="H693" s="10"/>
      <c r="I693" s="10"/>
      <c r="J693" s="15"/>
      <c r="K693" s="1"/>
      <c r="L693" s="15"/>
      <c r="M693" s="15"/>
      <c r="N693" s="15"/>
      <c r="O693" s="7"/>
      <c r="P693" s="10"/>
      <c r="Q693" s="10"/>
      <c r="R693" s="10"/>
      <c r="S693" s="10"/>
      <c r="T693" s="10"/>
      <c r="U693" s="10"/>
    </row>
    <row r="694" spans="1:21" x14ac:dyDescent="0.3">
      <c r="A694" s="10"/>
      <c r="B694" s="10"/>
      <c r="C694" s="10"/>
      <c r="D694" s="10"/>
      <c r="E694" s="22"/>
      <c r="F694" s="22"/>
      <c r="G694" s="22"/>
      <c r="H694" s="10"/>
      <c r="I694" s="10"/>
      <c r="J694" s="15"/>
      <c r="K694" s="1"/>
      <c r="L694" s="15"/>
      <c r="M694" s="15"/>
      <c r="N694" s="15"/>
      <c r="O694" s="7"/>
      <c r="P694" s="10"/>
      <c r="Q694" s="10"/>
      <c r="R694" s="10"/>
      <c r="S694" s="10"/>
      <c r="T694" s="10"/>
      <c r="U694" s="10"/>
    </row>
    <row r="695" spans="1:21" x14ac:dyDescent="0.3">
      <c r="A695" s="10"/>
      <c r="B695" s="10"/>
      <c r="C695" s="10"/>
      <c r="D695" s="10"/>
      <c r="E695" s="22"/>
      <c r="F695" s="22"/>
      <c r="G695" s="22"/>
      <c r="H695" s="10"/>
      <c r="I695" s="10"/>
      <c r="J695" s="15"/>
      <c r="K695" s="1"/>
      <c r="L695" s="15"/>
      <c r="M695" s="15"/>
      <c r="N695" s="15"/>
      <c r="O695" s="7"/>
      <c r="P695" s="10"/>
      <c r="Q695" s="10"/>
      <c r="R695" s="10"/>
      <c r="S695" s="10"/>
      <c r="T695" s="10"/>
      <c r="U695" s="10"/>
    </row>
    <row r="696" spans="1:21" x14ac:dyDescent="0.3">
      <c r="A696" s="10"/>
      <c r="B696" s="10"/>
      <c r="C696" s="10"/>
      <c r="D696" s="10"/>
      <c r="E696" s="22"/>
      <c r="F696" s="22"/>
      <c r="G696" s="22"/>
      <c r="H696" s="10"/>
      <c r="I696" s="10"/>
      <c r="J696" s="15"/>
      <c r="K696" s="1"/>
      <c r="L696" s="15"/>
      <c r="M696" s="15"/>
      <c r="N696" s="15"/>
      <c r="O696" s="7"/>
      <c r="P696" s="10"/>
      <c r="Q696" s="10"/>
      <c r="R696" s="10"/>
      <c r="S696" s="10"/>
      <c r="T696" s="10"/>
      <c r="U696" s="10"/>
    </row>
    <row r="697" spans="1:21" x14ac:dyDescent="0.3">
      <c r="A697" s="10"/>
      <c r="B697" s="10"/>
      <c r="C697" s="10"/>
      <c r="D697" s="10"/>
      <c r="E697" s="22"/>
      <c r="F697" s="22"/>
      <c r="G697" s="22"/>
      <c r="H697" s="10"/>
      <c r="I697" s="10"/>
      <c r="J697" s="15"/>
      <c r="K697" s="1"/>
      <c r="L697" s="15"/>
      <c r="M697" s="15"/>
      <c r="N697" s="15"/>
      <c r="O697" s="7"/>
      <c r="P697" s="10"/>
      <c r="Q697" s="10"/>
      <c r="R697" s="10"/>
      <c r="S697" s="10"/>
      <c r="T697" s="10"/>
      <c r="U697" s="10"/>
    </row>
    <row r="698" spans="1:21" x14ac:dyDescent="0.3">
      <c r="A698" s="10"/>
      <c r="B698" s="10"/>
      <c r="C698" s="10"/>
      <c r="D698" s="10"/>
      <c r="E698" s="22"/>
      <c r="F698" s="22"/>
      <c r="G698" s="22"/>
      <c r="H698" s="10"/>
      <c r="I698" s="10"/>
      <c r="J698" s="15"/>
      <c r="K698" s="1"/>
      <c r="L698" s="15"/>
      <c r="M698" s="15"/>
      <c r="N698" s="15"/>
      <c r="O698" s="7"/>
      <c r="P698" s="10"/>
      <c r="Q698" s="10"/>
      <c r="R698" s="10"/>
      <c r="S698" s="10"/>
      <c r="T698" s="10"/>
      <c r="U698" s="10"/>
    </row>
    <row r="699" spans="1:21" x14ac:dyDescent="0.3">
      <c r="A699" s="10"/>
      <c r="B699" s="10"/>
      <c r="C699" s="10"/>
      <c r="D699" s="10"/>
      <c r="E699" s="22"/>
      <c r="F699" s="22"/>
      <c r="G699" s="22"/>
      <c r="H699" s="10"/>
      <c r="I699" s="10"/>
      <c r="J699" s="15"/>
      <c r="K699" s="1"/>
      <c r="L699" s="15"/>
      <c r="M699" s="15"/>
      <c r="N699" s="15"/>
      <c r="O699" s="7"/>
      <c r="P699" s="10"/>
      <c r="Q699" s="10"/>
      <c r="R699" s="10"/>
      <c r="S699" s="10"/>
      <c r="T699" s="10"/>
      <c r="U699" s="10"/>
    </row>
    <row r="700" spans="1:21" x14ac:dyDescent="0.3">
      <c r="A700" s="10"/>
      <c r="B700" s="10"/>
      <c r="C700" s="10"/>
      <c r="D700" s="10"/>
      <c r="E700" s="22"/>
      <c r="F700" s="22"/>
      <c r="G700" s="22"/>
      <c r="H700" s="10"/>
      <c r="I700" s="10"/>
      <c r="J700" s="15"/>
      <c r="K700" s="1"/>
      <c r="L700" s="15"/>
      <c r="M700" s="15"/>
      <c r="N700" s="15"/>
      <c r="O700" s="7"/>
      <c r="P700" s="10"/>
      <c r="Q700" s="10"/>
      <c r="R700" s="10"/>
      <c r="S700" s="10"/>
      <c r="T700" s="10"/>
      <c r="U700" s="10"/>
    </row>
    <row r="701" spans="1:21" x14ac:dyDescent="0.3">
      <c r="A701" s="10"/>
      <c r="B701" s="10"/>
      <c r="C701" s="10"/>
      <c r="D701" s="10"/>
      <c r="E701" s="22"/>
      <c r="F701" s="22"/>
      <c r="G701" s="22"/>
      <c r="H701" s="10"/>
      <c r="I701" s="10"/>
      <c r="J701" s="15"/>
      <c r="K701" s="1"/>
      <c r="L701" s="15"/>
      <c r="M701" s="15"/>
      <c r="N701" s="15"/>
      <c r="O701" s="7"/>
      <c r="P701" s="10"/>
      <c r="Q701" s="10"/>
      <c r="R701" s="10"/>
      <c r="S701" s="10"/>
      <c r="T701" s="10"/>
      <c r="U701" s="10"/>
    </row>
    <row r="702" spans="1:21" x14ac:dyDescent="0.3">
      <c r="A702" s="10"/>
      <c r="B702" s="10"/>
      <c r="C702" s="10"/>
      <c r="D702" s="10"/>
      <c r="E702" s="22"/>
      <c r="F702" s="22"/>
      <c r="G702" s="22"/>
      <c r="H702" s="10"/>
      <c r="I702" s="10"/>
      <c r="J702" s="15"/>
      <c r="K702" s="1"/>
      <c r="L702" s="15"/>
      <c r="M702" s="15"/>
      <c r="N702" s="15"/>
      <c r="O702" s="7"/>
      <c r="P702" s="10"/>
      <c r="Q702" s="10"/>
      <c r="R702" s="10"/>
      <c r="S702" s="10"/>
      <c r="T702" s="10"/>
      <c r="U702" s="10"/>
    </row>
    <row r="703" spans="1:21" x14ac:dyDescent="0.3">
      <c r="A703" s="10"/>
      <c r="B703" s="10"/>
      <c r="C703" s="10"/>
      <c r="D703" s="10"/>
      <c r="E703" s="22"/>
      <c r="F703" s="22"/>
      <c r="G703" s="22"/>
      <c r="H703" s="10"/>
      <c r="I703" s="10"/>
      <c r="J703" s="15"/>
      <c r="K703" s="1"/>
      <c r="L703" s="15"/>
      <c r="M703" s="15"/>
      <c r="N703" s="15"/>
      <c r="O703" s="7"/>
      <c r="P703" s="10"/>
      <c r="Q703" s="10"/>
      <c r="R703" s="10"/>
      <c r="S703" s="10"/>
      <c r="T703" s="10"/>
      <c r="U703" s="10"/>
    </row>
    <row r="704" spans="1:21" x14ac:dyDescent="0.3">
      <c r="A704" s="10"/>
      <c r="B704" s="10"/>
      <c r="C704" s="10"/>
      <c r="D704" s="10"/>
      <c r="E704" s="22"/>
      <c r="F704" s="22"/>
      <c r="G704" s="22"/>
      <c r="H704" s="10"/>
      <c r="I704" s="10"/>
      <c r="J704" s="15"/>
      <c r="K704" s="1"/>
      <c r="L704" s="15"/>
      <c r="M704" s="15"/>
      <c r="N704" s="15"/>
      <c r="O704" s="7"/>
      <c r="P704" s="10"/>
      <c r="Q704" s="10"/>
      <c r="R704" s="10"/>
      <c r="S704" s="10"/>
      <c r="T704" s="10"/>
      <c r="U704" s="10"/>
    </row>
    <row r="705" spans="1:21" x14ac:dyDescent="0.3">
      <c r="A705" s="10"/>
      <c r="B705" s="10"/>
      <c r="C705" s="10"/>
      <c r="D705" s="10"/>
      <c r="E705" s="22"/>
      <c r="F705" s="22"/>
      <c r="G705" s="22"/>
      <c r="H705" s="10"/>
      <c r="I705" s="10"/>
      <c r="J705" s="15"/>
      <c r="K705" s="1"/>
      <c r="L705" s="15"/>
      <c r="M705" s="15"/>
      <c r="N705" s="15"/>
      <c r="O705" s="7"/>
      <c r="P705" s="10"/>
      <c r="Q705" s="10"/>
      <c r="R705" s="10"/>
      <c r="S705" s="10"/>
      <c r="T705" s="10"/>
      <c r="U705" s="10"/>
    </row>
    <row r="706" spans="1:21" x14ac:dyDescent="0.3">
      <c r="A706" s="10"/>
      <c r="B706" s="10"/>
      <c r="C706" s="10"/>
      <c r="D706" s="10"/>
      <c r="E706" s="22"/>
      <c r="F706" s="22"/>
      <c r="G706" s="22"/>
      <c r="H706" s="10"/>
      <c r="I706" s="10"/>
      <c r="J706" s="15"/>
      <c r="K706" s="1"/>
      <c r="L706" s="15"/>
      <c r="M706" s="15"/>
      <c r="N706" s="15"/>
      <c r="O706" s="7"/>
      <c r="P706" s="10"/>
      <c r="Q706" s="10"/>
      <c r="R706" s="10"/>
      <c r="S706" s="10"/>
      <c r="T706" s="10"/>
      <c r="U706" s="10"/>
    </row>
    <row r="707" spans="1:21" x14ac:dyDescent="0.3">
      <c r="A707" s="10"/>
      <c r="B707" s="10"/>
      <c r="C707" s="10"/>
      <c r="D707" s="10"/>
      <c r="E707" s="22"/>
      <c r="F707" s="22"/>
      <c r="G707" s="22"/>
      <c r="H707" s="10"/>
      <c r="I707" s="10"/>
      <c r="J707" s="15"/>
      <c r="K707" s="1"/>
      <c r="L707" s="15"/>
      <c r="M707" s="15"/>
      <c r="N707" s="15"/>
      <c r="O707" s="7"/>
      <c r="P707" s="10"/>
      <c r="Q707" s="10"/>
      <c r="R707" s="10"/>
      <c r="S707" s="10"/>
      <c r="T707" s="10"/>
      <c r="U707" s="10"/>
    </row>
    <row r="708" spans="1:21" x14ac:dyDescent="0.3">
      <c r="A708" s="10"/>
      <c r="B708" s="10"/>
      <c r="C708" s="10"/>
      <c r="D708" s="10"/>
      <c r="E708" s="22"/>
      <c r="F708" s="22"/>
      <c r="G708" s="22"/>
      <c r="H708" s="10"/>
      <c r="I708" s="10"/>
      <c r="J708" s="15"/>
      <c r="K708" s="1"/>
      <c r="L708" s="15"/>
      <c r="M708" s="15"/>
      <c r="N708" s="15"/>
      <c r="O708" s="7"/>
      <c r="P708" s="10"/>
      <c r="Q708" s="10"/>
      <c r="R708" s="10"/>
      <c r="S708" s="10"/>
      <c r="T708" s="10"/>
      <c r="U708" s="10"/>
    </row>
    <row r="709" spans="1:21" x14ac:dyDescent="0.3">
      <c r="A709" s="10"/>
      <c r="B709" s="10"/>
      <c r="C709" s="10"/>
      <c r="D709" s="10"/>
      <c r="E709" s="22"/>
      <c r="F709" s="22"/>
      <c r="G709" s="22"/>
      <c r="H709" s="10"/>
      <c r="I709" s="10"/>
      <c r="J709" s="15"/>
      <c r="K709" s="1"/>
      <c r="L709" s="15"/>
      <c r="M709" s="15"/>
      <c r="N709" s="15"/>
      <c r="O709" s="7"/>
      <c r="P709" s="10"/>
      <c r="Q709" s="10"/>
      <c r="R709" s="10"/>
      <c r="S709" s="10"/>
      <c r="T709" s="10"/>
      <c r="U709" s="10"/>
    </row>
    <row r="710" spans="1:21" x14ac:dyDescent="0.3">
      <c r="A710" s="10"/>
      <c r="B710" s="10"/>
      <c r="C710" s="10"/>
      <c r="D710" s="10"/>
      <c r="E710" s="22"/>
      <c r="F710" s="22"/>
      <c r="G710" s="22"/>
      <c r="H710" s="10"/>
      <c r="I710" s="10"/>
      <c r="J710" s="15"/>
      <c r="K710" s="1"/>
      <c r="L710" s="15"/>
      <c r="M710" s="15"/>
      <c r="N710" s="15"/>
      <c r="O710" s="7"/>
      <c r="P710" s="10"/>
      <c r="Q710" s="10"/>
      <c r="R710" s="10"/>
      <c r="S710" s="10"/>
      <c r="T710" s="10"/>
      <c r="U710" s="10"/>
    </row>
    <row r="711" spans="1:21" x14ac:dyDescent="0.3">
      <c r="A711" s="10"/>
      <c r="B711" s="10"/>
      <c r="C711" s="10"/>
      <c r="D711" s="10"/>
      <c r="E711" s="22"/>
      <c r="F711" s="22"/>
      <c r="G711" s="22"/>
      <c r="H711" s="10"/>
      <c r="I711" s="10"/>
      <c r="J711" s="15"/>
      <c r="K711" s="1"/>
      <c r="L711" s="15"/>
      <c r="M711" s="15"/>
      <c r="N711" s="15"/>
      <c r="O711" s="7"/>
      <c r="P711" s="10"/>
      <c r="Q711" s="10"/>
      <c r="R711" s="10"/>
      <c r="S711" s="10"/>
      <c r="T711" s="10"/>
      <c r="U711" s="10"/>
    </row>
    <row r="712" spans="1:21" x14ac:dyDescent="0.3">
      <c r="A712" s="10"/>
      <c r="B712" s="10"/>
      <c r="C712" s="10"/>
      <c r="D712" s="10"/>
      <c r="E712" s="22"/>
      <c r="F712" s="22"/>
      <c r="G712" s="22"/>
      <c r="H712" s="10"/>
      <c r="I712" s="10"/>
      <c r="J712" s="15"/>
      <c r="K712" s="1"/>
      <c r="L712" s="15"/>
      <c r="M712" s="15"/>
      <c r="N712" s="15"/>
      <c r="O712" s="7"/>
      <c r="P712" s="10"/>
      <c r="Q712" s="10"/>
      <c r="R712" s="10"/>
      <c r="S712" s="10"/>
      <c r="T712" s="10"/>
      <c r="U712" s="10"/>
    </row>
    <row r="713" spans="1:21" x14ac:dyDescent="0.3">
      <c r="A713" s="10"/>
      <c r="B713" s="10"/>
      <c r="C713" s="10"/>
      <c r="D713" s="10"/>
      <c r="E713" s="22"/>
      <c r="F713" s="22"/>
      <c r="G713" s="22"/>
      <c r="H713" s="10"/>
      <c r="I713" s="10"/>
      <c r="J713" s="15"/>
      <c r="K713" s="1"/>
      <c r="L713" s="15"/>
      <c r="M713" s="15"/>
      <c r="N713" s="15"/>
      <c r="O713" s="7"/>
      <c r="P713" s="10"/>
      <c r="Q713" s="10"/>
      <c r="R713" s="10"/>
      <c r="S713" s="10"/>
      <c r="T713" s="10"/>
      <c r="U713" s="10"/>
    </row>
    <row r="714" spans="1:21" x14ac:dyDescent="0.3">
      <c r="A714" s="10"/>
      <c r="B714" s="10"/>
      <c r="C714" s="10"/>
      <c r="D714" s="10"/>
      <c r="E714" s="22"/>
      <c r="F714" s="22"/>
      <c r="G714" s="22"/>
      <c r="H714" s="10"/>
      <c r="I714" s="10"/>
      <c r="J714" s="15"/>
      <c r="K714" s="1"/>
      <c r="L714" s="15"/>
      <c r="M714" s="15"/>
      <c r="N714" s="15"/>
      <c r="O714" s="7"/>
      <c r="P714" s="10"/>
      <c r="Q714" s="10"/>
      <c r="R714" s="10"/>
      <c r="S714" s="10"/>
      <c r="T714" s="10"/>
      <c r="U714" s="10"/>
    </row>
    <row r="715" spans="1:21" x14ac:dyDescent="0.3">
      <c r="A715" s="10"/>
      <c r="B715" s="10"/>
      <c r="C715" s="10"/>
      <c r="D715" s="10"/>
      <c r="E715" s="22"/>
      <c r="F715" s="22"/>
      <c r="G715" s="22"/>
      <c r="H715" s="10"/>
      <c r="I715" s="10"/>
      <c r="J715" s="15"/>
      <c r="K715" s="1"/>
      <c r="L715" s="15"/>
      <c r="M715" s="15"/>
      <c r="N715" s="15"/>
      <c r="O715" s="7"/>
      <c r="P715" s="10"/>
      <c r="Q715" s="10"/>
      <c r="R715" s="10"/>
      <c r="S715" s="10"/>
      <c r="T715" s="10"/>
      <c r="U715" s="10"/>
    </row>
    <row r="716" spans="1:21" x14ac:dyDescent="0.3">
      <c r="A716" s="10"/>
      <c r="B716" s="10"/>
      <c r="C716" s="10"/>
      <c r="D716" s="10"/>
      <c r="E716" s="22"/>
      <c r="F716" s="22"/>
      <c r="G716" s="22"/>
      <c r="H716" s="10"/>
      <c r="I716" s="10"/>
      <c r="J716" s="15"/>
      <c r="K716" s="1"/>
      <c r="L716" s="15"/>
      <c r="M716" s="15"/>
      <c r="N716" s="15"/>
      <c r="O716" s="7"/>
      <c r="P716" s="10"/>
      <c r="Q716" s="10"/>
      <c r="R716" s="10"/>
      <c r="S716" s="10"/>
      <c r="T716" s="10"/>
      <c r="U716" s="10"/>
    </row>
    <row r="717" spans="1:21" x14ac:dyDescent="0.3">
      <c r="A717" s="10"/>
      <c r="B717" s="10"/>
      <c r="C717" s="10"/>
      <c r="D717" s="10"/>
      <c r="E717" s="22"/>
      <c r="F717" s="22"/>
      <c r="G717" s="22"/>
      <c r="H717" s="10"/>
      <c r="I717" s="10"/>
      <c r="J717" s="15"/>
      <c r="K717" s="1"/>
      <c r="L717" s="15"/>
      <c r="M717" s="15"/>
      <c r="N717" s="15"/>
      <c r="O717" s="7"/>
      <c r="P717" s="10"/>
      <c r="Q717" s="10"/>
      <c r="R717" s="10"/>
      <c r="S717" s="10"/>
      <c r="T717" s="10"/>
      <c r="U717" s="10"/>
    </row>
    <row r="718" spans="1:21" x14ac:dyDescent="0.3">
      <c r="A718" s="10"/>
      <c r="B718" s="10"/>
      <c r="C718" s="10"/>
      <c r="D718" s="10"/>
      <c r="E718" s="22"/>
      <c r="F718" s="22"/>
      <c r="G718" s="22"/>
      <c r="H718" s="10"/>
      <c r="I718" s="10"/>
      <c r="J718" s="15"/>
      <c r="K718" s="1"/>
      <c r="L718" s="15"/>
      <c r="M718" s="15"/>
      <c r="N718" s="15"/>
      <c r="O718" s="7"/>
      <c r="P718" s="10"/>
      <c r="Q718" s="10"/>
      <c r="R718" s="10"/>
      <c r="S718" s="10"/>
      <c r="T718" s="10"/>
      <c r="U718" s="10"/>
    </row>
    <row r="719" spans="1:21" x14ac:dyDescent="0.3">
      <c r="A719" s="10"/>
      <c r="B719" s="10"/>
      <c r="C719" s="10"/>
      <c r="D719" s="10"/>
      <c r="E719" s="22"/>
      <c r="F719" s="22"/>
      <c r="G719" s="22"/>
      <c r="H719" s="10"/>
      <c r="I719" s="10"/>
      <c r="J719" s="15"/>
      <c r="K719" s="1"/>
      <c r="L719" s="15"/>
      <c r="M719" s="15"/>
      <c r="N719" s="15"/>
      <c r="O719" s="7"/>
      <c r="P719" s="10"/>
      <c r="Q719" s="10"/>
      <c r="R719" s="10"/>
      <c r="S719" s="10"/>
      <c r="T719" s="10"/>
      <c r="U719" s="10"/>
    </row>
    <row r="720" spans="1:21" x14ac:dyDescent="0.3">
      <c r="A720" s="10"/>
      <c r="B720" s="10"/>
      <c r="C720" s="10"/>
      <c r="D720" s="10"/>
      <c r="E720" s="22"/>
      <c r="F720" s="22"/>
      <c r="G720" s="22"/>
      <c r="H720" s="10"/>
      <c r="I720" s="10"/>
      <c r="J720" s="15"/>
      <c r="K720" s="1"/>
      <c r="L720" s="15"/>
      <c r="M720" s="15"/>
      <c r="N720" s="15"/>
      <c r="O720" s="7"/>
      <c r="P720" s="10"/>
      <c r="Q720" s="10"/>
      <c r="R720" s="10"/>
      <c r="S720" s="10"/>
      <c r="T720" s="10"/>
      <c r="U720" s="10"/>
    </row>
    <row r="721" spans="1:21" x14ac:dyDescent="0.3">
      <c r="A721" s="10"/>
      <c r="B721" s="10"/>
      <c r="C721" s="10"/>
      <c r="D721" s="10"/>
      <c r="E721" s="22"/>
      <c r="F721" s="22"/>
      <c r="G721" s="22"/>
      <c r="H721" s="10"/>
      <c r="I721" s="10"/>
      <c r="J721" s="15"/>
      <c r="K721" s="1"/>
      <c r="L721" s="15"/>
      <c r="M721" s="15"/>
      <c r="N721" s="15"/>
      <c r="O721" s="7"/>
      <c r="P721" s="10"/>
      <c r="Q721" s="10"/>
      <c r="R721" s="10"/>
      <c r="S721" s="10"/>
      <c r="T721" s="10"/>
      <c r="U721" s="10"/>
    </row>
    <row r="722" spans="1:21" x14ac:dyDescent="0.3">
      <c r="A722" s="10"/>
      <c r="B722" s="10"/>
      <c r="C722" s="10"/>
      <c r="D722" s="10"/>
      <c r="E722" s="22"/>
      <c r="F722" s="22"/>
      <c r="G722" s="22"/>
      <c r="H722" s="10"/>
      <c r="I722" s="10"/>
      <c r="J722" s="15"/>
      <c r="K722" s="1"/>
      <c r="L722" s="15"/>
      <c r="M722" s="15"/>
      <c r="N722" s="15"/>
      <c r="O722" s="7"/>
      <c r="P722" s="10"/>
      <c r="Q722" s="10"/>
      <c r="R722" s="10"/>
      <c r="S722" s="10"/>
      <c r="T722" s="10"/>
      <c r="U722" s="10"/>
    </row>
    <row r="723" spans="1:21" x14ac:dyDescent="0.3">
      <c r="A723" s="10"/>
      <c r="B723" s="10"/>
      <c r="C723" s="10"/>
      <c r="D723" s="10"/>
      <c r="E723" s="22"/>
      <c r="F723" s="22"/>
      <c r="G723" s="22"/>
      <c r="H723" s="10"/>
      <c r="I723" s="10"/>
      <c r="J723" s="15"/>
      <c r="K723" s="1"/>
      <c r="L723" s="15"/>
      <c r="M723" s="15"/>
      <c r="N723" s="15"/>
      <c r="O723" s="7"/>
      <c r="P723" s="10"/>
      <c r="Q723" s="10"/>
      <c r="R723" s="10"/>
      <c r="S723" s="10"/>
      <c r="T723" s="10"/>
      <c r="U723" s="10"/>
    </row>
    <row r="724" spans="1:21" x14ac:dyDescent="0.3">
      <c r="A724" s="10"/>
      <c r="B724" s="10"/>
      <c r="C724" s="10"/>
      <c r="D724" s="10"/>
      <c r="E724" s="22"/>
      <c r="F724" s="22"/>
      <c r="G724" s="22"/>
      <c r="H724" s="10"/>
      <c r="I724" s="10"/>
      <c r="J724" s="15"/>
      <c r="K724" s="1"/>
      <c r="L724" s="15"/>
      <c r="M724" s="15"/>
      <c r="N724" s="15"/>
      <c r="O724" s="7"/>
      <c r="P724" s="10"/>
      <c r="Q724" s="10"/>
      <c r="R724" s="10"/>
      <c r="S724" s="10"/>
      <c r="T724" s="10"/>
      <c r="U724" s="10"/>
    </row>
    <row r="725" spans="1:21" x14ac:dyDescent="0.3">
      <c r="A725" s="10"/>
      <c r="B725" s="10"/>
      <c r="C725" s="10"/>
      <c r="D725" s="10"/>
      <c r="E725" s="22"/>
      <c r="F725" s="22"/>
      <c r="G725" s="22"/>
      <c r="H725" s="10"/>
      <c r="I725" s="10"/>
      <c r="J725" s="15"/>
      <c r="K725" s="1"/>
      <c r="L725" s="15"/>
      <c r="M725" s="15"/>
      <c r="N725" s="15"/>
      <c r="O725" s="7"/>
      <c r="P725" s="10"/>
      <c r="Q725" s="10"/>
      <c r="R725" s="10"/>
      <c r="S725" s="10"/>
      <c r="T725" s="10"/>
      <c r="U725" s="10"/>
    </row>
    <row r="726" spans="1:21" x14ac:dyDescent="0.3">
      <c r="A726" s="10"/>
      <c r="B726" s="10"/>
      <c r="C726" s="10"/>
      <c r="D726" s="10"/>
      <c r="E726" s="22"/>
      <c r="F726" s="22"/>
      <c r="G726" s="22"/>
      <c r="H726" s="10"/>
      <c r="I726" s="10"/>
      <c r="J726" s="15"/>
      <c r="K726" s="1"/>
      <c r="L726" s="15"/>
      <c r="M726" s="15"/>
      <c r="N726" s="15"/>
      <c r="O726" s="7"/>
      <c r="P726" s="10"/>
      <c r="Q726" s="10"/>
      <c r="R726" s="10"/>
      <c r="S726" s="10"/>
      <c r="T726" s="10"/>
      <c r="U726" s="10"/>
    </row>
    <row r="727" spans="1:21" x14ac:dyDescent="0.3">
      <c r="A727" s="10"/>
      <c r="B727" s="10"/>
      <c r="C727" s="10"/>
      <c r="D727" s="10"/>
      <c r="E727" s="22"/>
      <c r="F727" s="22"/>
      <c r="G727" s="22"/>
      <c r="H727" s="10"/>
      <c r="I727" s="10"/>
      <c r="J727" s="15"/>
      <c r="K727" s="1"/>
      <c r="L727" s="15"/>
      <c r="M727" s="15"/>
      <c r="N727" s="15"/>
      <c r="O727" s="7"/>
      <c r="P727" s="10"/>
      <c r="Q727" s="10"/>
      <c r="R727" s="10"/>
      <c r="S727" s="10"/>
      <c r="T727" s="10"/>
      <c r="U727" s="10"/>
    </row>
    <row r="728" spans="1:21" x14ac:dyDescent="0.3">
      <c r="A728" s="10"/>
      <c r="B728" s="10"/>
      <c r="C728" s="10"/>
      <c r="D728" s="10"/>
      <c r="E728" s="22"/>
      <c r="F728" s="22"/>
      <c r="G728" s="22"/>
      <c r="H728" s="10"/>
      <c r="I728" s="10"/>
      <c r="J728" s="15"/>
      <c r="K728" s="1"/>
      <c r="L728" s="15"/>
      <c r="M728" s="15"/>
      <c r="N728" s="15"/>
      <c r="O728" s="7"/>
      <c r="P728" s="10"/>
      <c r="Q728" s="10"/>
      <c r="R728" s="10"/>
      <c r="S728" s="10"/>
      <c r="T728" s="10"/>
      <c r="U728" s="10"/>
    </row>
    <row r="729" spans="1:21" x14ac:dyDescent="0.3">
      <c r="A729" s="10"/>
      <c r="B729" s="10"/>
      <c r="C729" s="10"/>
      <c r="D729" s="10"/>
      <c r="E729" s="22"/>
      <c r="F729" s="22"/>
      <c r="G729" s="22"/>
      <c r="H729" s="10"/>
      <c r="I729" s="10"/>
      <c r="J729" s="15"/>
      <c r="K729" s="1"/>
      <c r="L729" s="15"/>
      <c r="M729" s="15"/>
      <c r="N729" s="15"/>
      <c r="O729" s="7"/>
      <c r="P729" s="10"/>
      <c r="Q729" s="10"/>
      <c r="R729" s="10"/>
      <c r="S729" s="10"/>
      <c r="T729" s="10"/>
      <c r="U729" s="10"/>
    </row>
    <row r="730" spans="1:21" x14ac:dyDescent="0.3">
      <c r="A730" s="10"/>
      <c r="B730" s="10"/>
      <c r="C730" s="10"/>
      <c r="D730" s="10"/>
      <c r="E730" s="22"/>
      <c r="F730" s="22"/>
      <c r="G730" s="22"/>
      <c r="H730" s="10"/>
      <c r="I730" s="10"/>
      <c r="J730" s="15"/>
      <c r="K730" s="1"/>
      <c r="L730" s="15"/>
      <c r="M730" s="15"/>
      <c r="N730" s="15"/>
      <c r="O730" s="7"/>
      <c r="P730" s="10"/>
      <c r="Q730" s="10"/>
      <c r="R730" s="10"/>
      <c r="S730" s="10"/>
      <c r="T730" s="10"/>
      <c r="U730" s="10"/>
    </row>
    <row r="731" spans="1:21" x14ac:dyDescent="0.3">
      <c r="A731" s="10"/>
      <c r="B731" s="10"/>
      <c r="C731" s="10"/>
      <c r="D731" s="10"/>
      <c r="E731" s="22"/>
      <c r="F731" s="22"/>
      <c r="G731" s="22"/>
      <c r="H731" s="10"/>
      <c r="I731" s="10"/>
      <c r="J731" s="15"/>
      <c r="K731" s="1"/>
      <c r="L731" s="15"/>
      <c r="M731" s="15"/>
      <c r="N731" s="15"/>
      <c r="O731" s="7"/>
      <c r="P731" s="10"/>
      <c r="Q731" s="10"/>
      <c r="R731" s="10"/>
      <c r="S731" s="10"/>
      <c r="T731" s="10"/>
      <c r="U731" s="10"/>
    </row>
    <row r="732" spans="1:21" x14ac:dyDescent="0.3">
      <c r="A732" s="10"/>
      <c r="B732" s="10"/>
      <c r="C732" s="10"/>
      <c r="D732" s="10"/>
      <c r="E732" s="22"/>
      <c r="F732" s="22"/>
      <c r="G732" s="22"/>
      <c r="H732" s="10"/>
      <c r="I732" s="10"/>
      <c r="J732" s="15"/>
      <c r="K732" s="1"/>
      <c r="L732" s="15"/>
      <c r="M732" s="15"/>
      <c r="N732" s="15"/>
      <c r="O732" s="7"/>
      <c r="P732" s="10"/>
      <c r="Q732" s="10"/>
      <c r="R732" s="10"/>
      <c r="S732" s="10"/>
      <c r="T732" s="10"/>
      <c r="U732" s="10"/>
    </row>
    <row r="733" spans="1:21" x14ac:dyDescent="0.3">
      <c r="A733" s="10"/>
      <c r="B733" s="10"/>
      <c r="C733" s="10"/>
      <c r="D733" s="10"/>
      <c r="E733" s="22"/>
      <c r="F733" s="22"/>
      <c r="G733" s="22"/>
      <c r="H733" s="10"/>
      <c r="I733" s="10"/>
      <c r="J733" s="15"/>
      <c r="K733" s="1"/>
      <c r="L733" s="15"/>
      <c r="M733" s="15"/>
      <c r="N733" s="15"/>
      <c r="O733" s="7"/>
      <c r="P733" s="10"/>
      <c r="Q733" s="10"/>
      <c r="R733" s="10"/>
      <c r="S733" s="10"/>
      <c r="T733" s="10"/>
      <c r="U733" s="10"/>
    </row>
    <row r="734" spans="1:21" x14ac:dyDescent="0.3">
      <c r="A734" s="10"/>
      <c r="B734" s="10"/>
      <c r="C734" s="10"/>
      <c r="D734" s="10"/>
      <c r="E734" s="22"/>
      <c r="F734" s="22"/>
      <c r="G734" s="22"/>
      <c r="H734" s="10"/>
      <c r="I734" s="10"/>
      <c r="J734" s="15"/>
      <c r="K734" s="1"/>
      <c r="L734" s="15"/>
      <c r="M734" s="15"/>
      <c r="N734" s="15"/>
      <c r="O734" s="7"/>
      <c r="P734" s="10"/>
      <c r="Q734" s="10"/>
      <c r="R734" s="10"/>
      <c r="S734" s="10"/>
      <c r="T734" s="10"/>
      <c r="U734" s="10"/>
    </row>
    <row r="735" spans="1:21" x14ac:dyDescent="0.3">
      <c r="A735" s="10"/>
      <c r="B735" s="10"/>
      <c r="C735" s="10"/>
      <c r="D735" s="10"/>
      <c r="E735" s="22"/>
      <c r="F735" s="22"/>
      <c r="G735" s="22"/>
      <c r="H735" s="10"/>
      <c r="I735" s="10"/>
      <c r="J735" s="15"/>
      <c r="K735" s="1"/>
      <c r="L735" s="15"/>
      <c r="M735" s="15"/>
      <c r="N735" s="15"/>
      <c r="O735" s="7"/>
      <c r="P735" s="10"/>
      <c r="Q735" s="10"/>
      <c r="R735" s="10"/>
      <c r="S735" s="10"/>
      <c r="T735" s="10"/>
      <c r="U735" s="10"/>
    </row>
    <row r="736" spans="1:21" x14ac:dyDescent="0.3">
      <c r="A736" s="10"/>
      <c r="B736" s="10"/>
      <c r="C736" s="10"/>
      <c r="D736" s="10"/>
      <c r="E736" s="22"/>
      <c r="F736" s="22"/>
      <c r="G736" s="22"/>
      <c r="H736" s="10"/>
      <c r="I736" s="10"/>
      <c r="J736" s="15"/>
      <c r="K736" s="1"/>
      <c r="L736" s="15"/>
      <c r="M736" s="15"/>
      <c r="N736" s="15"/>
      <c r="O736" s="7"/>
      <c r="P736" s="10"/>
      <c r="Q736" s="10"/>
      <c r="R736" s="10"/>
      <c r="S736" s="10"/>
      <c r="T736" s="10"/>
      <c r="U736" s="10"/>
    </row>
    <row r="737" spans="1:21" x14ac:dyDescent="0.3">
      <c r="A737" s="10"/>
      <c r="B737" s="10"/>
      <c r="C737" s="10"/>
      <c r="D737" s="10"/>
      <c r="E737" s="22"/>
      <c r="F737" s="22"/>
      <c r="G737" s="22"/>
      <c r="H737" s="10"/>
      <c r="I737" s="10"/>
      <c r="J737" s="15"/>
      <c r="K737" s="1"/>
      <c r="L737" s="15"/>
      <c r="M737" s="15"/>
      <c r="N737" s="15"/>
      <c r="O737" s="7"/>
      <c r="P737" s="10"/>
      <c r="Q737" s="10"/>
      <c r="R737" s="10"/>
      <c r="S737" s="10"/>
      <c r="T737" s="10"/>
      <c r="U737" s="10"/>
    </row>
    <row r="738" spans="1:21" x14ac:dyDescent="0.3">
      <c r="A738" s="10"/>
      <c r="B738" s="10"/>
      <c r="C738" s="10"/>
      <c r="D738" s="10"/>
      <c r="E738" s="22"/>
      <c r="F738" s="22"/>
      <c r="G738" s="22"/>
      <c r="H738" s="10"/>
      <c r="I738" s="10"/>
      <c r="J738" s="15"/>
      <c r="K738" s="1"/>
      <c r="L738" s="15"/>
      <c r="M738" s="15"/>
      <c r="N738" s="15"/>
      <c r="O738" s="7"/>
      <c r="P738" s="10"/>
      <c r="Q738" s="10"/>
      <c r="R738" s="10"/>
      <c r="S738" s="10"/>
      <c r="T738" s="10"/>
      <c r="U738" s="10"/>
    </row>
    <row r="739" spans="1:21" x14ac:dyDescent="0.3">
      <c r="A739" s="10"/>
      <c r="B739" s="10"/>
      <c r="C739" s="10"/>
      <c r="D739" s="10"/>
      <c r="E739" s="22"/>
      <c r="F739" s="22"/>
      <c r="G739" s="22"/>
      <c r="H739" s="10"/>
      <c r="I739" s="10"/>
      <c r="J739" s="15"/>
      <c r="K739" s="1"/>
      <c r="L739" s="15"/>
      <c r="M739" s="15"/>
      <c r="N739" s="15"/>
      <c r="O739" s="7"/>
      <c r="P739" s="10"/>
      <c r="Q739" s="10"/>
      <c r="R739" s="10"/>
      <c r="S739" s="10"/>
      <c r="T739" s="10"/>
      <c r="U739" s="10"/>
    </row>
    <row r="740" spans="1:21" x14ac:dyDescent="0.3">
      <c r="A740" s="10"/>
      <c r="B740" s="10"/>
      <c r="C740" s="10"/>
      <c r="D740" s="10"/>
      <c r="E740" s="22"/>
      <c r="F740" s="22"/>
      <c r="G740" s="22"/>
      <c r="H740" s="10"/>
      <c r="I740" s="10"/>
      <c r="J740" s="15"/>
      <c r="K740" s="1"/>
      <c r="L740" s="15"/>
      <c r="M740" s="15"/>
      <c r="N740" s="15"/>
      <c r="O740" s="7"/>
      <c r="P740" s="10"/>
      <c r="Q740" s="10"/>
      <c r="R740" s="10"/>
      <c r="S740" s="10"/>
      <c r="T740" s="10"/>
      <c r="U740" s="10"/>
    </row>
    <row r="741" spans="1:21" x14ac:dyDescent="0.3">
      <c r="A741" s="10"/>
      <c r="B741" s="10"/>
      <c r="C741" s="10"/>
      <c r="D741" s="10"/>
      <c r="E741" s="22"/>
      <c r="F741" s="22"/>
      <c r="G741" s="22"/>
      <c r="H741" s="10"/>
      <c r="I741" s="10"/>
      <c r="J741" s="15"/>
      <c r="K741" s="1"/>
      <c r="L741" s="15"/>
      <c r="M741" s="15"/>
      <c r="N741" s="15"/>
      <c r="O741" s="7"/>
      <c r="P741" s="10"/>
      <c r="Q741" s="10"/>
      <c r="R741" s="10"/>
      <c r="S741" s="10"/>
      <c r="T741" s="10"/>
      <c r="U741" s="10"/>
    </row>
    <row r="742" spans="1:21" x14ac:dyDescent="0.3">
      <c r="A742" s="10"/>
      <c r="B742" s="10"/>
      <c r="C742" s="10"/>
      <c r="D742" s="10"/>
      <c r="E742" s="22"/>
      <c r="F742" s="22"/>
      <c r="G742" s="22"/>
      <c r="H742" s="10"/>
      <c r="I742" s="10"/>
      <c r="J742" s="15"/>
      <c r="K742" s="1"/>
      <c r="L742" s="15"/>
      <c r="M742" s="15"/>
      <c r="N742" s="15"/>
      <c r="O742" s="7"/>
      <c r="P742" s="10"/>
      <c r="Q742" s="10"/>
      <c r="R742" s="10"/>
      <c r="S742" s="10"/>
      <c r="T742" s="10"/>
      <c r="U742" s="10"/>
    </row>
    <row r="743" spans="1:21" x14ac:dyDescent="0.3">
      <c r="A743" s="10"/>
      <c r="B743" s="10"/>
      <c r="C743" s="10"/>
      <c r="D743" s="10"/>
      <c r="E743" s="22"/>
      <c r="F743" s="22"/>
      <c r="G743" s="22"/>
      <c r="H743" s="10"/>
      <c r="I743" s="10"/>
      <c r="J743" s="15"/>
      <c r="K743" s="1"/>
      <c r="L743" s="15"/>
      <c r="M743" s="15"/>
      <c r="N743" s="15"/>
      <c r="O743" s="7"/>
      <c r="P743" s="10"/>
      <c r="Q743" s="10"/>
      <c r="R743" s="10"/>
      <c r="S743" s="10"/>
      <c r="T743" s="10"/>
      <c r="U743" s="10"/>
    </row>
    <row r="744" spans="1:21" x14ac:dyDescent="0.3">
      <c r="A744" s="10"/>
      <c r="B744" s="10"/>
      <c r="C744" s="10"/>
      <c r="D744" s="10"/>
      <c r="E744" s="22"/>
      <c r="F744" s="22"/>
      <c r="G744" s="22"/>
      <c r="H744" s="10"/>
      <c r="I744" s="10"/>
      <c r="J744" s="15"/>
      <c r="K744" s="1"/>
      <c r="L744" s="15"/>
      <c r="M744" s="15"/>
      <c r="N744" s="15"/>
      <c r="O744" s="7"/>
      <c r="P744" s="10"/>
      <c r="Q744" s="10"/>
      <c r="R744" s="10"/>
      <c r="S744" s="10"/>
      <c r="T744" s="10"/>
      <c r="U744" s="10"/>
    </row>
    <row r="745" spans="1:21" x14ac:dyDescent="0.3">
      <c r="A745" s="10"/>
      <c r="B745" s="10"/>
      <c r="C745" s="10"/>
      <c r="D745" s="10"/>
      <c r="E745" s="22"/>
      <c r="F745" s="22"/>
      <c r="G745" s="22"/>
      <c r="H745" s="10"/>
      <c r="I745" s="10"/>
      <c r="J745" s="15"/>
      <c r="K745" s="1"/>
      <c r="L745" s="15"/>
      <c r="M745" s="15"/>
      <c r="N745" s="15"/>
      <c r="O745" s="7"/>
      <c r="P745" s="10"/>
      <c r="Q745" s="10"/>
      <c r="R745" s="10"/>
      <c r="S745" s="10"/>
      <c r="T745" s="10"/>
      <c r="U745" s="10"/>
    </row>
    <row r="746" spans="1:21" x14ac:dyDescent="0.3">
      <c r="A746" s="10"/>
      <c r="B746" s="10"/>
      <c r="C746" s="10"/>
      <c r="D746" s="10"/>
      <c r="E746" s="22"/>
      <c r="F746" s="22"/>
      <c r="G746" s="22"/>
      <c r="H746" s="10"/>
      <c r="I746" s="10"/>
      <c r="J746" s="15"/>
      <c r="K746" s="1"/>
      <c r="L746" s="15"/>
      <c r="M746" s="15"/>
      <c r="N746" s="15"/>
      <c r="O746" s="7"/>
      <c r="P746" s="10"/>
      <c r="Q746" s="10"/>
      <c r="R746" s="10"/>
      <c r="S746" s="10"/>
      <c r="T746" s="10"/>
      <c r="U746" s="10"/>
    </row>
    <row r="747" spans="1:21" x14ac:dyDescent="0.3">
      <c r="A747" s="10"/>
      <c r="B747" s="10"/>
      <c r="C747" s="10"/>
      <c r="D747" s="10"/>
      <c r="E747" s="22"/>
      <c r="F747" s="22"/>
      <c r="G747" s="22"/>
      <c r="H747" s="10"/>
      <c r="I747" s="10"/>
      <c r="J747" s="15"/>
      <c r="K747" s="1"/>
      <c r="L747" s="15"/>
      <c r="M747" s="15"/>
      <c r="N747" s="15"/>
      <c r="O747" s="7"/>
      <c r="P747" s="10"/>
      <c r="Q747" s="10"/>
      <c r="R747" s="10"/>
      <c r="S747" s="10"/>
      <c r="T747" s="10"/>
      <c r="U747" s="10"/>
    </row>
    <row r="748" spans="1:21" x14ac:dyDescent="0.3">
      <c r="A748" s="10"/>
      <c r="B748" s="10"/>
      <c r="C748" s="10"/>
      <c r="D748" s="10"/>
      <c r="E748" s="22"/>
      <c r="F748" s="22"/>
      <c r="G748" s="22"/>
      <c r="H748" s="10"/>
      <c r="I748" s="10"/>
      <c r="J748" s="15"/>
      <c r="K748" s="1"/>
      <c r="L748" s="15"/>
      <c r="M748" s="15"/>
      <c r="N748" s="15"/>
      <c r="O748" s="7"/>
      <c r="P748" s="10"/>
      <c r="Q748" s="10"/>
      <c r="R748" s="10"/>
      <c r="S748" s="10"/>
      <c r="T748" s="10"/>
      <c r="U748" s="10"/>
    </row>
    <row r="749" spans="1:21" x14ac:dyDescent="0.3">
      <c r="A749" s="10"/>
      <c r="B749" s="10"/>
      <c r="C749" s="10"/>
      <c r="D749" s="10"/>
      <c r="E749" s="22"/>
      <c r="F749" s="22"/>
      <c r="G749" s="22"/>
      <c r="H749" s="10"/>
      <c r="I749" s="10"/>
      <c r="J749" s="15"/>
      <c r="K749" s="1"/>
      <c r="L749" s="15"/>
      <c r="M749" s="15"/>
      <c r="N749" s="15"/>
      <c r="O749" s="7"/>
      <c r="P749" s="10"/>
      <c r="Q749" s="10"/>
      <c r="R749" s="10"/>
      <c r="S749" s="10"/>
      <c r="T749" s="10"/>
      <c r="U749" s="10"/>
    </row>
    <row r="750" spans="1:21" x14ac:dyDescent="0.3">
      <c r="A750" s="10"/>
      <c r="B750" s="10"/>
      <c r="C750" s="10"/>
      <c r="D750" s="10"/>
      <c r="E750" s="22"/>
      <c r="F750" s="22"/>
      <c r="G750" s="22"/>
      <c r="H750" s="10"/>
      <c r="I750" s="10"/>
      <c r="J750" s="15"/>
      <c r="K750" s="1"/>
      <c r="L750" s="15"/>
      <c r="M750" s="15"/>
      <c r="N750" s="15"/>
      <c r="O750" s="7"/>
      <c r="P750" s="10"/>
      <c r="Q750" s="10"/>
      <c r="R750" s="10"/>
      <c r="S750" s="10"/>
      <c r="T750" s="10"/>
      <c r="U750" s="10"/>
    </row>
    <row r="751" spans="1:21" x14ac:dyDescent="0.3">
      <c r="A751" s="10"/>
      <c r="B751" s="10"/>
      <c r="C751" s="10"/>
      <c r="D751" s="10"/>
      <c r="E751" s="22"/>
      <c r="F751" s="22"/>
      <c r="G751" s="22"/>
      <c r="H751" s="10"/>
      <c r="I751" s="10"/>
      <c r="J751" s="15"/>
      <c r="K751" s="1"/>
      <c r="L751" s="15"/>
      <c r="M751" s="15"/>
      <c r="N751" s="15"/>
      <c r="O751" s="7"/>
      <c r="P751" s="10"/>
      <c r="Q751" s="10"/>
      <c r="R751" s="10"/>
      <c r="S751" s="10"/>
      <c r="T751" s="10"/>
      <c r="U751" s="10"/>
    </row>
    <row r="752" spans="1:21" x14ac:dyDescent="0.3">
      <c r="A752" s="10"/>
      <c r="B752" s="10"/>
      <c r="C752" s="10"/>
      <c r="D752" s="10"/>
      <c r="E752" s="22"/>
      <c r="F752" s="22"/>
      <c r="G752" s="22"/>
      <c r="H752" s="10"/>
      <c r="I752" s="10"/>
      <c r="J752" s="15"/>
      <c r="K752" s="1"/>
      <c r="L752" s="15"/>
      <c r="M752" s="15"/>
      <c r="N752" s="15"/>
      <c r="O752" s="7"/>
      <c r="P752" s="10"/>
      <c r="Q752" s="10"/>
      <c r="R752" s="10"/>
      <c r="S752" s="10"/>
      <c r="T752" s="10"/>
      <c r="U752" s="10"/>
    </row>
    <row r="753" spans="1:21" x14ac:dyDescent="0.3">
      <c r="A753" s="10"/>
      <c r="B753" s="10"/>
      <c r="C753" s="10"/>
      <c r="D753" s="10"/>
      <c r="E753" s="22"/>
      <c r="F753" s="22"/>
      <c r="G753" s="22"/>
      <c r="H753" s="10"/>
      <c r="I753" s="10"/>
      <c r="J753" s="15"/>
      <c r="K753" s="1"/>
      <c r="L753" s="15"/>
      <c r="M753" s="15"/>
      <c r="N753" s="15"/>
      <c r="O753" s="7"/>
      <c r="P753" s="10"/>
      <c r="Q753" s="10"/>
      <c r="R753" s="10"/>
      <c r="S753" s="10"/>
      <c r="T753" s="10"/>
      <c r="U753" s="10"/>
    </row>
    <row r="754" spans="1:21" x14ac:dyDescent="0.3">
      <c r="A754" s="10"/>
      <c r="B754" s="10"/>
      <c r="C754" s="10"/>
      <c r="D754" s="10"/>
      <c r="E754" s="22"/>
      <c r="F754" s="22"/>
      <c r="G754" s="22"/>
      <c r="H754" s="10"/>
      <c r="I754" s="10"/>
      <c r="J754" s="15"/>
      <c r="K754" s="1"/>
      <c r="L754" s="15"/>
      <c r="M754" s="15"/>
      <c r="N754" s="15"/>
      <c r="O754" s="7"/>
      <c r="P754" s="10"/>
      <c r="Q754" s="10"/>
      <c r="R754" s="10"/>
      <c r="S754" s="10"/>
      <c r="T754" s="10"/>
      <c r="U754" s="10"/>
    </row>
    <row r="755" spans="1:21" x14ac:dyDescent="0.3">
      <c r="A755" s="10"/>
      <c r="B755" s="10"/>
      <c r="C755" s="10"/>
      <c r="D755" s="10"/>
      <c r="E755" s="22"/>
      <c r="F755" s="22"/>
      <c r="G755" s="22"/>
      <c r="H755" s="10"/>
      <c r="I755" s="10"/>
      <c r="J755" s="15"/>
      <c r="K755" s="1"/>
      <c r="L755" s="15"/>
      <c r="M755" s="15"/>
      <c r="N755" s="15"/>
      <c r="O755" s="7"/>
      <c r="P755" s="10"/>
      <c r="Q755" s="10"/>
      <c r="R755" s="10"/>
      <c r="S755" s="10"/>
      <c r="T755" s="10"/>
      <c r="U755" s="10"/>
    </row>
    <row r="756" spans="1:21" x14ac:dyDescent="0.3">
      <c r="A756" s="10"/>
      <c r="B756" s="10"/>
      <c r="C756" s="10"/>
      <c r="D756" s="10"/>
      <c r="E756" s="22"/>
      <c r="F756" s="22"/>
      <c r="G756" s="22"/>
      <c r="H756" s="10"/>
      <c r="I756" s="10"/>
      <c r="J756" s="15"/>
      <c r="K756" s="1"/>
      <c r="L756" s="15"/>
      <c r="M756" s="15"/>
      <c r="N756" s="15"/>
      <c r="O756" s="7"/>
      <c r="P756" s="10"/>
      <c r="Q756" s="10"/>
      <c r="R756" s="10"/>
      <c r="S756" s="10"/>
      <c r="T756" s="10"/>
      <c r="U756" s="10"/>
    </row>
    <row r="757" spans="1:21" x14ac:dyDescent="0.3">
      <c r="A757" s="10"/>
      <c r="B757" s="10"/>
      <c r="C757" s="10"/>
      <c r="D757" s="10"/>
      <c r="E757" s="22"/>
      <c r="F757" s="22"/>
      <c r="G757" s="22"/>
      <c r="H757" s="10"/>
      <c r="I757" s="10"/>
      <c r="J757" s="15"/>
      <c r="K757" s="1"/>
      <c r="L757" s="15"/>
      <c r="M757" s="15"/>
      <c r="N757" s="15"/>
      <c r="O757" s="7"/>
      <c r="P757" s="10"/>
      <c r="Q757" s="10"/>
      <c r="R757" s="10"/>
      <c r="S757" s="10"/>
      <c r="T757" s="10"/>
      <c r="U757" s="10"/>
    </row>
    <row r="758" spans="1:21" x14ac:dyDescent="0.3">
      <c r="A758" s="10"/>
      <c r="B758" s="10"/>
      <c r="C758" s="10"/>
      <c r="D758" s="10"/>
      <c r="E758" s="22"/>
      <c r="F758" s="22"/>
      <c r="G758" s="22"/>
      <c r="H758" s="10"/>
      <c r="I758" s="10"/>
      <c r="J758" s="15"/>
      <c r="K758" s="1"/>
      <c r="L758" s="15"/>
      <c r="M758" s="15"/>
      <c r="N758" s="15"/>
      <c r="O758" s="7"/>
      <c r="P758" s="10"/>
      <c r="Q758" s="10"/>
      <c r="R758" s="10"/>
      <c r="S758" s="10"/>
      <c r="T758" s="10"/>
      <c r="U758" s="10"/>
    </row>
    <row r="759" spans="1:21" x14ac:dyDescent="0.3">
      <c r="A759" s="10"/>
      <c r="B759" s="10"/>
      <c r="C759" s="10"/>
      <c r="D759" s="10"/>
      <c r="E759" s="22"/>
      <c r="F759" s="22"/>
      <c r="G759" s="22"/>
      <c r="H759" s="10"/>
      <c r="I759" s="10"/>
      <c r="J759" s="15"/>
      <c r="K759" s="1"/>
      <c r="L759" s="15"/>
      <c r="M759" s="15"/>
      <c r="N759" s="15"/>
      <c r="O759" s="7"/>
      <c r="P759" s="10"/>
      <c r="Q759" s="10"/>
      <c r="R759" s="10"/>
      <c r="S759" s="10"/>
      <c r="T759" s="10"/>
      <c r="U759" s="10"/>
    </row>
    <row r="760" spans="1:21" x14ac:dyDescent="0.3">
      <c r="A760" s="10"/>
      <c r="B760" s="10"/>
      <c r="C760" s="10"/>
      <c r="D760" s="10"/>
      <c r="E760" s="22"/>
      <c r="F760" s="22"/>
      <c r="G760" s="22"/>
      <c r="H760" s="10"/>
      <c r="I760" s="10"/>
      <c r="J760" s="15"/>
      <c r="K760" s="1"/>
      <c r="L760" s="15"/>
      <c r="M760" s="15"/>
      <c r="N760" s="15"/>
      <c r="O760" s="7"/>
      <c r="P760" s="10"/>
      <c r="Q760" s="10"/>
      <c r="R760" s="10"/>
      <c r="S760" s="10"/>
      <c r="T760" s="10"/>
      <c r="U760" s="10"/>
    </row>
    <row r="761" spans="1:21" x14ac:dyDescent="0.3">
      <c r="A761" s="10"/>
      <c r="B761" s="10"/>
      <c r="C761" s="10"/>
      <c r="D761" s="10"/>
      <c r="E761" s="22"/>
      <c r="F761" s="22"/>
      <c r="G761" s="22"/>
      <c r="H761" s="10"/>
      <c r="I761" s="10"/>
      <c r="J761" s="15"/>
      <c r="K761" s="1"/>
      <c r="L761" s="15"/>
      <c r="M761" s="15"/>
      <c r="N761" s="15"/>
      <c r="O761" s="7"/>
      <c r="P761" s="10"/>
      <c r="Q761" s="10"/>
      <c r="R761" s="10"/>
      <c r="S761" s="10"/>
      <c r="T761" s="10"/>
      <c r="U761" s="10"/>
    </row>
    <row r="762" spans="1:21" x14ac:dyDescent="0.3">
      <c r="A762" s="10"/>
      <c r="B762" s="10"/>
      <c r="C762" s="10"/>
      <c r="D762" s="10"/>
      <c r="E762" s="22"/>
      <c r="F762" s="22"/>
      <c r="G762" s="22"/>
      <c r="H762" s="10"/>
      <c r="I762" s="10"/>
      <c r="J762" s="15"/>
      <c r="K762" s="1"/>
      <c r="L762" s="15"/>
      <c r="M762" s="15"/>
      <c r="N762" s="15"/>
      <c r="O762" s="7"/>
      <c r="P762" s="10"/>
      <c r="Q762" s="10"/>
      <c r="R762" s="10"/>
      <c r="S762" s="10"/>
      <c r="T762" s="10"/>
      <c r="U762" s="10"/>
    </row>
    <row r="763" spans="1:21" x14ac:dyDescent="0.3">
      <c r="A763" s="10"/>
      <c r="B763" s="10"/>
      <c r="C763" s="10"/>
      <c r="D763" s="10"/>
      <c r="E763" s="22"/>
      <c r="F763" s="22"/>
      <c r="G763" s="22"/>
      <c r="H763" s="10"/>
      <c r="I763" s="10"/>
      <c r="J763" s="15"/>
      <c r="K763" s="1"/>
      <c r="L763" s="15"/>
      <c r="M763" s="15"/>
      <c r="N763" s="15"/>
      <c r="O763" s="7"/>
      <c r="P763" s="10"/>
      <c r="Q763" s="10"/>
      <c r="R763" s="10"/>
      <c r="S763" s="10"/>
      <c r="T763" s="10"/>
      <c r="U763" s="10"/>
    </row>
    <row r="764" spans="1:21" x14ac:dyDescent="0.3">
      <c r="A764" s="10"/>
      <c r="B764" s="10"/>
      <c r="C764" s="10"/>
      <c r="D764" s="10"/>
      <c r="E764" s="22"/>
      <c r="F764" s="22"/>
      <c r="G764" s="22"/>
      <c r="H764" s="10"/>
      <c r="I764" s="10"/>
      <c r="J764" s="15"/>
      <c r="K764" s="1"/>
      <c r="L764" s="15"/>
      <c r="M764" s="15"/>
      <c r="N764" s="15"/>
      <c r="O764" s="7"/>
      <c r="P764" s="10"/>
      <c r="Q764" s="10"/>
      <c r="R764" s="10"/>
      <c r="S764" s="10"/>
      <c r="T764" s="10"/>
      <c r="U764" s="10"/>
    </row>
    <row r="765" spans="1:21" x14ac:dyDescent="0.3">
      <c r="A765" s="10"/>
      <c r="B765" s="10"/>
      <c r="C765" s="10"/>
      <c r="D765" s="10"/>
      <c r="E765" s="22"/>
      <c r="F765" s="22"/>
      <c r="G765" s="22"/>
      <c r="H765" s="10"/>
      <c r="I765" s="10"/>
      <c r="J765" s="15"/>
      <c r="K765" s="1"/>
      <c r="L765" s="15"/>
      <c r="M765" s="15"/>
      <c r="N765" s="15"/>
      <c r="O765" s="7"/>
      <c r="P765" s="10"/>
      <c r="Q765" s="10"/>
      <c r="R765" s="10"/>
      <c r="S765" s="10"/>
      <c r="T765" s="10"/>
      <c r="U765" s="10"/>
    </row>
    <row r="766" spans="1:21" x14ac:dyDescent="0.3">
      <c r="A766" s="10"/>
      <c r="B766" s="10"/>
      <c r="C766" s="10"/>
      <c r="D766" s="10"/>
      <c r="E766" s="22"/>
      <c r="F766" s="22"/>
      <c r="G766" s="22"/>
      <c r="H766" s="10"/>
      <c r="I766" s="10"/>
      <c r="J766" s="15"/>
      <c r="K766" s="1"/>
      <c r="L766" s="15"/>
      <c r="M766" s="15"/>
      <c r="N766" s="15"/>
      <c r="O766" s="7"/>
      <c r="P766" s="10"/>
      <c r="Q766" s="10"/>
      <c r="R766" s="10"/>
      <c r="S766" s="10"/>
      <c r="T766" s="10"/>
      <c r="U766" s="10"/>
    </row>
    <row r="767" spans="1:21" x14ac:dyDescent="0.3">
      <c r="A767" s="10"/>
      <c r="B767" s="10"/>
      <c r="C767" s="10"/>
      <c r="D767" s="10"/>
      <c r="E767" s="22"/>
      <c r="F767" s="22"/>
      <c r="G767" s="22"/>
      <c r="H767" s="10"/>
      <c r="I767" s="10"/>
      <c r="J767" s="15"/>
      <c r="K767" s="1"/>
      <c r="L767" s="15"/>
      <c r="M767" s="15"/>
      <c r="N767" s="15"/>
      <c r="O767" s="7"/>
      <c r="P767" s="10"/>
      <c r="Q767" s="10"/>
      <c r="R767" s="10"/>
      <c r="S767" s="10"/>
      <c r="T767" s="10"/>
      <c r="U767" s="10"/>
    </row>
    <row r="768" spans="1:21" x14ac:dyDescent="0.3">
      <c r="A768" s="10"/>
      <c r="B768" s="10"/>
      <c r="C768" s="10"/>
      <c r="D768" s="10"/>
      <c r="E768" s="22"/>
      <c r="F768" s="22"/>
      <c r="G768" s="22"/>
      <c r="H768" s="10"/>
      <c r="I768" s="10"/>
      <c r="J768" s="15"/>
      <c r="K768" s="1"/>
      <c r="L768" s="15"/>
      <c r="M768" s="15"/>
      <c r="N768" s="15"/>
      <c r="O768" s="7"/>
      <c r="P768" s="10"/>
      <c r="Q768" s="10"/>
      <c r="R768" s="10"/>
      <c r="S768" s="10"/>
      <c r="T768" s="10"/>
      <c r="U768" s="10"/>
    </row>
    <row r="769" spans="1:21" x14ac:dyDescent="0.3">
      <c r="A769" s="10"/>
      <c r="B769" s="10"/>
      <c r="C769" s="10"/>
      <c r="D769" s="10"/>
      <c r="E769" s="22"/>
      <c r="F769" s="22"/>
      <c r="G769" s="22"/>
      <c r="H769" s="10"/>
      <c r="I769" s="10"/>
      <c r="J769" s="15"/>
      <c r="K769" s="1"/>
      <c r="L769" s="15"/>
      <c r="M769" s="15"/>
      <c r="N769" s="15"/>
      <c r="O769" s="7"/>
      <c r="P769" s="10"/>
      <c r="Q769" s="10"/>
      <c r="R769" s="10"/>
      <c r="S769" s="10"/>
      <c r="T769" s="10"/>
      <c r="U769" s="10"/>
    </row>
    <row r="770" spans="1:21" x14ac:dyDescent="0.3">
      <c r="A770" s="10"/>
      <c r="B770" s="10"/>
      <c r="C770" s="10"/>
      <c r="D770" s="10"/>
      <c r="E770" s="22"/>
      <c r="F770" s="22"/>
      <c r="G770" s="22"/>
      <c r="H770" s="10"/>
      <c r="I770" s="10"/>
      <c r="J770" s="15"/>
      <c r="K770" s="1"/>
      <c r="L770" s="15"/>
      <c r="M770" s="15"/>
      <c r="N770" s="15"/>
      <c r="O770" s="7"/>
      <c r="P770" s="10"/>
      <c r="Q770" s="10"/>
      <c r="R770" s="10"/>
      <c r="S770" s="10"/>
      <c r="T770" s="10"/>
      <c r="U770" s="10"/>
    </row>
    <row r="771" spans="1:21" x14ac:dyDescent="0.3">
      <c r="A771" s="10"/>
      <c r="B771" s="10"/>
      <c r="C771" s="10"/>
      <c r="D771" s="10"/>
      <c r="E771" s="22"/>
      <c r="F771" s="22"/>
      <c r="G771" s="22"/>
      <c r="H771" s="10"/>
      <c r="I771" s="10"/>
      <c r="J771" s="15"/>
      <c r="K771" s="1"/>
      <c r="L771" s="15"/>
      <c r="M771" s="15"/>
      <c r="N771" s="15"/>
      <c r="O771" s="7"/>
      <c r="P771" s="10"/>
      <c r="Q771" s="10"/>
      <c r="R771" s="10"/>
      <c r="S771" s="10"/>
      <c r="T771" s="10"/>
      <c r="U771" s="10"/>
    </row>
    <row r="772" spans="1:21" x14ac:dyDescent="0.3">
      <c r="A772" s="10"/>
      <c r="B772" s="10"/>
      <c r="C772" s="10"/>
      <c r="D772" s="10"/>
      <c r="E772" s="22"/>
      <c r="F772" s="22"/>
      <c r="G772" s="22"/>
      <c r="H772" s="10"/>
      <c r="I772" s="10"/>
      <c r="J772" s="15"/>
      <c r="K772" s="1"/>
      <c r="L772" s="15"/>
      <c r="M772" s="15"/>
      <c r="N772" s="15"/>
      <c r="O772" s="7"/>
      <c r="P772" s="10"/>
      <c r="Q772" s="10"/>
      <c r="R772" s="10"/>
      <c r="S772" s="10"/>
      <c r="T772" s="10"/>
      <c r="U772" s="10"/>
    </row>
    <row r="773" spans="1:21" x14ac:dyDescent="0.3">
      <c r="A773" s="10"/>
      <c r="B773" s="10"/>
      <c r="C773" s="10"/>
      <c r="D773" s="10"/>
      <c r="E773" s="22"/>
      <c r="F773" s="22"/>
      <c r="G773" s="22"/>
      <c r="H773" s="10"/>
      <c r="I773" s="10"/>
      <c r="J773" s="15"/>
      <c r="K773" s="1"/>
      <c r="L773" s="15"/>
      <c r="M773" s="15"/>
      <c r="N773" s="15"/>
      <c r="O773" s="7"/>
      <c r="P773" s="10"/>
      <c r="Q773" s="10"/>
      <c r="R773" s="10"/>
      <c r="S773" s="10"/>
      <c r="T773" s="10"/>
      <c r="U773" s="10"/>
    </row>
    <row r="774" spans="1:21" x14ac:dyDescent="0.3">
      <c r="A774" s="10"/>
      <c r="B774" s="10"/>
      <c r="C774" s="10"/>
      <c r="D774" s="10"/>
      <c r="E774" s="22"/>
      <c r="F774" s="22"/>
      <c r="G774" s="22"/>
      <c r="H774" s="10"/>
      <c r="I774" s="10"/>
      <c r="J774" s="15"/>
      <c r="K774" s="1"/>
      <c r="L774" s="15"/>
      <c r="M774" s="15"/>
      <c r="N774" s="15"/>
      <c r="O774" s="7"/>
      <c r="P774" s="10"/>
      <c r="Q774" s="10"/>
      <c r="R774" s="10"/>
      <c r="S774" s="10"/>
      <c r="T774" s="10"/>
      <c r="U774" s="10"/>
    </row>
    <row r="775" spans="1:21" x14ac:dyDescent="0.3">
      <c r="A775" s="10"/>
      <c r="B775" s="10"/>
      <c r="C775" s="10"/>
      <c r="D775" s="10"/>
      <c r="E775" s="22"/>
      <c r="F775" s="22"/>
      <c r="G775" s="22"/>
      <c r="H775" s="10"/>
      <c r="I775" s="10"/>
      <c r="J775" s="15"/>
      <c r="K775" s="1"/>
      <c r="L775" s="15"/>
      <c r="M775" s="15"/>
      <c r="N775" s="15"/>
      <c r="O775" s="7"/>
      <c r="P775" s="10"/>
      <c r="Q775" s="10"/>
      <c r="R775" s="10"/>
      <c r="S775" s="10"/>
      <c r="T775" s="10"/>
      <c r="U775" s="10"/>
    </row>
    <row r="776" spans="1:21" x14ac:dyDescent="0.3">
      <c r="A776" s="10"/>
      <c r="B776" s="10"/>
      <c r="C776" s="10"/>
      <c r="D776" s="10"/>
      <c r="E776" s="22"/>
      <c r="F776" s="22"/>
      <c r="G776" s="22"/>
      <c r="H776" s="10"/>
      <c r="I776" s="10"/>
      <c r="J776" s="15"/>
      <c r="K776" s="1"/>
      <c r="L776" s="15"/>
      <c r="M776" s="15"/>
      <c r="N776" s="15"/>
      <c r="O776" s="7"/>
      <c r="P776" s="10"/>
      <c r="Q776" s="10"/>
      <c r="R776" s="10"/>
      <c r="S776" s="10"/>
      <c r="T776" s="10"/>
      <c r="U776" s="10"/>
    </row>
    <row r="777" spans="1:21" x14ac:dyDescent="0.3">
      <c r="A777" s="10"/>
      <c r="B777" s="10"/>
      <c r="C777" s="10"/>
      <c r="D777" s="10"/>
      <c r="E777" s="22"/>
      <c r="F777" s="22"/>
      <c r="G777" s="22"/>
      <c r="H777" s="10"/>
      <c r="I777" s="10"/>
      <c r="J777" s="15"/>
      <c r="K777" s="1"/>
      <c r="L777" s="15"/>
      <c r="M777" s="15"/>
      <c r="N777" s="15"/>
      <c r="O777" s="7"/>
      <c r="P777" s="10"/>
      <c r="Q777" s="10"/>
      <c r="R777" s="10"/>
      <c r="S777" s="10"/>
      <c r="T777" s="10"/>
      <c r="U777" s="10"/>
    </row>
    <row r="778" spans="1:21" x14ac:dyDescent="0.3">
      <c r="A778" s="10"/>
      <c r="B778" s="10"/>
      <c r="C778" s="10"/>
      <c r="D778" s="10"/>
      <c r="E778" s="22"/>
      <c r="F778" s="22"/>
      <c r="G778" s="22"/>
      <c r="H778" s="10"/>
      <c r="I778" s="10"/>
      <c r="J778" s="15"/>
      <c r="K778" s="1"/>
      <c r="L778" s="15"/>
      <c r="M778" s="15"/>
      <c r="N778" s="15"/>
      <c r="O778" s="7"/>
      <c r="P778" s="10"/>
      <c r="Q778" s="10"/>
      <c r="R778" s="10"/>
      <c r="S778" s="10"/>
      <c r="T778" s="10"/>
      <c r="U778" s="10"/>
    </row>
    <row r="779" spans="1:21" x14ac:dyDescent="0.3">
      <c r="A779" s="10"/>
      <c r="B779" s="10"/>
      <c r="C779" s="10"/>
      <c r="D779" s="10"/>
      <c r="E779" s="22"/>
      <c r="F779" s="22"/>
      <c r="G779" s="22"/>
      <c r="H779" s="10"/>
      <c r="I779" s="10"/>
      <c r="J779" s="15"/>
      <c r="K779" s="1"/>
      <c r="L779" s="15"/>
      <c r="M779" s="15"/>
      <c r="N779" s="15"/>
      <c r="O779" s="7"/>
      <c r="P779" s="10"/>
      <c r="Q779" s="10"/>
      <c r="R779" s="10"/>
      <c r="S779" s="10"/>
      <c r="T779" s="10"/>
      <c r="U779" s="10"/>
    </row>
    <row r="780" spans="1:21" x14ac:dyDescent="0.3">
      <c r="A780" s="10"/>
      <c r="B780" s="10"/>
      <c r="C780" s="10"/>
      <c r="D780" s="10"/>
      <c r="E780" s="22"/>
      <c r="F780" s="22"/>
      <c r="G780" s="22"/>
      <c r="H780" s="10"/>
      <c r="I780" s="10"/>
      <c r="J780" s="15"/>
      <c r="K780" s="1"/>
      <c r="L780" s="15"/>
      <c r="M780" s="15"/>
      <c r="N780" s="15"/>
      <c r="O780" s="7"/>
      <c r="P780" s="10"/>
      <c r="Q780" s="10"/>
      <c r="R780" s="10"/>
      <c r="S780" s="10"/>
      <c r="T780" s="10"/>
      <c r="U780" s="10"/>
    </row>
    <row r="781" spans="1:21" x14ac:dyDescent="0.3">
      <c r="A781" s="10"/>
      <c r="B781" s="10"/>
      <c r="C781" s="10"/>
      <c r="D781" s="10"/>
      <c r="E781" s="22"/>
      <c r="F781" s="22"/>
      <c r="G781" s="22"/>
      <c r="H781" s="10"/>
      <c r="I781" s="10"/>
      <c r="J781" s="15"/>
      <c r="K781" s="1"/>
      <c r="L781" s="15"/>
      <c r="M781" s="15"/>
      <c r="N781" s="15"/>
      <c r="O781" s="7"/>
      <c r="P781" s="10"/>
      <c r="Q781" s="10"/>
      <c r="R781" s="10"/>
      <c r="S781" s="10"/>
      <c r="T781" s="10"/>
      <c r="U781" s="10"/>
    </row>
    <row r="782" spans="1:21" x14ac:dyDescent="0.3">
      <c r="A782" s="10"/>
      <c r="B782" s="10"/>
      <c r="C782" s="10"/>
      <c r="D782" s="10"/>
      <c r="E782" s="22"/>
      <c r="F782" s="22"/>
      <c r="G782" s="22"/>
      <c r="H782" s="10"/>
      <c r="I782" s="10"/>
      <c r="J782" s="15"/>
      <c r="K782" s="1"/>
      <c r="L782" s="15"/>
      <c r="M782" s="15"/>
      <c r="N782" s="15"/>
      <c r="O782" s="7"/>
      <c r="P782" s="10"/>
      <c r="Q782" s="10"/>
      <c r="R782" s="10"/>
      <c r="S782" s="10"/>
      <c r="T782" s="10"/>
      <c r="U782" s="10"/>
    </row>
    <row r="783" spans="1:21" x14ac:dyDescent="0.3">
      <c r="A783" s="10"/>
      <c r="B783" s="10"/>
      <c r="C783" s="10"/>
      <c r="D783" s="10"/>
      <c r="E783" s="22"/>
      <c r="F783" s="22"/>
      <c r="G783" s="22"/>
      <c r="H783" s="10"/>
      <c r="I783" s="10"/>
      <c r="J783" s="15"/>
      <c r="K783" s="1"/>
      <c r="L783" s="15"/>
      <c r="M783" s="15"/>
      <c r="N783" s="15"/>
      <c r="O783" s="7"/>
      <c r="P783" s="10"/>
      <c r="Q783" s="10"/>
      <c r="R783" s="10"/>
      <c r="S783" s="10"/>
      <c r="T783" s="10"/>
      <c r="U783" s="10"/>
    </row>
    <row r="784" spans="1:21" x14ac:dyDescent="0.3">
      <c r="A784" s="10"/>
      <c r="B784" s="10"/>
      <c r="C784" s="10"/>
      <c r="D784" s="10"/>
      <c r="E784" s="22"/>
      <c r="F784" s="22"/>
      <c r="G784" s="22"/>
      <c r="H784" s="10"/>
      <c r="I784" s="10"/>
      <c r="J784" s="15"/>
      <c r="K784" s="1"/>
      <c r="L784" s="15"/>
      <c r="M784" s="15"/>
      <c r="N784" s="15"/>
      <c r="O784" s="7"/>
      <c r="P784" s="10"/>
      <c r="Q784" s="10"/>
      <c r="R784" s="10"/>
      <c r="S784" s="10"/>
      <c r="T784" s="10"/>
      <c r="U784" s="10"/>
    </row>
    <row r="785" spans="1:21" x14ac:dyDescent="0.3">
      <c r="A785" s="10"/>
      <c r="B785" s="10"/>
      <c r="C785" s="10"/>
      <c r="D785" s="10"/>
      <c r="E785" s="22"/>
      <c r="F785" s="22"/>
      <c r="G785" s="22"/>
      <c r="H785" s="10"/>
      <c r="I785" s="10"/>
      <c r="J785" s="15"/>
      <c r="K785" s="1"/>
      <c r="L785" s="15"/>
      <c r="M785" s="15"/>
      <c r="N785" s="15"/>
      <c r="O785" s="7"/>
      <c r="P785" s="10"/>
      <c r="Q785" s="10"/>
      <c r="R785" s="10"/>
      <c r="S785" s="10"/>
      <c r="T785" s="10"/>
      <c r="U785" s="10"/>
    </row>
    <row r="786" spans="1:21" x14ac:dyDescent="0.3">
      <c r="A786" s="10"/>
      <c r="B786" s="10"/>
      <c r="C786" s="10"/>
      <c r="D786" s="10"/>
      <c r="E786" s="22"/>
      <c r="F786" s="22"/>
      <c r="G786" s="22"/>
      <c r="H786" s="10"/>
      <c r="I786" s="10"/>
      <c r="J786" s="15"/>
      <c r="K786" s="1"/>
      <c r="L786" s="15"/>
      <c r="M786" s="15"/>
      <c r="N786" s="15"/>
      <c r="O786" s="7"/>
      <c r="P786" s="10"/>
      <c r="Q786" s="10"/>
      <c r="R786" s="10"/>
      <c r="S786" s="10"/>
      <c r="T786" s="10"/>
      <c r="U786" s="10"/>
    </row>
    <row r="787" spans="1:21" x14ac:dyDescent="0.3">
      <c r="A787" s="10"/>
      <c r="B787" s="10"/>
      <c r="C787" s="10"/>
      <c r="D787" s="10"/>
      <c r="E787" s="22"/>
      <c r="F787" s="22"/>
      <c r="G787" s="22"/>
      <c r="H787" s="10"/>
      <c r="I787" s="10"/>
      <c r="J787" s="15"/>
      <c r="K787" s="1"/>
      <c r="L787" s="15"/>
      <c r="M787" s="15"/>
      <c r="N787" s="15"/>
      <c r="O787" s="7"/>
      <c r="P787" s="10"/>
      <c r="Q787" s="10"/>
      <c r="R787" s="10"/>
      <c r="S787" s="10"/>
      <c r="T787" s="10"/>
      <c r="U787" s="10"/>
    </row>
    <row r="788" spans="1:21" x14ac:dyDescent="0.3">
      <c r="A788" s="10"/>
      <c r="B788" s="10"/>
      <c r="C788" s="10"/>
      <c r="D788" s="10"/>
      <c r="E788" s="22"/>
      <c r="F788" s="22"/>
      <c r="G788" s="22"/>
      <c r="H788" s="10"/>
      <c r="I788" s="10"/>
      <c r="J788" s="15"/>
      <c r="K788" s="1"/>
      <c r="L788" s="15"/>
      <c r="M788" s="15"/>
      <c r="N788" s="15"/>
      <c r="O788" s="7"/>
      <c r="P788" s="10"/>
      <c r="Q788" s="10"/>
      <c r="R788" s="10"/>
      <c r="S788" s="10"/>
      <c r="T788" s="10"/>
      <c r="U788" s="10"/>
    </row>
    <row r="789" spans="1:21" x14ac:dyDescent="0.3">
      <c r="A789" s="10"/>
      <c r="B789" s="10"/>
      <c r="C789" s="10"/>
      <c r="D789" s="10"/>
      <c r="E789" s="22"/>
      <c r="F789" s="22"/>
      <c r="G789" s="22"/>
      <c r="H789" s="10"/>
      <c r="I789" s="10"/>
      <c r="J789" s="15"/>
      <c r="K789" s="1"/>
      <c r="L789" s="15"/>
      <c r="M789" s="15"/>
      <c r="N789" s="15"/>
      <c r="O789" s="7"/>
      <c r="P789" s="10"/>
      <c r="Q789" s="10"/>
      <c r="R789" s="10"/>
      <c r="S789" s="10"/>
      <c r="T789" s="10"/>
      <c r="U789" s="10"/>
    </row>
    <row r="790" spans="1:21" x14ac:dyDescent="0.3">
      <c r="A790" s="10"/>
      <c r="B790" s="10"/>
      <c r="C790" s="10"/>
      <c r="D790" s="10"/>
      <c r="E790" s="22"/>
      <c r="F790" s="22"/>
      <c r="G790" s="22"/>
      <c r="H790" s="10"/>
      <c r="I790" s="10"/>
      <c r="J790" s="15"/>
      <c r="K790" s="1"/>
      <c r="L790" s="15"/>
      <c r="M790" s="15"/>
      <c r="N790" s="15"/>
      <c r="O790" s="7"/>
      <c r="P790" s="10"/>
      <c r="Q790" s="10"/>
      <c r="R790" s="10"/>
      <c r="S790" s="10"/>
      <c r="T790" s="10"/>
      <c r="U790" s="10"/>
    </row>
    <row r="791" spans="1:21" x14ac:dyDescent="0.3">
      <c r="A791" s="10"/>
      <c r="B791" s="10"/>
      <c r="C791" s="10"/>
      <c r="D791" s="10"/>
      <c r="E791" s="22"/>
      <c r="F791" s="22"/>
      <c r="G791" s="22"/>
      <c r="H791" s="10"/>
      <c r="I791" s="10"/>
      <c r="J791" s="15"/>
      <c r="K791" s="1"/>
      <c r="L791" s="15"/>
      <c r="M791" s="15"/>
      <c r="N791" s="15"/>
      <c r="O791" s="7"/>
      <c r="P791" s="10"/>
      <c r="Q791" s="10"/>
      <c r="R791" s="10"/>
      <c r="S791" s="10"/>
      <c r="T791" s="10"/>
      <c r="U791" s="10"/>
    </row>
    <row r="792" spans="1:21" x14ac:dyDescent="0.3">
      <c r="A792" s="10"/>
      <c r="B792" s="10"/>
      <c r="C792" s="10"/>
      <c r="D792" s="10"/>
      <c r="E792" s="22"/>
      <c r="F792" s="22"/>
      <c r="G792" s="22"/>
      <c r="H792" s="10"/>
      <c r="I792" s="10"/>
      <c r="J792" s="15"/>
      <c r="K792" s="1"/>
      <c r="L792" s="15"/>
      <c r="M792" s="15"/>
      <c r="N792" s="15"/>
      <c r="O792" s="7"/>
      <c r="P792" s="10"/>
      <c r="Q792" s="10"/>
      <c r="R792" s="10"/>
      <c r="S792" s="10"/>
      <c r="T792" s="10"/>
      <c r="U792" s="10"/>
    </row>
    <row r="793" spans="1:21" x14ac:dyDescent="0.3">
      <c r="A793" s="10"/>
      <c r="B793" s="10"/>
      <c r="C793" s="10"/>
      <c r="D793" s="10"/>
      <c r="E793" s="22"/>
      <c r="F793" s="22"/>
      <c r="G793" s="22"/>
      <c r="H793" s="10"/>
      <c r="I793" s="10"/>
      <c r="J793" s="15"/>
      <c r="K793" s="1"/>
      <c r="L793" s="15"/>
      <c r="M793" s="15"/>
      <c r="N793" s="15"/>
      <c r="O793" s="7"/>
      <c r="P793" s="10"/>
      <c r="Q793" s="10"/>
      <c r="R793" s="10"/>
      <c r="S793" s="10"/>
      <c r="T793" s="10"/>
      <c r="U793" s="10"/>
    </row>
    <row r="794" spans="1:21" x14ac:dyDescent="0.3">
      <c r="A794" s="10"/>
      <c r="B794" s="10"/>
      <c r="C794" s="10"/>
      <c r="D794" s="10"/>
      <c r="E794" s="22"/>
      <c r="F794" s="22"/>
      <c r="G794" s="22"/>
      <c r="H794" s="10"/>
      <c r="I794" s="10"/>
      <c r="J794" s="15"/>
      <c r="K794" s="1"/>
      <c r="L794" s="15"/>
      <c r="M794" s="15"/>
      <c r="N794" s="15"/>
      <c r="O794" s="7"/>
      <c r="P794" s="10"/>
      <c r="Q794" s="10"/>
      <c r="R794" s="10"/>
      <c r="S794" s="10"/>
      <c r="T794" s="10"/>
      <c r="U794" s="10"/>
    </row>
    <row r="795" spans="1:21" x14ac:dyDescent="0.3">
      <c r="A795" s="10"/>
      <c r="B795" s="10"/>
      <c r="C795" s="10"/>
      <c r="D795" s="10"/>
      <c r="E795" s="22"/>
      <c r="F795" s="22"/>
      <c r="G795" s="22"/>
      <c r="H795" s="10"/>
      <c r="I795" s="10"/>
      <c r="J795" s="15"/>
      <c r="K795" s="1"/>
      <c r="L795" s="15"/>
      <c r="M795" s="15"/>
      <c r="N795" s="15"/>
      <c r="O795" s="7"/>
      <c r="P795" s="10"/>
      <c r="Q795" s="10"/>
      <c r="R795" s="10"/>
      <c r="S795" s="10"/>
      <c r="T795" s="10"/>
      <c r="U795" s="10"/>
    </row>
    <row r="796" spans="1:21" x14ac:dyDescent="0.3">
      <c r="A796" s="10"/>
      <c r="B796" s="10"/>
      <c r="C796" s="10"/>
      <c r="D796" s="10"/>
      <c r="E796" s="22"/>
      <c r="F796" s="22"/>
      <c r="G796" s="22"/>
      <c r="H796" s="10"/>
      <c r="I796" s="10"/>
      <c r="J796" s="15"/>
      <c r="K796" s="1"/>
      <c r="L796" s="15"/>
      <c r="M796" s="15"/>
      <c r="N796" s="15"/>
      <c r="O796" s="7"/>
      <c r="P796" s="10"/>
      <c r="Q796" s="10"/>
      <c r="R796" s="10"/>
      <c r="S796" s="10"/>
      <c r="T796" s="10"/>
      <c r="U796" s="10"/>
    </row>
    <row r="797" spans="1:21" x14ac:dyDescent="0.3">
      <c r="A797" s="10"/>
      <c r="B797" s="10"/>
      <c r="C797" s="10"/>
      <c r="D797" s="10"/>
      <c r="E797" s="22"/>
      <c r="F797" s="22"/>
      <c r="G797" s="22"/>
      <c r="H797" s="10"/>
      <c r="I797" s="10"/>
      <c r="J797" s="15"/>
      <c r="K797" s="1"/>
      <c r="L797" s="15"/>
      <c r="M797" s="15"/>
      <c r="N797" s="15"/>
      <c r="O797" s="7"/>
      <c r="P797" s="10"/>
      <c r="Q797" s="10"/>
      <c r="R797" s="10"/>
      <c r="S797" s="10"/>
      <c r="T797" s="10"/>
      <c r="U797" s="10"/>
    </row>
    <row r="798" spans="1:21" x14ac:dyDescent="0.3">
      <c r="A798" s="10"/>
      <c r="B798" s="10"/>
      <c r="C798" s="10"/>
      <c r="D798" s="10"/>
      <c r="E798" s="22"/>
      <c r="F798" s="22"/>
      <c r="G798" s="22"/>
      <c r="H798" s="10"/>
      <c r="I798" s="10"/>
      <c r="J798" s="15"/>
      <c r="K798" s="1"/>
      <c r="L798" s="15"/>
      <c r="M798" s="15"/>
      <c r="N798" s="15"/>
      <c r="O798" s="7"/>
      <c r="P798" s="10"/>
      <c r="Q798" s="10"/>
      <c r="R798" s="10"/>
      <c r="S798" s="10"/>
      <c r="T798" s="10"/>
      <c r="U798" s="10"/>
    </row>
    <row r="799" spans="1:21" x14ac:dyDescent="0.3">
      <c r="A799" s="10"/>
      <c r="B799" s="10"/>
      <c r="C799" s="10"/>
      <c r="D799" s="10"/>
      <c r="E799" s="22"/>
      <c r="F799" s="22"/>
      <c r="G799" s="22"/>
      <c r="H799" s="10"/>
      <c r="I799" s="10"/>
      <c r="J799" s="15"/>
      <c r="K799" s="1"/>
      <c r="L799" s="15"/>
      <c r="M799" s="15"/>
      <c r="N799" s="15"/>
      <c r="O799" s="7"/>
      <c r="P799" s="10"/>
      <c r="Q799" s="10"/>
      <c r="R799" s="10"/>
      <c r="S799" s="10"/>
      <c r="T799" s="10"/>
      <c r="U799" s="10"/>
    </row>
    <row r="800" spans="1:21" x14ac:dyDescent="0.3">
      <c r="A800" s="10"/>
      <c r="B800" s="10"/>
      <c r="C800" s="10"/>
      <c r="D800" s="10"/>
      <c r="E800" s="22"/>
      <c r="F800" s="22"/>
      <c r="G800" s="22"/>
      <c r="H800" s="10"/>
      <c r="I800" s="10"/>
      <c r="J800" s="15"/>
      <c r="K800" s="1"/>
      <c r="L800" s="15"/>
      <c r="M800" s="15"/>
      <c r="N800" s="15"/>
      <c r="O800" s="7"/>
      <c r="P800" s="10"/>
      <c r="Q800" s="10"/>
      <c r="R800" s="10"/>
      <c r="S800" s="10"/>
      <c r="T800" s="10"/>
      <c r="U800" s="10"/>
    </row>
    <row r="801" spans="1:21" x14ac:dyDescent="0.3">
      <c r="A801" s="10"/>
      <c r="B801" s="10"/>
      <c r="C801" s="10"/>
      <c r="D801" s="10"/>
      <c r="E801" s="22"/>
      <c r="F801" s="22"/>
      <c r="G801" s="22"/>
      <c r="H801" s="10"/>
      <c r="I801" s="10"/>
      <c r="J801" s="15"/>
      <c r="K801" s="1"/>
      <c r="L801" s="15"/>
      <c r="M801" s="15"/>
      <c r="N801" s="15"/>
      <c r="O801" s="7"/>
      <c r="P801" s="10"/>
      <c r="Q801" s="10"/>
      <c r="R801" s="10"/>
      <c r="S801" s="10"/>
      <c r="T801" s="10"/>
      <c r="U801" s="10"/>
    </row>
    <row r="802" spans="1:21" x14ac:dyDescent="0.3">
      <c r="A802" s="10"/>
      <c r="B802" s="10"/>
      <c r="C802" s="10"/>
      <c r="D802" s="10"/>
      <c r="E802" s="22"/>
      <c r="F802" s="22"/>
      <c r="G802" s="22"/>
      <c r="H802" s="10"/>
      <c r="I802" s="10"/>
      <c r="J802" s="15"/>
      <c r="K802" s="1"/>
      <c r="L802" s="15"/>
      <c r="M802" s="15"/>
      <c r="N802" s="15"/>
      <c r="O802" s="7"/>
      <c r="P802" s="10"/>
      <c r="Q802" s="10"/>
      <c r="R802" s="10"/>
      <c r="S802" s="10"/>
      <c r="T802" s="10"/>
      <c r="U802" s="10"/>
    </row>
    <row r="803" spans="1:21" x14ac:dyDescent="0.3">
      <c r="A803" s="10"/>
      <c r="B803" s="10"/>
      <c r="C803" s="10"/>
      <c r="D803" s="10"/>
      <c r="E803" s="22"/>
      <c r="F803" s="22"/>
      <c r="G803" s="22"/>
      <c r="H803" s="10"/>
      <c r="I803" s="10"/>
      <c r="J803" s="15"/>
      <c r="K803" s="1"/>
      <c r="L803" s="15"/>
      <c r="M803" s="15"/>
      <c r="N803" s="15"/>
      <c r="O803" s="7"/>
      <c r="P803" s="10"/>
      <c r="Q803" s="10"/>
      <c r="R803" s="10"/>
      <c r="S803" s="10"/>
      <c r="T803" s="10"/>
      <c r="U803" s="10"/>
    </row>
    <row r="804" spans="1:21" x14ac:dyDescent="0.3">
      <c r="A804" s="10"/>
      <c r="B804" s="10"/>
      <c r="C804" s="10"/>
      <c r="D804" s="10"/>
      <c r="E804" s="22"/>
      <c r="F804" s="22"/>
      <c r="G804" s="22"/>
      <c r="H804" s="10"/>
      <c r="I804" s="10"/>
      <c r="J804" s="15"/>
      <c r="K804" s="1"/>
      <c r="L804" s="15"/>
      <c r="M804" s="15"/>
      <c r="N804" s="15"/>
      <c r="O804" s="7"/>
      <c r="P804" s="10"/>
      <c r="Q804" s="10"/>
      <c r="R804" s="10"/>
      <c r="S804" s="10"/>
      <c r="T804" s="10"/>
      <c r="U804" s="10"/>
    </row>
    <row r="805" spans="1:21" x14ac:dyDescent="0.3">
      <c r="A805" s="10"/>
      <c r="B805" s="10"/>
      <c r="C805" s="10"/>
      <c r="D805" s="10"/>
      <c r="E805" s="22"/>
      <c r="F805" s="22"/>
      <c r="G805" s="22"/>
      <c r="H805" s="10"/>
      <c r="I805" s="10"/>
      <c r="J805" s="15"/>
      <c r="K805" s="1"/>
      <c r="L805" s="15"/>
      <c r="M805" s="15"/>
      <c r="N805" s="15"/>
      <c r="O805" s="7"/>
      <c r="P805" s="10"/>
      <c r="Q805" s="10"/>
      <c r="R805" s="10"/>
      <c r="S805" s="10"/>
      <c r="T805" s="10"/>
      <c r="U805" s="10"/>
    </row>
    <row r="806" spans="1:21" x14ac:dyDescent="0.3">
      <c r="A806" s="10"/>
      <c r="B806" s="10"/>
      <c r="C806" s="10"/>
      <c r="D806" s="10"/>
      <c r="E806" s="22"/>
      <c r="F806" s="22"/>
      <c r="G806" s="22"/>
      <c r="H806" s="10"/>
      <c r="I806" s="10"/>
      <c r="J806" s="15"/>
      <c r="K806" s="1"/>
      <c r="L806" s="15"/>
      <c r="M806" s="15"/>
      <c r="N806" s="15"/>
      <c r="O806" s="7"/>
      <c r="P806" s="10"/>
      <c r="Q806" s="10"/>
      <c r="R806" s="10"/>
      <c r="S806" s="10"/>
      <c r="T806" s="10"/>
      <c r="U806" s="10"/>
    </row>
    <row r="807" spans="1:21" x14ac:dyDescent="0.3">
      <c r="A807" s="10"/>
      <c r="B807" s="10"/>
      <c r="C807" s="10"/>
      <c r="D807" s="10"/>
      <c r="E807" s="22"/>
      <c r="F807" s="22"/>
      <c r="G807" s="22"/>
      <c r="H807" s="10"/>
      <c r="I807" s="10"/>
      <c r="J807" s="15"/>
      <c r="K807" s="1"/>
      <c r="L807" s="15"/>
      <c r="M807" s="15"/>
      <c r="N807" s="15"/>
      <c r="O807" s="7"/>
      <c r="P807" s="10"/>
      <c r="Q807" s="10"/>
      <c r="R807" s="10"/>
      <c r="S807" s="10"/>
      <c r="T807" s="10"/>
      <c r="U807" s="10"/>
    </row>
    <row r="808" spans="1:21" x14ac:dyDescent="0.3">
      <c r="A808" s="10"/>
      <c r="B808" s="10"/>
      <c r="C808" s="10"/>
      <c r="D808" s="10"/>
      <c r="E808" s="22"/>
      <c r="F808" s="22"/>
      <c r="G808" s="22"/>
      <c r="H808" s="10"/>
      <c r="I808" s="10"/>
      <c r="J808" s="15"/>
      <c r="K808" s="1"/>
      <c r="L808" s="15"/>
      <c r="M808" s="15"/>
      <c r="N808" s="15"/>
      <c r="O808" s="7"/>
      <c r="P808" s="10"/>
      <c r="Q808" s="10"/>
      <c r="R808" s="10"/>
      <c r="S808" s="10"/>
      <c r="T808" s="10"/>
      <c r="U808" s="10"/>
    </row>
    <row r="809" spans="1:21" x14ac:dyDescent="0.3">
      <c r="A809" s="10"/>
      <c r="B809" s="10"/>
      <c r="C809" s="10"/>
      <c r="D809" s="10"/>
      <c r="E809" s="22"/>
      <c r="F809" s="22"/>
      <c r="G809" s="22"/>
      <c r="H809" s="10"/>
      <c r="I809" s="10"/>
      <c r="J809" s="15"/>
      <c r="K809" s="1"/>
      <c r="L809" s="15"/>
      <c r="M809" s="15"/>
      <c r="N809" s="15"/>
      <c r="O809" s="7"/>
      <c r="P809" s="10"/>
      <c r="Q809" s="10"/>
      <c r="R809" s="10"/>
      <c r="S809" s="10"/>
      <c r="T809" s="10"/>
      <c r="U809" s="10"/>
    </row>
    <row r="810" spans="1:21" x14ac:dyDescent="0.3">
      <c r="A810" s="10"/>
      <c r="B810" s="10"/>
      <c r="C810" s="10"/>
      <c r="D810" s="10"/>
      <c r="E810" s="22"/>
      <c r="F810" s="22"/>
      <c r="G810" s="22"/>
      <c r="H810" s="10"/>
      <c r="I810" s="10"/>
      <c r="J810" s="15"/>
      <c r="K810" s="1"/>
      <c r="L810" s="15"/>
      <c r="M810" s="15"/>
      <c r="N810" s="15"/>
      <c r="O810" s="7"/>
      <c r="P810" s="10"/>
      <c r="Q810" s="10"/>
      <c r="R810" s="10"/>
      <c r="S810" s="10"/>
      <c r="T810" s="10"/>
      <c r="U810" s="10"/>
    </row>
    <row r="811" spans="1:21" x14ac:dyDescent="0.3">
      <c r="A811" s="10"/>
      <c r="B811" s="10"/>
      <c r="C811" s="10"/>
      <c r="D811" s="10"/>
      <c r="E811" s="22"/>
      <c r="F811" s="22"/>
      <c r="G811" s="22"/>
      <c r="H811" s="10"/>
      <c r="I811" s="10"/>
      <c r="J811" s="15"/>
      <c r="K811" s="1"/>
      <c r="L811" s="15"/>
      <c r="M811" s="15"/>
      <c r="N811" s="15"/>
      <c r="O811" s="7"/>
      <c r="P811" s="10"/>
      <c r="Q811" s="10"/>
      <c r="R811" s="10"/>
      <c r="S811" s="10"/>
      <c r="T811" s="10"/>
      <c r="U811" s="10"/>
    </row>
    <row r="812" spans="1:21" x14ac:dyDescent="0.3">
      <c r="A812" s="10"/>
      <c r="B812" s="10"/>
      <c r="C812" s="10"/>
      <c r="D812" s="10"/>
      <c r="E812" s="22"/>
      <c r="F812" s="22"/>
      <c r="G812" s="22"/>
      <c r="H812" s="10"/>
      <c r="I812" s="10"/>
      <c r="J812" s="15"/>
      <c r="K812" s="1"/>
      <c r="L812" s="15"/>
      <c r="M812" s="15"/>
      <c r="N812" s="15"/>
      <c r="O812" s="7"/>
      <c r="P812" s="10"/>
      <c r="Q812" s="10"/>
      <c r="R812" s="10"/>
      <c r="S812" s="10"/>
      <c r="T812" s="10"/>
      <c r="U812" s="10"/>
    </row>
    <row r="813" spans="1:21" x14ac:dyDescent="0.3">
      <c r="A813" s="10"/>
      <c r="B813" s="10"/>
      <c r="C813" s="10"/>
      <c r="D813" s="10"/>
      <c r="E813" s="22"/>
      <c r="F813" s="22"/>
      <c r="G813" s="22"/>
      <c r="H813" s="10"/>
      <c r="I813" s="10"/>
      <c r="J813" s="15"/>
      <c r="K813" s="1"/>
      <c r="L813" s="15"/>
      <c r="M813" s="15"/>
      <c r="N813" s="15"/>
      <c r="O813" s="7"/>
      <c r="P813" s="10"/>
      <c r="Q813" s="10"/>
      <c r="R813" s="10"/>
      <c r="S813" s="10"/>
      <c r="T813" s="10"/>
      <c r="U813" s="10"/>
    </row>
    <row r="814" spans="1:21" x14ac:dyDescent="0.3">
      <c r="A814" s="10"/>
      <c r="B814" s="10"/>
      <c r="C814" s="10"/>
      <c r="D814" s="10"/>
      <c r="E814" s="22"/>
      <c r="F814" s="22"/>
      <c r="G814" s="22"/>
      <c r="H814" s="10"/>
      <c r="I814" s="10"/>
      <c r="J814" s="15"/>
      <c r="K814" s="1"/>
      <c r="L814" s="15"/>
      <c r="M814" s="15"/>
      <c r="N814" s="15"/>
      <c r="O814" s="7"/>
      <c r="P814" s="10"/>
      <c r="Q814" s="10"/>
      <c r="R814" s="10"/>
      <c r="S814" s="10"/>
      <c r="T814" s="10"/>
      <c r="U814" s="10"/>
    </row>
    <row r="815" spans="1:21" x14ac:dyDescent="0.3">
      <c r="A815" s="10"/>
      <c r="B815" s="10"/>
      <c r="C815" s="10"/>
      <c r="D815" s="10"/>
      <c r="E815" s="22"/>
      <c r="F815" s="22"/>
      <c r="G815" s="22"/>
      <c r="H815" s="10"/>
      <c r="I815" s="10"/>
      <c r="J815" s="15"/>
      <c r="K815" s="1"/>
      <c r="L815" s="15"/>
      <c r="M815" s="15"/>
      <c r="N815" s="15"/>
      <c r="O815" s="7"/>
      <c r="P815" s="10"/>
      <c r="Q815" s="10"/>
      <c r="R815" s="10"/>
      <c r="S815" s="10"/>
      <c r="T815" s="10"/>
      <c r="U815" s="10"/>
    </row>
    <row r="816" spans="1:21" x14ac:dyDescent="0.3">
      <c r="A816" s="10"/>
      <c r="B816" s="10"/>
      <c r="C816" s="10"/>
      <c r="D816" s="10"/>
      <c r="E816" s="22"/>
      <c r="F816" s="22"/>
      <c r="G816" s="22"/>
      <c r="H816" s="10"/>
      <c r="I816" s="10"/>
      <c r="J816" s="15"/>
      <c r="K816" s="1"/>
      <c r="L816" s="15"/>
      <c r="M816" s="15"/>
      <c r="N816" s="15"/>
      <c r="O816" s="7"/>
      <c r="P816" s="10"/>
      <c r="Q816" s="10"/>
      <c r="R816" s="10"/>
      <c r="S816" s="10"/>
      <c r="T816" s="10"/>
      <c r="U816" s="10"/>
    </row>
    <row r="817" spans="1:21" x14ac:dyDescent="0.3">
      <c r="A817" s="10"/>
      <c r="B817" s="10"/>
      <c r="C817" s="10"/>
      <c r="D817" s="10"/>
      <c r="E817" s="22"/>
      <c r="F817" s="22"/>
      <c r="G817" s="22"/>
      <c r="H817" s="10"/>
      <c r="I817" s="10"/>
      <c r="J817" s="15"/>
      <c r="K817" s="1"/>
      <c r="L817" s="15"/>
      <c r="M817" s="15"/>
      <c r="N817" s="15"/>
      <c r="O817" s="7"/>
      <c r="P817" s="10"/>
      <c r="Q817" s="10"/>
      <c r="R817" s="10"/>
      <c r="S817" s="10"/>
      <c r="T817" s="10"/>
      <c r="U817" s="10"/>
    </row>
    <row r="818" spans="1:21" x14ac:dyDescent="0.3">
      <c r="A818" s="10"/>
      <c r="B818" s="10"/>
      <c r="C818" s="10"/>
      <c r="D818" s="10"/>
      <c r="E818" s="22"/>
      <c r="F818" s="22"/>
      <c r="G818" s="22"/>
      <c r="H818" s="10"/>
      <c r="I818" s="10"/>
      <c r="J818" s="15"/>
      <c r="K818" s="1"/>
      <c r="L818" s="15"/>
      <c r="M818" s="15"/>
      <c r="N818" s="15"/>
      <c r="O818" s="7"/>
      <c r="P818" s="10"/>
      <c r="Q818" s="10"/>
      <c r="R818" s="10"/>
      <c r="S818" s="10"/>
      <c r="T818" s="10"/>
      <c r="U818" s="10"/>
    </row>
    <row r="819" spans="1:21" x14ac:dyDescent="0.3">
      <c r="A819" s="10"/>
      <c r="B819" s="10"/>
      <c r="C819" s="10"/>
      <c r="D819" s="10"/>
      <c r="E819" s="22"/>
      <c r="F819" s="22"/>
      <c r="G819" s="22"/>
      <c r="H819" s="10"/>
      <c r="I819" s="10"/>
      <c r="J819" s="15"/>
      <c r="K819" s="1"/>
      <c r="L819" s="15"/>
      <c r="M819" s="15"/>
      <c r="N819" s="15"/>
      <c r="O819" s="7"/>
      <c r="P819" s="10"/>
      <c r="Q819" s="10"/>
      <c r="R819" s="10"/>
      <c r="S819" s="10"/>
      <c r="T819" s="10"/>
      <c r="U819" s="10"/>
    </row>
    <row r="820" spans="1:21" x14ac:dyDescent="0.3">
      <c r="A820" s="10"/>
      <c r="B820" s="10"/>
      <c r="C820" s="10"/>
      <c r="D820" s="10"/>
      <c r="E820" s="22"/>
      <c r="F820" s="22"/>
      <c r="G820" s="22"/>
      <c r="H820" s="10"/>
      <c r="I820" s="10"/>
      <c r="J820" s="15"/>
      <c r="K820" s="1"/>
      <c r="L820" s="15"/>
      <c r="M820" s="15"/>
      <c r="N820" s="15"/>
      <c r="O820" s="7"/>
      <c r="P820" s="10"/>
      <c r="Q820" s="10"/>
      <c r="R820" s="10"/>
      <c r="S820" s="10"/>
      <c r="T820" s="10"/>
      <c r="U820" s="10"/>
    </row>
    <row r="821" spans="1:21" x14ac:dyDescent="0.3">
      <c r="A821" s="10"/>
      <c r="B821" s="10"/>
      <c r="C821" s="10"/>
      <c r="D821" s="10"/>
      <c r="E821" s="22"/>
      <c r="F821" s="22"/>
      <c r="G821" s="22"/>
      <c r="H821" s="10"/>
      <c r="I821" s="10"/>
      <c r="J821" s="15"/>
      <c r="K821" s="1"/>
      <c r="L821" s="15"/>
      <c r="M821" s="15"/>
      <c r="N821" s="15"/>
      <c r="O821" s="7"/>
      <c r="P821" s="10"/>
      <c r="Q821" s="10"/>
      <c r="R821" s="10"/>
      <c r="S821" s="10"/>
      <c r="T821" s="10"/>
      <c r="U821" s="10"/>
    </row>
    <row r="822" spans="1:21" x14ac:dyDescent="0.3">
      <c r="A822" s="10"/>
      <c r="B822" s="10"/>
      <c r="C822" s="10"/>
      <c r="D822" s="10"/>
      <c r="E822" s="22"/>
      <c r="F822" s="22"/>
      <c r="G822" s="22"/>
      <c r="H822" s="10"/>
      <c r="I822" s="10"/>
      <c r="J822" s="15"/>
      <c r="K822" s="1"/>
      <c r="L822" s="15"/>
      <c r="M822" s="15"/>
      <c r="N822" s="15"/>
      <c r="O822" s="7"/>
      <c r="P822" s="10"/>
      <c r="Q822" s="10"/>
      <c r="R822" s="10"/>
      <c r="S822" s="10"/>
      <c r="T822" s="10"/>
      <c r="U822" s="10"/>
    </row>
    <row r="823" spans="1:21" x14ac:dyDescent="0.3">
      <c r="A823" s="10"/>
      <c r="B823" s="10"/>
      <c r="C823" s="10"/>
      <c r="D823" s="10"/>
      <c r="E823" s="22"/>
      <c r="F823" s="22"/>
      <c r="G823" s="22"/>
      <c r="H823" s="10"/>
      <c r="I823" s="10"/>
      <c r="J823" s="15"/>
      <c r="K823" s="1"/>
      <c r="L823" s="15"/>
      <c r="M823" s="15"/>
      <c r="N823" s="15"/>
      <c r="O823" s="7"/>
      <c r="P823" s="10"/>
      <c r="Q823" s="10"/>
      <c r="R823" s="10"/>
      <c r="S823" s="10"/>
      <c r="T823" s="10"/>
      <c r="U823" s="10"/>
    </row>
    <row r="824" spans="1:21" x14ac:dyDescent="0.3">
      <c r="A824" s="10"/>
      <c r="B824" s="10"/>
      <c r="C824" s="10"/>
      <c r="D824" s="10"/>
      <c r="E824" s="22"/>
      <c r="F824" s="22"/>
      <c r="G824" s="22"/>
      <c r="H824" s="10"/>
      <c r="I824" s="10"/>
      <c r="J824" s="15"/>
      <c r="K824" s="1"/>
      <c r="L824" s="15"/>
      <c r="M824" s="15"/>
      <c r="N824" s="15"/>
      <c r="O824" s="7"/>
      <c r="P824" s="10"/>
      <c r="Q824" s="10"/>
      <c r="R824" s="10"/>
      <c r="S824" s="10"/>
      <c r="T824" s="10"/>
      <c r="U824" s="10"/>
    </row>
    <row r="825" spans="1:21" x14ac:dyDescent="0.3">
      <c r="A825" s="10"/>
      <c r="B825" s="10"/>
      <c r="C825" s="10"/>
      <c r="D825" s="10"/>
      <c r="E825" s="22"/>
      <c r="F825" s="22"/>
      <c r="G825" s="22"/>
      <c r="H825" s="10"/>
      <c r="I825" s="10"/>
      <c r="J825" s="15"/>
      <c r="K825" s="1"/>
      <c r="L825" s="15"/>
      <c r="M825" s="15"/>
      <c r="N825" s="15"/>
      <c r="O825" s="7"/>
      <c r="P825" s="10"/>
      <c r="Q825" s="10"/>
      <c r="R825" s="10"/>
      <c r="S825" s="10"/>
      <c r="T825" s="10"/>
      <c r="U825" s="10"/>
    </row>
    <row r="826" spans="1:21" x14ac:dyDescent="0.3">
      <c r="A826" s="10"/>
      <c r="B826" s="10"/>
      <c r="C826" s="10"/>
      <c r="D826" s="10"/>
      <c r="E826" s="22"/>
      <c r="F826" s="22"/>
      <c r="G826" s="22"/>
      <c r="H826" s="10"/>
      <c r="I826" s="10"/>
      <c r="J826" s="15"/>
      <c r="K826" s="1"/>
      <c r="L826" s="15"/>
      <c r="M826" s="15"/>
      <c r="N826" s="15"/>
      <c r="O826" s="7"/>
      <c r="P826" s="10"/>
      <c r="Q826" s="10"/>
      <c r="R826" s="10"/>
      <c r="S826" s="10"/>
      <c r="T826" s="10"/>
      <c r="U826" s="10"/>
    </row>
    <row r="827" spans="1:21" x14ac:dyDescent="0.3">
      <c r="A827" s="10"/>
      <c r="B827" s="10"/>
      <c r="C827" s="10"/>
      <c r="D827" s="10"/>
      <c r="E827" s="22"/>
      <c r="F827" s="22"/>
      <c r="G827" s="22"/>
      <c r="H827" s="10"/>
      <c r="I827" s="10"/>
      <c r="J827" s="15"/>
      <c r="K827" s="1"/>
      <c r="L827" s="15"/>
      <c r="M827" s="15"/>
      <c r="N827" s="15"/>
      <c r="O827" s="7"/>
      <c r="P827" s="10"/>
      <c r="Q827" s="10"/>
      <c r="R827" s="10"/>
      <c r="S827" s="10"/>
      <c r="T827" s="10"/>
      <c r="U827" s="10"/>
    </row>
    <row r="828" spans="1:21" x14ac:dyDescent="0.3">
      <c r="A828" s="10"/>
      <c r="B828" s="10"/>
      <c r="C828" s="10"/>
      <c r="D828" s="10"/>
      <c r="E828" s="22"/>
      <c r="F828" s="22"/>
      <c r="G828" s="22"/>
      <c r="H828" s="10"/>
      <c r="I828" s="10"/>
      <c r="J828" s="15"/>
      <c r="K828" s="1"/>
      <c r="L828" s="15"/>
      <c r="M828" s="15"/>
      <c r="N828" s="15"/>
      <c r="O828" s="7"/>
      <c r="P828" s="10"/>
      <c r="Q828" s="10"/>
      <c r="R828" s="10"/>
      <c r="S828" s="10"/>
      <c r="T828" s="10"/>
      <c r="U828" s="10"/>
    </row>
    <row r="829" spans="1:21" x14ac:dyDescent="0.3">
      <c r="A829" s="10"/>
      <c r="B829" s="10"/>
      <c r="C829" s="10"/>
      <c r="D829" s="10"/>
      <c r="E829" s="22"/>
      <c r="F829" s="22"/>
      <c r="G829" s="22"/>
      <c r="H829" s="10"/>
      <c r="I829" s="10"/>
      <c r="J829" s="15"/>
      <c r="K829" s="1"/>
      <c r="L829" s="15"/>
      <c r="M829" s="15"/>
      <c r="N829" s="15"/>
      <c r="O829" s="7"/>
      <c r="P829" s="10"/>
      <c r="Q829" s="10"/>
      <c r="R829" s="10"/>
      <c r="S829" s="10"/>
      <c r="T829" s="10"/>
      <c r="U829" s="10"/>
    </row>
    <row r="830" spans="1:21" x14ac:dyDescent="0.3">
      <c r="A830" s="10"/>
      <c r="B830" s="10"/>
      <c r="C830" s="10"/>
      <c r="D830" s="10"/>
      <c r="E830" s="22"/>
      <c r="F830" s="22"/>
      <c r="G830" s="22"/>
      <c r="H830" s="10"/>
      <c r="I830" s="10"/>
      <c r="J830" s="15"/>
      <c r="K830" s="1"/>
      <c r="L830" s="15"/>
      <c r="M830" s="15"/>
      <c r="N830" s="15"/>
      <c r="O830" s="7"/>
      <c r="P830" s="10"/>
      <c r="Q830" s="10"/>
      <c r="R830" s="10"/>
      <c r="S830" s="10"/>
      <c r="T830" s="10"/>
      <c r="U830" s="10"/>
    </row>
    <row r="831" spans="1:21" x14ac:dyDescent="0.3">
      <c r="A831" s="10"/>
      <c r="B831" s="10"/>
      <c r="C831" s="10"/>
      <c r="D831" s="10"/>
      <c r="E831" s="22"/>
      <c r="F831" s="22"/>
      <c r="G831" s="22"/>
      <c r="H831" s="10"/>
      <c r="I831" s="10"/>
      <c r="J831" s="15"/>
      <c r="K831" s="1"/>
      <c r="L831" s="15"/>
      <c r="M831" s="15"/>
      <c r="N831" s="15"/>
      <c r="O831" s="7"/>
      <c r="P831" s="10"/>
      <c r="Q831" s="10"/>
      <c r="R831" s="10"/>
      <c r="S831" s="10"/>
      <c r="T831" s="10"/>
      <c r="U831" s="10"/>
    </row>
    <row r="832" spans="1:21" x14ac:dyDescent="0.3">
      <c r="A832" s="10"/>
      <c r="B832" s="10"/>
      <c r="C832" s="10"/>
      <c r="D832" s="10"/>
      <c r="E832" s="22"/>
      <c r="F832" s="22"/>
      <c r="G832" s="22"/>
      <c r="H832" s="10"/>
      <c r="I832" s="10"/>
      <c r="J832" s="15"/>
      <c r="K832" s="1"/>
      <c r="L832" s="15"/>
      <c r="M832" s="15"/>
      <c r="N832" s="15"/>
      <c r="O832" s="7"/>
      <c r="P832" s="10"/>
      <c r="Q832" s="10"/>
      <c r="R832" s="10"/>
      <c r="S832" s="10"/>
      <c r="T832" s="10"/>
      <c r="U832" s="10"/>
    </row>
    <row r="833" spans="1:21" x14ac:dyDescent="0.3">
      <c r="A833" s="10"/>
      <c r="B833" s="10"/>
      <c r="C833" s="10"/>
      <c r="D833" s="10"/>
      <c r="E833" s="22"/>
      <c r="F833" s="22"/>
      <c r="G833" s="22"/>
      <c r="H833" s="10"/>
      <c r="I833" s="10"/>
      <c r="J833" s="15"/>
      <c r="K833" s="1"/>
      <c r="L833" s="15"/>
      <c r="M833" s="15"/>
      <c r="N833" s="15"/>
      <c r="O833" s="7"/>
      <c r="P833" s="10"/>
      <c r="Q833" s="10"/>
      <c r="R833" s="10"/>
      <c r="S833" s="10"/>
      <c r="T833" s="10"/>
      <c r="U833" s="10"/>
    </row>
    <row r="834" spans="1:21" x14ac:dyDescent="0.3">
      <c r="A834" s="10"/>
      <c r="B834" s="10"/>
      <c r="C834" s="10"/>
      <c r="D834" s="10"/>
      <c r="E834" s="22"/>
      <c r="F834" s="22"/>
      <c r="G834" s="22"/>
      <c r="H834" s="10"/>
      <c r="I834" s="10"/>
      <c r="J834" s="15"/>
      <c r="K834" s="1"/>
      <c r="L834" s="15"/>
      <c r="M834" s="15"/>
      <c r="N834" s="15"/>
      <c r="O834" s="7"/>
      <c r="P834" s="10"/>
      <c r="Q834" s="10"/>
      <c r="R834" s="10"/>
      <c r="S834" s="10"/>
      <c r="T834" s="10"/>
      <c r="U834" s="10"/>
    </row>
    <row r="835" spans="1:21" x14ac:dyDescent="0.3">
      <c r="A835" s="10"/>
      <c r="B835" s="10"/>
      <c r="C835" s="10"/>
      <c r="D835" s="10"/>
      <c r="E835" s="22"/>
      <c r="F835" s="22"/>
      <c r="G835" s="22"/>
      <c r="H835" s="10"/>
      <c r="I835" s="10"/>
      <c r="J835" s="15"/>
      <c r="K835" s="1"/>
      <c r="L835" s="15"/>
      <c r="M835" s="15"/>
      <c r="N835" s="15"/>
      <c r="O835" s="7"/>
      <c r="P835" s="10"/>
      <c r="Q835" s="10"/>
      <c r="R835" s="10"/>
      <c r="S835" s="10"/>
      <c r="T835" s="10"/>
      <c r="U835" s="10"/>
    </row>
    <row r="836" spans="1:21" x14ac:dyDescent="0.3">
      <c r="A836" s="10"/>
      <c r="B836" s="10"/>
      <c r="C836" s="10"/>
      <c r="D836" s="10"/>
      <c r="E836" s="22"/>
      <c r="F836" s="22"/>
      <c r="G836" s="22"/>
      <c r="H836" s="10"/>
      <c r="I836" s="10"/>
      <c r="J836" s="15"/>
      <c r="K836" s="1"/>
      <c r="L836" s="15"/>
      <c r="M836" s="15"/>
      <c r="N836" s="15"/>
      <c r="O836" s="7"/>
      <c r="P836" s="10"/>
      <c r="Q836" s="10"/>
      <c r="R836" s="10"/>
      <c r="S836" s="10"/>
      <c r="T836" s="10"/>
      <c r="U836" s="10"/>
    </row>
    <row r="837" spans="1:21" x14ac:dyDescent="0.3">
      <c r="A837" s="10"/>
      <c r="B837" s="10"/>
      <c r="C837" s="10"/>
      <c r="D837" s="10"/>
      <c r="E837" s="22"/>
      <c r="F837" s="22"/>
      <c r="G837" s="22"/>
      <c r="H837" s="10"/>
      <c r="I837" s="10"/>
      <c r="J837" s="15"/>
      <c r="K837" s="1"/>
      <c r="L837" s="15"/>
      <c r="M837" s="15"/>
      <c r="N837" s="15"/>
      <c r="O837" s="7"/>
      <c r="P837" s="10"/>
      <c r="Q837" s="10"/>
      <c r="R837" s="10"/>
      <c r="S837" s="10"/>
      <c r="T837" s="10"/>
      <c r="U837" s="10"/>
    </row>
    <row r="838" spans="1:21" x14ac:dyDescent="0.3">
      <c r="A838" s="10"/>
      <c r="B838" s="10"/>
      <c r="C838" s="10"/>
      <c r="D838" s="10"/>
      <c r="E838" s="22"/>
      <c r="F838" s="22"/>
      <c r="G838" s="22"/>
      <c r="H838" s="10"/>
      <c r="I838" s="10"/>
      <c r="J838" s="15"/>
      <c r="K838" s="1"/>
      <c r="L838" s="15"/>
      <c r="M838" s="15"/>
      <c r="N838" s="15"/>
      <c r="O838" s="7"/>
      <c r="P838" s="10"/>
      <c r="Q838" s="10"/>
      <c r="R838" s="10"/>
      <c r="S838" s="10"/>
      <c r="T838" s="10"/>
      <c r="U838" s="10"/>
    </row>
    <row r="839" spans="1:21" x14ac:dyDescent="0.3">
      <c r="A839" s="10"/>
      <c r="B839" s="10"/>
      <c r="C839" s="10"/>
      <c r="D839" s="10"/>
      <c r="E839" s="22"/>
      <c r="F839" s="22"/>
      <c r="G839" s="22"/>
      <c r="H839" s="10"/>
      <c r="I839" s="10"/>
      <c r="J839" s="15"/>
      <c r="K839" s="1"/>
      <c r="L839" s="15"/>
      <c r="M839" s="15"/>
      <c r="N839" s="15"/>
      <c r="O839" s="7"/>
      <c r="P839" s="10"/>
      <c r="Q839" s="10"/>
      <c r="R839" s="10"/>
      <c r="S839" s="10"/>
      <c r="T839" s="10"/>
      <c r="U839" s="10"/>
    </row>
    <row r="840" spans="1:21" x14ac:dyDescent="0.3">
      <c r="A840" s="10"/>
      <c r="B840" s="10"/>
      <c r="C840" s="10"/>
      <c r="D840" s="10"/>
      <c r="E840" s="22"/>
      <c r="F840" s="22"/>
      <c r="G840" s="22"/>
      <c r="H840" s="10"/>
      <c r="I840" s="10"/>
      <c r="J840" s="15"/>
      <c r="K840" s="1"/>
      <c r="L840" s="15"/>
      <c r="M840" s="15"/>
      <c r="N840" s="15"/>
      <c r="O840" s="7"/>
      <c r="P840" s="10"/>
      <c r="Q840" s="10"/>
      <c r="R840" s="10"/>
      <c r="S840" s="10"/>
      <c r="T840" s="10"/>
      <c r="U840" s="10"/>
    </row>
    <row r="841" spans="1:21" x14ac:dyDescent="0.3">
      <c r="A841" s="10"/>
      <c r="B841" s="10"/>
      <c r="C841" s="10"/>
      <c r="D841" s="10"/>
      <c r="E841" s="22"/>
      <c r="F841" s="22"/>
      <c r="G841" s="22"/>
      <c r="H841" s="10"/>
      <c r="I841" s="10"/>
      <c r="J841" s="15"/>
      <c r="K841" s="1"/>
      <c r="L841" s="15"/>
      <c r="M841" s="15"/>
      <c r="N841" s="15"/>
      <c r="O841" s="7"/>
      <c r="P841" s="10"/>
      <c r="Q841" s="10"/>
      <c r="R841" s="10"/>
      <c r="S841" s="10"/>
      <c r="T841" s="10"/>
      <c r="U841" s="10"/>
    </row>
    <row r="842" spans="1:21" x14ac:dyDescent="0.3">
      <c r="A842" s="10"/>
      <c r="B842" s="10"/>
      <c r="C842" s="10"/>
      <c r="D842" s="10"/>
      <c r="E842" s="22"/>
      <c r="F842" s="22"/>
      <c r="G842" s="22"/>
      <c r="H842" s="10"/>
      <c r="I842" s="10"/>
      <c r="J842" s="15"/>
      <c r="K842" s="1"/>
      <c r="L842" s="15"/>
      <c r="M842" s="15"/>
      <c r="N842" s="15"/>
      <c r="O842" s="7"/>
      <c r="P842" s="10"/>
      <c r="Q842" s="10"/>
      <c r="R842" s="10"/>
      <c r="S842" s="10"/>
      <c r="T842" s="10"/>
      <c r="U842" s="10"/>
    </row>
    <row r="843" spans="1:21" x14ac:dyDescent="0.3">
      <c r="A843" s="10"/>
      <c r="B843" s="10"/>
      <c r="C843" s="10"/>
      <c r="D843" s="10"/>
      <c r="E843" s="22"/>
      <c r="F843" s="22"/>
      <c r="G843" s="22"/>
      <c r="H843" s="10"/>
      <c r="I843" s="10"/>
      <c r="J843" s="15"/>
      <c r="K843" s="1"/>
      <c r="L843" s="15"/>
      <c r="M843" s="15"/>
      <c r="N843" s="15"/>
      <c r="O843" s="7"/>
      <c r="P843" s="10"/>
      <c r="Q843" s="10"/>
      <c r="R843" s="10"/>
      <c r="S843" s="10"/>
      <c r="T843" s="10"/>
      <c r="U843" s="10"/>
    </row>
    <row r="844" spans="1:21" x14ac:dyDescent="0.3">
      <c r="A844" s="10"/>
      <c r="B844" s="10"/>
      <c r="C844" s="10"/>
      <c r="D844" s="10"/>
      <c r="E844" s="22"/>
      <c r="F844" s="22"/>
      <c r="G844" s="22"/>
      <c r="H844" s="10"/>
      <c r="I844" s="10"/>
      <c r="J844" s="15"/>
      <c r="K844" s="1"/>
      <c r="L844" s="15"/>
      <c r="M844" s="15"/>
      <c r="N844" s="15"/>
      <c r="O844" s="7"/>
      <c r="P844" s="10"/>
      <c r="Q844" s="10"/>
      <c r="R844" s="10"/>
      <c r="S844" s="10"/>
      <c r="T844" s="10"/>
      <c r="U844" s="10"/>
    </row>
    <row r="845" spans="1:21" x14ac:dyDescent="0.3">
      <c r="A845" s="10"/>
      <c r="B845" s="10"/>
      <c r="C845" s="10"/>
      <c r="D845" s="10"/>
      <c r="E845" s="22"/>
      <c r="F845" s="22"/>
      <c r="G845" s="22"/>
      <c r="H845" s="10"/>
      <c r="I845" s="10"/>
      <c r="J845" s="15"/>
      <c r="K845" s="1"/>
      <c r="L845" s="15"/>
      <c r="M845" s="15"/>
      <c r="N845" s="15"/>
      <c r="O845" s="7"/>
      <c r="P845" s="10"/>
      <c r="Q845" s="10"/>
      <c r="R845" s="10"/>
      <c r="S845" s="10"/>
      <c r="T845" s="10"/>
      <c r="U845" s="10"/>
    </row>
    <row r="846" spans="1:21" x14ac:dyDescent="0.3">
      <c r="A846" s="10"/>
      <c r="B846" s="10"/>
      <c r="C846" s="10"/>
      <c r="D846" s="10"/>
      <c r="E846" s="22"/>
      <c r="F846" s="22"/>
      <c r="G846" s="22"/>
      <c r="H846" s="10"/>
      <c r="I846" s="10"/>
      <c r="J846" s="15"/>
      <c r="K846" s="1"/>
      <c r="L846" s="15"/>
      <c r="M846" s="15"/>
      <c r="N846" s="15"/>
      <c r="O846" s="7"/>
      <c r="P846" s="10"/>
      <c r="Q846" s="10"/>
      <c r="R846" s="10"/>
      <c r="S846" s="10"/>
      <c r="T846" s="10"/>
      <c r="U846" s="10"/>
    </row>
    <row r="847" spans="1:21" x14ac:dyDescent="0.3">
      <c r="A847" s="10"/>
      <c r="B847" s="10"/>
      <c r="C847" s="10"/>
      <c r="D847" s="10"/>
      <c r="E847" s="22"/>
      <c r="F847" s="22"/>
      <c r="G847" s="22"/>
      <c r="H847" s="10"/>
      <c r="I847" s="10"/>
      <c r="J847" s="15"/>
      <c r="K847" s="1"/>
      <c r="L847" s="15"/>
      <c r="M847" s="15"/>
      <c r="N847" s="15"/>
      <c r="O847" s="7"/>
      <c r="P847" s="10"/>
      <c r="Q847" s="10"/>
      <c r="R847" s="10"/>
      <c r="S847" s="10"/>
      <c r="T847" s="10"/>
      <c r="U847" s="10"/>
    </row>
    <row r="848" spans="1:21" x14ac:dyDescent="0.3">
      <c r="A848" s="10"/>
      <c r="B848" s="10"/>
      <c r="C848" s="10"/>
      <c r="D848" s="10"/>
      <c r="E848" s="22"/>
      <c r="F848" s="22"/>
      <c r="G848" s="22"/>
      <c r="H848" s="10"/>
      <c r="I848" s="10"/>
      <c r="J848" s="15"/>
      <c r="K848" s="1"/>
      <c r="L848" s="15"/>
      <c r="M848" s="15"/>
      <c r="N848" s="15"/>
      <c r="O848" s="7"/>
      <c r="P848" s="10"/>
      <c r="Q848" s="10"/>
      <c r="R848" s="10"/>
      <c r="S848" s="10"/>
      <c r="T848" s="10"/>
      <c r="U848" s="10"/>
    </row>
    <row r="849" spans="1:21" x14ac:dyDescent="0.3">
      <c r="A849" s="10"/>
      <c r="B849" s="10"/>
      <c r="C849" s="10"/>
      <c r="D849" s="10"/>
      <c r="E849" s="22"/>
      <c r="F849" s="22"/>
      <c r="G849" s="22"/>
      <c r="H849" s="10"/>
      <c r="I849" s="10"/>
      <c r="J849" s="15"/>
      <c r="K849" s="1"/>
      <c r="L849" s="15"/>
      <c r="M849" s="15"/>
      <c r="N849" s="15"/>
      <c r="O849" s="7"/>
      <c r="P849" s="10"/>
      <c r="Q849" s="10"/>
      <c r="R849" s="10"/>
      <c r="S849" s="10"/>
      <c r="T849" s="10"/>
      <c r="U849" s="10"/>
    </row>
    <row r="850" spans="1:21" x14ac:dyDescent="0.3">
      <c r="A850" s="10"/>
      <c r="B850" s="10"/>
      <c r="C850" s="10"/>
      <c r="D850" s="10"/>
      <c r="E850" s="22"/>
      <c r="F850" s="22"/>
      <c r="G850" s="22"/>
      <c r="H850" s="10"/>
      <c r="I850" s="10"/>
      <c r="J850" s="15"/>
      <c r="K850" s="1"/>
      <c r="L850" s="15"/>
      <c r="M850" s="15"/>
      <c r="N850" s="15"/>
      <c r="O850" s="7"/>
      <c r="P850" s="10"/>
      <c r="Q850" s="10"/>
      <c r="R850" s="10"/>
      <c r="S850" s="10"/>
      <c r="T850" s="10"/>
      <c r="U850" s="10"/>
    </row>
    <row r="851" spans="1:21" x14ac:dyDescent="0.3">
      <c r="A851" s="10"/>
      <c r="B851" s="10"/>
      <c r="C851" s="10"/>
      <c r="D851" s="10"/>
      <c r="E851" s="22"/>
      <c r="F851" s="22"/>
      <c r="G851" s="22"/>
      <c r="H851" s="10"/>
      <c r="I851" s="10"/>
      <c r="J851" s="15"/>
      <c r="K851" s="1"/>
      <c r="L851" s="15"/>
      <c r="M851" s="15"/>
      <c r="N851" s="15"/>
      <c r="O851" s="7"/>
      <c r="P851" s="10"/>
      <c r="Q851" s="10"/>
      <c r="R851" s="10"/>
      <c r="S851" s="10"/>
      <c r="T851" s="10"/>
      <c r="U851" s="10"/>
    </row>
    <row r="852" spans="1:21" x14ac:dyDescent="0.3">
      <c r="A852" s="10"/>
      <c r="B852" s="10"/>
      <c r="C852" s="10"/>
      <c r="D852" s="10"/>
      <c r="E852" s="22"/>
      <c r="F852" s="22"/>
      <c r="G852" s="22"/>
      <c r="H852" s="10"/>
      <c r="I852" s="10"/>
      <c r="J852" s="15"/>
      <c r="K852" s="1"/>
      <c r="L852" s="15"/>
      <c r="M852" s="15"/>
      <c r="N852" s="15"/>
      <c r="O852" s="7"/>
      <c r="P852" s="10"/>
      <c r="Q852" s="10"/>
      <c r="R852" s="10"/>
      <c r="S852" s="10"/>
      <c r="T852" s="10"/>
      <c r="U852" s="10"/>
    </row>
    <row r="853" spans="1:21" x14ac:dyDescent="0.3">
      <c r="A853" s="10"/>
      <c r="B853" s="10"/>
      <c r="C853" s="10"/>
      <c r="D853" s="10"/>
      <c r="E853" s="22"/>
      <c r="F853" s="22"/>
      <c r="G853" s="22"/>
      <c r="H853" s="10"/>
      <c r="I853" s="10"/>
      <c r="J853" s="15"/>
      <c r="K853" s="1"/>
      <c r="L853" s="15"/>
      <c r="M853" s="15"/>
      <c r="N853" s="15"/>
      <c r="O853" s="7"/>
      <c r="P853" s="10"/>
      <c r="Q853" s="10"/>
      <c r="R853" s="10"/>
      <c r="S853" s="10"/>
      <c r="T853" s="10"/>
      <c r="U853" s="10"/>
    </row>
    <row r="854" spans="1:21" x14ac:dyDescent="0.3">
      <c r="A854" s="10"/>
      <c r="B854" s="10"/>
      <c r="C854" s="10"/>
      <c r="D854" s="10"/>
      <c r="E854" s="22"/>
      <c r="F854" s="22"/>
      <c r="G854" s="22"/>
      <c r="H854" s="10"/>
      <c r="I854" s="10"/>
      <c r="J854" s="15"/>
      <c r="K854" s="1"/>
      <c r="L854" s="15"/>
      <c r="M854" s="15"/>
      <c r="N854" s="15"/>
      <c r="O854" s="7"/>
      <c r="P854" s="10"/>
      <c r="Q854" s="10"/>
      <c r="R854" s="10"/>
      <c r="S854" s="10"/>
      <c r="T854" s="10"/>
      <c r="U854" s="10"/>
    </row>
    <row r="855" spans="1:21" x14ac:dyDescent="0.3">
      <c r="A855" s="10"/>
      <c r="B855" s="10"/>
      <c r="C855" s="10"/>
      <c r="D855" s="10"/>
      <c r="E855" s="22"/>
      <c r="F855" s="22"/>
      <c r="G855" s="22"/>
      <c r="H855" s="10"/>
      <c r="I855" s="10"/>
      <c r="J855" s="15"/>
      <c r="K855" s="1"/>
      <c r="L855" s="15"/>
      <c r="M855" s="15"/>
      <c r="N855" s="15"/>
      <c r="O855" s="7"/>
      <c r="P855" s="10"/>
      <c r="Q855" s="10"/>
      <c r="R855" s="10"/>
      <c r="S855" s="10"/>
      <c r="T855" s="10"/>
      <c r="U855" s="10"/>
    </row>
    <row r="856" spans="1:21" x14ac:dyDescent="0.3">
      <c r="A856" s="10"/>
      <c r="B856" s="10"/>
      <c r="C856" s="10"/>
      <c r="D856" s="10"/>
      <c r="E856" s="22"/>
      <c r="F856" s="22"/>
      <c r="G856" s="22"/>
      <c r="H856" s="10"/>
      <c r="I856" s="10"/>
      <c r="J856" s="15"/>
      <c r="K856" s="1"/>
      <c r="L856" s="15"/>
      <c r="M856" s="15"/>
      <c r="N856" s="15"/>
      <c r="O856" s="7"/>
      <c r="P856" s="10"/>
      <c r="Q856" s="10"/>
      <c r="R856" s="10"/>
      <c r="S856" s="10"/>
      <c r="T856" s="10"/>
      <c r="U856" s="10"/>
    </row>
    <row r="857" spans="1:21" x14ac:dyDescent="0.3">
      <c r="A857" s="10"/>
      <c r="B857" s="10"/>
      <c r="C857" s="10"/>
      <c r="D857" s="10"/>
      <c r="E857" s="22"/>
      <c r="F857" s="22"/>
      <c r="G857" s="22"/>
      <c r="H857" s="10"/>
      <c r="I857" s="10"/>
      <c r="J857" s="15"/>
      <c r="K857" s="1"/>
      <c r="L857" s="15"/>
      <c r="M857" s="15"/>
      <c r="N857" s="15"/>
      <c r="O857" s="7"/>
      <c r="P857" s="10"/>
      <c r="Q857" s="10"/>
      <c r="R857" s="10"/>
      <c r="S857" s="10"/>
      <c r="T857" s="10"/>
      <c r="U857" s="10"/>
    </row>
    <row r="858" spans="1:21" x14ac:dyDescent="0.3">
      <c r="A858" s="10"/>
      <c r="B858" s="10"/>
      <c r="C858" s="10"/>
      <c r="D858" s="10"/>
      <c r="E858" s="22"/>
      <c r="F858" s="22"/>
      <c r="G858" s="22"/>
      <c r="H858" s="10"/>
      <c r="I858" s="10"/>
      <c r="J858" s="15"/>
      <c r="K858" s="1"/>
      <c r="L858" s="15"/>
      <c r="M858" s="15"/>
      <c r="N858" s="15"/>
      <c r="O858" s="7"/>
      <c r="P858" s="10"/>
      <c r="Q858" s="10"/>
      <c r="R858" s="10"/>
      <c r="S858" s="10"/>
      <c r="T858" s="10"/>
      <c r="U858" s="10"/>
    </row>
    <row r="859" spans="1:21" x14ac:dyDescent="0.3">
      <c r="A859" s="10"/>
      <c r="B859" s="10"/>
      <c r="C859" s="10"/>
      <c r="D859" s="10"/>
      <c r="E859" s="22"/>
      <c r="F859" s="22"/>
      <c r="G859" s="22"/>
      <c r="H859" s="10"/>
      <c r="I859" s="10"/>
      <c r="J859" s="15"/>
      <c r="K859" s="1"/>
      <c r="L859" s="15"/>
      <c r="M859" s="15"/>
      <c r="N859" s="15"/>
      <c r="O859" s="7"/>
      <c r="P859" s="10"/>
      <c r="Q859" s="10"/>
      <c r="R859" s="10"/>
      <c r="S859" s="10"/>
      <c r="T859" s="10"/>
      <c r="U859" s="10"/>
    </row>
    <row r="860" spans="1:21" x14ac:dyDescent="0.3">
      <c r="A860" s="10"/>
      <c r="B860" s="10"/>
      <c r="C860" s="10"/>
      <c r="D860" s="10"/>
      <c r="E860" s="22"/>
      <c r="F860" s="22"/>
      <c r="G860" s="22"/>
      <c r="H860" s="10"/>
      <c r="I860" s="10"/>
      <c r="J860" s="15"/>
      <c r="K860" s="1"/>
      <c r="L860" s="15"/>
      <c r="M860" s="15"/>
      <c r="N860" s="15"/>
      <c r="O860" s="7"/>
      <c r="P860" s="10"/>
      <c r="Q860" s="10"/>
      <c r="R860" s="10"/>
      <c r="S860" s="10"/>
      <c r="T860" s="10"/>
      <c r="U860" s="10"/>
    </row>
    <row r="861" spans="1:21" x14ac:dyDescent="0.3">
      <c r="A861" s="10"/>
      <c r="B861" s="10"/>
      <c r="C861" s="10"/>
      <c r="D861" s="10"/>
      <c r="E861" s="22"/>
      <c r="F861" s="22"/>
      <c r="G861" s="22"/>
      <c r="H861" s="10"/>
      <c r="I861" s="10"/>
      <c r="J861" s="15"/>
      <c r="K861" s="1"/>
      <c r="L861" s="15"/>
      <c r="M861" s="15"/>
      <c r="N861" s="15"/>
      <c r="O861" s="7"/>
      <c r="P861" s="10"/>
      <c r="Q861" s="10"/>
      <c r="R861" s="10"/>
      <c r="S861" s="10"/>
      <c r="T861" s="10"/>
      <c r="U861" s="10"/>
    </row>
    <row r="862" spans="1:21" x14ac:dyDescent="0.3">
      <c r="A862" s="10"/>
      <c r="B862" s="10"/>
      <c r="C862" s="10"/>
      <c r="D862" s="10"/>
      <c r="E862" s="22"/>
      <c r="F862" s="22"/>
      <c r="G862" s="22"/>
      <c r="H862" s="10"/>
      <c r="I862" s="10"/>
      <c r="J862" s="15"/>
      <c r="K862" s="1"/>
      <c r="L862" s="15"/>
      <c r="M862" s="15"/>
      <c r="N862" s="15"/>
      <c r="O862" s="7"/>
      <c r="P862" s="10"/>
      <c r="Q862" s="10"/>
      <c r="R862" s="10"/>
      <c r="S862" s="10"/>
      <c r="T862" s="10"/>
      <c r="U862" s="10"/>
    </row>
    <row r="863" spans="1:21" x14ac:dyDescent="0.3">
      <c r="A863" s="10"/>
      <c r="B863" s="10"/>
      <c r="C863" s="10"/>
      <c r="D863" s="10"/>
      <c r="E863" s="22"/>
      <c r="F863" s="22"/>
      <c r="G863" s="22"/>
      <c r="H863" s="10"/>
      <c r="I863" s="10"/>
      <c r="J863" s="15"/>
      <c r="K863" s="1"/>
      <c r="L863" s="15"/>
      <c r="M863" s="15"/>
      <c r="N863" s="15"/>
      <c r="O863" s="7"/>
      <c r="P863" s="10"/>
      <c r="Q863" s="10"/>
      <c r="R863" s="10"/>
      <c r="S863" s="10"/>
      <c r="T863" s="10"/>
      <c r="U863" s="10"/>
    </row>
    <row r="864" spans="1:21" x14ac:dyDescent="0.3">
      <c r="A864" s="10"/>
      <c r="B864" s="10"/>
      <c r="C864" s="10"/>
      <c r="D864" s="10"/>
      <c r="E864" s="22"/>
      <c r="F864" s="22"/>
      <c r="G864" s="22"/>
      <c r="H864" s="10"/>
      <c r="I864" s="10"/>
      <c r="J864" s="15"/>
      <c r="K864" s="1"/>
      <c r="L864" s="15"/>
      <c r="M864" s="15"/>
      <c r="N864" s="15"/>
      <c r="O864" s="7"/>
      <c r="P864" s="10"/>
      <c r="Q864" s="10"/>
      <c r="R864" s="10"/>
      <c r="S864" s="10"/>
      <c r="T864" s="10"/>
      <c r="U864" s="10"/>
    </row>
    <row r="865" spans="1:21" x14ac:dyDescent="0.3">
      <c r="A865" s="10"/>
      <c r="B865" s="10"/>
      <c r="C865" s="10"/>
      <c r="D865" s="10"/>
      <c r="E865" s="22"/>
      <c r="F865" s="22"/>
      <c r="G865" s="22"/>
      <c r="H865" s="10"/>
      <c r="I865" s="10"/>
      <c r="J865" s="15"/>
      <c r="K865" s="1"/>
      <c r="L865" s="15"/>
      <c r="M865" s="15"/>
      <c r="N865" s="15"/>
      <c r="O865" s="7"/>
      <c r="P865" s="10"/>
      <c r="Q865" s="10"/>
      <c r="R865" s="10"/>
      <c r="S865" s="10"/>
      <c r="T865" s="10"/>
      <c r="U865" s="10"/>
    </row>
    <row r="866" spans="1:21" x14ac:dyDescent="0.3">
      <c r="A866" s="10"/>
      <c r="B866" s="10"/>
      <c r="C866" s="10"/>
      <c r="D866" s="10"/>
      <c r="E866" s="22"/>
      <c r="F866" s="22"/>
      <c r="G866" s="22"/>
      <c r="H866" s="10"/>
      <c r="I866" s="10"/>
      <c r="J866" s="15"/>
      <c r="K866" s="1"/>
      <c r="L866" s="15"/>
      <c r="M866" s="15"/>
      <c r="N866" s="15"/>
      <c r="O866" s="7"/>
      <c r="P866" s="10"/>
      <c r="Q866" s="10"/>
      <c r="R866" s="10"/>
      <c r="S866" s="10"/>
      <c r="T866" s="10"/>
      <c r="U866" s="10"/>
    </row>
    <row r="867" spans="1:21" x14ac:dyDescent="0.3">
      <c r="A867" s="10"/>
      <c r="B867" s="10"/>
      <c r="C867" s="10"/>
      <c r="D867" s="10"/>
      <c r="E867" s="22"/>
      <c r="F867" s="22"/>
      <c r="G867" s="22"/>
      <c r="H867" s="10"/>
      <c r="I867" s="10"/>
      <c r="J867" s="15"/>
      <c r="K867" s="1"/>
      <c r="L867" s="15"/>
      <c r="M867" s="15"/>
      <c r="N867" s="15"/>
      <c r="O867" s="7"/>
      <c r="P867" s="10"/>
      <c r="Q867" s="10"/>
      <c r="R867" s="10"/>
      <c r="S867" s="10"/>
      <c r="T867" s="10"/>
      <c r="U867" s="10"/>
    </row>
    <row r="868" spans="1:21" x14ac:dyDescent="0.3">
      <c r="A868" s="10"/>
      <c r="B868" s="10"/>
      <c r="C868" s="10"/>
      <c r="D868" s="10"/>
      <c r="E868" s="22"/>
      <c r="F868" s="22"/>
      <c r="G868" s="22"/>
      <c r="H868" s="10"/>
      <c r="I868" s="10"/>
      <c r="J868" s="15"/>
      <c r="K868" s="1"/>
      <c r="L868" s="15"/>
      <c r="M868" s="15"/>
      <c r="N868" s="15"/>
      <c r="O868" s="7"/>
      <c r="P868" s="10"/>
      <c r="Q868" s="10"/>
      <c r="R868" s="10"/>
      <c r="S868" s="10"/>
      <c r="T868" s="10"/>
      <c r="U868" s="10"/>
    </row>
    <row r="869" spans="1:21" x14ac:dyDescent="0.3">
      <c r="A869" s="10"/>
      <c r="B869" s="10"/>
      <c r="C869" s="10"/>
      <c r="D869" s="10"/>
      <c r="E869" s="22"/>
      <c r="F869" s="22"/>
      <c r="G869" s="22"/>
      <c r="H869" s="10"/>
      <c r="I869" s="10"/>
      <c r="J869" s="15"/>
      <c r="K869" s="1"/>
      <c r="L869" s="15"/>
      <c r="M869" s="15"/>
      <c r="N869" s="15"/>
      <c r="O869" s="7"/>
      <c r="P869" s="10"/>
      <c r="Q869" s="10"/>
      <c r="R869" s="10"/>
      <c r="S869" s="10"/>
      <c r="T869" s="10"/>
      <c r="U869" s="10"/>
    </row>
    <row r="870" spans="1:21" x14ac:dyDescent="0.3">
      <c r="A870" s="10"/>
      <c r="B870" s="10"/>
      <c r="C870" s="10"/>
      <c r="D870" s="10"/>
      <c r="E870" s="22"/>
      <c r="F870" s="22"/>
      <c r="G870" s="22"/>
      <c r="H870" s="10"/>
      <c r="I870" s="10"/>
      <c r="J870" s="15"/>
      <c r="K870" s="1"/>
      <c r="L870" s="15"/>
      <c r="M870" s="15"/>
      <c r="N870" s="15"/>
      <c r="O870" s="7"/>
      <c r="P870" s="10"/>
      <c r="Q870" s="10"/>
      <c r="R870" s="10"/>
      <c r="S870" s="10"/>
      <c r="T870" s="10"/>
      <c r="U870" s="10"/>
    </row>
    <row r="871" spans="1:21" x14ac:dyDescent="0.3">
      <c r="A871" s="10"/>
      <c r="B871" s="10"/>
      <c r="C871" s="10"/>
      <c r="D871" s="10"/>
      <c r="E871" s="22"/>
      <c r="F871" s="22"/>
      <c r="G871" s="22"/>
      <c r="H871" s="10"/>
      <c r="I871" s="10"/>
      <c r="J871" s="15"/>
      <c r="K871" s="1"/>
      <c r="L871" s="15"/>
      <c r="M871" s="15"/>
      <c r="N871" s="15"/>
      <c r="O871" s="7"/>
      <c r="P871" s="10"/>
      <c r="Q871" s="10"/>
      <c r="R871" s="10"/>
      <c r="S871" s="10"/>
      <c r="T871" s="10"/>
      <c r="U871" s="10"/>
    </row>
    <row r="872" spans="1:21" x14ac:dyDescent="0.3">
      <c r="A872" s="10"/>
      <c r="B872" s="10"/>
      <c r="C872" s="10"/>
      <c r="D872" s="10"/>
      <c r="E872" s="22"/>
      <c r="F872" s="22"/>
      <c r="G872" s="22"/>
      <c r="H872" s="10"/>
      <c r="I872" s="10"/>
      <c r="J872" s="15"/>
      <c r="K872" s="1"/>
      <c r="L872" s="15"/>
      <c r="M872" s="15"/>
      <c r="N872" s="15"/>
      <c r="O872" s="7"/>
      <c r="P872" s="10"/>
      <c r="Q872" s="10"/>
      <c r="R872" s="10"/>
      <c r="S872" s="10"/>
      <c r="T872" s="10"/>
      <c r="U872" s="10"/>
    </row>
    <row r="873" spans="1:21" x14ac:dyDescent="0.3">
      <c r="A873" s="10"/>
      <c r="B873" s="10"/>
      <c r="C873" s="10"/>
      <c r="D873" s="10"/>
      <c r="E873" s="22"/>
      <c r="F873" s="22"/>
      <c r="G873" s="22"/>
      <c r="H873" s="10"/>
      <c r="I873" s="10"/>
      <c r="J873" s="15"/>
      <c r="K873" s="1"/>
      <c r="L873" s="15"/>
      <c r="M873" s="15"/>
      <c r="N873" s="15"/>
      <c r="O873" s="7"/>
      <c r="P873" s="10"/>
      <c r="Q873" s="10"/>
      <c r="R873" s="10"/>
      <c r="S873" s="10"/>
      <c r="T873" s="10"/>
      <c r="U873" s="10"/>
    </row>
    <row r="874" spans="1:21" x14ac:dyDescent="0.3">
      <c r="A874" s="10"/>
      <c r="B874" s="10"/>
      <c r="C874" s="10"/>
      <c r="D874" s="10"/>
      <c r="E874" s="22"/>
      <c r="F874" s="22"/>
      <c r="G874" s="22"/>
      <c r="H874" s="10"/>
      <c r="I874" s="10"/>
      <c r="J874" s="15"/>
      <c r="K874" s="1"/>
      <c r="L874" s="15"/>
      <c r="M874" s="15"/>
      <c r="N874" s="15"/>
      <c r="O874" s="7"/>
      <c r="P874" s="10"/>
      <c r="Q874" s="10"/>
      <c r="R874" s="10"/>
      <c r="S874" s="10"/>
      <c r="T874" s="10"/>
      <c r="U874" s="10"/>
    </row>
    <row r="875" spans="1:21" x14ac:dyDescent="0.3">
      <c r="A875" s="10"/>
      <c r="B875" s="10"/>
      <c r="C875" s="10"/>
      <c r="D875" s="10"/>
      <c r="E875" s="22"/>
      <c r="F875" s="22"/>
      <c r="G875" s="22"/>
      <c r="H875" s="10"/>
      <c r="I875" s="10"/>
      <c r="J875" s="15"/>
      <c r="K875" s="1"/>
      <c r="L875" s="15"/>
      <c r="M875" s="15"/>
      <c r="N875" s="15"/>
      <c r="O875" s="7"/>
      <c r="P875" s="10"/>
      <c r="Q875" s="10"/>
      <c r="R875" s="10"/>
      <c r="S875" s="10"/>
      <c r="T875" s="10"/>
      <c r="U875" s="10"/>
    </row>
    <row r="876" spans="1:21" x14ac:dyDescent="0.3">
      <c r="A876" s="10"/>
      <c r="B876" s="10"/>
      <c r="C876" s="10"/>
      <c r="D876" s="10"/>
      <c r="E876" s="22"/>
      <c r="F876" s="22"/>
      <c r="G876" s="22"/>
      <c r="H876" s="10"/>
      <c r="I876" s="10"/>
      <c r="J876" s="15"/>
      <c r="K876" s="1"/>
      <c r="L876" s="15"/>
      <c r="M876" s="15"/>
      <c r="N876" s="15"/>
      <c r="O876" s="7"/>
      <c r="P876" s="10"/>
      <c r="Q876" s="10"/>
      <c r="R876" s="10"/>
      <c r="S876" s="10"/>
      <c r="T876" s="10"/>
      <c r="U876" s="10"/>
    </row>
    <row r="877" spans="1:21" x14ac:dyDescent="0.3">
      <c r="A877" s="10"/>
      <c r="B877" s="10"/>
      <c r="C877" s="10"/>
      <c r="D877" s="10"/>
      <c r="E877" s="22"/>
      <c r="F877" s="22"/>
      <c r="G877" s="22"/>
      <c r="H877" s="10"/>
      <c r="I877" s="10"/>
      <c r="J877" s="15"/>
      <c r="K877" s="1"/>
      <c r="L877" s="15"/>
      <c r="M877" s="15"/>
      <c r="N877" s="15"/>
      <c r="O877" s="7"/>
      <c r="P877" s="10"/>
      <c r="Q877" s="10"/>
      <c r="R877" s="10"/>
      <c r="S877" s="10"/>
      <c r="T877" s="10"/>
      <c r="U877" s="10"/>
    </row>
    <row r="878" spans="1:21" x14ac:dyDescent="0.3">
      <c r="A878" s="10"/>
      <c r="B878" s="10"/>
      <c r="C878" s="10"/>
      <c r="D878" s="10"/>
      <c r="E878" s="22"/>
      <c r="F878" s="22"/>
      <c r="G878" s="22"/>
      <c r="H878" s="10"/>
      <c r="I878" s="10"/>
      <c r="J878" s="15"/>
      <c r="K878" s="1"/>
      <c r="L878" s="15"/>
      <c r="M878" s="15"/>
      <c r="N878" s="15"/>
      <c r="O878" s="7"/>
      <c r="P878" s="10"/>
      <c r="Q878" s="10"/>
      <c r="R878" s="10"/>
      <c r="S878" s="10"/>
      <c r="T878" s="10"/>
      <c r="U878" s="10"/>
    </row>
    <row r="879" spans="1:21" x14ac:dyDescent="0.3">
      <c r="A879" s="10"/>
      <c r="B879" s="10"/>
      <c r="C879" s="10"/>
      <c r="D879" s="10"/>
      <c r="E879" s="22"/>
      <c r="F879" s="22"/>
      <c r="G879" s="22"/>
      <c r="H879" s="10"/>
      <c r="I879" s="10"/>
      <c r="J879" s="15"/>
      <c r="K879" s="1"/>
      <c r="L879" s="15"/>
      <c r="M879" s="15"/>
      <c r="N879" s="15"/>
      <c r="O879" s="7"/>
      <c r="P879" s="10"/>
      <c r="Q879" s="10"/>
      <c r="R879" s="10"/>
      <c r="S879" s="10"/>
      <c r="T879" s="10"/>
      <c r="U879" s="10"/>
    </row>
    <row r="880" spans="1:21" x14ac:dyDescent="0.3">
      <c r="A880" s="10"/>
      <c r="B880" s="10"/>
      <c r="C880" s="10"/>
      <c r="D880" s="10"/>
      <c r="E880" s="22"/>
      <c r="F880" s="22"/>
      <c r="G880" s="22"/>
      <c r="H880" s="10"/>
      <c r="I880" s="10"/>
      <c r="J880" s="15"/>
      <c r="K880" s="1"/>
      <c r="L880" s="15"/>
      <c r="M880" s="15"/>
      <c r="N880" s="15"/>
      <c r="O880" s="7"/>
      <c r="P880" s="10"/>
      <c r="Q880" s="10"/>
      <c r="R880" s="10"/>
      <c r="S880" s="10"/>
      <c r="T880" s="10"/>
      <c r="U880" s="10"/>
    </row>
    <row r="881" spans="1:21" x14ac:dyDescent="0.3">
      <c r="A881" s="10"/>
      <c r="B881" s="10"/>
      <c r="C881" s="10"/>
      <c r="D881" s="10"/>
      <c r="E881" s="22"/>
      <c r="F881" s="22"/>
      <c r="G881" s="22"/>
      <c r="H881" s="10"/>
      <c r="I881" s="10"/>
      <c r="J881" s="15"/>
      <c r="K881" s="1"/>
      <c r="L881" s="15"/>
      <c r="M881" s="15"/>
      <c r="N881" s="15"/>
      <c r="O881" s="7"/>
      <c r="P881" s="10"/>
      <c r="Q881" s="10"/>
      <c r="R881" s="10"/>
      <c r="S881" s="10"/>
      <c r="T881" s="10"/>
      <c r="U881" s="10"/>
    </row>
    <row r="882" spans="1:21" x14ac:dyDescent="0.3">
      <c r="A882" s="10"/>
      <c r="B882" s="10"/>
      <c r="C882" s="10"/>
      <c r="D882" s="10"/>
      <c r="E882" s="22"/>
      <c r="F882" s="22"/>
      <c r="G882" s="22"/>
      <c r="H882" s="10"/>
      <c r="I882" s="10"/>
      <c r="J882" s="15"/>
      <c r="K882" s="1"/>
      <c r="L882" s="15"/>
      <c r="M882" s="15"/>
      <c r="N882" s="15"/>
      <c r="O882" s="7"/>
      <c r="P882" s="10"/>
      <c r="Q882" s="10"/>
      <c r="R882" s="10"/>
      <c r="S882" s="10"/>
      <c r="T882" s="10"/>
      <c r="U882" s="10"/>
    </row>
    <row r="883" spans="1:21" x14ac:dyDescent="0.3">
      <c r="A883" s="10"/>
      <c r="B883" s="10"/>
      <c r="C883" s="10"/>
      <c r="D883" s="10"/>
      <c r="E883" s="22"/>
      <c r="F883" s="22"/>
      <c r="G883" s="22"/>
      <c r="H883" s="10"/>
      <c r="I883" s="10"/>
      <c r="J883" s="15"/>
      <c r="K883" s="1"/>
      <c r="L883" s="15"/>
      <c r="M883" s="15"/>
      <c r="N883" s="15"/>
      <c r="O883" s="7"/>
      <c r="P883" s="10"/>
      <c r="Q883" s="10"/>
      <c r="R883" s="10"/>
      <c r="S883" s="10"/>
      <c r="T883" s="10"/>
      <c r="U883" s="10"/>
    </row>
    <row r="884" spans="1:21" x14ac:dyDescent="0.3">
      <c r="A884" s="10"/>
      <c r="B884" s="10"/>
      <c r="C884" s="10"/>
      <c r="D884" s="10"/>
      <c r="E884" s="22"/>
      <c r="F884" s="22"/>
      <c r="G884" s="22"/>
      <c r="H884" s="10"/>
      <c r="I884" s="10"/>
      <c r="J884" s="15"/>
      <c r="K884" s="1"/>
      <c r="L884" s="15"/>
      <c r="M884" s="15"/>
      <c r="N884" s="15"/>
      <c r="O884" s="7"/>
      <c r="P884" s="10"/>
      <c r="Q884" s="10"/>
      <c r="R884" s="10"/>
      <c r="S884" s="10"/>
      <c r="T884" s="10"/>
      <c r="U884" s="10"/>
    </row>
    <row r="885" spans="1:21" x14ac:dyDescent="0.3">
      <c r="A885" s="10"/>
      <c r="B885" s="10"/>
      <c r="C885" s="10"/>
      <c r="D885" s="10"/>
      <c r="E885" s="22"/>
      <c r="F885" s="22"/>
      <c r="G885" s="22"/>
      <c r="H885" s="10"/>
      <c r="I885" s="10"/>
      <c r="J885" s="15"/>
      <c r="K885" s="1"/>
      <c r="L885" s="15"/>
      <c r="M885" s="15"/>
      <c r="N885" s="15"/>
      <c r="O885" s="7"/>
      <c r="P885" s="10"/>
      <c r="Q885" s="10"/>
      <c r="R885" s="10"/>
      <c r="S885" s="10"/>
      <c r="T885" s="10"/>
      <c r="U885" s="10"/>
    </row>
    <row r="886" spans="1:21" x14ac:dyDescent="0.3">
      <c r="A886" s="10"/>
      <c r="B886" s="10"/>
      <c r="C886" s="10"/>
      <c r="D886" s="10"/>
      <c r="E886" s="22"/>
      <c r="F886" s="22"/>
      <c r="G886" s="22"/>
      <c r="H886" s="10"/>
      <c r="I886" s="10"/>
      <c r="J886" s="15"/>
      <c r="K886" s="1"/>
      <c r="L886" s="15"/>
      <c r="M886" s="15"/>
      <c r="N886" s="15"/>
      <c r="O886" s="7"/>
      <c r="P886" s="10"/>
      <c r="Q886" s="10"/>
      <c r="R886" s="10"/>
      <c r="S886" s="10"/>
      <c r="T886" s="10"/>
      <c r="U886" s="10"/>
    </row>
    <row r="887" spans="1:21" x14ac:dyDescent="0.3">
      <c r="A887" s="10"/>
      <c r="B887" s="10"/>
      <c r="C887" s="10"/>
      <c r="D887" s="10"/>
      <c r="E887" s="22"/>
      <c r="F887" s="22"/>
      <c r="G887" s="22"/>
      <c r="H887" s="10"/>
      <c r="I887" s="10"/>
      <c r="J887" s="15"/>
      <c r="K887" s="1"/>
      <c r="L887" s="15"/>
      <c r="M887" s="15"/>
      <c r="N887" s="15"/>
      <c r="O887" s="7"/>
      <c r="P887" s="10"/>
      <c r="Q887" s="10"/>
      <c r="R887" s="10"/>
      <c r="S887" s="10"/>
      <c r="T887" s="10"/>
      <c r="U887" s="10"/>
    </row>
    <row r="888" spans="1:21" x14ac:dyDescent="0.3">
      <c r="A888" s="10"/>
      <c r="B888" s="10"/>
      <c r="C888" s="10"/>
      <c r="D888" s="10"/>
      <c r="E888" s="22"/>
      <c r="F888" s="22"/>
      <c r="G888" s="22"/>
      <c r="H888" s="10"/>
      <c r="I888" s="10"/>
      <c r="J888" s="15"/>
      <c r="K888" s="1"/>
      <c r="L888" s="15"/>
      <c r="M888" s="15"/>
      <c r="N888" s="15"/>
      <c r="O888" s="7"/>
      <c r="P888" s="10"/>
      <c r="Q888" s="10"/>
      <c r="R888" s="10"/>
      <c r="S888" s="10"/>
      <c r="T888" s="10"/>
      <c r="U888" s="10"/>
    </row>
    <row r="889" spans="1:21" x14ac:dyDescent="0.3">
      <c r="A889" s="10"/>
      <c r="B889" s="10"/>
      <c r="C889" s="10"/>
      <c r="D889" s="10"/>
      <c r="E889" s="22"/>
      <c r="F889" s="22"/>
      <c r="G889" s="22"/>
      <c r="H889" s="10"/>
      <c r="I889" s="10"/>
      <c r="J889" s="15"/>
      <c r="K889" s="1"/>
      <c r="L889" s="15"/>
      <c r="M889" s="15"/>
      <c r="N889" s="15"/>
      <c r="O889" s="7"/>
      <c r="P889" s="10"/>
      <c r="Q889" s="10"/>
      <c r="R889" s="10"/>
      <c r="S889" s="10"/>
      <c r="T889" s="10"/>
      <c r="U889" s="10"/>
    </row>
    <row r="890" spans="1:21" x14ac:dyDescent="0.3">
      <c r="A890" s="10"/>
      <c r="B890" s="10"/>
      <c r="C890" s="10"/>
      <c r="D890" s="10"/>
      <c r="E890" s="22"/>
      <c r="F890" s="22"/>
      <c r="G890" s="22"/>
      <c r="H890" s="10"/>
      <c r="I890" s="10"/>
      <c r="J890" s="15"/>
      <c r="K890" s="1"/>
      <c r="L890" s="15"/>
      <c r="M890" s="15"/>
      <c r="N890" s="15"/>
      <c r="O890" s="7"/>
      <c r="P890" s="10"/>
      <c r="Q890" s="10"/>
      <c r="R890" s="10"/>
      <c r="S890" s="10"/>
      <c r="T890" s="10"/>
      <c r="U890" s="10"/>
    </row>
    <row r="891" spans="1:21" x14ac:dyDescent="0.3">
      <c r="A891" s="10"/>
      <c r="B891" s="10"/>
      <c r="C891" s="10"/>
      <c r="D891" s="10"/>
      <c r="E891" s="22"/>
      <c r="F891" s="22"/>
      <c r="G891" s="22"/>
      <c r="H891" s="10"/>
      <c r="I891" s="10"/>
      <c r="J891" s="15"/>
      <c r="K891" s="1"/>
      <c r="L891" s="15"/>
      <c r="M891" s="15"/>
      <c r="N891" s="15"/>
      <c r="O891" s="7"/>
      <c r="P891" s="10"/>
      <c r="Q891" s="10"/>
      <c r="R891" s="10"/>
      <c r="S891" s="10"/>
      <c r="T891" s="10"/>
      <c r="U891" s="10"/>
    </row>
    <row r="892" spans="1:21" x14ac:dyDescent="0.3">
      <c r="A892" s="10"/>
      <c r="B892" s="10"/>
      <c r="C892" s="10"/>
      <c r="D892" s="10"/>
      <c r="E892" s="22"/>
      <c r="F892" s="22"/>
      <c r="G892" s="22"/>
      <c r="H892" s="10"/>
      <c r="I892" s="10"/>
      <c r="J892" s="15"/>
      <c r="K892" s="1"/>
      <c r="L892" s="15"/>
      <c r="M892" s="15"/>
      <c r="N892" s="15"/>
      <c r="O892" s="7"/>
      <c r="P892" s="10"/>
      <c r="Q892" s="10"/>
      <c r="R892" s="10"/>
      <c r="S892" s="10"/>
      <c r="T892" s="10"/>
      <c r="U892" s="10"/>
    </row>
    <row r="893" spans="1:21" x14ac:dyDescent="0.3">
      <c r="A893" s="10"/>
      <c r="B893" s="10"/>
      <c r="C893" s="10"/>
      <c r="D893" s="10"/>
      <c r="E893" s="22"/>
      <c r="F893" s="22"/>
      <c r="G893" s="22"/>
      <c r="H893" s="10"/>
      <c r="I893" s="10"/>
      <c r="J893" s="15"/>
      <c r="K893" s="1"/>
      <c r="L893" s="15"/>
      <c r="M893" s="15"/>
      <c r="N893" s="15"/>
      <c r="O893" s="7"/>
      <c r="P893" s="10"/>
      <c r="Q893" s="10"/>
      <c r="R893" s="10"/>
      <c r="S893" s="10"/>
      <c r="T893" s="10"/>
      <c r="U893" s="10"/>
    </row>
    <row r="894" spans="1:21" x14ac:dyDescent="0.3">
      <c r="A894" s="10"/>
      <c r="B894" s="10"/>
      <c r="C894" s="10"/>
      <c r="D894" s="10"/>
      <c r="E894" s="22"/>
      <c r="F894" s="22"/>
      <c r="G894" s="22"/>
      <c r="H894" s="10"/>
      <c r="I894" s="10"/>
      <c r="J894" s="15"/>
      <c r="K894" s="1"/>
      <c r="L894" s="15"/>
      <c r="M894" s="15"/>
      <c r="N894" s="15"/>
      <c r="O894" s="7"/>
      <c r="P894" s="10"/>
      <c r="Q894" s="10"/>
      <c r="R894" s="10"/>
      <c r="S894" s="10"/>
      <c r="T894" s="10"/>
      <c r="U894" s="10"/>
    </row>
    <row r="895" spans="1:21" x14ac:dyDescent="0.3">
      <c r="A895" s="10"/>
      <c r="B895" s="10"/>
      <c r="C895" s="10"/>
      <c r="D895" s="10"/>
      <c r="E895" s="22"/>
      <c r="F895" s="22"/>
      <c r="G895" s="22"/>
      <c r="H895" s="10"/>
      <c r="I895" s="10"/>
      <c r="J895" s="15"/>
      <c r="K895" s="1"/>
      <c r="L895" s="15"/>
      <c r="M895" s="15"/>
      <c r="N895" s="15"/>
      <c r="O895" s="7"/>
      <c r="P895" s="10"/>
      <c r="Q895" s="10"/>
      <c r="R895" s="10"/>
      <c r="S895" s="10"/>
      <c r="T895" s="10"/>
      <c r="U895" s="10"/>
    </row>
    <row r="896" spans="1:21" x14ac:dyDescent="0.3">
      <c r="A896" s="10"/>
      <c r="B896" s="10"/>
      <c r="C896" s="10"/>
      <c r="D896" s="10"/>
      <c r="E896" s="22"/>
      <c r="F896" s="22"/>
      <c r="G896" s="22"/>
      <c r="H896" s="10"/>
      <c r="I896" s="10"/>
      <c r="J896" s="15"/>
      <c r="K896" s="1"/>
      <c r="L896" s="15"/>
      <c r="M896" s="15"/>
      <c r="N896" s="15"/>
      <c r="O896" s="7"/>
      <c r="P896" s="10"/>
      <c r="Q896" s="10"/>
      <c r="R896" s="10"/>
      <c r="S896" s="10"/>
      <c r="T896" s="10"/>
      <c r="U896" s="10"/>
    </row>
    <row r="897" spans="1:21" x14ac:dyDescent="0.3">
      <c r="A897" s="10"/>
      <c r="B897" s="10"/>
      <c r="C897" s="10"/>
      <c r="D897" s="10"/>
      <c r="E897" s="22"/>
      <c r="F897" s="22"/>
      <c r="G897" s="22"/>
      <c r="H897" s="10"/>
      <c r="I897" s="10"/>
      <c r="J897" s="15"/>
      <c r="K897" s="1"/>
      <c r="L897" s="15"/>
      <c r="M897" s="15"/>
      <c r="N897" s="15"/>
      <c r="O897" s="7"/>
      <c r="P897" s="10"/>
      <c r="Q897" s="10"/>
      <c r="R897" s="10"/>
      <c r="S897" s="10"/>
      <c r="T897" s="10"/>
      <c r="U897" s="10"/>
    </row>
    <row r="898" spans="1:21" x14ac:dyDescent="0.3">
      <c r="A898" s="10"/>
      <c r="B898" s="10"/>
      <c r="C898" s="10"/>
      <c r="D898" s="10"/>
      <c r="E898" s="22"/>
      <c r="F898" s="22"/>
      <c r="G898" s="22"/>
      <c r="H898" s="10"/>
      <c r="I898" s="10"/>
      <c r="J898" s="15"/>
      <c r="K898" s="1"/>
      <c r="L898" s="15"/>
      <c r="M898" s="15"/>
      <c r="N898" s="15"/>
      <c r="O898" s="7"/>
      <c r="P898" s="10"/>
      <c r="Q898" s="10"/>
      <c r="R898" s="10"/>
      <c r="S898" s="10"/>
      <c r="T898" s="10"/>
      <c r="U898" s="10"/>
    </row>
    <row r="899" spans="1:21" x14ac:dyDescent="0.3">
      <c r="A899" s="10"/>
      <c r="B899" s="10"/>
      <c r="C899" s="10"/>
      <c r="D899" s="10"/>
      <c r="E899" s="22"/>
      <c r="F899" s="22"/>
      <c r="G899" s="22"/>
      <c r="H899" s="10"/>
      <c r="I899" s="10"/>
      <c r="J899" s="15"/>
      <c r="K899" s="1"/>
      <c r="L899" s="15"/>
      <c r="M899" s="15"/>
      <c r="N899" s="15"/>
      <c r="O899" s="7"/>
      <c r="P899" s="10"/>
      <c r="Q899" s="10"/>
      <c r="R899" s="10"/>
      <c r="S899" s="10"/>
      <c r="T899" s="10"/>
      <c r="U899" s="10"/>
    </row>
    <row r="900" spans="1:21" x14ac:dyDescent="0.3">
      <c r="A900" s="10"/>
      <c r="B900" s="10"/>
      <c r="C900" s="10"/>
      <c r="D900" s="10"/>
      <c r="E900" s="22"/>
      <c r="F900" s="22"/>
      <c r="G900" s="22"/>
      <c r="H900" s="10"/>
      <c r="I900" s="10"/>
      <c r="J900" s="15"/>
      <c r="K900" s="1"/>
      <c r="L900" s="15"/>
      <c r="M900" s="15"/>
      <c r="N900" s="15"/>
      <c r="O900" s="7"/>
      <c r="P900" s="10"/>
      <c r="Q900" s="10"/>
      <c r="R900" s="10"/>
      <c r="S900" s="10"/>
      <c r="T900" s="10"/>
      <c r="U900" s="10"/>
    </row>
    <row r="901" spans="1:21" x14ac:dyDescent="0.3">
      <c r="A901" s="10"/>
      <c r="B901" s="10"/>
      <c r="C901" s="10"/>
      <c r="D901" s="10"/>
      <c r="E901" s="22"/>
      <c r="F901" s="22"/>
      <c r="G901" s="22"/>
      <c r="H901" s="10"/>
      <c r="I901" s="10"/>
      <c r="J901" s="15"/>
      <c r="K901" s="1"/>
      <c r="L901" s="15"/>
      <c r="M901" s="15"/>
      <c r="N901" s="15"/>
      <c r="O901" s="7"/>
      <c r="P901" s="10"/>
      <c r="Q901" s="10"/>
      <c r="R901" s="10"/>
      <c r="S901" s="10"/>
      <c r="T901" s="10"/>
      <c r="U901" s="10"/>
    </row>
    <row r="902" spans="1:21" x14ac:dyDescent="0.3">
      <c r="A902" s="10"/>
      <c r="B902" s="10"/>
      <c r="C902" s="10"/>
      <c r="D902" s="10"/>
      <c r="E902" s="22"/>
      <c r="F902" s="22"/>
      <c r="G902" s="22"/>
      <c r="H902" s="10"/>
      <c r="I902" s="10"/>
      <c r="J902" s="15"/>
      <c r="K902" s="1"/>
      <c r="L902" s="15"/>
      <c r="M902" s="15"/>
      <c r="N902" s="15"/>
      <c r="O902" s="7"/>
      <c r="P902" s="10"/>
      <c r="Q902" s="10"/>
      <c r="R902" s="10"/>
      <c r="S902" s="10"/>
      <c r="T902" s="10"/>
      <c r="U902" s="10"/>
    </row>
    <row r="903" spans="1:21" x14ac:dyDescent="0.3">
      <c r="A903" s="10"/>
      <c r="B903" s="10"/>
      <c r="C903" s="10"/>
      <c r="D903" s="10"/>
      <c r="E903" s="22"/>
      <c r="F903" s="22"/>
      <c r="G903" s="22"/>
      <c r="H903" s="10"/>
      <c r="I903" s="10"/>
      <c r="J903" s="15"/>
      <c r="K903" s="1"/>
      <c r="L903" s="15"/>
      <c r="M903" s="15"/>
      <c r="N903" s="15"/>
      <c r="O903" s="7"/>
      <c r="P903" s="10"/>
      <c r="Q903" s="10"/>
      <c r="R903" s="10"/>
      <c r="S903" s="10"/>
      <c r="T903" s="10"/>
      <c r="U903" s="10"/>
    </row>
    <row r="904" spans="1:21" x14ac:dyDescent="0.3">
      <c r="A904" s="10"/>
      <c r="B904" s="10"/>
      <c r="C904" s="10"/>
      <c r="D904" s="10"/>
      <c r="E904" s="22"/>
      <c r="F904" s="22"/>
      <c r="G904" s="22"/>
      <c r="H904" s="10"/>
      <c r="I904" s="10"/>
      <c r="J904" s="15"/>
      <c r="K904" s="1"/>
      <c r="L904" s="15"/>
      <c r="M904" s="15"/>
      <c r="N904" s="15"/>
      <c r="O904" s="7"/>
      <c r="P904" s="10"/>
      <c r="Q904" s="10"/>
      <c r="R904" s="10"/>
      <c r="S904" s="10"/>
      <c r="T904" s="10"/>
      <c r="U904" s="10"/>
    </row>
    <row r="905" spans="1:21" x14ac:dyDescent="0.3">
      <c r="A905" s="10"/>
      <c r="B905" s="10"/>
      <c r="C905" s="10"/>
      <c r="D905" s="10"/>
      <c r="E905" s="22"/>
      <c r="F905" s="22"/>
      <c r="G905" s="22"/>
      <c r="H905" s="10"/>
      <c r="I905" s="10"/>
      <c r="J905" s="15"/>
      <c r="K905" s="1"/>
      <c r="L905" s="15"/>
      <c r="M905" s="15"/>
      <c r="N905" s="15"/>
      <c r="O905" s="7"/>
      <c r="P905" s="10"/>
      <c r="Q905" s="10"/>
      <c r="R905" s="10"/>
      <c r="S905" s="10"/>
      <c r="T905" s="10"/>
      <c r="U905" s="10"/>
    </row>
    <row r="906" spans="1:21" x14ac:dyDescent="0.3">
      <c r="A906" s="10"/>
      <c r="B906" s="10"/>
      <c r="C906" s="10"/>
      <c r="D906" s="10"/>
      <c r="E906" s="22"/>
      <c r="F906" s="22"/>
      <c r="G906" s="22"/>
      <c r="H906" s="10"/>
      <c r="I906" s="10"/>
      <c r="J906" s="15"/>
      <c r="K906" s="1"/>
      <c r="L906" s="15"/>
      <c r="M906" s="15"/>
      <c r="N906" s="15"/>
      <c r="O906" s="7"/>
      <c r="P906" s="10"/>
      <c r="Q906" s="10"/>
      <c r="R906" s="10"/>
      <c r="S906" s="10"/>
      <c r="T906" s="10"/>
      <c r="U906" s="10"/>
    </row>
    <row r="907" spans="1:21" x14ac:dyDescent="0.3">
      <c r="A907" s="10"/>
      <c r="B907" s="10"/>
      <c r="C907" s="10"/>
      <c r="D907" s="10"/>
      <c r="E907" s="22"/>
      <c r="F907" s="22"/>
      <c r="G907" s="22"/>
      <c r="H907" s="10"/>
      <c r="I907" s="10"/>
      <c r="J907" s="15"/>
      <c r="K907" s="1"/>
      <c r="L907" s="15"/>
      <c r="M907" s="15"/>
      <c r="N907" s="15"/>
      <c r="O907" s="7"/>
      <c r="P907" s="10"/>
      <c r="Q907" s="10"/>
      <c r="R907" s="10"/>
      <c r="S907" s="10"/>
      <c r="T907" s="10"/>
      <c r="U907" s="10"/>
    </row>
    <row r="908" spans="1:21" x14ac:dyDescent="0.3">
      <c r="A908" s="10"/>
      <c r="B908" s="10"/>
      <c r="C908" s="10"/>
      <c r="D908" s="10"/>
      <c r="E908" s="22"/>
      <c r="F908" s="22"/>
      <c r="G908" s="22"/>
      <c r="H908" s="10"/>
      <c r="I908" s="10"/>
      <c r="J908" s="15"/>
      <c r="K908" s="1"/>
      <c r="L908" s="15"/>
      <c r="M908" s="15"/>
      <c r="N908" s="15"/>
      <c r="O908" s="7"/>
      <c r="P908" s="10"/>
      <c r="Q908" s="10"/>
      <c r="R908" s="10"/>
      <c r="S908" s="10"/>
      <c r="T908" s="10"/>
      <c r="U908" s="10"/>
    </row>
    <row r="909" spans="1:21" x14ac:dyDescent="0.3">
      <c r="A909" s="10"/>
      <c r="B909" s="10"/>
      <c r="C909" s="10"/>
      <c r="D909" s="10"/>
      <c r="E909" s="22"/>
      <c r="F909" s="22"/>
      <c r="G909" s="22"/>
      <c r="H909" s="10"/>
      <c r="I909" s="10"/>
      <c r="J909" s="15"/>
      <c r="K909" s="1"/>
      <c r="L909" s="15"/>
      <c r="M909" s="15"/>
      <c r="N909" s="15"/>
      <c r="O909" s="7"/>
      <c r="P909" s="10"/>
      <c r="Q909" s="10"/>
      <c r="R909" s="10"/>
      <c r="S909" s="10"/>
      <c r="T909" s="10"/>
      <c r="U909" s="10"/>
    </row>
    <row r="910" spans="1:21" x14ac:dyDescent="0.3">
      <c r="A910" s="10"/>
      <c r="B910" s="10"/>
      <c r="C910" s="10"/>
      <c r="D910" s="10"/>
      <c r="E910" s="22"/>
      <c r="F910" s="22"/>
      <c r="G910" s="22"/>
      <c r="H910" s="10"/>
      <c r="I910" s="10"/>
      <c r="J910" s="15"/>
      <c r="K910" s="1"/>
      <c r="L910" s="15"/>
      <c r="M910" s="15"/>
      <c r="N910" s="15"/>
      <c r="O910" s="7"/>
      <c r="P910" s="10"/>
      <c r="Q910" s="10"/>
      <c r="R910" s="10"/>
      <c r="S910" s="10"/>
      <c r="T910" s="10"/>
      <c r="U910" s="10"/>
    </row>
    <row r="911" spans="1:21" x14ac:dyDescent="0.3">
      <c r="A911" s="10"/>
      <c r="B911" s="10"/>
      <c r="C911" s="10"/>
      <c r="D911" s="10"/>
      <c r="E911" s="22"/>
      <c r="F911" s="22"/>
      <c r="G911" s="22"/>
      <c r="H911" s="10"/>
      <c r="I911" s="10"/>
      <c r="J911" s="15"/>
      <c r="K911" s="1"/>
      <c r="L911" s="15"/>
      <c r="M911" s="15"/>
      <c r="N911" s="15"/>
      <c r="O911" s="7"/>
      <c r="P911" s="10"/>
      <c r="Q911" s="10"/>
      <c r="R911" s="10"/>
      <c r="S911" s="10"/>
      <c r="T911" s="10"/>
      <c r="U911" s="10"/>
    </row>
    <row r="912" spans="1:21" x14ac:dyDescent="0.3">
      <c r="A912" s="10"/>
      <c r="B912" s="10"/>
      <c r="C912" s="10"/>
      <c r="D912" s="10"/>
      <c r="E912" s="22"/>
      <c r="F912" s="22"/>
      <c r="G912" s="22"/>
      <c r="H912" s="10"/>
      <c r="I912" s="10"/>
      <c r="J912" s="15"/>
      <c r="K912" s="1"/>
      <c r="L912" s="15"/>
      <c r="M912" s="15"/>
      <c r="N912" s="15"/>
      <c r="O912" s="7"/>
      <c r="P912" s="10"/>
      <c r="Q912" s="10"/>
      <c r="R912" s="10"/>
      <c r="S912" s="10"/>
      <c r="T912" s="10"/>
      <c r="U912" s="10"/>
    </row>
    <row r="913" spans="1:21" x14ac:dyDescent="0.3">
      <c r="A913" s="10"/>
      <c r="B913" s="10"/>
      <c r="C913" s="10"/>
      <c r="D913" s="10"/>
      <c r="E913" s="22"/>
      <c r="F913" s="22"/>
      <c r="G913" s="22"/>
      <c r="H913" s="10"/>
      <c r="I913" s="10"/>
      <c r="J913" s="15"/>
      <c r="K913" s="1"/>
      <c r="L913" s="15"/>
      <c r="M913" s="15"/>
      <c r="N913" s="15"/>
      <c r="O913" s="7"/>
      <c r="P913" s="10"/>
      <c r="Q913" s="10"/>
      <c r="R913" s="10"/>
      <c r="S913" s="10"/>
      <c r="T913" s="10"/>
      <c r="U913" s="10"/>
    </row>
    <row r="914" spans="1:21" x14ac:dyDescent="0.3">
      <c r="A914" s="10"/>
      <c r="B914" s="10"/>
      <c r="C914" s="10"/>
      <c r="D914" s="10"/>
      <c r="E914" s="22"/>
      <c r="F914" s="22"/>
      <c r="G914" s="22"/>
      <c r="H914" s="10"/>
      <c r="I914" s="10"/>
      <c r="J914" s="15"/>
      <c r="K914" s="1"/>
      <c r="L914" s="15"/>
      <c r="M914" s="15"/>
      <c r="N914" s="15"/>
      <c r="O914" s="7"/>
      <c r="P914" s="10"/>
      <c r="Q914" s="10"/>
      <c r="R914" s="10"/>
      <c r="S914" s="10"/>
      <c r="T914" s="10"/>
      <c r="U914" s="10"/>
    </row>
    <row r="915" spans="1:21" x14ac:dyDescent="0.3">
      <c r="A915" s="10"/>
      <c r="B915" s="10"/>
      <c r="C915" s="10"/>
      <c r="D915" s="10"/>
      <c r="E915" s="22"/>
      <c r="F915" s="22"/>
      <c r="G915" s="22"/>
      <c r="H915" s="10"/>
      <c r="I915" s="10"/>
      <c r="J915" s="15"/>
      <c r="K915" s="1"/>
      <c r="L915" s="15"/>
      <c r="M915" s="15"/>
      <c r="N915" s="15"/>
      <c r="O915" s="7"/>
      <c r="P915" s="10"/>
      <c r="Q915" s="10"/>
      <c r="R915" s="10"/>
      <c r="S915" s="10"/>
      <c r="T915" s="10"/>
      <c r="U915" s="10"/>
    </row>
    <row r="916" spans="1:21" x14ac:dyDescent="0.3">
      <c r="A916" s="10"/>
      <c r="B916" s="10"/>
      <c r="C916" s="10"/>
      <c r="D916" s="10"/>
      <c r="E916" s="22"/>
      <c r="F916" s="22"/>
      <c r="G916" s="22"/>
      <c r="H916" s="10"/>
      <c r="I916" s="10"/>
      <c r="J916" s="15"/>
      <c r="K916" s="1"/>
      <c r="L916" s="15"/>
      <c r="M916" s="15"/>
      <c r="N916" s="15"/>
      <c r="O916" s="7"/>
      <c r="P916" s="10"/>
      <c r="Q916" s="10"/>
      <c r="R916" s="10"/>
      <c r="S916" s="10"/>
      <c r="T916" s="10"/>
      <c r="U916" s="10"/>
    </row>
    <row r="917" spans="1:21" x14ac:dyDescent="0.3">
      <c r="A917" s="10"/>
      <c r="B917" s="10"/>
      <c r="C917" s="10"/>
      <c r="D917" s="10"/>
      <c r="E917" s="22"/>
      <c r="F917" s="22"/>
      <c r="G917" s="22"/>
      <c r="H917" s="10"/>
      <c r="I917" s="10"/>
      <c r="J917" s="15"/>
      <c r="K917" s="1"/>
      <c r="L917" s="15"/>
      <c r="M917" s="15"/>
      <c r="N917" s="15"/>
      <c r="O917" s="7"/>
      <c r="P917" s="10"/>
      <c r="Q917" s="10"/>
      <c r="R917" s="10"/>
      <c r="S917" s="10"/>
      <c r="T917" s="10"/>
      <c r="U917" s="10"/>
    </row>
    <row r="918" spans="1:21" x14ac:dyDescent="0.3">
      <c r="A918" s="10"/>
      <c r="B918" s="10"/>
      <c r="C918" s="10"/>
      <c r="D918" s="10"/>
      <c r="E918" s="22"/>
      <c r="F918" s="22"/>
      <c r="G918" s="22"/>
      <c r="H918" s="10"/>
      <c r="I918" s="10"/>
      <c r="J918" s="15"/>
      <c r="K918" s="1"/>
      <c r="L918" s="15"/>
      <c r="M918" s="15"/>
      <c r="N918" s="15"/>
      <c r="O918" s="7"/>
      <c r="P918" s="10"/>
      <c r="Q918" s="10"/>
      <c r="R918" s="10"/>
      <c r="S918" s="10"/>
      <c r="T918" s="10"/>
      <c r="U918" s="10"/>
    </row>
    <row r="919" spans="1:21" x14ac:dyDescent="0.3">
      <c r="A919" s="10"/>
      <c r="B919" s="10"/>
      <c r="C919" s="10"/>
      <c r="D919" s="10"/>
      <c r="E919" s="22"/>
      <c r="F919" s="22"/>
      <c r="G919" s="22"/>
      <c r="H919" s="10"/>
      <c r="I919" s="10"/>
      <c r="J919" s="15"/>
      <c r="K919" s="1"/>
      <c r="L919" s="15"/>
      <c r="M919" s="15"/>
      <c r="N919" s="15"/>
      <c r="O919" s="7"/>
      <c r="P919" s="10"/>
      <c r="Q919" s="10"/>
      <c r="R919" s="10"/>
      <c r="S919" s="10"/>
      <c r="T919" s="10"/>
      <c r="U919" s="10"/>
    </row>
    <row r="920" spans="1:21" x14ac:dyDescent="0.3">
      <c r="A920" s="10"/>
      <c r="B920" s="10"/>
      <c r="C920" s="10"/>
      <c r="D920" s="10"/>
      <c r="E920" s="22"/>
      <c r="F920" s="22"/>
      <c r="G920" s="22"/>
      <c r="H920" s="10"/>
      <c r="I920" s="10"/>
      <c r="J920" s="15"/>
      <c r="K920" s="1"/>
      <c r="L920" s="15"/>
      <c r="M920" s="15"/>
      <c r="N920" s="15"/>
      <c r="O920" s="7"/>
      <c r="P920" s="10"/>
      <c r="Q920" s="10"/>
      <c r="R920" s="10"/>
      <c r="S920" s="10"/>
      <c r="T920" s="10"/>
      <c r="U920" s="10"/>
    </row>
    <row r="921" spans="1:21" x14ac:dyDescent="0.3">
      <c r="A921" s="10"/>
      <c r="B921" s="10"/>
      <c r="C921" s="10"/>
      <c r="D921" s="10"/>
      <c r="E921" s="22"/>
      <c r="F921" s="22"/>
      <c r="G921" s="22"/>
      <c r="H921" s="10"/>
      <c r="I921" s="10"/>
      <c r="J921" s="15"/>
      <c r="K921" s="1"/>
      <c r="L921" s="15"/>
      <c r="M921" s="15"/>
      <c r="N921" s="15"/>
      <c r="O921" s="7"/>
      <c r="P921" s="10"/>
      <c r="Q921" s="10"/>
      <c r="R921" s="10"/>
      <c r="S921" s="10"/>
      <c r="T921" s="10"/>
      <c r="U921" s="10"/>
    </row>
    <row r="922" spans="1:21" x14ac:dyDescent="0.3">
      <c r="A922" s="10"/>
      <c r="B922" s="10"/>
      <c r="C922" s="10"/>
      <c r="D922" s="10"/>
      <c r="E922" s="22"/>
      <c r="F922" s="22"/>
      <c r="G922" s="22"/>
      <c r="H922" s="10"/>
      <c r="I922" s="10"/>
      <c r="J922" s="15"/>
      <c r="K922" s="1"/>
      <c r="L922" s="15"/>
      <c r="M922" s="15"/>
      <c r="N922" s="15"/>
      <c r="O922" s="7"/>
      <c r="P922" s="10"/>
      <c r="Q922" s="10"/>
      <c r="R922" s="10"/>
      <c r="S922" s="10"/>
      <c r="T922" s="10"/>
      <c r="U922" s="10"/>
    </row>
    <row r="923" spans="1:21" x14ac:dyDescent="0.3">
      <c r="A923" s="10"/>
      <c r="B923" s="10"/>
      <c r="C923" s="10"/>
      <c r="D923" s="10"/>
      <c r="E923" s="22"/>
      <c r="F923" s="22"/>
      <c r="G923" s="22"/>
      <c r="H923" s="10"/>
      <c r="I923" s="10"/>
      <c r="J923" s="15"/>
      <c r="K923" s="1"/>
      <c r="L923" s="15"/>
      <c r="M923" s="15"/>
      <c r="N923" s="15"/>
      <c r="O923" s="7"/>
      <c r="P923" s="10"/>
      <c r="Q923" s="10"/>
      <c r="R923" s="10"/>
      <c r="S923" s="10"/>
      <c r="T923" s="10"/>
      <c r="U923" s="10"/>
    </row>
    <row r="924" spans="1:21" x14ac:dyDescent="0.3">
      <c r="A924" s="10"/>
      <c r="B924" s="10"/>
      <c r="C924" s="10"/>
      <c r="D924" s="10"/>
      <c r="E924" s="22"/>
      <c r="F924" s="22"/>
      <c r="G924" s="22"/>
      <c r="H924" s="10"/>
      <c r="I924" s="10"/>
      <c r="J924" s="15"/>
      <c r="K924" s="1"/>
      <c r="L924" s="15"/>
      <c r="M924" s="15"/>
      <c r="N924" s="15"/>
      <c r="O924" s="7"/>
      <c r="P924" s="10"/>
      <c r="Q924" s="10"/>
      <c r="R924" s="10"/>
      <c r="S924" s="10"/>
      <c r="T924" s="10"/>
      <c r="U924" s="10"/>
    </row>
    <row r="925" spans="1:21" x14ac:dyDescent="0.3">
      <c r="A925" s="10"/>
      <c r="B925" s="10"/>
      <c r="C925" s="10"/>
      <c r="D925" s="10"/>
      <c r="E925" s="22"/>
      <c r="F925" s="22"/>
      <c r="G925" s="22"/>
      <c r="H925" s="10"/>
      <c r="I925" s="10"/>
      <c r="J925" s="15"/>
      <c r="K925" s="1"/>
      <c r="L925" s="15"/>
      <c r="M925" s="15"/>
      <c r="N925" s="15"/>
      <c r="O925" s="7"/>
      <c r="P925" s="10"/>
      <c r="Q925" s="10"/>
      <c r="R925" s="10"/>
      <c r="S925" s="10"/>
      <c r="T925" s="10"/>
      <c r="U925" s="10"/>
    </row>
    <row r="926" spans="1:21" x14ac:dyDescent="0.3">
      <c r="A926" s="10"/>
      <c r="B926" s="10"/>
      <c r="C926" s="10"/>
      <c r="D926" s="10"/>
      <c r="E926" s="22"/>
      <c r="F926" s="22"/>
      <c r="G926" s="22"/>
      <c r="H926" s="10"/>
      <c r="I926" s="10"/>
      <c r="J926" s="15"/>
      <c r="K926" s="1"/>
      <c r="L926" s="15"/>
      <c r="M926" s="15"/>
      <c r="N926" s="15"/>
      <c r="O926" s="7"/>
      <c r="P926" s="10"/>
      <c r="Q926" s="10"/>
      <c r="R926" s="10"/>
      <c r="S926" s="10"/>
      <c r="T926" s="10"/>
      <c r="U926" s="10"/>
    </row>
    <row r="927" spans="1:21" x14ac:dyDescent="0.3">
      <c r="A927" s="10"/>
      <c r="B927" s="10"/>
      <c r="C927" s="10"/>
      <c r="D927" s="10"/>
      <c r="E927" s="22"/>
      <c r="F927" s="22"/>
      <c r="G927" s="22"/>
      <c r="H927" s="10"/>
      <c r="I927" s="10"/>
      <c r="J927" s="15"/>
      <c r="K927" s="1"/>
      <c r="L927" s="15"/>
      <c r="M927" s="15"/>
      <c r="N927" s="15"/>
      <c r="O927" s="7"/>
      <c r="P927" s="10"/>
      <c r="Q927" s="10"/>
      <c r="R927" s="10"/>
      <c r="S927" s="10"/>
      <c r="T927" s="10"/>
      <c r="U927" s="10"/>
    </row>
    <row r="928" spans="1:21" x14ac:dyDescent="0.3">
      <c r="A928" s="10"/>
      <c r="B928" s="10"/>
      <c r="C928" s="10"/>
      <c r="D928" s="10"/>
      <c r="E928" s="22"/>
      <c r="F928" s="22"/>
      <c r="G928" s="22"/>
      <c r="H928" s="10"/>
      <c r="I928" s="10"/>
      <c r="J928" s="15"/>
      <c r="K928" s="1"/>
      <c r="L928" s="15"/>
      <c r="M928" s="15"/>
      <c r="N928" s="15"/>
      <c r="O928" s="7"/>
      <c r="P928" s="10"/>
      <c r="Q928" s="10"/>
      <c r="R928" s="10"/>
      <c r="S928" s="10"/>
      <c r="T928" s="10"/>
      <c r="U928" s="10"/>
    </row>
    <row r="929" spans="1:21" x14ac:dyDescent="0.3">
      <c r="A929" s="10"/>
      <c r="B929" s="10"/>
      <c r="C929" s="10"/>
      <c r="D929" s="10"/>
      <c r="E929" s="22"/>
      <c r="F929" s="22"/>
      <c r="G929" s="22"/>
      <c r="H929" s="10"/>
      <c r="I929" s="10"/>
      <c r="J929" s="15"/>
      <c r="K929" s="1"/>
      <c r="L929" s="15"/>
      <c r="M929" s="15"/>
      <c r="N929" s="15"/>
      <c r="O929" s="7"/>
      <c r="P929" s="10"/>
      <c r="Q929" s="10"/>
      <c r="R929" s="10"/>
      <c r="S929" s="10"/>
      <c r="T929" s="10"/>
      <c r="U929" s="10"/>
    </row>
    <row r="930" spans="1:21" x14ac:dyDescent="0.3">
      <c r="A930" s="10"/>
      <c r="B930" s="10"/>
      <c r="C930" s="10"/>
      <c r="D930" s="10"/>
      <c r="E930" s="22"/>
      <c r="F930" s="22"/>
      <c r="G930" s="22"/>
      <c r="H930" s="10"/>
      <c r="I930" s="10"/>
      <c r="J930" s="15"/>
      <c r="K930" s="1"/>
      <c r="L930" s="15"/>
      <c r="M930" s="15"/>
      <c r="N930" s="15"/>
      <c r="O930" s="7"/>
      <c r="P930" s="10"/>
      <c r="Q930" s="10"/>
      <c r="R930" s="10"/>
      <c r="S930" s="10"/>
      <c r="T930" s="10"/>
      <c r="U930" s="10"/>
    </row>
    <row r="931" spans="1:21" x14ac:dyDescent="0.3">
      <c r="A931" s="10"/>
      <c r="B931" s="10"/>
      <c r="C931" s="10"/>
      <c r="D931" s="10"/>
      <c r="E931" s="22"/>
      <c r="F931" s="22"/>
      <c r="G931" s="22"/>
      <c r="H931" s="10"/>
      <c r="I931" s="10"/>
      <c r="J931" s="15"/>
      <c r="K931" s="1"/>
      <c r="L931" s="15"/>
      <c r="M931" s="15"/>
      <c r="N931" s="15"/>
      <c r="O931" s="7"/>
      <c r="P931" s="10"/>
      <c r="Q931" s="10"/>
      <c r="R931" s="10"/>
      <c r="S931" s="10"/>
      <c r="T931" s="10"/>
      <c r="U931" s="10"/>
    </row>
    <row r="932" spans="1:21" x14ac:dyDescent="0.3">
      <c r="A932" s="10"/>
      <c r="B932" s="10"/>
      <c r="C932" s="10"/>
      <c r="D932" s="10"/>
      <c r="E932" s="22"/>
      <c r="F932" s="22"/>
      <c r="G932" s="22"/>
      <c r="H932" s="10"/>
      <c r="I932" s="10"/>
      <c r="J932" s="15"/>
      <c r="K932" s="1"/>
      <c r="L932" s="15"/>
      <c r="M932" s="15"/>
      <c r="N932" s="15"/>
      <c r="O932" s="7"/>
      <c r="P932" s="10"/>
      <c r="Q932" s="10"/>
      <c r="R932" s="10"/>
      <c r="S932" s="10"/>
      <c r="T932" s="10"/>
      <c r="U932" s="10"/>
    </row>
    <row r="933" spans="1:21" x14ac:dyDescent="0.3">
      <c r="A933" s="10"/>
      <c r="B933" s="10"/>
      <c r="C933" s="10"/>
      <c r="D933" s="10"/>
      <c r="E933" s="22"/>
      <c r="F933" s="22"/>
      <c r="G933" s="22"/>
      <c r="H933" s="10"/>
      <c r="I933" s="10"/>
      <c r="J933" s="15"/>
      <c r="K933" s="1"/>
      <c r="L933" s="15"/>
      <c r="M933" s="15"/>
      <c r="N933" s="15"/>
      <c r="O933" s="7"/>
      <c r="P933" s="10"/>
      <c r="Q933" s="10"/>
      <c r="R933" s="10"/>
      <c r="S933" s="10"/>
      <c r="T933" s="10"/>
      <c r="U933" s="10"/>
    </row>
    <row r="934" spans="1:21" x14ac:dyDescent="0.3">
      <c r="A934" s="10"/>
      <c r="B934" s="10"/>
      <c r="C934" s="10"/>
      <c r="D934" s="10"/>
      <c r="E934" s="22"/>
      <c r="F934" s="22"/>
      <c r="G934" s="22"/>
      <c r="H934" s="10"/>
      <c r="I934" s="10"/>
      <c r="J934" s="15"/>
      <c r="K934" s="1"/>
      <c r="L934" s="15"/>
      <c r="M934" s="15"/>
      <c r="N934" s="15"/>
      <c r="O934" s="7"/>
      <c r="P934" s="10"/>
      <c r="Q934" s="10"/>
      <c r="R934" s="10"/>
      <c r="S934" s="10"/>
      <c r="T934" s="10"/>
      <c r="U934" s="10"/>
    </row>
    <row r="935" spans="1:21" x14ac:dyDescent="0.3">
      <c r="A935" s="10"/>
      <c r="B935" s="10"/>
      <c r="C935" s="10"/>
      <c r="D935" s="10"/>
      <c r="E935" s="22"/>
      <c r="F935" s="22"/>
      <c r="G935" s="22"/>
      <c r="H935" s="10"/>
      <c r="I935" s="10"/>
      <c r="J935" s="15"/>
      <c r="K935" s="1"/>
      <c r="L935" s="15"/>
      <c r="M935" s="15"/>
      <c r="N935" s="15"/>
      <c r="O935" s="7"/>
      <c r="P935" s="10"/>
      <c r="Q935" s="10"/>
      <c r="R935" s="10"/>
      <c r="S935" s="10"/>
      <c r="T935" s="10"/>
      <c r="U935" s="10"/>
    </row>
    <row r="936" spans="1:21" x14ac:dyDescent="0.3">
      <c r="A936" s="10"/>
      <c r="B936" s="10"/>
      <c r="C936" s="10"/>
      <c r="D936" s="10"/>
      <c r="E936" s="22"/>
      <c r="F936" s="22"/>
      <c r="G936" s="22"/>
      <c r="H936" s="10"/>
      <c r="I936" s="10"/>
      <c r="J936" s="15"/>
      <c r="K936" s="1"/>
      <c r="L936" s="15"/>
      <c r="M936" s="15"/>
      <c r="N936" s="15"/>
      <c r="O936" s="7"/>
      <c r="P936" s="10"/>
      <c r="Q936" s="10"/>
      <c r="R936" s="10"/>
      <c r="S936" s="10"/>
      <c r="T936" s="10"/>
      <c r="U936" s="10"/>
    </row>
    <row r="937" spans="1:21" x14ac:dyDescent="0.3">
      <c r="A937" s="10"/>
      <c r="B937" s="10"/>
      <c r="C937" s="10"/>
      <c r="D937" s="10"/>
      <c r="E937" s="22"/>
      <c r="F937" s="22"/>
      <c r="G937" s="22"/>
      <c r="H937" s="10"/>
      <c r="I937" s="10"/>
      <c r="J937" s="15"/>
      <c r="K937" s="1"/>
      <c r="L937" s="15"/>
      <c r="M937" s="15"/>
      <c r="N937" s="15"/>
      <c r="O937" s="7"/>
      <c r="P937" s="10"/>
      <c r="Q937" s="10"/>
      <c r="R937" s="10"/>
      <c r="S937" s="10"/>
      <c r="T937" s="10"/>
      <c r="U937" s="10"/>
    </row>
    <row r="938" spans="1:21" x14ac:dyDescent="0.3">
      <c r="A938" s="10"/>
      <c r="B938" s="10"/>
      <c r="C938" s="10"/>
      <c r="D938" s="10"/>
      <c r="E938" s="22"/>
      <c r="F938" s="22"/>
      <c r="G938" s="22"/>
      <c r="H938" s="10"/>
      <c r="I938" s="10"/>
      <c r="J938" s="15"/>
      <c r="K938" s="1"/>
      <c r="L938" s="15"/>
      <c r="M938" s="15"/>
      <c r="N938" s="15"/>
      <c r="O938" s="7"/>
      <c r="P938" s="10"/>
      <c r="Q938" s="10"/>
      <c r="R938" s="10"/>
      <c r="S938" s="10"/>
      <c r="T938" s="10"/>
      <c r="U938" s="10"/>
    </row>
    <row r="939" spans="1:21" x14ac:dyDescent="0.3">
      <c r="A939" s="10"/>
      <c r="B939" s="10"/>
      <c r="C939" s="10"/>
      <c r="D939" s="10"/>
      <c r="E939" s="22"/>
      <c r="F939" s="22"/>
      <c r="G939" s="22"/>
      <c r="H939" s="10"/>
      <c r="I939" s="10"/>
      <c r="J939" s="15"/>
      <c r="K939" s="1"/>
      <c r="L939" s="15"/>
      <c r="M939" s="15"/>
      <c r="N939" s="15"/>
      <c r="O939" s="7"/>
      <c r="P939" s="10"/>
      <c r="Q939" s="10"/>
      <c r="R939" s="10"/>
      <c r="S939" s="10"/>
      <c r="T939" s="10"/>
      <c r="U939" s="10"/>
    </row>
    <row r="940" spans="1:21" x14ac:dyDescent="0.3">
      <c r="A940" s="10"/>
      <c r="B940" s="10"/>
      <c r="C940" s="10"/>
      <c r="D940" s="10"/>
      <c r="E940" s="22"/>
      <c r="F940" s="22"/>
      <c r="G940" s="22"/>
      <c r="H940" s="10"/>
      <c r="I940" s="10"/>
      <c r="J940" s="15"/>
      <c r="K940" s="1"/>
      <c r="L940" s="15"/>
      <c r="M940" s="15"/>
      <c r="N940" s="15"/>
      <c r="O940" s="7"/>
      <c r="P940" s="10"/>
      <c r="Q940" s="10"/>
      <c r="R940" s="10"/>
      <c r="S940" s="10"/>
      <c r="T940" s="10"/>
      <c r="U940" s="10"/>
    </row>
    <row r="941" spans="1:21" x14ac:dyDescent="0.3">
      <c r="A941" s="10"/>
      <c r="B941" s="10"/>
      <c r="C941" s="10"/>
      <c r="D941" s="10"/>
      <c r="E941" s="22"/>
      <c r="F941" s="22"/>
      <c r="G941" s="22"/>
      <c r="H941" s="10"/>
      <c r="I941" s="10"/>
      <c r="J941" s="15"/>
      <c r="K941" s="1"/>
      <c r="L941" s="15"/>
      <c r="M941" s="15"/>
      <c r="N941" s="15"/>
      <c r="O941" s="7"/>
      <c r="P941" s="10"/>
      <c r="Q941" s="10"/>
      <c r="R941" s="10"/>
      <c r="S941" s="10"/>
      <c r="T941" s="10"/>
      <c r="U941" s="10"/>
    </row>
    <row r="942" spans="1:21" x14ac:dyDescent="0.3">
      <c r="A942" s="10"/>
      <c r="B942" s="10"/>
      <c r="C942" s="10"/>
      <c r="D942" s="10"/>
      <c r="E942" s="22"/>
      <c r="F942" s="22"/>
      <c r="G942" s="22"/>
      <c r="H942" s="10"/>
      <c r="I942" s="10"/>
      <c r="J942" s="15"/>
      <c r="K942" s="1"/>
      <c r="L942" s="15"/>
      <c r="M942" s="15"/>
      <c r="N942" s="15"/>
      <c r="O942" s="7"/>
      <c r="P942" s="10"/>
      <c r="Q942" s="10"/>
      <c r="R942" s="10"/>
      <c r="S942" s="10"/>
      <c r="T942" s="10"/>
      <c r="U942" s="10"/>
    </row>
    <row r="943" spans="1:21" x14ac:dyDescent="0.3">
      <c r="A943" s="10"/>
      <c r="B943" s="10"/>
      <c r="C943" s="10"/>
      <c r="D943" s="10"/>
      <c r="E943" s="22"/>
      <c r="F943" s="22"/>
      <c r="G943" s="22"/>
      <c r="H943" s="10"/>
      <c r="I943" s="10"/>
      <c r="J943" s="15"/>
      <c r="K943" s="1"/>
      <c r="L943" s="15"/>
      <c r="M943" s="15"/>
      <c r="N943" s="15"/>
      <c r="O943" s="7"/>
      <c r="P943" s="10"/>
      <c r="Q943" s="10"/>
      <c r="R943" s="10"/>
      <c r="S943" s="10"/>
      <c r="T943" s="10"/>
      <c r="U943" s="10"/>
    </row>
    <row r="944" spans="1:21" x14ac:dyDescent="0.3">
      <c r="A944" s="10"/>
      <c r="B944" s="10"/>
      <c r="C944" s="10"/>
      <c r="D944" s="10"/>
      <c r="E944" s="22"/>
      <c r="F944" s="22"/>
      <c r="G944" s="22"/>
      <c r="H944" s="10"/>
      <c r="I944" s="10"/>
      <c r="J944" s="15"/>
      <c r="K944" s="1"/>
      <c r="L944" s="15"/>
      <c r="M944" s="15"/>
      <c r="N944" s="15"/>
      <c r="O944" s="7"/>
      <c r="P944" s="10"/>
      <c r="Q944" s="10"/>
      <c r="R944" s="10"/>
      <c r="S944" s="10"/>
      <c r="T944" s="10"/>
      <c r="U944" s="10"/>
    </row>
    <row r="945" spans="1:21" x14ac:dyDescent="0.3">
      <c r="A945" s="10"/>
      <c r="B945" s="10"/>
      <c r="C945" s="10"/>
      <c r="D945" s="10"/>
      <c r="E945" s="22"/>
      <c r="F945" s="22"/>
      <c r="G945" s="22"/>
      <c r="H945" s="10"/>
      <c r="I945" s="10"/>
      <c r="J945" s="15"/>
      <c r="K945" s="1"/>
      <c r="L945" s="15"/>
      <c r="M945" s="15"/>
      <c r="N945" s="15"/>
      <c r="O945" s="7"/>
      <c r="P945" s="10"/>
      <c r="Q945" s="10"/>
      <c r="R945" s="10"/>
      <c r="S945" s="10"/>
      <c r="T945" s="10"/>
      <c r="U945" s="10"/>
    </row>
    <row r="946" spans="1:21" x14ac:dyDescent="0.3">
      <c r="A946" s="10"/>
      <c r="B946" s="10"/>
      <c r="C946" s="10"/>
      <c r="D946" s="10"/>
      <c r="E946" s="22"/>
      <c r="F946" s="22"/>
      <c r="G946" s="22"/>
      <c r="H946" s="10"/>
      <c r="I946" s="10"/>
      <c r="J946" s="15"/>
      <c r="K946" s="1"/>
      <c r="L946" s="15"/>
      <c r="M946" s="15"/>
      <c r="N946" s="15"/>
      <c r="O946" s="7"/>
      <c r="P946" s="10"/>
      <c r="Q946" s="10"/>
      <c r="R946" s="10"/>
      <c r="S946" s="10"/>
      <c r="T946" s="10"/>
      <c r="U946" s="10"/>
    </row>
    <row r="947" spans="1:21" x14ac:dyDescent="0.3">
      <c r="A947" s="10"/>
      <c r="B947" s="10"/>
      <c r="C947" s="10"/>
      <c r="D947" s="10"/>
      <c r="E947" s="22"/>
      <c r="F947" s="22"/>
      <c r="G947" s="22"/>
      <c r="H947" s="10"/>
      <c r="I947" s="10"/>
      <c r="J947" s="15"/>
      <c r="K947" s="1"/>
      <c r="L947" s="15"/>
      <c r="M947" s="15"/>
      <c r="N947" s="15"/>
      <c r="O947" s="7"/>
      <c r="P947" s="10"/>
      <c r="Q947" s="10"/>
      <c r="R947" s="10"/>
      <c r="S947" s="10"/>
      <c r="T947" s="10"/>
      <c r="U947" s="10"/>
    </row>
    <row r="948" spans="1:21" x14ac:dyDescent="0.3">
      <c r="A948" s="10"/>
      <c r="B948" s="10"/>
      <c r="C948" s="10"/>
      <c r="D948" s="10"/>
      <c r="E948" s="22"/>
      <c r="F948" s="22"/>
      <c r="G948" s="22"/>
      <c r="H948" s="10"/>
      <c r="I948" s="10"/>
      <c r="J948" s="15"/>
      <c r="K948" s="1"/>
      <c r="L948" s="15"/>
      <c r="M948" s="15"/>
      <c r="N948" s="15"/>
      <c r="O948" s="7"/>
      <c r="P948" s="10"/>
      <c r="Q948" s="10"/>
      <c r="R948" s="10"/>
      <c r="S948" s="10"/>
      <c r="T948" s="10"/>
      <c r="U948" s="10"/>
    </row>
    <row r="949" spans="1:21" x14ac:dyDescent="0.3">
      <c r="A949" s="10"/>
      <c r="B949" s="10"/>
      <c r="C949" s="10"/>
      <c r="D949" s="10"/>
      <c r="E949" s="22"/>
      <c r="F949" s="22"/>
      <c r="G949" s="22"/>
      <c r="H949" s="10"/>
      <c r="I949" s="10"/>
      <c r="J949" s="15"/>
      <c r="K949" s="1"/>
      <c r="L949" s="15"/>
      <c r="M949" s="15"/>
      <c r="N949" s="15"/>
      <c r="O949" s="7"/>
      <c r="P949" s="10"/>
      <c r="Q949" s="10"/>
      <c r="R949" s="10"/>
      <c r="S949" s="10"/>
      <c r="T949" s="10"/>
      <c r="U949" s="10"/>
    </row>
    <row r="950" spans="1:21" x14ac:dyDescent="0.3">
      <c r="A950" s="10"/>
      <c r="B950" s="10"/>
      <c r="C950" s="10"/>
      <c r="D950" s="10"/>
      <c r="E950" s="22"/>
      <c r="F950" s="22"/>
      <c r="G950" s="22"/>
      <c r="H950" s="10"/>
      <c r="I950" s="10"/>
      <c r="J950" s="15"/>
      <c r="K950" s="1"/>
      <c r="L950" s="15"/>
      <c r="M950" s="15"/>
      <c r="N950" s="15"/>
      <c r="O950" s="7"/>
      <c r="P950" s="10"/>
      <c r="Q950" s="10"/>
      <c r="R950" s="10"/>
      <c r="S950" s="10"/>
      <c r="T950" s="10"/>
      <c r="U950" s="10"/>
    </row>
    <row r="951" spans="1:21" x14ac:dyDescent="0.3">
      <c r="A951" s="10"/>
      <c r="B951" s="10"/>
      <c r="C951" s="10"/>
      <c r="D951" s="10"/>
      <c r="E951" s="22"/>
      <c r="F951" s="22"/>
      <c r="G951" s="22"/>
      <c r="H951" s="10"/>
      <c r="I951" s="10"/>
      <c r="J951" s="15"/>
      <c r="K951" s="1"/>
      <c r="L951" s="15"/>
      <c r="M951" s="15"/>
      <c r="N951" s="15"/>
      <c r="O951" s="7"/>
      <c r="P951" s="10"/>
      <c r="Q951" s="10"/>
      <c r="R951" s="10"/>
      <c r="S951" s="10"/>
      <c r="T951" s="10"/>
      <c r="U951" s="10"/>
    </row>
    <row r="952" spans="1:21" x14ac:dyDescent="0.3">
      <c r="A952" s="10"/>
      <c r="B952" s="10"/>
      <c r="C952" s="10"/>
      <c r="D952" s="10"/>
      <c r="E952" s="22"/>
      <c r="F952" s="22"/>
      <c r="G952" s="22"/>
      <c r="H952" s="10"/>
      <c r="I952" s="10"/>
      <c r="J952" s="15"/>
      <c r="K952" s="1"/>
      <c r="L952" s="15"/>
      <c r="M952" s="15"/>
      <c r="N952" s="15"/>
      <c r="O952" s="7"/>
      <c r="P952" s="10"/>
      <c r="Q952" s="10"/>
      <c r="R952" s="10"/>
      <c r="S952" s="10"/>
      <c r="T952" s="10"/>
      <c r="U952" s="10"/>
    </row>
    <row r="953" spans="1:21" x14ac:dyDescent="0.3">
      <c r="A953" s="10"/>
      <c r="B953" s="10"/>
      <c r="C953" s="10"/>
      <c r="D953" s="10"/>
      <c r="E953" s="22"/>
      <c r="F953" s="22"/>
      <c r="G953" s="22"/>
      <c r="H953" s="10"/>
      <c r="I953" s="10"/>
      <c r="J953" s="15"/>
      <c r="K953" s="1"/>
      <c r="L953" s="15"/>
      <c r="M953" s="15"/>
      <c r="N953" s="15"/>
      <c r="O953" s="7"/>
      <c r="P953" s="10"/>
      <c r="Q953" s="10"/>
      <c r="R953" s="10"/>
      <c r="S953" s="10"/>
      <c r="T953" s="10"/>
      <c r="U953" s="10"/>
    </row>
    <row r="954" spans="1:21" x14ac:dyDescent="0.3">
      <c r="A954" s="10"/>
      <c r="B954" s="10"/>
      <c r="C954" s="10"/>
      <c r="D954" s="10"/>
      <c r="E954" s="22"/>
      <c r="F954" s="22"/>
      <c r="G954" s="22"/>
      <c r="H954" s="10"/>
      <c r="I954" s="10"/>
      <c r="J954" s="15"/>
      <c r="K954" s="1"/>
      <c r="L954" s="15"/>
      <c r="M954" s="15"/>
      <c r="N954" s="15"/>
      <c r="O954" s="7"/>
      <c r="P954" s="10"/>
      <c r="Q954" s="10"/>
      <c r="R954" s="10"/>
      <c r="S954" s="10"/>
      <c r="T954" s="10"/>
      <c r="U954" s="10"/>
    </row>
    <row r="955" spans="1:21" x14ac:dyDescent="0.3">
      <c r="A955" s="10"/>
      <c r="B955" s="10"/>
      <c r="C955" s="10"/>
      <c r="D955" s="10"/>
      <c r="E955" s="22"/>
      <c r="F955" s="22"/>
      <c r="G955" s="22"/>
      <c r="H955" s="10"/>
      <c r="I955" s="10"/>
      <c r="J955" s="15"/>
      <c r="K955" s="1"/>
      <c r="L955" s="15"/>
      <c r="M955" s="15"/>
      <c r="N955" s="15"/>
      <c r="O955" s="7"/>
      <c r="P955" s="10"/>
      <c r="Q955" s="10"/>
      <c r="R955" s="10"/>
      <c r="S955" s="10"/>
      <c r="T955" s="10"/>
      <c r="U955" s="10"/>
    </row>
    <row r="956" spans="1:21" x14ac:dyDescent="0.3">
      <c r="A956" s="10"/>
      <c r="B956" s="10"/>
      <c r="C956" s="10"/>
      <c r="D956" s="10"/>
      <c r="E956" s="22"/>
      <c r="F956" s="22"/>
      <c r="G956" s="22"/>
      <c r="H956" s="10"/>
      <c r="I956" s="10"/>
      <c r="J956" s="15"/>
      <c r="K956" s="1"/>
      <c r="L956" s="15"/>
      <c r="M956" s="15"/>
      <c r="N956" s="15"/>
      <c r="O956" s="7"/>
      <c r="P956" s="10"/>
      <c r="Q956" s="10"/>
      <c r="R956" s="10"/>
      <c r="S956" s="10"/>
      <c r="T956" s="10"/>
      <c r="U956" s="10"/>
    </row>
    <row r="957" spans="1:21" x14ac:dyDescent="0.3">
      <c r="A957" s="10"/>
      <c r="B957" s="10"/>
      <c r="C957" s="10"/>
      <c r="D957" s="10"/>
      <c r="E957" s="22"/>
      <c r="F957" s="22"/>
      <c r="G957" s="22"/>
      <c r="H957" s="10"/>
      <c r="I957" s="10"/>
      <c r="J957" s="15"/>
      <c r="K957" s="1"/>
      <c r="L957" s="15"/>
      <c r="M957" s="15"/>
      <c r="N957" s="15"/>
      <c r="O957" s="7"/>
      <c r="P957" s="10"/>
      <c r="Q957" s="10"/>
      <c r="R957" s="10"/>
      <c r="S957" s="10"/>
      <c r="T957" s="10"/>
      <c r="U957" s="10"/>
    </row>
    <row r="958" spans="1:21" x14ac:dyDescent="0.3">
      <c r="A958" s="10"/>
      <c r="B958" s="10"/>
      <c r="C958" s="10"/>
      <c r="D958" s="10"/>
      <c r="E958" s="22"/>
      <c r="F958" s="22"/>
      <c r="G958" s="22"/>
      <c r="H958" s="10"/>
      <c r="I958" s="10"/>
      <c r="J958" s="15"/>
      <c r="K958" s="1"/>
      <c r="L958" s="15"/>
      <c r="M958" s="15"/>
      <c r="N958" s="15"/>
      <c r="O958" s="7"/>
      <c r="P958" s="10"/>
      <c r="Q958" s="10"/>
      <c r="R958" s="10"/>
      <c r="S958" s="10"/>
      <c r="T958" s="10"/>
      <c r="U958" s="10"/>
    </row>
    <row r="959" spans="1:21" x14ac:dyDescent="0.3">
      <c r="A959" s="10"/>
      <c r="B959" s="10"/>
      <c r="C959" s="10"/>
      <c r="D959" s="10"/>
      <c r="E959" s="22"/>
      <c r="F959" s="22"/>
      <c r="G959" s="22"/>
      <c r="H959" s="10"/>
      <c r="I959" s="10"/>
      <c r="J959" s="15"/>
      <c r="K959" s="1"/>
      <c r="L959" s="15"/>
      <c r="M959" s="15"/>
      <c r="N959" s="15"/>
      <c r="O959" s="7"/>
      <c r="P959" s="10"/>
      <c r="Q959" s="10"/>
      <c r="R959" s="10"/>
      <c r="S959" s="10"/>
      <c r="T959" s="10"/>
      <c r="U959" s="10"/>
    </row>
    <row r="960" spans="1:21" x14ac:dyDescent="0.3">
      <c r="A960" s="10"/>
      <c r="B960" s="10"/>
      <c r="C960" s="10"/>
      <c r="D960" s="10"/>
      <c r="E960" s="22"/>
      <c r="F960" s="22"/>
      <c r="G960" s="22"/>
      <c r="H960" s="10"/>
      <c r="I960" s="10"/>
      <c r="J960" s="15"/>
      <c r="K960" s="1"/>
      <c r="L960" s="15"/>
      <c r="M960" s="15"/>
      <c r="N960" s="15"/>
      <c r="O960" s="7"/>
      <c r="P960" s="10"/>
      <c r="Q960" s="10"/>
      <c r="R960" s="10"/>
      <c r="S960" s="10"/>
      <c r="T960" s="10"/>
      <c r="U960" s="10"/>
    </row>
    <row r="961" spans="1:21" x14ac:dyDescent="0.3">
      <c r="A961" s="10"/>
      <c r="B961" s="10"/>
      <c r="C961" s="10"/>
      <c r="D961" s="10"/>
      <c r="E961" s="22"/>
      <c r="F961" s="22"/>
      <c r="G961" s="22"/>
      <c r="H961" s="10"/>
      <c r="I961" s="10"/>
      <c r="J961" s="15"/>
      <c r="K961" s="1"/>
      <c r="L961" s="15"/>
      <c r="M961" s="15"/>
      <c r="N961" s="15"/>
      <c r="O961" s="7"/>
      <c r="P961" s="10"/>
      <c r="Q961" s="10"/>
      <c r="R961" s="10"/>
      <c r="S961" s="10"/>
      <c r="T961" s="10"/>
      <c r="U961" s="10"/>
    </row>
    <row r="962" spans="1:21" x14ac:dyDescent="0.3">
      <c r="A962" s="10"/>
      <c r="B962" s="10"/>
      <c r="C962" s="10"/>
      <c r="D962" s="10"/>
      <c r="E962" s="22"/>
      <c r="F962" s="22"/>
      <c r="G962" s="22"/>
      <c r="H962" s="10"/>
      <c r="I962" s="10"/>
      <c r="J962" s="15"/>
      <c r="K962" s="1"/>
      <c r="L962" s="15"/>
      <c r="M962" s="15"/>
      <c r="N962" s="15"/>
      <c r="O962" s="7"/>
      <c r="P962" s="10"/>
      <c r="Q962" s="10"/>
      <c r="R962" s="10"/>
      <c r="S962" s="10"/>
      <c r="T962" s="10"/>
      <c r="U962" s="10"/>
    </row>
    <row r="963" spans="1:21" x14ac:dyDescent="0.3">
      <c r="A963" s="10"/>
      <c r="B963" s="10"/>
      <c r="C963" s="10"/>
      <c r="D963" s="10"/>
      <c r="E963" s="22"/>
      <c r="F963" s="22"/>
      <c r="G963" s="22"/>
      <c r="H963" s="10"/>
      <c r="I963" s="10"/>
      <c r="J963" s="15"/>
      <c r="K963" s="1"/>
      <c r="L963" s="15"/>
      <c r="M963" s="15"/>
      <c r="N963" s="15"/>
      <c r="O963" s="7"/>
      <c r="P963" s="10"/>
      <c r="Q963" s="10"/>
      <c r="R963" s="10"/>
      <c r="S963" s="10"/>
      <c r="T963" s="10"/>
      <c r="U963" s="10"/>
    </row>
  </sheetData>
  <customSheetViews>
    <customSheetView guid="{00D35A15-206C-4C0C-8347-C5B4FB706EF6}" scale="75" showPageBreaks="1">
      <pane ySplit="2" topLeftCell="A41" activePane="bottomLeft" state="frozenSplit"/>
      <selection pane="bottomLeft" activeCell="D69" sqref="D69"/>
      <pageMargins left="0.7" right="0.7" top="0.75" bottom="0.75" header="0.3" footer="0.3"/>
      <pageSetup orientation="portrait" r:id="rId1"/>
    </customSheetView>
  </customSheetViews>
  <mergeCells count="3">
    <mergeCell ref="P1:R1"/>
    <mergeCell ref="S1:U1"/>
    <mergeCell ref="K1:O1"/>
  </mergeCells>
  <phoneticPr fontId="0" type="noConversion"/>
  <dataValidations count="2">
    <dataValidation type="list" allowBlank="1" showInputMessage="1" showErrorMessage="1" sqref="J3:J963 G37:G42 G9 G20 G23 G11 G13 G6:G7 G235 G207:G208 G221 G198:G203 G164:G165 G168:G190 G156 G154 G152 G162 G71:G72 G80 G65:G66 G48 G57 G34:G35 G27:G32" xr:uid="{00000000-0002-0000-0300-000000000000}">
      <formula1>"YES,NO"</formula1>
    </dataValidation>
    <dataValidation type="list" allowBlank="1" showInputMessage="1" showErrorMessage="1" sqref="A3:A145" xr:uid="{44727C5F-EDD8-4F4E-923C-BD7F438FACA6}">
      <formula1>"SYS &amp; ENV, CLK MULT PLL, CLK RECOV PLL, DLL, HS SERIAL DIFF INPUT, HS SERIAL OUTPUT, INIT / RESET, CRYSTAL OSC, OP CONDITIONS"</formula1>
    </dataValidation>
  </dataValidations>
  <pageMargins left="0.7" right="0.7" top="0.75" bottom="0.75" header="0.3" footer="0.3"/>
  <pageSetup orientation="portrait" r:id="rId2"/>
  <customProperties>
    <customPr name="DVSECTIONID" r:id="rId3"/>
  </customProperties>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M1012"/>
  <sheetViews>
    <sheetView tabSelected="1" topLeftCell="A38" zoomScale="91" zoomScaleNormal="130" workbookViewId="0">
      <selection activeCell="C80" sqref="C80"/>
    </sheetView>
  </sheetViews>
  <sheetFormatPr defaultColWidth="9.36328125" defaultRowHeight="14" x14ac:dyDescent="0.3"/>
  <cols>
    <col min="1" max="1" width="14.6328125" style="34" customWidth="1"/>
    <col min="2" max="2" width="12.453125" style="34" customWidth="1"/>
    <col min="3" max="3" width="48.54296875" style="23" customWidth="1"/>
    <col min="4" max="5" width="9.36328125" style="36"/>
    <col min="6" max="6" width="19.36328125" style="36" customWidth="1"/>
    <col min="7" max="7" width="9.36328125" style="23"/>
    <col min="8" max="8" width="40.453125" style="23" customWidth="1"/>
    <col min="9" max="9" width="13.453125" style="23" customWidth="1"/>
    <col min="10" max="12" width="9.36328125" style="14" customWidth="1"/>
    <col min="13" max="13" width="40.453125" style="14" customWidth="1"/>
    <col min="14" max="16384" width="9.36328125" style="14"/>
  </cols>
  <sheetData>
    <row r="1" spans="1:13" ht="15" customHeight="1" x14ac:dyDescent="0.3">
      <c r="I1" s="388" t="s">
        <v>951</v>
      </c>
      <c r="J1" s="388"/>
      <c r="K1" s="388"/>
      <c r="L1" s="388"/>
      <c r="M1" s="388"/>
    </row>
    <row r="2" spans="1:13" x14ac:dyDescent="0.3">
      <c r="A2" s="35" t="s">
        <v>430</v>
      </c>
      <c r="B2" s="35" t="s">
        <v>438</v>
      </c>
      <c r="C2" s="28" t="s">
        <v>466</v>
      </c>
      <c r="D2" s="37" t="s">
        <v>467</v>
      </c>
      <c r="E2" s="37" t="s">
        <v>442</v>
      </c>
      <c r="F2" s="37" t="s">
        <v>469</v>
      </c>
      <c r="G2" s="27" t="s">
        <v>468</v>
      </c>
      <c r="H2" s="28" t="s">
        <v>590</v>
      </c>
      <c r="I2" s="35" t="s">
        <v>438</v>
      </c>
      <c r="J2" s="52" t="s">
        <v>467</v>
      </c>
      <c r="K2" s="52" t="s">
        <v>442</v>
      </c>
      <c r="L2" s="52" t="s">
        <v>469</v>
      </c>
      <c r="M2" s="28" t="s">
        <v>590</v>
      </c>
    </row>
    <row r="3" spans="1:13" x14ac:dyDescent="0.3">
      <c r="A3" s="81" t="s">
        <v>104</v>
      </c>
      <c r="B3" s="81"/>
      <c r="C3" s="81"/>
      <c r="D3" s="82"/>
      <c r="E3" s="82"/>
      <c r="F3" s="82"/>
      <c r="G3" s="83"/>
      <c r="H3" s="84"/>
      <c r="I3" s="84"/>
      <c r="J3" s="82"/>
      <c r="K3" s="82"/>
      <c r="L3" s="82"/>
      <c r="M3" s="84"/>
    </row>
    <row r="4" spans="1:13" x14ac:dyDescent="0.3">
      <c r="A4" s="32" t="s">
        <v>105</v>
      </c>
      <c r="B4" s="32" t="s">
        <v>106</v>
      </c>
      <c r="C4" s="32" t="s">
        <v>107</v>
      </c>
      <c r="D4" s="31">
        <v>-0.5</v>
      </c>
      <c r="E4" s="31" t="s">
        <v>108</v>
      </c>
      <c r="F4" s="31">
        <v>4</v>
      </c>
      <c r="G4" s="29" t="s">
        <v>475</v>
      </c>
      <c r="H4" s="30" t="s">
        <v>109</v>
      </c>
      <c r="I4" s="30" t="s">
        <v>106</v>
      </c>
      <c r="J4" s="31">
        <v>-0.5</v>
      </c>
      <c r="K4" s="31" t="s">
        <v>108</v>
      </c>
      <c r="L4" s="31">
        <v>4</v>
      </c>
      <c r="M4" s="30" t="s">
        <v>109</v>
      </c>
    </row>
    <row r="5" spans="1:13" x14ac:dyDescent="0.3">
      <c r="A5" s="32" t="s">
        <v>110</v>
      </c>
      <c r="B5" s="32" t="s">
        <v>111</v>
      </c>
      <c r="C5" s="30" t="s">
        <v>112</v>
      </c>
      <c r="D5" s="31">
        <v>-0.5</v>
      </c>
      <c r="E5" s="31" t="s">
        <v>108</v>
      </c>
      <c r="F5" s="31">
        <v>1.2</v>
      </c>
      <c r="G5" s="29" t="s">
        <v>475</v>
      </c>
      <c r="H5" s="30" t="s">
        <v>109</v>
      </c>
      <c r="I5" s="30" t="s">
        <v>111</v>
      </c>
      <c r="J5" s="31">
        <v>-0.5</v>
      </c>
      <c r="K5" s="31" t="s">
        <v>108</v>
      </c>
      <c r="L5" s="31">
        <v>1.2</v>
      </c>
      <c r="M5" s="30" t="s">
        <v>109</v>
      </c>
    </row>
    <row r="6" spans="1:13" x14ac:dyDescent="0.3">
      <c r="A6" s="32" t="s">
        <v>113</v>
      </c>
      <c r="B6" s="32" t="s">
        <v>114</v>
      </c>
      <c r="C6" s="30" t="s">
        <v>115</v>
      </c>
      <c r="D6" s="31">
        <v>-0.5</v>
      </c>
      <c r="E6" s="31" t="s">
        <v>108</v>
      </c>
      <c r="F6" s="31" t="s">
        <v>116</v>
      </c>
      <c r="G6" s="29" t="s">
        <v>475</v>
      </c>
      <c r="H6" s="30" t="s">
        <v>109</v>
      </c>
      <c r="I6" s="30" t="s">
        <v>114</v>
      </c>
      <c r="J6" s="31">
        <v>-0.5</v>
      </c>
      <c r="K6" s="31" t="s">
        <v>108</v>
      </c>
      <c r="L6" s="31" t="s">
        <v>116</v>
      </c>
      <c r="M6" s="30" t="s">
        <v>109</v>
      </c>
    </row>
    <row r="7" spans="1:13" x14ac:dyDescent="0.3">
      <c r="A7" s="32" t="s">
        <v>117</v>
      </c>
      <c r="B7" s="32" t="s">
        <v>118</v>
      </c>
      <c r="C7" s="32" t="s">
        <v>119</v>
      </c>
      <c r="D7" s="31">
        <v>-25</v>
      </c>
      <c r="E7" s="31" t="s">
        <v>108</v>
      </c>
      <c r="F7" s="31">
        <v>25</v>
      </c>
      <c r="G7" s="29" t="s">
        <v>476</v>
      </c>
      <c r="H7" s="30" t="s">
        <v>109</v>
      </c>
      <c r="I7" s="30" t="s">
        <v>118</v>
      </c>
      <c r="J7" s="31">
        <v>-25</v>
      </c>
      <c r="K7" s="31" t="s">
        <v>108</v>
      </c>
      <c r="L7" s="31">
        <v>25</v>
      </c>
      <c r="M7" s="30" t="s">
        <v>109</v>
      </c>
    </row>
    <row r="8" spans="1:13" x14ac:dyDescent="0.3">
      <c r="A8" s="32" t="s">
        <v>122</v>
      </c>
      <c r="B8" s="32" t="s">
        <v>123</v>
      </c>
      <c r="C8" s="30" t="s">
        <v>124</v>
      </c>
      <c r="D8" s="31">
        <v>-0.5</v>
      </c>
      <c r="E8" s="31" t="s">
        <v>108</v>
      </c>
      <c r="F8" s="31">
        <v>0.5</v>
      </c>
      <c r="G8" s="29" t="s">
        <v>476</v>
      </c>
      <c r="H8" s="30" t="s">
        <v>109</v>
      </c>
      <c r="I8" s="30" t="s">
        <v>123</v>
      </c>
      <c r="J8" s="31">
        <v>-0.5</v>
      </c>
      <c r="K8" s="31" t="s">
        <v>108</v>
      </c>
      <c r="L8" s="31">
        <v>0.5</v>
      </c>
      <c r="M8" s="30" t="s">
        <v>109</v>
      </c>
    </row>
    <row r="9" spans="1:13" x14ac:dyDescent="0.3">
      <c r="A9" s="32" t="s">
        <v>1229</v>
      </c>
      <c r="B9" s="32" t="s">
        <v>1231</v>
      </c>
      <c r="C9" s="32" t="s">
        <v>1245</v>
      </c>
      <c r="D9" s="31">
        <v>2200</v>
      </c>
      <c r="E9" s="31" t="s">
        <v>108</v>
      </c>
      <c r="F9" s="31" t="s">
        <v>108</v>
      </c>
      <c r="G9" s="29" t="s">
        <v>475</v>
      </c>
      <c r="H9" s="30" t="s">
        <v>109</v>
      </c>
      <c r="I9" s="30" t="s">
        <v>1231</v>
      </c>
      <c r="J9" s="31">
        <v>2200</v>
      </c>
      <c r="K9" s="31" t="s">
        <v>108</v>
      </c>
      <c r="L9" s="31" t="s">
        <v>108</v>
      </c>
      <c r="M9" s="30" t="s">
        <v>109</v>
      </c>
    </row>
    <row r="10" spans="1:13" x14ac:dyDescent="0.3">
      <c r="A10" s="32" t="s">
        <v>1230</v>
      </c>
      <c r="B10" s="32" t="s">
        <v>1232</v>
      </c>
      <c r="C10" s="30" t="s">
        <v>1246</v>
      </c>
      <c r="D10" s="31">
        <v>500</v>
      </c>
      <c r="E10" s="31" t="s">
        <v>108</v>
      </c>
      <c r="F10" s="31" t="s">
        <v>108</v>
      </c>
      <c r="G10" s="29" t="s">
        <v>475</v>
      </c>
      <c r="H10" s="30" t="s">
        <v>109</v>
      </c>
      <c r="I10" s="30" t="s">
        <v>1232</v>
      </c>
      <c r="J10" s="31">
        <v>500</v>
      </c>
      <c r="K10" s="112" t="s">
        <v>108</v>
      </c>
      <c r="L10" s="31" t="s">
        <v>108</v>
      </c>
      <c r="M10" s="30" t="s">
        <v>109</v>
      </c>
    </row>
    <row r="11" spans="1:13" x14ac:dyDescent="0.3">
      <c r="A11" s="32" t="s">
        <v>1228</v>
      </c>
      <c r="B11" s="32" t="s">
        <v>1233</v>
      </c>
      <c r="C11" s="30" t="s">
        <v>1234</v>
      </c>
      <c r="D11" s="31">
        <v>-100</v>
      </c>
      <c r="E11" s="31" t="s">
        <v>108</v>
      </c>
      <c r="F11" s="31">
        <v>100</v>
      </c>
      <c r="G11" s="29" t="s">
        <v>476</v>
      </c>
      <c r="H11" s="30" t="s">
        <v>109</v>
      </c>
      <c r="I11" s="30" t="s">
        <v>1233</v>
      </c>
      <c r="J11" s="31">
        <v>-100</v>
      </c>
      <c r="K11" s="31" t="s">
        <v>108</v>
      </c>
      <c r="L11" s="31">
        <v>100</v>
      </c>
      <c r="M11" s="30" t="s">
        <v>109</v>
      </c>
    </row>
    <row r="12" spans="1:13" x14ac:dyDescent="0.3">
      <c r="A12" s="32" t="s">
        <v>1487</v>
      </c>
      <c r="B12" s="32" t="s">
        <v>1488</v>
      </c>
      <c r="C12" s="32" t="s">
        <v>1489</v>
      </c>
      <c r="D12" s="31"/>
      <c r="E12" s="31"/>
      <c r="F12" s="31">
        <v>-0.5</v>
      </c>
      <c r="G12" s="163" t="s">
        <v>1490</v>
      </c>
      <c r="H12" s="30" t="s">
        <v>1491</v>
      </c>
      <c r="I12" s="30" t="s">
        <v>1488</v>
      </c>
      <c r="J12" s="31"/>
      <c r="K12" s="31"/>
      <c r="L12" s="31">
        <v>-0.5</v>
      </c>
      <c r="M12" s="164" t="s">
        <v>1491</v>
      </c>
    </row>
    <row r="13" spans="1:13" x14ac:dyDescent="0.3">
      <c r="A13" s="32" t="s">
        <v>1492</v>
      </c>
      <c r="B13" s="32" t="s">
        <v>1493</v>
      </c>
      <c r="C13" s="32" t="s">
        <v>1494</v>
      </c>
      <c r="D13" s="31"/>
      <c r="E13" s="31"/>
      <c r="F13" s="31" t="s">
        <v>1495</v>
      </c>
      <c r="G13" s="29" t="s">
        <v>1490</v>
      </c>
      <c r="H13" s="30" t="s">
        <v>1491</v>
      </c>
      <c r="I13" s="30" t="s">
        <v>1493</v>
      </c>
      <c r="J13" s="31"/>
      <c r="K13" s="112"/>
      <c r="L13" s="31" t="s">
        <v>1495</v>
      </c>
      <c r="M13" s="30" t="s">
        <v>1491</v>
      </c>
    </row>
    <row r="14" spans="1:13" x14ac:dyDescent="0.3">
      <c r="A14" s="32" t="s">
        <v>1496</v>
      </c>
      <c r="B14" s="32" t="s">
        <v>1497</v>
      </c>
      <c r="C14" s="30" t="s">
        <v>1498</v>
      </c>
      <c r="D14" s="31"/>
      <c r="E14" s="31"/>
      <c r="F14" s="31">
        <v>125</v>
      </c>
      <c r="G14" s="29" t="s">
        <v>1499</v>
      </c>
      <c r="H14" s="30"/>
      <c r="I14" s="30" t="s">
        <v>1497</v>
      </c>
      <c r="J14" s="31"/>
      <c r="K14" s="31"/>
      <c r="L14" s="31">
        <v>125</v>
      </c>
      <c r="M14" s="30"/>
    </row>
    <row r="15" spans="1:13" x14ac:dyDescent="0.3">
      <c r="A15" s="81" t="s">
        <v>127</v>
      </c>
      <c r="B15" s="81"/>
      <c r="C15" s="81"/>
      <c r="D15" s="82"/>
      <c r="E15" s="82"/>
      <c r="F15" s="82"/>
      <c r="G15" s="83"/>
      <c r="H15" s="84"/>
      <c r="I15" s="84"/>
      <c r="J15" s="82"/>
      <c r="K15" s="82"/>
      <c r="L15" s="82"/>
      <c r="M15" s="84"/>
    </row>
    <row r="16" spans="1:13" x14ac:dyDescent="0.3">
      <c r="A16" s="32" t="s">
        <v>132</v>
      </c>
      <c r="B16" s="32" t="s">
        <v>1098</v>
      </c>
      <c r="C16" s="32" t="s">
        <v>1341</v>
      </c>
      <c r="D16" s="31">
        <v>1.7</v>
      </c>
      <c r="E16" s="31"/>
      <c r="F16" s="31">
        <v>3.6</v>
      </c>
      <c r="G16" s="29" t="s">
        <v>475</v>
      </c>
      <c r="H16" s="30" t="s">
        <v>2116</v>
      </c>
      <c r="I16" s="30" t="s">
        <v>1098</v>
      </c>
      <c r="J16" s="31">
        <v>1.7</v>
      </c>
      <c r="K16" s="31"/>
      <c r="L16" s="31">
        <v>3.6</v>
      </c>
      <c r="M16" s="30" t="s">
        <v>2116</v>
      </c>
    </row>
    <row r="17" spans="1:13" x14ac:dyDescent="0.3">
      <c r="A17" s="32" t="s">
        <v>1190</v>
      </c>
      <c r="B17" s="32" t="s">
        <v>1482</v>
      </c>
      <c r="C17" s="32" t="s">
        <v>1542</v>
      </c>
      <c r="D17" s="31">
        <v>1.7</v>
      </c>
      <c r="E17" s="31"/>
      <c r="F17" s="31">
        <v>3.6</v>
      </c>
      <c r="G17" s="29" t="s">
        <v>475</v>
      </c>
      <c r="H17" s="30"/>
      <c r="I17" s="30" t="s">
        <v>1482</v>
      </c>
      <c r="J17" s="31">
        <v>1.7</v>
      </c>
      <c r="K17" s="31"/>
      <c r="L17" s="31">
        <v>3.6</v>
      </c>
      <c r="M17" s="30"/>
    </row>
    <row r="18" spans="1:13" x14ac:dyDescent="0.3">
      <c r="A18" s="32" t="s">
        <v>1350</v>
      </c>
      <c r="B18" s="32" t="s">
        <v>1351</v>
      </c>
      <c r="C18" s="32" t="s">
        <v>1352</v>
      </c>
      <c r="D18" s="31"/>
      <c r="E18" s="31"/>
      <c r="F18" s="31">
        <v>5.5</v>
      </c>
      <c r="G18" s="29" t="s">
        <v>839</v>
      </c>
      <c r="H18" s="30" t="s">
        <v>1669</v>
      </c>
      <c r="I18" s="30" t="s">
        <v>1351</v>
      </c>
      <c r="J18" s="31"/>
      <c r="K18" s="31"/>
      <c r="L18" s="31">
        <v>5.5</v>
      </c>
      <c r="M18" s="30" t="s">
        <v>1669</v>
      </c>
    </row>
    <row r="19" spans="1:13" x14ac:dyDescent="0.3">
      <c r="A19" s="32" t="s">
        <v>1191</v>
      </c>
      <c r="B19" s="32" t="s">
        <v>1543</v>
      </c>
      <c r="C19" s="32" t="s">
        <v>1544</v>
      </c>
      <c r="D19" s="31">
        <v>1.7</v>
      </c>
      <c r="E19" s="31"/>
      <c r="F19" s="31">
        <v>3.6</v>
      </c>
      <c r="G19" s="29" t="s">
        <v>475</v>
      </c>
      <c r="H19" s="30"/>
      <c r="I19" s="30" t="s">
        <v>1543</v>
      </c>
      <c r="J19" s="31">
        <v>1.7</v>
      </c>
      <c r="K19" s="31"/>
      <c r="L19" s="31">
        <v>3.6</v>
      </c>
      <c r="M19" s="30"/>
    </row>
    <row r="20" spans="1:13" x14ac:dyDescent="0.3">
      <c r="A20" s="32" t="s">
        <v>1340</v>
      </c>
      <c r="B20" s="32" t="s">
        <v>829</v>
      </c>
      <c r="C20" s="32" t="s">
        <v>1545</v>
      </c>
      <c r="D20" s="31">
        <v>2.6</v>
      </c>
      <c r="E20" s="31"/>
      <c r="F20" s="31">
        <v>3.6</v>
      </c>
      <c r="G20" s="29" t="s">
        <v>475</v>
      </c>
      <c r="H20" s="30" t="s">
        <v>2099</v>
      </c>
      <c r="I20" s="30" t="s">
        <v>829</v>
      </c>
      <c r="J20" s="31">
        <v>2.6</v>
      </c>
      <c r="K20" s="31"/>
      <c r="L20" s="31">
        <v>3.6</v>
      </c>
      <c r="M20" s="30" t="s">
        <v>2099</v>
      </c>
    </row>
    <row r="21" spans="1:13" x14ac:dyDescent="0.3">
      <c r="A21" s="32" t="s">
        <v>1104</v>
      </c>
      <c r="B21" s="32" t="s">
        <v>1105</v>
      </c>
      <c r="C21" s="30" t="s">
        <v>1546</v>
      </c>
      <c r="D21" s="31">
        <v>1.7</v>
      </c>
      <c r="E21" s="31"/>
      <c r="F21" s="31">
        <v>3.6</v>
      </c>
      <c r="G21" s="29" t="s">
        <v>475</v>
      </c>
      <c r="H21" s="30" t="s">
        <v>1192</v>
      </c>
      <c r="I21" s="30" t="s">
        <v>1105</v>
      </c>
      <c r="J21" s="31">
        <v>1.7</v>
      </c>
      <c r="K21" s="31"/>
      <c r="L21" s="31">
        <v>3.6</v>
      </c>
      <c r="M21" s="30" t="s">
        <v>1192</v>
      </c>
    </row>
    <row r="22" spans="1:13" x14ac:dyDescent="0.3">
      <c r="A22" s="32" t="s">
        <v>133</v>
      </c>
      <c r="B22" s="32" t="s">
        <v>1483</v>
      </c>
      <c r="C22" s="32" t="s">
        <v>1019</v>
      </c>
      <c r="D22" s="31" t="s">
        <v>108</v>
      </c>
      <c r="E22" s="31">
        <v>1.2</v>
      </c>
      <c r="F22" s="31" t="s">
        <v>108</v>
      </c>
      <c r="G22" s="29" t="s">
        <v>475</v>
      </c>
      <c r="H22" s="30" t="s">
        <v>1484</v>
      </c>
      <c r="I22" s="30" t="s">
        <v>1483</v>
      </c>
      <c r="J22" s="31" t="s">
        <v>108</v>
      </c>
      <c r="K22" s="31">
        <v>1.2</v>
      </c>
      <c r="L22" s="31" t="s">
        <v>108</v>
      </c>
      <c r="M22" s="30" t="s">
        <v>1484</v>
      </c>
    </row>
    <row r="23" spans="1:13" x14ac:dyDescent="0.3">
      <c r="A23" s="32" t="s">
        <v>1485</v>
      </c>
      <c r="B23" s="32" t="s">
        <v>1338</v>
      </c>
      <c r="C23" s="32" t="s">
        <v>1019</v>
      </c>
      <c r="D23" s="31" t="s">
        <v>108</v>
      </c>
      <c r="E23" s="136" t="s">
        <v>1664</v>
      </c>
      <c r="F23" s="31" t="s">
        <v>108</v>
      </c>
      <c r="G23" s="29" t="s">
        <v>475</v>
      </c>
      <c r="H23" s="30" t="s">
        <v>1020</v>
      </c>
      <c r="I23" s="30" t="s">
        <v>1338</v>
      </c>
      <c r="J23" s="31" t="s">
        <v>108</v>
      </c>
      <c r="K23" s="31">
        <v>1.1000000000000001</v>
      </c>
      <c r="L23" s="31" t="s">
        <v>108</v>
      </c>
      <c r="M23" s="30" t="s">
        <v>1020</v>
      </c>
    </row>
    <row r="24" spans="1:13" x14ac:dyDescent="0.3">
      <c r="A24" s="32" t="s">
        <v>1486</v>
      </c>
      <c r="B24" s="32" t="s">
        <v>1339</v>
      </c>
      <c r="C24" s="32" t="s">
        <v>1019</v>
      </c>
      <c r="D24" s="31"/>
      <c r="E24" s="31">
        <v>0.9</v>
      </c>
      <c r="F24" s="31"/>
      <c r="G24" s="29" t="s">
        <v>475</v>
      </c>
      <c r="H24" s="30" t="s">
        <v>2051</v>
      </c>
      <c r="I24" s="30" t="s">
        <v>1339</v>
      </c>
      <c r="J24" s="31"/>
      <c r="K24" s="31">
        <v>0.9</v>
      </c>
      <c r="L24" s="31"/>
      <c r="M24" s="30" t="s">
        <v>2051</v>
      </c>
    </row>
    <row r="25" spans="1:13" x14ac:dyDescent="0.3">
      <c r="A25" s="32" t="s">
        <v>2049</v>
      </c>
      <c r="B25" s="32" t="s">
        <v>2050</v>
      </c>
      <c r="C25" s="32" t="s">
        <v>1019</v>
      </c>
      <c r="D25" s="31"/>
      <c r="E25" s="31">
        <v>1</v>
      </c>
      <c r="F25" s="31"/>
      <c r="G25" s="29" t="s">
        <v>475</v>
      </c>
      <c r="H25" s="30" t="s">
        <v>2052</v>
      </c>
      <c r="I25" s="30" t="s">
        <v>2050</v>
      </c>
      <c r="J25" s="31"/>
      <c r="K25" s="31">
        <v>1</v>
      </c>
      <c r="L25" s="31"/>
      <c r="M25" s="30" t="s">
        <v>2052</v>
      </c>
    </row>
    <row r="26" spans="1:13" x14ac:dyDescent="0.3">
      <c r="A26" s="32" t="s">
        <v>134</v>
      </c>
      <c r="B26" s="32" t="s">
        <v>128</v>
      </c>
      <c r="C26" s="32" t="s">
        <v>1184</v>
      </c>
      <c r="D26" s="31">
        <v>3.8</v>
      </c>
      <c r="E26" s="31">
        <v>4.7</v>
      </c>
      <c r="F26" s="31">
        <v>5.6</v>
      </c>
      <c r="G26" s="29" t="s">
        <v>1146</v>
      </c>
      <c r="H26" s="30" t="s">
        <v>1324</v>
      </c>
      <c r="I26" s="30" t="s">
        <v>128</v>
      </c>
      <c r="J26" s="31">
        <v>3.7600000000000002</v>
      </c>
      <c r="K26" s="31">
        <v>4.7</v>
      </c>
      <c r="L26" s="31">
        <v>5.6</v>
      </c>
      <c r="M26" s="30" t="s">
        <v>1324</v>
      </c>
    </row>
    <row r="27" spans="1:13" x14ac:dyDescent="0.3">
      <c r="A27" s="32" t="s">
        <v>135</v>
      </c>
      <c r="B27" s="32" t="s">
        <v>130</v>
      </c>
      <c r="C27" s="32" t="s">
        <v>131</v>
      </c>
      <c r="D27" s="31" t="s">
        <v>108</v>
      </c>
      <c r="E27" s="31">
        <v>10</v>
      </c>
      <c r="F27" s="31" t="s">
        <v>108</v>
      </c>
      <c r="G27" s="29" t="s">
        <v>1146</v>
      </c>
      <c r="H27" s="30" t="s">
        <v>129</v>
      </c>
      <c r="I27" s="30" t="s">
        <v>130</v>
      </c>
      <c r="J27" s="31" t="s">
        <v>108</v>
      </c>
      <c r="K27" s="31">
        <v>10</v>
      </c>
      <c r="L27" s="31" t="s">
        <v>108</v>
      </c>
      <c r="M27" s="30" t="s">
        <v>129</v>
      </c>
    </row>
    <row r="28" spans="1:13" x14ac:dyDescent="0.3">
      <c r="A28" s="81" t="s">
        <v>1021</v>
      </c>
      <c r="B28" s="81"/>
      <c r="C28" s="81"/>
      <c r="D28" s="82"/>
      <c r="E28" s="82"/>
      <c r="F28" s="82"/>
      <c r="G28" s="83"/>
      <c r="H28" s="84"/>
      <c r="I28" s="84"/>
      <c r="J28" s="82"/>
      <c r="K28" s="82"/>
      <c r="L28" s="82"/>
      <c r="M28" s="84"/>
    </row>
    <row r="29" spans="1:13" x14ac:dyDescent="0.3">
      <c r="A29" s="32" t="s">
        <v>1029</v>
      </c>
      <c r="B29" s="32" t="s">
        <v>1869</v>
      </c>
      <c r="C29" s="32" t="s">
        <v>1870</v>
      </c>
      <c r="D29" s="31"/>
      <c r="E29" s="31">
        <v>6</v>
      </c>
      <c r="F29" s="31">
        <v>8</v>
      </c>
      <c r="G29" s="29" t="s">
        <v>849</v>
      </c>
      <c r="H29" s="30" t="s">
        <v>1872</v>
      </c>
      <c r="I29" s="30" t="s">
        <v>1869</v>
      </c>
      <c r="J29" s="31"/>
      <c r="K29" s="31">
        <v>6</v>
      </c>
      <c r="L29" s="31">
        <v>8</v>
      </c>
      <c r="M29" s="30" t="s">
        <v>1872</v>
      </c>
    </row>
    <row r="30" spans="1:13" x14ac:dyDescent="0.3">
      <c r="A30" s="32" t="s">
        <v>1868</v>
      </c>
      <c r="B30" s="32" t="s">
        <v>1099</v>
      </c>
      <c r="C30" s="32" t="s">
        <v>1365</v>
      </c>
      <c r="D30" s="31"/>
      <c r="E30" s="31">
        <v>7</v>
      </c>
      <c r="F30" s="31">
        <v>11</v>
      </c>
      <c r="G30" s="29" t="s">
        <v>849</v>
      </c>
      <c r="H30" s="30" t="s">
        <v>1872</v>
      </c>
      <c r="I30" s="30" t="s">
        <v>1099</v>
      </c>
      <c r="J30" s="31"/>
      <c r="K30" s="31">
        <v>7</v>
      </c>
      <c r="L30" s="31">
        <v>11</v>
      </c>
      <c r="M30" s="30" t="s">
        <v>1872</v>
      </c>
    </row>
    <row r="31" spans="1:13" x14ac:dyDescent="0.3">
      <c r="A31" s="32" t="s">
        <v>1250</v>
      </c>
      <c r="B31" s="32" t="s">
        <v>1251</v>
      </c>
      <c r="C31" s="32" t="s">
        <v>1871</v>
      </c>
      <c r="D31" s="31"/>
      <c r="E31" s="31">
        <v>8</v>
      </c>
      <c r="F31" s="31">
        <v>12</v>
      </c>
      <c r="G31" s="29" t="s">
        <v>849</v>
      </c>
      <c r="H31" s="30" t="s">
        <v>1872</v>
      </c>
      <c r="I31" s="30" t="s">
        <v>1251</v>
      </c>
      <c r="J31" s="31"/>
      <c r="K31" s="31">
        <v>8</v>
      </c>
      <c r="L31" s="31">
        <v>12</v>
      </c>
      <c r="M31" s="30" t="s">
        <v>1872</v>
      </c>
    </row>
    <row r="32" spans="1:13" x14ac:dyDescent="0.3">
      <c r="A32" s="32" t="s">
        <v>1677</v>
      </c>
      <c r="B32" s="32" t="s">
        <v>1675</v>
      </c>
      <c r="C32" s="32" t="s">
        <v>1676</v>
      </c>
      <c r="D32" s="31"/>
      <c r="E32" s="31">
        <v>0.1</v>
      </c>
      <c r="F32" s="31">
        <v>1.5</v>
      </c>
      <c r="G32" s="29" t="s">
        <v>849</v>
      </c>
      <c r="H32" s="30" t="s">
        <v>1690</v>
      </c>
      <c r="I32" s="30" t="s">
        <v>1675</v>
      </c>
      <c r="J32" s="31"/>
      <c r="K32" s="31">
        <v>0.1</v>
      </c>
      <c r="L32" s="31">
        <v>1.5</v>
      </c>
      <c r="M32" s="30" t="s">
        <v>1690</v>
      </c>
    </row>
    <row r="33" spans="1:13" x14ac:dyDescent="0.3">
      <c r="A33" s="81" t="s">
        <v>1022</v>
      </c>
      <c r="B33" s="81"/>
      <c r="C33" s="81"/>
      <c r="D33" s="82"/>
      <c r="E33" s="82"/>
      <c r="F33" s="82"/>
      <c r="G33" s="83"/>
      <c r="H33" s="84"/>
      <c r="I33" s="84"/>
      <c r="J33" s="82"/>
      <c r="K33" s="82"/>
      <c r="L33" s="82"/>
      <c r="M33" s="84"/>
    </row>
    <row r="34" spans="1:13" ht="20" x14ac:dyDescent="0.3">
      <c r="A34" s="32" t="s">
        <v>1030</v>
      </c>
      <c r="B34" s="32" t="s">
        <v>141</v>
      </c>
      <c r="C34" s="32" t="s">
        <v>1277</v>
      </c>
      <c r="D34" s="31"/>
      <c r="E34" s="31">
        <v>300</v>
      </c>
      <c r="F34" s="31"/>
      <c r="G34" s="29" t="s">
        <v>832</v>
      </c>
      <c r="H34" s="86" t="s">
        <v>1673</v>
      </c>
      <c r="I34" s="30" t="s">
        <v>141</v>
      </c>
      <c r="J34" s="31"/>
      <c r="K34" s="31">
        <v>300</v>
      </c>
      <c r="L34" s="31"/>
      <c r="M34" s="30" t="s">
        <v>1673</v>
      </c>
    </row>
    <row r="35" spans="1:13" x14ac:dyDescent="0.3">
      <c r="A35" s="32" t="s">
        <v>1275</v>
      </c>
      <c r="B35" s="32" t="s">
        <v>1276</v>
      </c>
      <c r="C35" s="32" t="s">
        <v>419</v>
      </c>
      <c r="D35" s="31"/>
      <c r="E35" s="31">
        <v>500</v>
      </c>
      <c r="F35" s="31"/>
      <c r="G35" s="29" t="s">
        <v>832</v>
      </c>
      <c r="H35" s="30" t="s">
        <v>1673</v>
      </c>
      <c r="I35" s="30" t="s">
        <v>1276</v>
      </c>
      <c r="J35" s="31"/>
      <c r="K35" s="31">
        <v>500</v>
      </c>
      <c r="L35" s="31"/>
      <c r="M35" s="30" t="s">
        <v>1673</v>
      </c>
    </row>
    <row r="36" spans="1:13" x14ac:dyDescent="0.3">
      <c r="A36" s="32" t="s">
        <v>1513</v>
      </c>
      <c r="B36" s="32" t="s">
        <v>1514</v>
      </c>
      <c r="C36" s="32" t="s">
        <v>1277</v>
      </c>
      <c r="D36" s="31"/>
      <c r="E36" s="31">
        <v>800</v>
      </c>
      <c r="F36" s="31"/>
      <c r="G36" s="29" t="s">
        <v>832</v>
      </c>
      <c r="H36" s="30" t="s">
        <v>1674</v>
      </c>
      <c r="I36" s="30" t="s">
        <v>1514</v>
      </c>
      <c r="J36" s="31"/>
      <c r="K36" s="31">
        <v>800</v>
      </c>
      <c r="L36" s="31"/>
      <c r="M36" s="30" t="s">
        <v>1674</v>
      </c>
    </row>
    <row r="37" spans="1:13" x14ac:dyDescent="0.3">
      <c r="A37" s="32" t="s">
        <v>1515</v>
      </c>
      <c r="B37" s="32" t="s">
        <v>1516</v>
      </c>
      <c r="C37" s="32" t="s">
        <v>419</v>
      </c>
      <c r="D37" s="31"/>
      <c r="E37" s="31">
        <v>1000</v>
      </c>
      <c r="F37" s="31"/>
      <c r="G37" s="29" t="s">
        <v>832</v>
      </c>
      <c r="H37" s="30" t="s">
        <v>1674</v>
      </c>
      <c r="I37" s="30" t="s">
        <v>1516</v>
      </c>
      <c r="J37" s="31"/>
      <c r="K37" s="112">
        <v>1000</v>
      </c>
      <c r="L37" s="31"/>
      <c r="M37" s="30" t="s">
        <v>1674</v>
      </c>
    </row>
    <row r="38" spans="1:13" x14ac:dyDescent="0.3">
      <c r="A38" s="32" t="s">
        <v>1678</v>
      </c>
      <c r="B38" s="32" t="s">
        <v>1675</v>
      </c>
      <c r="C38" s="32" t="s">
        <v>1679</v>
      </c>
      <c r="D38" s="31"/>
      <c r="E38" s="31">
        <v>100</v>
      </c>
      <c r="F38" s="31">
        <v>1500</v>
      </c>
      <c r="G38" s="29" t="s">
        <v>832</v>
      </c>
      <c r="H38" s="30" t="s">
        <v>1690</v>
      </c>
      <c r="I38" s="30" t="s">
        <v>1675</v>
      </c>
      <c r="J38" s="31"/>
      <c r="K38" s="31">
        <v>100</v>
      </c>
      <c r="L38" s="31">
        <v>1500</v>
      </c>
      <c r="M38" s="30" t="s">
        <v>1690</v>
      </c>
    </row>
    <row r="39" spans="1:13" ht="45.65" customHeight="1" x14ac:dyDescent="0.3">
      <c r="A39" s="174" t="s">
        <v>1519</v>
      </c>
      <c r="B39" s="174"/>
      <c r="C39" s="174"/>
      <c r="D39" s="175"/>
      <c r="E39" s="176"/>
      <c r="F39" s="82"/>
      <c r="G39" s="174"/>
      <c r="H39" s="174"/>
      <c r="I39" s="174"/>
      <c r="J39" s="175"/>
      <c r="K39" s="176"/>
      <c r="L39" s="175"/>
      <c r="M39" s="174"/>
    </row>
    <row r="40" spans="1:13" ht="23" x14ac:dyDescent="0.3">
      <c r="A40" s="169" t="s">
        <v>1520</v>
      </c>
      <c r="B40" s="169" t="s">
        <v>1521</v>
      </c>
      <c r="C40" s="169" t="s">
        <v>1688</v>
      </c>
      <c r="D40" s="168" t="s">
        <v>108</v>
      </c>
      <c r="E40" s="167">
        <v>25</v>
      </c>
      <c r="F40" s="31">
        <v>45</v>
      </c>
      <c r="G40" s="169" t="s">
        <v>476</v>
      </c>
      <c r="H40" s="169" t="s">
        <v>1533</v>
      </c>
      <c r="I40" s="169" t="s">
        <v>1521</v>
      </c>
      <c r="J40" s="168" t="s">
        <v>108</v>
      </c>
      <c r="K40" s="167">
        <v>25</v>
      </c>
      <c r="L40" s="168">
        <v>45</v>
      </c>
      <c r="M40" s="169" t="s">
        <v>1533</v>
      </c>
    </row>
    <row r="41" spans="1:13" ht="23" x14ac:dyDescent="0.3">
      <c r="A41" s="169" t="s">
        <v>1809</v>
      </c>
      <c r="B41" s="169" t="s">
        <v>1808</v>
      </c>
      <c r="C41" s="169" t="s">
        <v>1688</v>
      </c>
      <c r="D41" s="168" t="s">
        <v>108</v>
      </c>
      <c r="E41" s="167">
        <v>25</v>
      </c>
      <c r="F41" s="31">
        <v>45</v>
      </c>
      <c r="G41" s="169" t="s">
        <v>476</v>
      </c>
      <c r="H41" s="169" t="s">
        <v>1534</v>
      </c>
      <c r="I41" s="169" t="s">
        <v>1808</v>
      </c>
      <c r="J41" s="168" t="s">
        <v>108</v>
      </c>
      <c r="K41" s="167">
        <v>25</v>
      </c>
      <c r="L41" s="168">
        <v>45</v>
      </c>
      <c r="M41" s="169" t="s">
        <v>1534</v>
      </c>
    </row>
    <row r="42" spans="1:13" ht="23" x14ac:dyDescent="0.3">
      <c r="A42" s="169" t="s">
        <v>1522</v>
      </c>
      <c r="B42" s="169" t="s">
        <v>1523</v>
      </c>
      <c r="C42" s="169" t="s">
        <v>1689</v>
      </c>
      <c r="D42" s="168" t="s">
        <v>108</v>
      </c>
      <c r="E42" s="167">
        <v>18</v>
      </c>
      <c r="F42" s="31">
        <v>35</v>
      </c>
      <c r="G42" s="169" t="s">
        <v>476</v>
      </c>
      <c r="H42" s="169" t="s">
        <v>1533</v>
      </c>
      <c r="I42" s="169" t="s">
        <v>1523</v>
      </c>
      <c r="J42" s="168" t="s">
        <v>108</v>
      </c>
      <c r="K42" s="167">
        <v>18</v>
      </c>
      <c r="L42" s="168">
        <v>35</v>
      </c>
      <c r="M42" s="169" t="s">
        <v>1533</v>
      </c>
    </row>
    <row r="43" spans="1:13" ht="23" x14ac:dyDescent="0.3">
      <c r="A43" s="169" t="s">
        <v>1811</v>
      </c>
      <c r="B43" s="169" t="s">
        <v>1810</v>
      </c>
      <c r="C43" s="169" t="s">
        <v>1689</v>
      </c>
      <c r="D43" s="168" t="s">
        <v>108</v>
      </c>
      <c r="E43" s="167">
        <v>18</v>
      </c>
      <c r="F43" s="31">
        <v>35</v>
      </c>
      <c r="G43" s="169" t="s">
        <v>476</v>
      </c>
      <c r="H43" s="169" t="s">
        <v>1534</v>
      </c>
      <c r="I43" s="169" t="s">
        <v>1810</v>
      </c>
      <c r="J43" s="168" t="s">
        <v>108</v>
      </c>
      <c r="K43" s="167">
        <v>18</v>
      </c>
      <c r="L43" s="168">
        <v>35</v>
      </c>
      <c r="M43" s="169" t="s">
        <v>1534</v>
      </c>
    </row>
    <row r="44" spans="1:13" ht="23" x14ac:dyDescent="0.3">
      <c r="A44" s="169" t="s">
        <v>1524</v>
      </c>
      <c r="B44" s="169" t="s">
        <v>1525</v>
      </c>
      <c r="C44" s="169" t="s">
        <v>1874</v>
      </c>
      <c r="D44" s="168" t="s">
        <v>108</v>
      </c>
      <c r="E44" s="167">
        <v>12</v>
      </c>
      <c r="F44" s="31">
        <v>27</v>
      </c>
      <c r="G44" s="169" t="s">
        <v>476</v>
      </c>
      <c r="H44" s="169" t="s">
        <v>1533</v>
      </c>
      <c r="I44" s="169" t="s">
        <v>1525</v>
      </c>
      <c r="J44" s="168" t="s">
        <v>108</v>
      </c>
      <c r="K44" s="167">
        <v>12</v>
      </c>
      <c r="L44" s="168">
        <v>27</v>
      </c>
      <c r="M44" s="169" t="s">
        <v>1533</v>
      </c>
    </row>
    <row r="45" spans="1:13" x14ac:dyDescent="0.3">
      <c r="A45" s="32" t="s">
        <v>1812</v>
      </c>
      <c r="B45" s="32" t="s">
        <v>1813</v>
      </c>
      <c r="C45" s="32" t="s">
        <v>1874</v>
      </c>
      <c r="D45" s="31" t="s">
        <v>108</v>
      </c>
      <c r="E45" s="167">
        <v>12</v>
      </c>
      <c r="F45" s="31">
        <v>27</v>
      </c>
      <c r="G45" s="29" t="s">
        <v>476</v>
      </c>
      <c r="H45" s="30" t="s">
        <v>1534</v>
      </c>
      <c r="I45" s="30" t="s">
        <v>1813</v>
      </c>
      <c r="J45" s="31" t="s">
        <v>108</v>
      </c>
      <c r="K45" s="167">
        <v>12</v>
      </c>
      <c r="L45" s="168">
        <v>27</v>
      </c>
      <c r="M45" s="30" t="s">
        <v>1534</v>
      </c>
    </row>
    <row r="46" spans="1:13" ht="45.65" customHeight="1" x14ac:dyDescent="0.3">
      <c r="A46" s="169" t="s">
        <v>1827</v>
      </c>
      <c r="B46" s="169" t="s">
        <v>1815</v>
      </c>
      <c r="C46" s="169" t="s">
        <v>1814</v>
      </c>
      <c r="D46" s="168" t="s">
        <v>108</v>
      </c>
      <c r="E46" s="167">
        <v>7</v>
      </c>
      <c r="F46" s="168">
        <v>18</v>
      </c>
      <c r="G46" s="169" t="s">
        <v>476</v>
      </c>
      <c r="H46" s="169" t="s">
        <v>1533</v>
      </c>
      <c r="I46" s="169" t="s">
        <v>1815</v>
      </c>
      <c r="J46" s="168" t="s">
        <v>108</v>
      </c>
      <c r="K46" s="167">
        <v>7</v>
      </c>
      <c r="L46" s="168">
        <v>18</v>
      </c>
      <c r="M46" s="169" t="s">
        <v>1533</v>
      </c>
    </row>
    <row r="47" spans="1:13" ht="23" x14ac:dyDescent="0.3">
      <c r="A47" s="169" t="s">
        <v>1828</v>
      </c>
      <c r="B47" s="169" t="s">
        <v>1816</v>
      </c>
      <c r="C47" s="169" t="s">
        <v>1814</v>
      </c>
      <c r="D47" s="168" t="s">
        <v>108</v>
      </c>
      <c r="E47" s="167">
        <v>7</v>
      </c>
      <c r="F47" s="168">
        <v>18</v>
      </c>
      <c r="G47" s="169" t="s">
        <v>476</v>
      </c>
      <c r="H47" s="169" t="s">
        <v>1534</v>
      </c>
      <c r="I47" s="169" t="s">
        <v>1816</v>
      </c>
      <c r="J47" s="168" t="s">
        <v>108</v>
      </c>
      <c r="K47" s="167">
        <v>7</v>
      </c>
      <c r="L47" s="168">
        <v>18</v>
      </c>
      <c r="M47" s="169" t="s">
        <v>1534</v>
      </c>
    </row>
    <row r="48" spans="1:13" ht="45.65" customHeight="1" x14ac:dyDescent="0.3">
      <c r="A48" s="174" t="s">
        <v>1526</v>
      </c>
      <c r="B48" s="174"/>
      <c r="C48" s="174"/>
      <c r="D48" s="175"/>
      <c r="E48" s="176"/>
      <c r="F48" s="175"/>
      <c r="G48" s="174"/>
      <c r="H48" s="174"/>
      <c r="I48" s="174"/>
      <c r="J48" s="175"/>
      <c r="K48" s="176"/>
      <c r="L48" s="175"/>
      <c r="M48" s="174"/>
    </row>
    <row r="49" spans="1:13" x14ac:dyDescent="0.3">
      <c r="A49" s="169" t="s">
        <v>1527</v>
      </c>
      <c r="B49" s="169" t="s">
        <v>1528</v>
      </c>
      <c r="C49" s="169" t="s">
        <v>1829</v>
      </c>
      <c r="D49" s="168" t="s">
        <v>108</v>
      </c>
      <c r="E49" s="167">
        <v>4</v>
      </c>
      <c r="F49" s="168">
        <v>15</v>
      </c>
      <c r="G49" s="169" t="s">
        <v>476</v>
      </c>
      <c r="H49" s="169" t="s">
        <v>1535</v>
      </c>
      <c r="I49" s="169" t="s">
        <v>1528</v>
      </c>
      <c r="J49" s="168" t="s">
        <v>108</v>
      </c>
      <c r="K49" s="167">
        <v>4</v>
      </c>
      <c r="L49" s="168">
        <v>15</v>
      </c>
      <c r="M49" s="169" t="s">
        <v>1535</v>
      </c>
    </row>
    <row r="50" spans="1:13" ht="45.65" customHeight="1" x14ac:dyDescent="0.3">
      <c r="A50" s="169" t="s">
        <v>1817</v>
      </c>
      <c r="B50" s="169" t="s">
        <v>1824</v>
      </c>
      <c r="C50" s="169" t="s">
        <v>1829</v>
      </c>
      <c r="D50" s="168" t="s">
        <v>108</v>
      </c>
      <c r="E50" s="167">
        <v>4</v>
      </c>
      <c r="F50" s="168">
        <v>15</v>
      </c>
      <c r="G50" s="169" t="s">
        <v>476</v>
      </c>
      <c r="H50" s="169" t="s">
        <v>1536</v>
      </c>
      <c r="I50" s="169" t="s">
        <v>1824</v>
      </c>
      <c r="J50" s="168" t="s">
        <v>108</v>
      </c>
      <c r="K50" s="167">
        <v>4</v>
      </c>
      <c r="L50" s="168">
        <v>15</v>
      </c>
      <c r="M50" s="169" t="s">
        <v>1536</v>
      </c>
    </row>
    <row r="51" spans="1:13" x14ac:dyDescent="0.3">
      <c r="A51" s="169" t="s">
        <v>1529</v>
      </c>
      <c r="B51" s="169" t="s">
        <v>1530</v>
      </c>
      <c r="C51" s="169" t="s">
        <v>1830</v>
      </c>
      <c r="D51" s="168" t="s">
        <v>108</v>
      </c>
      <c r="E51" s="167">
        <v>3.5</v>
      </c>
      <c r="F51" s="168">
        <v>11</v>
      </c>
      <c r="G51" s="169" t="s">
        <v>476</v>
      </c>
      <c r="H51" s="169" t="s">
        <v>1535</v>
      </c>
      <c r="I51" s="169" t="s">
        <v>1530</v>
      </c>
      <c r="J51" s="168" t="s">
        <v>108</v>
      </c>
      <c r="K51" s="167">
        <v>3.5</v>
      </c>
      <c r="L51" s="168">
        <v>11</v>
      </c>
      <c r="M51" s="169" t="s">
        <v>1535</v>
      </c>
    </row>
    <row r="52" spans="1:13" x14ac:dyDescent="0.3">
      <c r="A52" s="32" t="s">
        <v>1818</v>
      </c>
      <c r="B52" s="32" t="s">
        <v>1825</v>
      </c>
      <c r="C52" s="32" t="s">
        <v>1830</v>
      </c>
      <c r="D52" s="31" t="s">
        <v>108</v>
      </c>
      <c r="E52" s="31">
        <v>3.5</v>
      </c>
      <c r="F52" s="31">
        <v>11</v>
      </c>
      <c r="G52" s="29" t="s">
        <v>476</v>
      </c>
      <c r="H52" s="30" t="s">
        <v>1536</v>
      </c>
      <c r="I52" s="30" t="s">
        <v>1825</v>
      </c>
      <c r="J52" s="31" t="s">
        <v>108</v>
      </c>
      <c r="K52" s="31">
        <v>3.5</v>
      </c>
      <c r="L52" s="31">
        <v>11</v>
      </c>
      <c r="M52" s="30" t="s">
        <v>1536</v>
      </c>
    </row>
    <row r="53" spans="1:13" x14ac:dyDescent="0.3">
      <c r="A53" s="32" t="s">
        <v>1531</v>
      </c>
      <c r="B53" s="32" t="s">
        <v>1532</v>
      </c>
      <c r="C53" s="32" t="s">
        <v>1873</v>
      </c>
      <c r="D53" s="31" t="s">
        <v>108</v>
      </c>
      <c r="E53" s="31">
        <v>3</v>
      </c>
      <c r="F53" s="31">
        <v>19</v>
      </c>
      <c r="G53" s="29" t="s">
        <v>476</v>
      </c>
      <c r="H53" s="30" t="s">
        <v>1535</v>
      </c>
      <c r="I53" s="30" t="s">
        <v>1532</v>
      </c>
      <c r="J53" s="31" t="s">
        <v>108</v>
      </c>
      <c r="K53" s="31">
        <v>3</v>
      </c>
      <c r="L53" s="31">
        <v>19</v>
      </c>
      <c r="M53" s="30" t="s">
        <v>1535</v>
      </c>
    </row>
    <row r="54" spans="1:13" x14ac:dyDescent="0.3">
      <c r="A54" s="32" t="s">
        <v>1819</v>
      </c>
      <c r="B54" s="32" t="s">
        <v>1826</v>
      </c>
      <c r="C54" s="32" t="s">
        <v>1873</v>
      </c>
      <c r="D54" s="31" t="s">
        <v>108</v>
      </c>
      <c r="E54" s="31">
        <v>3</v>
      </c>
      <c r="F54" s="31">
        <v>10</v>
      </c>
      <c r="G54" s="29" t="s">
        <v>476</v>
      </c>
      <c r="H54" s="30" t="s">
        <v>1536</v>
      </c>
      <c r="I54" s="30" t="s">
        <v>1826</v>
      </c>
      <c r="J54" s="31" t="s">
        <v>108</v>
      </c>
      <c r="K54" s="31">
        <v>3</v>
      </c>
      <c r="L54" s="31">
        <v>10</v>
      </c>
      <c r="M54" s="30" t="s">
        <v>1536</v>
      </c>
    </row>
    <row r="55" spans="1:13" x14ac:dyDescent="0.3">
      <c r="A55" s="32" t="s">
        <v>1820</v>
      </c>
      <c r="B55" s="32" t="s">
        <v>1822</v>
      </c>
      <c r="C55" s="32" t="s">
        <v>1831</v>
      </c>
      <c r="D55" s="31" t="s">
        <v>108</v>
      </c>
      <c r="E55" s="31">
        <v>2</v>
      </c>
      <c r="F55" s="31">
        <v>10</v>
      </c>
      <c r="G55" s="29" t="s">
        <v>476</v>
      </c>
      <c r="H55" s="30" t="s">
        <v>1535</v>
      </c>
      <c r="I55" s="30" t="s">
        <v>1822</v>
      </c>
      <c r="J55" s="31" t="s">
        <v>108</v>
      </c>
      <c r="K55" s="112">
        <v>2</v>
      </c>
      <c r="L55" s="31">
        <v>10</v>
      </c>
      <c r="M55" s="30" t="s">
        <v>1535</v>
      </c>
    </row>
    <row r="56" spans="1:13" x14ac:dyDescent="0.3">
      <c r="A56" s="32" t="s">
        <v>1821</v>
      </c>
      <c r="B56" s="32" t="s">
        <v>1823</v>
      </c>
      <c r="C56" s="32" t="s">
        <v>1831</v>
      </c>
      <c r="D56" s="31" t="s">
        <v>108</v>
      </c>
      <c r="E56" s="31">
        <v>2</v>
      </c>
      <c r="F56" s="31">
        <v>10</v>
      </c>
      <c r="G56" s="29" t="s">
        <v>476</v>
      </c>
      <c r="H56" s="30" t="s">
        <v>1536</v>
      </c>
      <c r="I56" s="30" t="s">
        <v>1823</v>
      </c>
      <c r="J56" s="31" t="s">
        <v>108</v>
      </c>
      <c r="K56" s="31">
        <v>2</v>
      </c>
      <c r="L56" s="31">
        <v>10</v>
      </c>
      <c r="M56" s="30" t="s">
        <v>1536</v>
      </c>
    </row>
    <row r="57" spans="1:13" x14ac:dyDescent="0.3">
      <c r="A57" s="81" t="s">
        <v>1833</v>
      </c>
      <c r="B57" s="81"/>
      <c r="C57" s="81"/>
      <c r="D57" s="82"/>
      <c r="E57" s="82"/>
      <c r="F57" s="82"/>
      <c r="G57" s="83"/>
      <c r="H57" s="84"/>
      <c r="I57" s="84"/>
      <c r="J57" s="82"/>
      <c r="K57" s="82"/>
      <c r="L57" s="82"/>
      <c r="M57" s="84"/>
    </row>
    <row r="58" spans="1:13" x14ac:dyDescent="0.3">
      <c r="A58" s="32" t="s">
        <v>1834</v>
      </c>
      <c r="B58" s="32" t="s">
        <v>1836</v>
      </c>
      <c r="C58" s="32" t="s">
        <v>1837</v>
      </c>
      <c r="D58" s="31" t="s">
        <v>140</v>
      </c>
      <c r="E58" s="31" t="s">
        <v>140</v>
      </c>
      <c r="F58" s="31">
        <v>3000000</v>
      </c>
      <c r="G58" s="29" t="s">
        <v>465</v>
      </c>
      <c r="H58" s="30" t="s">
        <v>1838</v>
      </c>
      <c r="I58" s="30" t="s">
        <v>1836</v>
      </c>
      <c r="J58" s="31" t="s">
        <v>140</v>
      </c>
      <c r="K58" s="31" t="s">
        <v>140</v>
      </c>
      <c r="L58" s="31">
        <v>3000000</v>
      </c>
      <c r="M58" s="30" t="s">
        <v>1838</v>
      </c>
    </row>
    <row r="59" spans="1:13" x14ac:dyDescent="0.3">
      <c r="A59" s="81" t="s">
        <v>1023</v>
      </c>
      <c r="B59" s="81"/>
      <c r="C59" s="81"/>
      <c r="D59" s="82"/>
      <c r="E59" s="82"/>
      <c r="F59" s="82"/>
      <c r="G59" s="83"/>
      <c r="H59" s="84"/>
      <c r="I59" s="84"/>
      <c r="J59" s="82"/>
      <c r="K59" s="82"/>
      <c r="L59" s="82"/>
      <c r="M59" s="84"/>
    </row>
    <row r="60" spans="1:13" x14ac:dyDescent="0.3">
      <c r="A60" s="32" t="s">
        <v>1500</v>
      </c>
      <c r="B60" s="32" t="s">
        <v>1501</v>
      </c>
      <c r="C60" s="32" t="s">
        <v>1502</v>
      </c>
      <c r="D60" s="31"/>
      <c r="E60" s="31"/>
      <c r="F60" s="31">
        <v>45</v>
      </c>
      <c r="G60" s="29" t="s">
        <v>142</v>
      </c>
      <c r="H60" s="30" t="s">
        <v>1670</v>
      </c>
      <c r="I60" s="30" t="s">
        <v>1501</v>
      </c>
      <c r="J60" s="31"/>
      <c r="K60" s="31"/>
      <c r="L60" s="31">
        <v>45</v>
      </c>
      <c r="M60" s="30" t="s">
        <v>1670</v>
      </c>
    </row>
    <row r="61" spans="1:13" x14ac:dyDescent="0.3">
      <c r="A61" s="32" t="s">
        <v>1503</v>
      </c>
      <c r="B61" s="32" t="s">
        <v>1504</v>
      </c>
      <c r="C61" s="32" t="s">
        <v>1505</v>
      </c>
      <c r="D61" s="31"/>
      <c r="E61" s="31"/>
      <c r="F61" s="31">
        <v>20</v>
      </c>
      <c r="G61" s="29" t="s">
        <v>142</v>
      </c>
      <c r="H61" s="30" t="s">
        <v>1671</v>
      </c>
      <c r="I61" s="30" t="s">
        <v>1504</v>
      </c>
      <c r="J61" s="31"/>
      <c r="K61" s="31"/>
      <c r="L61" s="31">
        <v>20</v>
      </c>
      <c r="M61" s="30" t="s">
        <v>1671</v>
      </c>
    </row>
    <row r="62" spans="1:13" x14ac:dyDescent="0.3">
      <c r="A62" s="32" t="s">
        <v>1506</v>
      </c>
      <c r="B62" s="32" t="s">
        <v>1507</v>
      </c>
      <c r="C62" s="32" t="s">
        <v>1508</v>
      </c>
      <c r="D62" s="31"/>
      <c r="E62" s="31"/>
      <c r="F62" s="31">
        <v>800</v>
      </c>
      <c r="G62" s="29" t="s">
        <v>142</v>
      </c>
      <c r="H62" s="30" t="s">
        <v>1670</v>
      </c>
      <c r="I62" s="30" t="s">
        <v>1507</v>
      </c>
      <c r="J62" s="31"/>
      <c r="K62" s="31"/>
      <c r="L62" s="31">
        <v>800</v>
      </c>
      <c r="M62" s="30" t="s">
        <v>1670</v>
      </c>
    </row>
    <row r="63" spans="1:13" x14ac:dyDescent="0.3">
      <c r="A63" s="32" t="s">
        <v>1509</v>
      </c>
      <c r="B63" s="32" t="s">
        <v>1510</v>
      </c>
      <c r="C63" s="32" t="s">
        <v>1511</v>
      </c>
      <c r="D63" s="31"/>
      <c r="E63" s="31"/>
      <c r="F63" s="31">
        <v>800</v>
      </c>
      <c r="G63" s="29" t="s">
        <v>142</v>
      </c>
      <c r="H63" s="30" t="s">
        <v>1512</v>
      </c>
      <c r="I63" s="30" t="s">
        <v>1510</v>
      </c>
      <c r="J63" s="31"/>
      <c r="K63" s="31"/>
      <c r="L63" s="31">
        <v>800</v>
      </c>
      <c r="M63" s="30" t="s">
        <v>1512</v>
      </c>
    </row>
    <row r="64" spans="1:13" x14ac:dyDescent="0.3">
      <c r="A64" s="32" t="s">
        <v>136</v>
      </c>
      <c r="B64" s="32" t="s">
        <v>1024</v>
      </c>
      <c r="C64" s="32" t="s">
        <v>1031</v>
      </c>
      <c r="D64" s="31"/>
      <c r="E64" s="31">
        <v>2000</v>
      </c>
      <c r="F64" s="31"/>
      <c r="G64" s="29" t="s">
        <v>1059</v>
      </c>
      <c r="H64" s="30" t="s">
        <v>1034</v>
      </c>
      <c r="I64" s="30" t="s">
        <v>1024</v>
      </c>
      <c r="J64" s="31"/>
      <c r="K64" s="31">
        <v>2000</v>
      </c>
      <c r="L64" s="31"/>
      <c r="M64" s="30" t="s">
        <v>1034</v>
      </c>
    </row>
    <row r="65" spans="1:13" x14ac:dyDescent="0.3">
      <c r="A65" s="81" t="s">
        <v>1026</v>
      </c>
      <c r="B65" s="81"/>
      <c r="C65" s="81"/>
      <c r="D65" s="82"/>
      <c r="E65" s="82"/>
      <c r="F65" s="82"/>
      <c r="G65" s="83"/>
      <c r="H65" s="84"/>
      <c r="I65" s="84"/>
      <c r="J65" s="82"/>
      <c r="K65" s="82"/>
      <c r="L65" s="82"/>
      <c r="M65" s="84"/>
    </row>
    <row r="66" spans="1:13" x14ac:dyDescent="0.3">
      <c r="A66" s="81" t="s">
        <v>217</v>
      </c>
      <c r="B66" s="81"/>
      <c r="C66" s="81"/>
      <c r="D66" s="82"/>
      <c r="E66" s="82"/>
      <c r="F66" s="82"/>
      <c r="G66" s="83"/>
      <c r="H66" s="84"/>
      <c r="I66" s="84"/>
      <c r="J66" s="82"/>
      <c r="K66" s="82"/>
      <c r="L66" s="82"/>
      <c r="M66" s="84"/>
    </row>
    <row r="67" spans="1:13" x14ac:dyDescent="0.3">
      <c r="A67" s="32" t="s">
        <v>137</v>
      </c>
      <c r="B67" s="32" t="s">
        <v>1025</v>
      </c>
      <c r="C67" s="32" t="s">
        <v>1263</v>
      </c>
      <c r="D67" s="31"/>
      <c r="E67" s="31">
        <v>750</v>
      </c>
      <c r="F67" s="31"/>
      <c r="G67" s="29" t="s">
        <v>1059</v>
      </c>
      <c r="H67" s="30"/>
      <c r="I67" s="30" t="s">
        <v>1025</v>
      </c>
      <c r="J67" s="31"/>
      <c r="K67" s="31">
        <v>750</v>
      </c>
      <c r="L67" s="31"/>
      <c r="M67" s="30"/>
    </row>
    <row r="68" spans="1:13" x14ac:dyDescent="0.3">
      <c r="A68" s="32" t="s">
        <v>138</v>
      </c>
      <c r="B68" s="32" t="s">
        <v>1027</v>
      </c>
      <c r="C68" s="32" t="s">
        <v>1032</v>
      </c>
      <c r="D68" s="31">
        <v>5</v>
      </c>
      <c r="E68" s="31"/>
      <c r="F68" s="31"/>
      <c r="G68" s="29" t="s">
        <v>1059</v>
      </c>
      <c r="H68" s="30"/>
      <c r="I68" s="30" t="s">
        <v>1027</v>
      </c>
      <c r="J68" s="31">
        <v>5</v>
      </c>
      <c r="K68" s="31"/>
      <c r="L68" s="31"/>
      <c r="M68" s="30"/>
    </row>
    <row r="69" spans="1:13" x14ac:dyDescent="0.3">
      <c r="A69" s="81" t="s">
        <v>208</v>
      </c>
      <c r="B69" s="81"/>
      <c r="C69" s="81"/>
      <c r="D69" s="82"/>
      <c r="E69" s="82"/>
      <c r="F69" s="82"/>
      <c r="G69" s="83"/>
      <c r="H69" s="84"/>
      <c r="I69" s="84"/>
      <c r="J69" s="82"/>
      <c r="K69" s="82"/>
      <c r="L69" s="82"/>
      <c r="M69" s="84"/>
    </row>
    <row r="70" spans="1:13" x14ac:dyDescent="0.3">
      <c r="A70" s="32" t="s">
        <v>139</v>
      </c>
      <c r="B70" s="32" t="s">
        <v>1028</v>
      </c>
      <c r="C70" s="32" t="s">
        <v>1280</v>
      </c>
      <c r="D70" s="31"/>
      <c r="E70" s="31">
        <v>300</v>
      </c>
      <c r="F70" s="31"/>
      <c r="G70" s="29" t="s">
        <v>832</v>
      </c>
      <c r="H70" s="30" t="s">
        <v>1277</v>
      </c>
      <c r="I70" s="30" t="s">
        <v>1028</v>
      </c>
      <c r="J70" s="31"/>
      <c r="K70" s="31">
        <v>300</v>
      </c>
      <c r="L70" s="31"/>
      <c r="M70" s="30" t="s">
        <v>1277</v>
      </c>
    </row>
    <row r="71" spans="1:13" x14ac:dyDescent="0.3">
      <c r="A71" s="32" t="s">
        <v>1278</v>
      </c>
      <c r="B71" s="32" t="s">
        <v>1279</v>
      </c>
      <c r="C71" s="32" t="s">
        <v>1033</v>
      </c>
      <c r="D71" s="31"/>
      <c r="E71" s="31">
        <v>800</v>
      </c>
      <c r="F71" s="31"/>
      <c r="G71" s="29" t="s">
        <v>832</v>
      </c>
      <c r="H71" s="30" t="s">
        <v>419</v>
      </c>
      <c r="I71" s="30" t="s">
        <v>1279</v>
      </c>
      <c r="J71" s="31"/>
      <c r="K71" s="31">
        <v>800</v>
      </c>
      <c r="L71" s="31"/>
      <c r="M71" s="30" t="s">
        <v>419</v>
      </c>
    </row>
    <row r="72" spans="1:13" x14ac:dyDescent="0.3">
      <c r="A72" s="32" t="s">
        <v>209</v>
      </c>
      <c r="B72" s="32" t="s">
        <v>145</v>
      </c>
      <c r="C72" s="32" t="s">
        <v>146</v>
      </c>
      <c r="D72" s="31" t="s">
        <v>147</v>
      </c>
      <c r="E72" s="31" t="s">
        <v>108</v>
      </c>
      <c r="F72" s="31" t="s">
        <v>108</v>
      </c>
      <c r="G72" s="29" t="s">
        <v>475</v>
      </c>
      <c r="H72" s="30" t="s">
        <v>148</v>
      </c>
      <c r="I72" s="30" t="s">
        <v>145</v>
      </c>
      <c r="J72" s="31" t="s">
        <v>147</v>
      </c>
      <c r="K72" s="31" t="s">
        <v>108</v>
      </c>
      <c r="L72" s="31" t="s">
        <v>108</v>
      </c>
      <c r="M72" s="30" t="s">
        <v>148</v>
      </c>
    </row>
    <row r="73" spans="1:13" x14ac:dyDescent="0.3">
      <c r="A73" s="32" t="s">
        <v>210</v>
      </c>
      <c r="B73" s="32" t="s">
        <v>150</v>
      </c>
      <c r="C73" s="32" t="s">
        <v>151</v>
      </c>
      <c r="D73" s="31" t="s">
        <v>108</v>
      </c>
      <c r="E73" s="31" t="s">
        <v>108</v>
      </c>
      <c r="F73" s="31" t="s">
        <v>152</v>
      </c>
      <c r="G73" s="29" t="s">
        <v>475</v>
      </c>
      <c r="H73" s="30" t="s">
        <v>148</v>
      </c>
      <c r="I73" s="30" t="s">
        <v>150</v>
      </c>
      <c r="J73" s="31" t="s">
        <v>108</v>
      </c>
      <c r="K73" s="31" t="s">
        <v>108</v>
      </c>
      <c r="L73" s="31" t="s">
        <v>152</v>
      </c>
      <c r="M73" s="30" t="s">
        <v>148</v>
      </c>
    </row>
    <row r="74" spans="1:13" x14ac:dyDescent="0.3">
      <c r="A74" s="32" t="s">
        <v>211</v>
      </c>
      <c r="B74" s="32" t="s">
        <v>174</v>
      </c>
      <c r="C74" s="32" t="s">
        <v>175</v>
      </c>
      <c r="D74" s="31" t="s">
        <v>108</v>
      </c>
      <c r="E74" s="31">
        <v>3</v>
      </c>
      <c r="F74" s="31" t="s">
        <v>108</v>
      </c>
      <c r="G74" s="29" t="s">
        <v>478</v>
      </c>
      <c r="H74" s="30" t="s">
        <v>1194</v>
      </c>
      <c r="I74" s="30" t="s">
        <v>174</v>
      </c>
      <c r="J74" s="31" t="s">
        <v>108</v>
      </c>
      <c r="K74" s="31">
        <v>3</v>
      </c>
      <c r="L74" s="31" t="s">
        <v>108</v>
      </c>
      <c r="M74" s="30" t="s">
        <v>1194</v>
      </c>
    </row>
    <row r="75" spans="1:13" x14ac:dyDescent="0.3">
      <c r="A75" s="32" t="s">
        <v>212</v>
      </c>
      <c r="B75" s="32" t="s">
        <v>213</v>
      </c>
      <c r="C75" s="32" t="s">
        <v>214</v>
      </c>
      <c r="D75" s="31" t="s">
        <v>108</v>
      </c>
      <c r="E75" s="31">
        <v>100</v>
      </c>
      <c r="F75" s="31" t="s">
        <v>108</v>
      </c>
      <c r="G75" s="29" t="s">
        <v>831</v>
      </c>
      <c r="H75" s="30"/>
      <c r="I75" s="30" t="s">
        <v>213</v>
      </c>
      <c r="J75" s="31" t="s">
        <v>108</v>
      </c>
      <c r="K75" s="31">
        <v>100</v>
      </c>
      <c r="L75" s="31" t="s">
        <v>108</v>
      </c>
      <c r="M75" s="30"/>
    </row>
    <row r="76" spans="1:13" x14ac:dyDescent="0.3">
      <c r="A76" s="32" t="s">
        <v>215</v>
      </c>
      <c r="B76" s="32" t="s">
        <v>184</v>
      </c>
      <c r="C76" s="32" t="s">
        <v>216</v>
      </c>
      <c r="D76" s="31"/>
      <c r="E76" s="31"/>
      <c r="F76" s="31">
        <v>100</v>
      </c>
      <c r="G76" s="29" t="s">
        <v>849</v>
      </c>
      <c r="H76" s="30"/>
      <c r="I76" s="30" t="s">
        <v>184</v>
      </c>
      <c r="J76" s="31"/>
      <c r="K76" s="31"/>
      <c r="L76" s="31">
        <v>100</v>
      </c>
      <c r="M76" s="30"/>
    </row>
    <row r="77" spans="1:13" x14ac:dyDescent="0.3">
      <c r="A77" s="81" t="s">
        <v>1832</v>
      </c>
      <c r="B77" s="81"/>
      <c r="C77" s="81"/>
      <c r="D77" s="82"/>
      <c r="E77" s="82"/>
      <c r="F77" s="82"/>
      <c r="G77" s="83"/>
      <c r="H77" s="84"/>
      <c r="I77" s="84"/>
      <c r="J77" s="82"/>
      <c r="K77" s="82"/>
      <c r="L77" s="82"/>
      <c r="M77" s="84"/>
    </row>
    <row r="78" spans="1:13" x14ac:dyDescent="0.3">
      <c r="A78" s="81" t="s">
        <v>143</v>
      </c>
      <c r="B78" s="81"/>
      <c r="C78" s="81"/>
      <c r="D78" s="82"/>
      <c r="E78" s="82"/>
      <c r="F78" s="82"/>
      <c r="G78" s="83"/>
      <c r="H78" s="84"/>
      <c r="I78" s="84"/>
      <c r="J78" s="82"/>
      <c r="K78" s="82"/>
      <c r="L78" s="82"/>
      <c r="M78" s="84"/>
    </row>
    <row r="79" spans="1:13" x14ac:dyDescent="0.3">
      <c r="A79" s="32" t="s">
        <v>144</v>
      </c>
      <c r="B79" s="32" t="s">
        <v>145</v>
      </c>
      <c r="C79" s="32" t="s">
        <v>146</v>
      </c>
      <c r="D79" s="31" t="s">
        <v>147</v>
      </c>
      <c r="E79" s="31" t="s">
        <v>108</v>
      </c>
      <c r="F79" s="31" t="s">
        <v>108</v>
      </c>
      <c r="G79" s="29" t="s">
        <v>475</v>
      </c>
      <c r="H79" s="30" t="s">
        <v>148</v>
      </c>
      <c r="I79" s="30" t="s">
        <v>145</v>
      </c>
      <c r="J79" s="31" t="s">
        <v>147</v>
      </c>
      <c r="K79" s="31" t="s">
        <v>108</v>
      </c>
      <c r="L79" s="31" t="s">
        <v>108</v>
      </c>
      <c r="M79" s="30" t="s">
        <v>148</v>
      </c>
    </row>
    <row r="80" spans="1:13" x14ac:dyDescent="0.3">
      <c r="A80" s="32" t="s">
        <v>1006</v>
      </c>
      <c r="B80" s="32" t="s">
        <v>1007</v>
      </c>
      <c r="C80" s="32" t="s">
        <v>1009</v>
      </c>
      <c r="D80" s="31" t="s">
        <v>108</v>
      </c>
      <c r="E80" s="31" t="s">
        <v>108</v>
      </c>
      <c r="F80" s="31">
        <v>10</v>
      </c>
      <c r="G80" s="29" t="s">
        <v>849</v>
      </c>
      <c r="H80" s="30" t="s">
        <v>1008</v>
      </c>
      <c r="I80" s="30" t="s">
        <v>1007</v>
      </c>
      <c r="J80" s="31" t="s">
        <v>108</v>
      </c>
      <c r="K80" s="31" t="s">
        <v>108</v>
      </c>
      <c r="L80" s="31">
        <v>10</v>
      </c>
      <c r="M80" s="30" t="s">
        <v>1008</v>
      </c>
    </row>
    <row r="81" spans="1:13" x14ac:dyDescent="0.3">
      <c r="A81" s="32" t="s">
        <v>149</v>
      </c>
      <c r="B81" s="32" t="s">
        <v>150</v>
      </c>
      <c r="C81" s="32" t="s">
        <v>151</v>
      </c>
      <c r="D81" s="31" t="s">
        <v>108</v>
      </c>
      <c r="E81" s="31" t="s">
        <v>108</v>
      </c>
      <c r="F81" s="31" t="s">
        <v>152</v>
      </c>
      <c r="G81" s="29" t="s">
        <v>475</v>
      </c>
      <c r="H81" s="30" t="s">
        <v>148</v>
      </c>
      <c r="I81" s="30" t="s">
        <v>150</v>
      </c>
      <c r="J81" s="31" t="s">
        <v>108</v>
      </c>
      <c r="K81" s="31" t="s">
        <v>108</v>
      </c>
      <c r="L81" s="31" t="s">
        <v>152</v>
      </c>
      <c r="M81" s="30" t="s">
        <v>148</v>
      </c>
    </row>
    <row r="82" spans="1:13" x14ac:dyDescent="0.3">
      <c r="A82" s="32" t="s">
        <v>153</v>
      </c>
      <c r="B82" s="32" t="s">
        <v>145</v>
      </c>
      <c r="C82" s="32" t="s">
        <v>154</v>
      </c>
      <c r="D82" s="31">
        <v>2</v>
      </c>
      <c r="E82" s="31" t="s">
        <v>108</v>
      </c>
      <c r="F82" s="31" t="s">
        <v>108</v>
      </c>
      <c r="G82" s="29" t="s">
        <v>475</v>
      </c>
      <c r="H82" s="30"/>
      <c r="I82" s="30" t="s">
        <v>145</v>
      </c>
      <c r="J82" s="31">
        <v>2</v>
      </c>
      <c r="K82" s="31" t="s">
        <v>108</v>
      </c>
      <c r="L82" s="31" t="s">
        <v>108</v>
      </c>
      <c r="M82" s="30"/>
    </row>
    <row r="83" spans="1:13" x14ac:dyDescent="0.3">
      <c r="A83" s="32" t="s">
        <v>155</v>
      </c>
      <c r="B83" s="32" t="s">
        <v>150</v>
      </c>
      <c r="C83" s="32" t="s">
        <v>154</v>
      </c>
      <c r="D83" s="31" t="s">
        <v>108</v>
      </c>
      <c r="E83" s="31" t="s">
        <v>108</v>
      </c>
      <c r="F83" s="31">
        <v>0.8</v>
      </c>
      <c r="G83" s="29" t="s">
        <v>475</v>
      </c>
      <c r="H83" s="30"/>
      <c r="I83" s="30" t="s">
        <v>150</v>
      </c>
      <c r="J83" s="31" t="s">
        <v>108</v>
      </c>
      <c r="K83" s="31" t="s">
        <v>108</v>
      </c>
      <c r="L83" s="31">
        <v>0.8</v>
      </c>
      <c r="M83" s="30"/>
    </row>
    <row r="84" spans="1:13" x14ac:dyDescent="0.3">
      <c r="A84" s="32" t="s">
        <v>156</v>
      </c>
      <c r="B84" s="32" t="s">
        <v>157</v>
      </c>
      <c r="C84" s="32" t="s">
        <v>158</v>
      </c>
      <c r="D84" s="31" t="s">
        <v>159</v>
      </c>
      <c r="E84" s="31" t="s">
        <v>108</v>
      </c>
      <c r="F84" s="31" t="s">
        <v>108</v>
      </c>
      <c r="G84" s="29" t="s">
        <v>475</v>
      </c>
      <c r="H84" s="30" t="s">
        <v>1347</v>
      </c>
      <c r="I84" s="30" t="s">
        <v>157</v>
      </c>
      <c r="J84" s="31" t="s">
        <v>159</v>
      </c>
      <c r="K84" s="31" t="s">
        <v>108</v>
      </c>
      <c r="L84" s="31" t="s">
        <v>108</v>
      </c>
      <c r="M84" s="30" t="s">
        <v>1347</v>
      </c>
    </row>
    <row r="85" spans="1:13" x14ac:dyDescent="0.3">
      <c r="A85" s="32" t="s">
        <v>162</v>
      </c>
      <c r="B85" s="32" t="s">
        <v>160</v>
      </c>
      <c r="C85" s="32" t="s">
        <v>161</v>
      </c>
      <c r="D85" s="31" t="s">
        <v>108</v>
      </c>
      <c r="E85" s="31" t="s">
        <v>108</v>
      </c>
      <c r="F85" s="31">
        <v>0.4</v>
      </c>
      <c r="G85" s="29" t="s">
        <v>475</v>
      </c>
      <c r="H85" s="30" t="s">
        <v>1348</v>
      </c>
      <c r="I85" s="30" t="s">
        <v>160</v>
      </c>
      <c r="J85" s="31" t="s">
        <v>108</v>
      </c>
      <c r="K85" s="31" t="s">
        <v>108</v>
      </c>
      <c r="L85" s="31">
        <v>0.4</v>
      </c>
      <c r="M85" s="30" t="s">
        <v>1348</v>
      </c>
    </row>
    <row r="86" spans="1:13" x14ac:dyDescent="0.3">
      <c r="A86" s="32" t="s">
        <v>163</v>
      </c>
      <c r="B86" s="32" t="s">
        <v>164</v>
      </c>
      <c r="C86" s="30" t="s">
        <v>165</v>
      </c>
      <c r="D86" s="31">
        <v>3.5</v>
      </c>
      <c r="E86" s="31">
        <v>5.6</v>
      </c>
      <c r="F86" s="31">
        <v>8.5</v>
      </c>
      <c r="G86" s="29" t="s">
        <v>1147</v>
      </c>
      <c r="H86" s="30"/>
      <c r="I86" s="30" t="s">
        <v>164</v>
      </c>
      <c r="J86" s="31">
        <v>3.5</v>
      </c>
      <c r="K86" s="31">
        <v>5.6</v>
      </c>
      <c r="L86" s="31">
        <v>8.5</v>
      </c>
      <c r="M86" s="30"/>
    </row>
    <row r="87" spans="1:13" x14ac:dyDescent="0.3">
      <c r="A87" s="32" t="s">
        <v>166</v>
      </c>
      <c r="B87" s="32" t="s">
        <v>167</v>
      </c>
      <c r="C87" s="32" t="s">
        <v>168</v>
      </c>
      <c r="D87" s="31">
        <v>3.5</v>
      </c>
      <c r="E87" s="31">
        <v>5.6</v>
      </c>
      <c r="F87" s="31">
        <v>8.5</v>
      </c>
      <c r="G87" s="29" t="s">
        <v>1147</v>
      </c>
      <c r="H87" s="30"/>
      <c r="I87" s="30" t="s">
        <v>167</v>
      </c>
      <c r="J87" s="31">
        <v>3.5</v>
      </c>
      <c r="K87" s="31">
        <v>5.6</v>
      </c>
      <c r="L87" s="31">
        <v>8.5</v>
      </c>
      <c r="M87" s="30"/>
    </row>
    <row r="88" spans="1:13" x14ac:dyDescent="0.3">
      <c r="A88" s="32" t="s">
        <v>169</v>
      </c>
      <c r="B88" s="32" t="s">
        <v>170</v>
      </c>
      <c r="C88" s="32" t="s">
        <v>171</v>
      </c>
      <c r="D88" s="31" t="s">
        <v>108</v>
      </c>
      <c r="E88" s="31" t="s">
        <v>108</v>
      </c>
      <c r="F88" s="31">
        <v>2</v>
      </c>
      <c r="G88" s="29" t="s">
        <v>832</v>
      </c>
      <c r="H88" s="30" t="s">
        <v>172</v>
      </c>
      <c r="I88" s="30" t="s">
        <v>170</v>
      </c>
      <c r="J88" s="31" t="s">
        <v>108</v>
      </c>
      <c r="K88" s="31" t="s">
        <v>108</v>
      </c>
      <c r="L88" s="31">
        <v>2</v>
      </c>
      <c r="M88" s="30" t="s">
        <v>172</v>
      </c>
    </row>
    <row r="89" spans="1:13" x14ac:dyDescent="0.3">
      <c r="A89" s="32" t="s">
        <v>173</v>
      </c>
      <c r="B89" s="32" t="s">
        <v>174</v>
      </c>
      <c r="C89" s="32" t="s">
        <v>175</v>
      </c>
      <c r="D89" s="31" t="s">
        <v>108</v>
      </c>
      <c r="E89" s="31" t="s">
        <v>108</v>
      </c>
      <c r="F89" s="31">
        <v>5</v>
      </c>
      <c r="G89" s="29" t="s">
        <v>478</v>
      </c>
      <c r="H89" s="30"/>
      <c r="I89" s="30" t="s">
        <v>174</v>
      </c>
      <c r="J89" s="31" t="s">
        <v>108</v>
      </c>
      <c r="K89" s="31" t="s">
        <v>108</v>
      </c>
      <c r="L89" s="31">
        <v>5</v>
      </c>
      <c r="M89" s="30"/>
    </row>
    <row r="90" spans="1:13" x14ac:dyDescent="0.3">
      <c r="A90" s="32" t="s">
        <v>176</v>
      </c>
      <c r="B90" s="32" t="s">
        <v>177</v>
      </c>
      <c r="C90" s="32" t="s">
        <v>178</v>
      </c>
      <c r="D90" s="31">
        <v>100</v>
      </c>
      <c r="E90" s="31">
        <v>0</v>
      </c>
      <c r="F90" s="31" t="s">
        <v>140</v>
      </c>
      <c r="G90" s="29" t="s">
        <v>831</v>
      </c>
      <c r="H90" s="30"/>
      <c r="I90" s="30" t="s">
        <v>177</v>
      </c>
      <c r="J90" s="31">
        <v>100</v>
      </c>
      <c r="K90" s="31">
        <v>0</v>
      </c>
      <c r="L90" s="31" t="s">
        <v>140</v>
      </c>
      <c r="M90" s="30"/>
    </row>
    <row r="91" spans="1:13" x14ac:dyDescent="0.3">
      <c r="A91" s="32" t="s">
        <v>179</v>
      </c>
      <c r="B91" s="32" t="s">
        <v>180</v>
      </c>
      <c r="C91" s="32" t="s">
        <v>181</v>
      </c>
      <c r="D91" s="31" t="s">
        <v>182</v>
      </c>
      <c r="E91" s="31" t="s">
        <v>108</v>
      </c>
      <c r="F91" s="31" t="s">
        <v>140</v>
      </c>
      <c r="G91" s="29" t="s">
        <v>831</v>
      </c>
      <c r="H91" s="30"/>
      <c r="I91" s="30" t="s">
        <v>180</v>
      </c>
      <c r="J91" s="31" t="s">
        <v>182</v>
      </c>
      <c r="K91" s="31" t="s">
        <v>108</v>
      </c>
      <c r="L91" s="31" t="s">
        <v>140</v>
      </c>
      <c r="M91" s="30"/>
    </row>
    <row r="92" spans="1:13" x14ac:dyDescent="0.3">
      <c r="A92" s="32" t="s">
        <v>183</v>
      </c>
      <c r="B92" s="32" t="s">
        <v>184</v>
      </c>
      <c r="C92" s="32" t="s">
        <v>185</v>
      </c>
      <c r="D92" s="31" t="s">
        <v>108</v>
      </c>
      <c r="E92" s="31" t="s">
        <v>108</v>
      </c>
      <c r="F92" s="31">
        <v>100</v>
      </c>
      <c r="G92" s="29" t="s">
        <v>849</v>
      </c>
      <c r="H92" s="30"/>
      <c r="I92" s="30" t="s">
        <v>184</v>
      </c>
      <c r="J92" s="31" t="s">
        <v>108</v>
      </c>
      <c r="K92" s="31" t="s">
        <v>108</v>
      </c>
      <c r="L92" s="31">
        <v>100</v>
      </c>
      <c r="M92" s="30"/>
    </row>
    <row r="93" spans="1:13" x14ac:dyDescent="0.3">
      <c r="A93" s="32" t="s">
        <v>186</v>
      </c>
      <c r="B93" s="32" t="s">
        <v>187</v>
      </c>
      <c r="C93" s="32" t="s">
        <v>188</v>
      </c>
      <c r="D93" s="31"/>
      <c r="E93" s="31"/>
      <c r="F93" s="31">
        <v>200</v>
      </c>
      <c r="G93" s="29" t="s">
        <v>476</v>
      </c>
      <c r="H93" s="30"/>
      <c r="I93" s="30" t="s">
        <v>187</v>
      </c>
      <c r="J93" s="31"/>
      <c r="K93" s="31"/>
      <c r="L93" s="31">
        <v>200</v>
      </c>
      <c r="M93" s="30"/>
    </row>
    <row r="94" spans="1:13" x14ac:dyDescent="0.3">
      <c r="A94" s="81" t="s">
        <v>189</v>
      </c>
      <c r="B94" s="81"/>
      <c r="C94" s="81"/>
      <c r="D94" s="82"/>
      <c r="E94" s="82"/>
      <c r="F94" s="82"/>
      <c r="G94" s="83"/>
      <c r="H94" s="84"/>
      <c r="I94" s="84"/>
      <c r="J94" s="82"/>
      <c r="K94" s="82"/>
      <c r="L94" s="82"/>
      <c r="M94" s="84"/>
    </row>
    <row r="95" spans="1:13" x14ac:dyDescent="0.3">
      <c r="A95" s="32" t="s">
        <v>190</v>
      </c>
      <c r="B95" s="32" t="s">
        <v>191</v>
      </c>
      <c r="C95" s="32" t="s">
        <v>1102</v>
      </c>
      <c r="D95" s="31" t="s">
        <v>108</v>
      </c>
      <c r="E95" s="31" t="s">
        <v>108</v>
      </c>
      <c r="F95" s="31">
        <v>2.5</v>
      </c>
      <c r="G95" s="29" t="s">
        <v>446</v>
      </c>
      <c r="H95" s="30" t="s">
        <v>1154</v>
      </c>
      <c r="I95" s="30" t="s">
        <v>191</v>
      </c>
      <c r="J95" s="31" t="s">
        <v>108</v>
      </c>
      <c r="K95" s="31" t="s">
        <v>108</v>
      </c>
      <c r="L95" s="31">
        <v>2.5</v>
      </c>
      <c r="M95" s="30" t="s">
        <v>1154</v>
      </c>
    </row>
    <row r="96" spans="1:13" x14ac:dyDescent="0.3">
      <c r="A96" s="32" t="s">
        <v>192</v>
      </c>
      <c r="B96" s="32" t="s">
        <v>193</v>
      </c>
      <c r="C96" s="32" t="s">
        <v>1103</v>
      </c>
      <c r="D96" s="31" t="s">
        <v>108</v>
      </c>
      <c r="E96" s="31" t="s">
        <v>108</v>
      </c>
      <c r="F96" s="31">
        <v>2.5</v>
      </c>
      <c r="G96" s="29" t="s">
        <v>446</v>
      </c>
      <c r="H96" s="30" t="s">
        <v>1155</v>
      </c>
      <c r="I96" s="30" t="s">
        <v>193</v>
      </c>
      <c r="J96" s="31" t="s">
        <v>108</v>
      </c>
      <c r="K96" s="31" t="s">
        <v>108</v>
      </c>
      <c r="L96" s="31">
        <v>2.5</v>
      </c>
      <c r="M96" s="30" t="s">
        <v>1155</v>
      </c>
    </row>
    <row r="97" spans="1:13" x14ac:dyDescent="0.3">
      <c r="A97" s="32" t="s">
        <v>194</v>
      </c>
      <c r="B97" s="32" t="s">
        <v>1222</v>
      </c>
      <c r="C97" s="32" t="s">
        <v>1159</v>
      </c>
      <c r="D97" s="31">
        <v>52</v>
      </c>
      <c r="E97" s="31" t="s">
        <v>108</v>
      </c>
      <c r="F97" s="31">
        <v>142</v>
      </c>
      <c r="G97" s="29" t="s">
        <v>446</v>
      </c>
      <c r="H97" s="30" t="s">
        <v>1226</v>
      </c>
      <c r="I97" s="30" t="s">
        <v>1222</v>
      </c>
      <c r="J97" s="31">
        <v>52</v>
      </c>
      <c r="K97" s="31" t="s">
        <v>108</v>
      </c>
      <c r="L97" s="31">
        <v>142</v>
      </c>
      <c r="M97" s="30" t="s">
        <v>1226</v>
      </c>
    </row>
    <row r="98" spans="1:13" x14ac:dyDescent="0.3">
      <c r="A98" s="32" t="s">
        <v>1220</v>
      </c>
      <c r="B98" s="32" t="s">
        <v>1223</v>
      </c>
      <c r="C98" s="32" t="s">
        <v>1159</v>
      </c>
      <c r="D98" s="31">
        <v>48</v>
      </c>
      <c r="E98" s="31" t="s">
        <v>108</v>
      </c>
      <c r="F98" s="31">
        <v>102</v>
      </c>
      <c r="G98" s="29" t="s">
        <v>446</v>
      </c>
      <c r="H98" s="30" t="s">
        <v>1227</v>
      </c>
      <c r="I98" s="30" t="s">
        <v>1223</v>
      </c>
      <c r="J98" s="31">
        <v>48</v>
      </c>
      <c r="K98" s="31" t="s">
        <v>108</v>
      </c>
      <c r="L98" s="31">
        <v>102</v>
      </c>
      <c r="M98" s="30" t="s">
        <v>1227</v>
      </c>
    </row>
    <row r="99" spans="1:13" x14ac:dyDescent="0.3">
      <c r="A99" s="32" t="s">
        <v>195</v>
      </c>
      <c r="B99" s="32" t="s">
        <v>1224</v>
      </c>
      <c r="C99" s="32" t="s">
        <v>1160</v>
      </c>
      <c r="D99" s="31">
        <v>44</v>
      </c>
      <c r="E99" s="31" t="s">
        <v>108</v>
      </c>
      <c r="F99" s="31">
        <v>211</v>
      </c>
      <c r="G99" s="29" t="s">
        <v>446</v>
      </c>
      <c r="H99" s="30" t="s">
        <v>1226</v>
      </c>
      <c r="I99" s="30" t="s">
        <v>1224</v>
      </c>
      <c r="J99" s="31">
        <v>44</v>
      </c>
      <c r="K99" s="31" t="s">
        <v>108</v>
      </c>
      <c r="L99" s="31">
        <v>211</v>
      </c>
      <c r="M99" s="30" t="s">
        <v>1226</v>
      </c>
    </row>
    <row r="100" spans="1:13" x14ac:dyDescent="0.3">
      <c r="A100" s="32" t="s">
        <v>1221</v>
      </c>
      <c r="B100" s="32" t="s">
        <v>1225</v>
      </c>
      <c r="C100" s="32" t="s">
        <v>1160</v>
      </c>
      <c r="D100" s="31">
        <v>42</v>
      </c>
      <c r="E100" s="31" t="s">
        <v>108</v>
      </c>
      <c r="F100" s="31">
        <v>93</v>
      </c>
      <c r="G100" s="29" t="s">
        <v>446</v>
      </c>
      <c r="H100" s="30" t="s">
        <v>1227</v>
      </c>
      <c r="I100" s="30" t="s">
        <v>1225</v>
      </c>
      <c r="J100" s="31">
        <v>42</v>
      </c>
      <c r="K100" s="31" t="s">
        <v>108</v>
      </c>
      <c r="L100" s="31">
        <v>93</v>
      </c>
      <c r="M100" s="30" t="s">
        <v>1227</v>
      </c>
    </row>
    <row r="101" spans="1:13" x14ac:dyDescent="0.3">
      <c r="A101" s="32" t="s">
        <v>1152</v>
      </c>
      <c r="B101" s="32" t="s">
        <v>1153</v>
      </c>
      <c r="C101" s="32" t="s">
        <v>1157</v>
      </c>
      <c r="D101" s="31" t="s">
        <v>1158</v>
      </c>
      <c r="E101" s="31"/>
      <c r="F101" s="31">
        <v>250</v>
      </c>
      <c r="G101" s="29" t="s">
        <v>446</v>
      </c>
      <c r="H101" s="30" t="s">
        <v>1156</v>
      </c>
      <c r="I101" s="30" t="s">
        <v>1153</v>
      </c>
      <c r="J101" s="31" t="s">
        <v>1158</v>
      </c>
      <c r="K101" s="31"/>
      <c r="L101" s="31">
        <v>250</v>
      </c>
      <c r="M101" s="30" t="s">
        <v>1156</v>
      </c>
    </row>
    <row r="102" spans="1:13" x14ac:dyDescent="0.3">
      <c r="A102" s="32" t="s">
        <v>196</v>
      </c>
      <c r="B102" s="32" t="s">
        <v>197</v>
      </c>
      <c r="C102" s="32" t="s">
        <v>1035</v>
      </c>
      <c r="D102" s="31" t="s">
        <v>108</v>
      </c>
      <c r="E102" s="31" t="s">
        <v>108</v>
      </c>
      <c r="F102" s="31">
        <v>100</v>
      </c>
      <c r="G102" s="29" t="s">
        <v>529</v>
      </c>
      <c r="H102" s="30" t="s">
        <v>1036</v>
      </c>
      <c r="I102" s="30" t="s">
        <v>197</v>
      </c>
      <c r="J102" s="31" t="s">
        <v>108</v>
      </c>
      <c r="K102" s="31" t="s">
        <v>108</v>
      </c>
      <c r="L102" s="31">
        <v>100</v>
      </c>
      <c r="M102" s="30" t="s">
        <v>1036</v>
      </c>
    </row>
    <row r="103" spans="1:13" x14ac:dyDescent="0.3">
      <c r="A103" s="32" t="s">
        <v>199</v>
      </c>
      <c r="B103" s="32" t="s">
        <v>200</v>
      </c>
      <c r="C103" s="32" t="s">
        <v>1037</v>
      </c>
      <c r="D103" s="31" t="s">
        <v>108</v>
      </c>
      <c r="E103" s="31" t="s">
        <v>108</v>
      </c>
      <c r="F103" s="31">
        <v>16.7</v>
      </c>
      <c r="G103" s="29" t="s">
        <v>529</v>
      </c>
      <c r="H103" s="30" t="s">
        <v>1036</v>
      </c>
      <c r="I103" s="30" t="s">
        <v>200</v>
      </c>
      <c r="J103" s="31" t="s">
        <v>108</v>
      </c>
      <c r="K103" s="31" t="s">
        <v>108</v>
      </c>
      <c r="L103" s="31">
        <v>16.7</v>
      </c>
      <c r="M103" s="30" t="s">
        <v>1036</v>
      </c>
    </row>
    <row r="104" spans="1:13" x14ac:dyDescent="0.3">
      <c r="A104" s="32" t="s">
        <v>201</v>
      </c>
      <c r="B104" s="32" t="s">
        <v>202</v>
      </c>
      <c r="C104" s="32" t="s">
        <v>1038</v>
      </c>
      <c r="D104" s="31" t="s">
        <v>108</v>
      </c>
      <c r="E104" s="31" t="s">
        <v>108</v>
      </c>
      <c r="F104" s="31">
        <v>7</v>
      </c>
      <c r="G104" s="29" t="s">
        <v>529</v>
      </c>
      <c r="H104" s="30" t="s">
        <v>198</v>
      </c>
      <c r="I104" s="30" t="s">
        <v>202</v>
      </c>
      <c r="J104" s="31" t="s">
        <v>108</v>
      </c>
      <c r="K104" s="31" t="s">
        <v>108</v>
      </c>
      <c r="L104" s="31">
        <v>7</v>
      </c>
      <c r="M104" s="30" t="s">
        <v>198</v>
      </c>
    </row>
    <row r="105" spans="1:13" x14ac:dyDescent="0.3">
      <c r="A105" s="32" t="s">
        <v>203</v>
      </c>
      <c r="B105" s="32" t="s">
        <v>204</v>
      </c>
      <c r="C105" s="32" t="s">
        <v>1039</v>
      </c>
      <c r="D105" s="31" t="s">
        <v>108</v>
      </c>
      <c r="E105" s="31" t="s">
        <v>108</v>
      </c>
      <c r="F105" s="31">
        <v>3.5</v>
      </c>
      <c r="G105" s="29" t="s">
        <v>529</v>
      </c>
      <c r="H105" s="30" t="s">
        <v>198</v>
      </c>
      <c r="I105" s="30" t="s">
        <v>204</v>
      </c>
      <c r="J105" s="31" t="s">
        <v>108</v>
      </c>
      <c r="K105" s="31" t="s">
        <v>108</v>
      </c>
      <c r="L105" s="31">
        <v>3.5</v>
      </c>
      <c r="M105" s="30" t="s">
        <v>198</v>
      </c>
    </row>
    <row r="106" spans="1:13" x14ac:dyDescent="0.3">
      <c r="A106" s="32" t="s">
        <v>205</v>
      </c>
      <c r="B106" s="32" t="s">
        <v>206</v>
      </c>
      <c r="C106" s="32" t="s">
        <v>1283</v>
      </c>
      <c r="D106" s="31" t="s">
        <v>108</v>
      </c>
      <c r="E106" s="31" t="s">
        <v>108</v>
      </c>
      <c r="F106" s="31">
        <v>100</v>
      </c>
      <c r="G106" s="29" t="s">
        <v>529</v>
      </c>
      <c r="H106" s="30" t="s">
        <v>207</v>
      </c>
      <c r="I106" s="30" t="s">
        <v>206</v>
      </c>
      <c r="J106" s="31" t="s">
        <v>108</v>
      </c>
      <c r="K106" s="31" t="s">
        <v>108</v>
      </c>
      <c r="L106" s="31">
        <v>100</v>
      </c>
      <c r="M106" s="30" t="s">
        <v>207</v>
      </c>
    </row>
    <row r="107" spans="1:13" x14ac:dyDescent="0.3">
      <c r="A107" s="81" t="s">
        <v>218</v>
      </c>
      <c r="B107" s="81"/>
      <c r="C107" s="81"/>
      <c r="D107" s="82"/>
      <c r="E107" s="82"/>
      <c r="F107" s="82"/>
      <c r="G107" s="83"/>
      <c r="H107" s="84"/>
      <c r="I107" s="84"/>
      <c r="J107" s="82"/>
      <c r="K107" s="82"/>
      <c r="L107" s="82"/>
      <c r="M107" s="84"/>
    </row>
    <row r="108" spans="1:13" x14ac:dyDescent="0.3">
      <c r="A108" s="81" t="s">
        <v>1680</v>
      </c>
      <c r="B108" s="81"/>
      <c r="C108" s="81"/>
      <c r="D108" s="82"/>
      <c r="E108" s="82"/>
      <c r="F108" s="82"/>
      <c r="G108" s="83"/>
      <c r="H108" s="84"/>
      <c r="I108" s="84"/>
      <c r="J108" s="82"/>
      <c r="K108" s="82"/>
      <c r="L108" s="82"/>
      <c r="M108" s="84"/>
    </row>
    <row r="109" spans="1:13" x14ac:dyDescent="0.3">
      <c r="A109" s="32" t="s">
        <v>1681</v>
      </c>
      <c r="B109" s="32" t="s">
        <v>1683</v>
      </c>
      <c r="C109" s="32" t="s">
        <v>1684</v>
      </c>
      <c r="D109" s="31"/>
      <c r="E109" s="31">
        <v>0.32</v>
      </c>
      <c r="F109" s="31">
        <v>12</v>
      </c>
      <c r="G109" s="29" t="s">
        <v>832</v>
      </c>
      <c r="H109" s="30" t="s">
        <v>1685</v>
      </c>
      <c r="I109" s="30" t="s">
        <v>1683</v>
      </c>
      <c r="J109" s="31"/>
      <c r="K109" s="31">
        <v>0.32</v>
      </c>
      <c r="L109" s="31">
        <v>12</v>
      </c>
      <c r="M109" s="30" t="s">
        <v>1685</v>
      </c>
    </row>
    <row r="110" spans="1:13" x14ac:dyDescent="0.3">
      <c r="A110" s="32" t="s">
        <v>1736</v>
      </c>
      <c r="B110" s="32" t="s">
        <v>1737</v>
      </c>
      <c r="C110" s="32" t="s">
        <v>1875</v>
      </c>
      <c r="D110" s="31"/>
      <c r="E110" s="31"/>
      <c r="F110" s="31" t="s">
        <v>1354</v>
      </c>
      <c r="G110" s="29" t="s">
        <v>478</v>
      </c>
      <c r="H110" s="30"/>
      <c r="I110" s="30" t="s">
        <v>1737</v>
      </c>
      <c r="J110" s="31"/>
      <c r="K110" s="31"/>
      <c r="L110" s="31" t="s">
        <v>1354</v>
      </c>
      <c r="M110" s="30"/>
    </row>
    <row r="111" spans="1:13" x14ac:dyDescent="0.3">
      <c r="A111" s="32" t="s">
        <v>1738</v>
      </c>
      <c r="B111" s="32" t="s">
        <v>1739</v>
      </c>
      <c r="C111" s="32" t="s">
        <v>1740</v>
      </c>
      <c r="D111" s="31"/>
      <c r="E111" s="31"/>
      <c r="F111" s="31" t="s">
        <v>1354</v>
      </c>
      <c r="G111" s="29" t="s">
        <v>478</v>
      </c>
      <c r="H111" s="30"/>
      <c r="I111" s="30" t="s">
        <v>1739</v>
      </c>
      <c r="J111" s="31"/>
      <c r="K111" s="31"/>
      <c r="L111" s="31" t="s">
        <v>1354</v>
      </c>
      <c r="M111" s="30"/>
    </row>
    <row r="112" spans="1:13" x14ac:dyDescent="0.3">
      <c r="A112" s="32" t="s">
        <v>1741</v>
      </c>
      <c r="B112" s="32" t="s">
        <v>1742</v>
      </c>
      <c r="C112" s="32" t="s">
        <v>1876</v>
      </c>
      <c r="D112" s="31"/>
      <c r="E112" s="31"/>
      <c r="F112" s="31" t="s">
        <v>1354</v>
      </c>
      <c r="G112" s="29" t="s">
        <v>1743</v>
      </c>
      <c r="H112" s="30"/>
      <c r="I112" s="30" t="s">
        <v>1742</v>
      </c>
      <c r="J112" s="31"/>
      <c r="K112" s="31"/>
      <c r="L112" s="31" t="s">
        <v>1354</v>
      </c>
      <c r="M112" s="30"/>
    </row>
    <row r="113" spans="1:13" x14ac:dyDescent="0.3">
      <c r="A113" s="32" t="s">
        <v>1744</v>
      </c>
      <c r="B113" s="32" t="s">
        <v>1745</v>
      </c>
      <c r="C113" s="32" t="s">
        <v>1877</v>
      </c>
      <c r="D113" s="31"/>
      <c r="E113" s="31"/>
      <c r="F113" s="31" t="s">
        <v>1354</v>
      </c>
      <c r="G113" s="29" t="s">
        <v>241</v>
      </c>
      <c r="H113" s="30"/>
      <c r="I113" s="30" t="s">
        <v>1745</v>
      </c>
      <c r="J113" s="31"/>
      <c r="K113" s="31"/>
      <c r="L113" s="31" t="s">
        <v>1354</v>
      </c>
      <c r="M113" s="30"/>
    </row>
    <row r="114" spans="1:13" x14ac:dyDescent="0.3">
      <c r="A114" s="32" t="s">
        <v>1746</v>
      </c>
      <c r="B114" s="32" t="s">
        <v>1747</v>
      </c>
      <c r="C114" s="32" t="s">
        <v>1748</v>
      </c>
      <c r="D114" s="31"/>
      <c r="E114" s="31"/>
      <c r="F114" s="31" t="s">
        <v>1354</v>
      </c>
      <c r="G114" s="29" t="s">
        <v>1743</v>
      </c>
      <c r="H114" s="30"/>
      <c r="I114" s="30" t="s">
        <v>1747</v>
      </c>
      <c r="J114" s="31"/>
      <c r="K114" s="31"/>
      <c r="L114" s="31" t="s">
        <v>1354</v>
      </c>
      <c r="M114" s="30"/>
    </row>
    <row r="115" spans="1:13" x14ac:dyDescent="0.3">
      <c r="A115" s="32" t="s">
        <v>1749</v>
      </c>
      <c r="B115" s="32" t="s">
        <v>1747</v>
      </c>
      <c r="C115" s="32" t="s">
        <v>1750</v>
      </c>
      <c r="D115" s="31"/>
      <c r="E115" s="31"/>
      <c r="F115" s="31" t="s">
        <v>1354</v>
      </c>
      <c r="G115" s="29" t="s">
        <v>1743</v>
      </c>
      <c r="H115" s="30"/>
      <c r="I115" s="30" t="s">
        <v>1747</v>
      </c>
      <c r="J115" s="31"/>
      <c r="K115" s="31"/>
      <c r="L115" s="31" t="s">
        <v>1354</v>
      </c>
      <c r="M115" s="30"/>
    </row>
    <row r="116" spans="1:13" x14ac:dyDescent="0.3">
      <c r="A116" s="81" t="s">
        <v>1044</v>
      </c>
      <c r="B116" s="81"/>
      <c r="C116" s="81"/>
      <c r="D116" s="82"/>
      <c r="E116" s="82"/>
      <c r="F116" s="82"/>
      <c r="G116" s="83"/>
      <c r="H116" s="84"/>
      <c r="I116" s="84"/>
      <c r="J116" s="82"/>
      <c r="K116" s="82"/>
      <c r="L116" s="82"/>
      <c r="M116" s="84"/>
    </row>
    <row r="117" spans="1:13" x14ac:dyDescent="0.3">
      <c r="A117" s="32" t="s">
        <v>221</v>
      </c>
      <c r="B117" s="32" t="s">
        <v>222</v>
      </c>
      <c r="C117" s="32" t="s">
        <v>1254</v>
      </c>
      <c r="D117" s="135">
        <v>-10</v>
      </c>
      <c r="E117" s="31" t="s">
        <v>108</v>
      </c>
      <c r="F117" s="135">
        <v>10</v>
      </c>
      <c r="G117" s="29" t="s">
        <v>831</v>
      </c>
      <c r="H117" s="30"/>
      <c r="I117" s="30" t="s">
        <v>222</v>
      </c>
      <c r="J117" s="135">
        <v>-10</v>
      </c>
      <c r="K117" s="31" t="s">
        <v>108</v>
      </c>
      <c r="L117" s="135">
        <v>10</v>
      </c>
      <c r="M117" s="30"/>
    </row>
    <row r="118" spans="1:13" x14ac:dyDescent="0.3">
      <c r="A118" s="32" t="s">
        <v>1010</v>
      </c>
      <c r="B118" s="32" t="s">
        <v>223</v>
      </c>
      <c r="C118" s="32" t="s">
        <v>1202</v>
      </c>
      <c r="D118" s="31">
        <v>-25</v>
      </c>
      <c r="E118" s="31" t="s">
        <v>1012</v>
      </c>
      <c r="F118" s="31">
        <v>25</v>
      </c>
      <c r="G118" s="29" t="s">
        <v>831</v>
      </c>
      <c r="H118" s="30"/>
      <c r="I118" s="30" t="s">
        <v>223</v>
      </c>
      <c r="J118" s="31">
        <v>-25</v>
      </c>
      <c r="K118" s="31" t="s">
        <v>1012</v>
      </c>
      <c r="L118" s="31">
        <v>25</v>
      </c>
      <c r="M118" s="30"/>
    </row>
    <row r="119" spans="1:13" x14ac:dyDescent="0.3">
      <c r="A119" s="32" t="s">
        <v>1201</v>
      </c>
      <c r="B119" s="32" t="s">
        <v>1203</v>
      </c>
      <c r="C119" s="32" t="s">
        <v>1011</v>
      </c>
      <c r="D119" s="31">
        <v>-25</v>
      </c>
      <c r="E119" s="31" t="s">
        <v>1012</v>
      </c>
      <c r="F119" s="31">
        <v>25</v>
      </c>
      <c r="G119" s="29" t="s">
        <v>831</v>
      </c>
      <c r="H119" s="30"/>
      <c r="I119" s="30" t="s">
        <v>1203</v>
      </c>
      <c r="J119" s="31">
        <v>-25</v>
      </c>
      <c r="K119" s="31" t="s">
        <v>1012</v>
      </c>
      <c r="L119" s="31">
        <v>25</v>
      </c>
      <c r="M119" s="30"/>
    </row>
    <row r="120" spans="1:13" x14ac:dyDescent="0.3">
      <c r="A120" s="32" t="s">
        <v>224</v>
      </c>
      <c r="B120" s="32" t="s">
        <v>1205</v>
      </c>
      <c r="C120" s="32" t="s">
        <v>1207</v>
      </c>
      <c r="D120" s="135" t="s">
        <v>108</v>
      </c>
      <c r="E120" s="31" t="s">
        <v>108</v>
      </c>
      <c r="F120" s="135">
        <v>60</v>
      </c>
      <c r="G120" s="29" t="s">
        <v>831</v>
      </c>
      <c r="H120" s="30"/>
      <c r="I120" s="30" t="s">
        <v>1205</v>
      </c>
      <c r="J120" s="135" t="s">
        <v>108</v>
      </c>
      <c r="K120" s="31" t="s">
        <v>108</v>
      </c>
      <c r="L120" s="135">
        <v>60</v>
      </c>
      <c r="M120" s="30"/>
    </row>
    <row r="121" spans="1:13" x14ac:dyDescent="0.3">
      <c r="A121" s="32" t="s">
        <v>1204</v>
      </c>
      <c r="B121" s="32" t="s">
        <v>1206</v>
      </c>
      <c r="C121" s="32" t="s">
        <v>1208</v>
      </c>
      <c r="D121" s="31" t="s">
        <v>108</v>
      </c>
      <c r="E121" s="31" t="s">
        <v>108</v>
      </c>
      <c r="F121" s="31">
        <v>80</v>
      </c>
      <c r="G121" s="29" t="s">
        <v>831</v>
      </c>
      <c r="H121" s="30"/>
      <c r="I121" s="30" t="s">
        <v>1206</v>
      </c>
      <c r="J121" s="31" t="s">
        <v>108</v>
      </c>
      <c r="K121" s="31" t="s">
        <v>108</v>
      </c>
      <c r="L121" s="31">
        <v>80</v>
      </c>
      <c r="M121" s="30"/>
    </row>
    <row r="122" spans="1:13" x14ac:dyDescent="0.3">
      <c r="A122" s="32" t="s">
        <v>225</v>
      </c>
      <c r="B122" s="32" t="s">
        <v>226</v>
      </c>
      <c r="C122" s="32" t="s">
        <v>1211</v>
      </c>
      <c r="D122" s="135">
        <v>0</v>
      </c>
      <c r="E122" s="31" t="s">
        <v>108</v>
      </c>
      <c r="F122" s="135" t="s">
        <v>1209</v>
      </c>
      <c r="G122" s="29" t="s">
        <v>475</v>
      </c>
      <c r="H122" s="30"/>
      <c r="I122" s="30" t="s">
        <v>226</v>
      </c>
      <c r="J122" s="135">
        <v>0</v>
      </c>
      <c r="K122" s="31" t="s">
        <v>108</v>
      </c>
      <c r="L122" s="135" t="s">
        <v>1209</v>
      </c>
      <c r="M122" s="30"/>
    </row>
    <row r="123" spans="1:13" x14ac:dyDescent="0.3">
      <c r="A123" s="32" t="s">
        <v>227</v>
      </c>
      <c r="B123" s="32" t="s">
        <v>228</v>
      </c>
      <c r="C123" s="32" t="s">
        <v>1212</v>
      </c>
      <c r="D123" s="31">
        <v>0</v>
      </c>
      <c r="E123" s="31" t="s">
        <v>108</v>
      </c>
      <c r="F123" s="31" t="s">
        <v>1209</v>
      </c>
      <c r="G123" s="29" t="s">
        <v>475</v>
      </c>
      <c r="H123" s="30"/>
      <c r="I123" s="30" t="s">
        <v>228</v>
      </c>
      <c r="J123" s="31">
        <v>0</v>
      </c>
      <c r="K123" s="31" t="s">
        <v>108</v>
      </c>
      <c r="L123" s="31" t="s">
        <v>1209</v>
      </c>
      <c r="M123" s="30"/>
    </row>
    <row r="124" spans="1:13" x14ac:dyDescent="0.3">
      <c r="A124" s="32" t="s">
        <v>229</v>
      </c>
      <c r="B124" s="32" t="s">
        <v>230</v>
      </c>
      <c r="C124" s="32" t="s">
        <v>1213</v>
      </c>
      <c r="D124" s="31">
        <v>0</v>
      </c>
      <c r="E124" s="31" t="s">
        <v>108</v>
      </c>
      <c r="F124" s="31" t="s">
        <v>1209</v>
      </c>
      <c r="G124" s="29" t="s">
        <v>475</v>
      </c>
      <c r="H124" s="30"/>
      <c r="I124" s="30" t="s">
        <v>230</v>
      </c>
      <c r="J124" s="31">
        <v>0</v>
      </c>
      <c r="K124" s="31" t="s">
        <v>108</v>
      </c>
      <c r="L124" s="31" t="s">
        <v>1209</v>
      </c>
      <c r="M124" s="30"/>
    </row>
    <row r="125" spans="1:13" x14ac:dyDescent="0.3">
      <c r="A125" s="32" t="s">
        <v>231</v>
      </c>
      <c r="B125" s="32" t="s">
        <v>220</v>
      </c>
      <c r="C125" s="32" t="s">
        <v>1210</v>
      </c>
      <c r="D125" s="31">
        <v>50</v>
      </c>
      <c r="E125" s="31" t="s">
        <v>108</v>
      </c>
      <c r="F125" s="31" t="s">
        <v>108</v>
      </c>
      <c r="G125" s="29" t="s">
        <v>751</v>
      </c>
      <c r="H125" s="30"/>
      <c r="I125" s="30" t="s">
        <v>220</v>
      </c>
      <c r="J125" s="31">
        <v>50</v>
      </c>
      <c r="K125" s="31" t="s">
        <v>108</v>
      </c>
      <c r="L125" s="31" t="s">
        <v>108</v>
      </c>
      <c r="M125" s="30"/>
    </row>
    <row r="126" spans="1:13" x14ac:dyDescent="0.3">
      <c r="A126" s="32" t="s">
        <v>232</v>
      </c>
      <c r="B126" s="32" t="s">
        <v>233</v>
      </c>
      <c r="C126" s="32" t="s">
        <v>1214</v>
      </c>
      <c r="D126" s="31" t="s">
        <v>108</v>
      </c>
      <c r="E126" s="31" t="s">
        <v>108</v>
      </c>
      <c r="F126" s="31">
        <v>150</v>
      </c>
      <c r="G126" s="29" t="s">
        <v>849</v>
      </c>
      <c r="H126" s="30"/>
      <c r="I126" s="30" t="s">
        <v>233</v>
      </c>
      <c r="J126" s="31" t="s">
        <v>108</v>
      </c>
      <c r="K126" s="31" t="s">
        <v>108</v>
      </c>
      <c r="L126" s="31">
        <v>150</v>
      </c>
      <c r="M126" s="30"/>
    </row>
    <row r="127" spans="1:13" x14ac:dyDescent="0.3">
      <c r="A127" s="32" t="s">
        <v>234</v>
      </c>
      <c r="B127" s="32" t="s">
        <v>235</v>
      </c>
      <c r="C127" s="32" t="s">
        <v>1215</v>
      </c>
      <c r="D127" s="31" t="s">
        <v>108</v>
      </c>
      <c r="E127" s="31" t="s">
        <v>108</v>
      </c>
      <c r="F127" s="31">
        <v>10</v>
      </c>
      <c r="G127" s="29" t="s">
        <v>849</v>
      </c>
      <c r="H127" s="33"/>
      <c r="I127" s="30" t="s">
        <v>235</v>
      </c>
      <c r="J127" s="31" t="s">
        <v>108</v>
      </c>
      <c r="K127" s="31" t="s">
        <v>108</v>
      </c>
      <c r="L127" s="31">
        <v>10</v>
      </c>
      <c r="M127" s="33"/>
    </row>
    <row r="128" spans="1:13" x14ac:dyDescent="0.3">
      <c r="A128" s="32" t="s">
        <v>236</v>
      </c>
      <c r="B128" s="32" t="s">
        <v>237</v>
      </c>
      <c r="C128" s="32" t="s">
        <v>1216</v>
      </c>
      <c r="D128" s="135" t="s">
        <v>108</v>
      </c>
      <c r="E128" s="31">
        <v>0.3</v>
      </c>
      <c r="F128" s="135">
        <v>0.85</v>
      </c>
      <c r="G128" s="29" t="s">
        <v>849</v>
      </c>
      <c r="H128" s="33"/>
      <c r="I128" s="30" t="s">
        <v>237</v>
      </c>
      <c r="J128" s="135" t="s">
        <v>108</v>
      </c>
      <c r="K128" s="31">
        <v>0.3</v>
      </c>
      <c r="L128" s="135">
        <v>0.85</v>
      </c>
      <c r="M128" s="33"/>
    </row>
    <row r="129" spans="1:13" x14ac:dyDescent="0.3">
      <c r="A129" s="32" t="s">
        <v>238</v>
      </c>
      <c r="B129" s="32" t="s">
        <v>239</v>
      </c>
      <c r="C129" s="32" t="s">
        <v>240</v>
      </c>
      <c r="D129" s="31">
        <v>35</v>
      </c>
      <c r="E129" s="31" t="s">
        <v>108</v>
      </c>
      <c r="F129" s="31" t="s">
        <v>108</v>
      </c>
      <c r="G129" s="29" t="s">
        <v>241</v>
      </c>
      <c r="H129" s="33"/>
      <c r="I129" s="30" t="s">
        <v>239</v>
      </c>
      <c r="J129" s="31">
        <v>35</v>
      </c>
      <c r="K129" s="31" t="s">
        <v>108</v>
      </c>
      <c r="L129" s="31" t="s">
        <v>108</v>
      </c>
      <c r="M129" s="33"/>
    </row>
    <row r="130" spans="1:13" x14ac:dyDescent="0.3">
      <c r="A130" s="81" t="s">
        <v>1045</v>
      </c>
      <c r="B130" s="81"/>
      <c r="C130" s="94"/>
      <c r="D130" s="82"/>
      <c r="E130" s="82"/>
      <c r="F130" s="82"/>
      <c r="G130" s="83"/>
      <c r="H130" s="98"/>
      <c r="I130" s="84"/>
      <c r="J130" s="82"/>
      <c r="K130" s="82"/>
      <c r="L130" s="82"/>
      <c r="M130" s="98"/>
    </row>
    <row r="131" spans="1:13" x14ac:dyDescent="0.3">
      <c r="A131" s="32" t="s">
        <v>242</v>
      </c>
      <c r="B131" s="32" t="s">
        <v>243</v>
      </c>
      <c r="C131" s="93" t="s">
        <v>1217</v>
      </c>
      <c r="D131" s="31" t="s">
        <v>108</v>
      </c>
      <c r="E131" s="31" t="s">
        <v>108</v>
      </c>
      <c r="F131" s="31">
        <v>100</v>
      </c>
      <c r="G131" s="29" t="s">
        <v>446</v>
      </c>
      <c r="H131" s="33"/>
      <c r="I131" s="30" t="s">
        <v>243</v>
      </c>
      <c r="J131" s="31" t="s">
        <v>108</v>
      </c>
      <c r="K131" s="31" t="s">
        <v>108</v>
      </c>
      <c r="L131" s="31">
        <v>100</v>
      </c>
      <c r="M131" s="33"/>
    </row>
    <row r="132" spans="1:13" x14ac:dyDescent="0.3">
      <c r="A132" s="32" t="s">
        <v>244</v>
      </c>
      <c r="B132" s="32" t="s">
        <v>245</v>
      </c>
      <c r="C132" s="93" t="s">
        <v>1218</v>
      </c>
      <c r="D132" s="31" t="s">
        <v>108</v>
      </c>
      <c r="E132" s="31" t="s">
        <v>108</v>
      </c>
      <c r="F132" s="31">
        <v>1000</v>
      </c>
      <c r="G132" s="29" t="s">
        <v>446</v>
      </c>
      <c r="H132" s="33"/>
      <c r="I132" s="30" t="s">
        <v>245</v>
      </c>
      <c r="J132" s="31" t="s">
        <v>108</v>
      </c>
      <c r="K132" s="31" t="s">
        <v>108</v>
      </c>
      <c r="L132" s="31">
        <v>1000</v>
      </c>
      <c r="M132" s="33"/>
    </row>
    <row r="133" spans="1:13" x14ac:dyDescent="0.3">
      <c r="A133" s="32" t="s">
        <v>246</v>
      </c>
      <c r="B133" s="32" t="s">
        <v>247</v>
      </c>
      <c r="C133" s="93" t="s">
        <v>1219</v>
      </c>
      <c r="D133" s="31" t="s">
        <v>108</v>
      </c>
      <c r="E133" s="31" t="s">
        <v>108</v>
      </c>
      <c r="F133" s="31">
        <v>20</v>
      </c>
      <c r="G133" s="29" t="s">
        <v>142</v>
      </c>
      <c r="H133" s="30"/>
      <c r="I133" s="30" t="s">
        <v>247</v>
      </c>
      <c r="J133" s="31" t="s">
        <v>108</v>
      </c>
      <c r="K133" s="31" t="s">
        <v>108</v>
      </c>
      <c r="L133" s="31">
        <v>20</v>
      </c>
      <c r="M133" s="30"/>
    </row>
    <row r="134" spans="1:13" x14ac:dyDescent="0.3">
      <c r="A134" s="32" t="s">
        <v>1161</v>
      </c>
      <c r="B134" s="32" t="s">
        <v>1164</v>
      </c>
      <c r="C134" s="93" t="s">
        <v>1166</v>
      </c>
      <c r="D134" s="31" t="s">
        <v>108</v>
      </c>
      <c r="E134" s="31" t="s">
        <v>108</v>
      </c>
      <c r="F134" s="31">
        <v>10</v>
      </c>
      <c r="G134" s="29" t="s">
        <v>142</v>
      </c>
      <c r="H134" s="30" t="s">
        <v>1165</v>
      </c>
      <c r="I134" s="30" t="s">
        <v>1164</v>
      </c>
      <c r="J134" s="31" t="s">
        <v>108</v>
      </c>
      <c r="K134" s="31" t="s">
        <v>108</v>
      </c>
      <c r="L134" s="31">
        <v>10</v>
      </c>
      <c r="M134" s="30" t="s">
        <v>1165</v>
      </c>
    </row>
    <row r="135" spans="1:13" x14ac:dyDescent="0.3">
      <c r="A135" s="32" t="s">
        <v>1162</v>
      </c>
      <c r="B135" s="32" t="s">
        <v>1163</v>
      </c>
      <c r="C135" s="32" t="s">
        <v>1166</v>
      </c>
      <c r="D135" s="31" t="s">
        <v>108</v>
      </c>
      <c r="E135" s="31" t="s">
        <v>108</v>
      </c>
      <c r="F135" s="31">
        <v>50</v>
      </c>
      <c r="G135" s="29" t="s">
        <v>142</v>
      </c>
      <c r="H135" s="30" t="s">
        <v>1167</v>
      </c>
      <c r="I135" s="30" t="s">
        <v>1163</v>
      </c>
      <c r="J135" s="31" t="s">
        <v>108</v>
      </c>
      <c r="K135" s="31" t="s">
        <v>108</v>
      </c>
      <c r="L135" s="31">
        <v>50</v>
      </c>
      <c r="M135" s="30" t="s">
        <v>1167</v>
      </c>
    </row>
    <row r="136" spans="1:13" x14ac:dyDescent="0.3">
      <c r="A136" s="81" t="s">
        <v>1878</v>
      </c>
      <c r="B136" s="81"/>
      <c r="C136" s="81"/>
      <c r="D136" s="82"/>
      <c r="E136" s="82"/>
      <c r="F136" s="82"/>
      <c r="G136" s="83"/>
      <c r="H136" s="98"/>
      <c r="I136" s="84"/>
      <c r="J136" s="82"/>
      <c r="K136" s="82"/>
      <c r="L136" s="82"/>
      <c r="M136" s="98"/>
    </row>
    <row r="137" spans="1:13" x14ac:dyDescent="0.3">
      <c r="A137" s="32" t="s">
        <v>1889</v>
      </c>
      <c r="B137" s="32" t="s">
        <v>1547</v>
      </c>
      <c r="C137" s="32" t="s">
        <v>1548</v>
      </c>
      <c r="D137" s="31"/>
      <c r="E137" s="31">
        <v>1.2</v>
      </c>
      <c r="F137" s="31"/>
      <c r="G137" s="29" t="s">
        <v>475</v>
      </c>
      <c r="H137" s="30" t="s">
        <v>1891</v>
      </c>
      <c r="I137" s="30" t="s">
        <v>1547</v>
      </c>
      <c r="J137" s="31"/>
      <c r="K137" s="31">
        <v>1.2</v>
      </c>
      <c r="L137" s="31"/>
      <c r="M137" s="30" t="s">
        <v>1891</v>
      </c>
    </row>
    <row r="138" spans="1:13" x14ac:dyDescent="0.3">
      <c r="A138" s="32" t="s">
        <v>1892</v>
      </c>
      <c r="B138" s="32" t="s">
        <v>1549</v>
      </c>
      <c r="C138" s="93" t="s">
        <v>1550</v>
      </c>
      <c r="D138" s="31">
        <v>-3</v>
      </c>
      <c r="E138" s="31" t="s">
        <v>108</v>
      </c>
      <c r="F138" s="31">
        <v>3</v>
      </c>
      <c r="G138" s="29" t="s">
        <v>831</v>
      </c>
      <c r="H138" s="33"/>
      <c r="I138" s="30" t="s">
        <v>1549</v>
      </c>
      <c r="J138" s="31">
        <v>-3</v>
      </c>
      <c r="K138" s="31" t="s">
        <v>108</v>
      </c>
      <c r="L138" s="31">
        <v>3</v>
      </c>
      <c r="M138" s="33"/>
    </row>
    <row r="139" spans="1:13" x14ac:dyDescent="0.3">
      <c r="A139" s="32" t="s">
        <v>1893</v>
      </c>
      <c r="B139" s="32" t="s">
        <v>1551</v>
      </c>
      <c r="C139" s="32" t="s">
        <v>1894</v>
      </c>
      <c r="D139" s="31">
        <v>-0.2</v>
      </c>
      <c r="E139" s="31" t="s">
        <v>108</v>
      </c>
      <c r="F139" s="31">
        <v>0.2</v>
      </c>
      <c r="G139" s="29" t="s">
        <v>475</v>
      </c>
      <c r="H139" s="33"/>
      <c r="I139" s="30" t="s">
        <v>1551</v>
      </c>
      <c r="J139" s="31">
        <v>-0.2</v>
      </c>
      <c r="K139" s="31" t="s">
        <v>108</v>
      </c>
      <c r="L139" s="31">
        <v>0.2</v>
      </c>
      <c r="M139" s="33"/>
    </row>
    <row r="140" spans="1:13" x14ac:dyDescent="0.3">
      <c r="A140" s="32" t="s">
        <v>2064</v>
      </c>
      <c r="B140" s="32" t="s">
        <v>2063</v>
      </c>
      <c r="C140" s="93" t="s">
        <v>1895</v>
      </c>
      <c r="D140" s="31">
        <v>0</v>
      </c>
      <c r="E140" s="31"/>
      <c r="F140" s="31" t="s">
        <v>829</v>
      </c>
      <c r="G140" s="29" t="s">
        <v>475</v>
      </c>
      <c r="H140" s="30"/>
      <c r="I140" s="30" t="s">
        <v>2063</v>
      </c>
      <c r="J140" s="31">
        <v>0</v>
      </c>
      <c r="K140" s="31"/>
      <c r="L140" s="31" t="s">
        <v>829</v>
      </c>
      <c r="M140" s="30"/>
    </row>
    <row r="141" spans="1:13" x14ac:dyDescent="0.3">
      <c r="A141" s="32" t="s">
        <v>1896</v>
      </c>
      <c r="B141" s="32" t="s">
        <v>1552</v>
      </c>
      <c r="C141" s="93" t="s">
        <v>1924</v>
      </c>
      <c r="D141" s="31"/>
      <c r="E141" s="31"/>
      <c r="F141" s="31">
        <v>600</v>
      </c>
      <c r="G141" s="29" t="s">
        <v>219</v>
      </c>
      <c r="H141" s="30" t="s">
        <v>1897</v>
      </c>
      <c r="I141" s="30" t="s">
        <v>1552</v>
      </c>
      <c r="J141" s="31"/>
      <c r="K141" s="31"/>
      <c r="L141" s="31">
        <v>600</v>
      </c>
      <c r="M141" s="30" t="s">
        <v>1897</v>
      </c>
    </row>
    <row r="142" spans="1:13" x14ac:dyDescent="0.3">
      <c r="A142" s="32" t="s">
        <v>1898</v>
      </c>
      <c r="B142" s="32" t="s">
        <v>1553</v>
      </c>
      <c r="C142" s="32" t="s">
        <v>1925</v>
      </c>
      <c r="D142" s="31"/>
      <c r="E142" s="31"/>
      <c r="F142" s="31">
        <v>100</v>
      </c>
      <c r="G142" s="29" t="s">
        <v>219</v>
      </c>
      <c r="H142" s="30" t="s">
        <v>1899</v>
      </c>
      <c r="I142" s="30" t="s">
        <v>1553</v>
      </c>
      <c r="J142" s="31"/>
      <c r="K142" s="31"/>
      <c r="L142" s="31">
        <v>100</v>
      </c>
      <c r="M142" s="30" t="s">
        <v>1899</v>
      </c>
    </row>
    <row r="143" spans="1:13" x14ac:dyDescent="0.3">
      <c r="A143" s="32" t="s">
        <v>1900</v>
      </c>
      <c r="B143" s="32" t="s">
        <v>1901</v>
      </c>
      <c r="C143" s="32" t="s">
        <v>1926</v>
      </c>
      <c r="D143" s="31">
        <v>2</v>
      </c>
      <c r="E143" s="31" t="s">
        <v>108</v>
      </c>
      <c r="F143" s="31" t="s">
        <v>108</v>
      </c>
      <c r="G143" s="29" t="s">
        <v>258</v>
      </c>
      <c r="H143" s="30" t="s">
        <v>1903</v>
      </c>
      <c r="I143" s="30" t="s">
        <v>1901</v>
      </c>
      <c r="J143" s="31">
        <v>2</v>
      </c>
      <c r="K143" s="31" t="s">
        <v>108</v>
      </c>
      <c r="L143" s="31" t="s">
        <v>108</v>
      </c>
      <c r="M143" s="30" t="s">
        <v>1903</v>
      </c>
    </row>
    <row r="144" spans="1:13" x14ac:dyDescent="0.3">
      <c r="A144" s="32" t="s">
        <v>1904</v>
      </c>
      <c r="B144" s="32" t="s">
        <v>1905</v>
      </c>
      <c r="C144" s="32" t="s">
        <v>1902</v>
      </c>
      <c r="D144" s="31">
        <v>1</v>
      </c>
      <c r="E144" s="31" t="s">
        <v>108</v>
      </c>
      <c r="F144" s="31" t="s">
        <v>108</v>
      </c>
      <c r="G144" s="29" t="s">
        <v>258</v>
      </c>
      <c r="H144" s="33" t="s">
        <v>1903</v>
      </c>
      <c r="I144" s="30" t="s">
        <v>1905</v>
      </c>
      <c r="J144" s="31">
        <v>1</v>
      </c>
      <c r="K144" s="31" t="s">
        <v>108</v>
      </c>
      <c r="L144" s="31" t="s">
        <v>108</v>
      </c>
      <c r="M144" s="33" t="s">
        <v>1903</v>
      </c>
    </row>
    <row r="145" spans="1:13" x14ac:dyDescent="0.3">
      <c r="A145" s="32" t="s">
        <v>1906</v>
      </c>
      <c r="B145" s="32" t="s">
        <v>1907</v>
      </c>
      <c r="C145" s="32" t="s">
        <v>1908</v>
      </c>
      <c r="D145" s="31">
        <v>50</v>
      </c>
      <c r="E145" s="31"/>
      <c r="F145" s="31"/>
      <c r="G145" s="29" t="s">
        <v>446</v>
      </c>
      <c r="H145" s="33" t="s">
        <v>1909</v>
      </c>
      <c r="I145" s="30" t="s">
        <v>1907</v>
      </c>
      <c r="J145" s="31">
        <v>50</v>
      </c>
      <c r="K145" s="31"/>
      <c r="L145" s="31"/>
      <c r="M145" s="33" t="s">
        <v>1909</v>
      </c>
    </row>
    <row r="146" spans="1:13" x14ac:dyDescent="0.3">
      <c r="A146" s="32" t="s">
        <v>1910</v>
      </c>
      <c r="B146" s="32" t="s">
        <v>1554</v>
      </c>
      <c r="C146" s="93" t="s">
        <v>1555</v>
      </c>
      <c r="D146" s="31">
        <v>-2</v>
      </c>
      <c r="E146" s="31" t="s">
        <v>108</v>
      </c>
      <c r="F146" s="31">
        <v>2</v>
      </c>
      <c r="G146" s="29" t="s">
        <v>258</v>
      </c>
      <c r="H146" s="30" t="s">
        <v>1911</v>
      </c>
      <c r="I146" s="30" t="s">
        <v>1554</v>
      </c>
      <c r="J146" s="31">
        <v>-2</v>
      </c>
      <c r="K146" s="31" t="s">
        <v>108</v>
      </c>
      <c r="L146" s="31">
        <v>2</v>
      </c>
      <c r="M146" s="30" t="s">
        <v>1911</v>
      </c>
    </row>
    <row r="147" spans="1:13" x14ac:dyDescent="0.3">
      <c r="A147" s="32" t="s">
        <v>1912</v>
      </c>
      <c r="B147" s="32" t="s">
        <v>1556</v>
      </c>
      <c r="C147" s="93" t="s">
        <v>1557</v>
      </c>
      <c r="D147" s="31">
        <v>-1</v>
      </c>
      <c r="E147" s="31" t="s">
        <v>108</v>
      </c>
      <c r="F147" s="31">
        <v>1</v>
      </c>
      <c r="G147" s="29" t="s">
        <v>258</v>
      </c>
      <c r="H147" s="30" t="s">
        <v>1911</v>
      </c>
      <c r="I147" s="30" t="s">
        <v>1556</v>
      </c>
      <c r="J147" s="31">
        <v>-1</v>
      </c>
      <c r="K147" s="31" t="s">
        <v>108</v>
      </c>
      <c r="L147" s="31">
        <v>1</v>
      </c>
      <c r="M147" s="30" t="s">
        <v>1911</v>
      </c>
    </row>
    <row r="148" spans="1:13" x14ac:dyDescent="0.3">
      <c r="A148" s="32" t="s">
        <v>1913</v>
      </c>
      <c r="B148" s="32" t="s">
        <v>1914</v>
      </c>
      <c r="C148" s="32" t="s">
        <v>1584</v>
      </c>
      <c r="D148" s="31"/>
      <c r="E148" s="31"/>
      <c r="F148" s="31">
        <v>50</v>
      </c>
      <c r="G148" s="29" t="s">
        <v>1915</v>
      </c>
      <c r="H148" s="30"/>
      <c r="I148" s="30" t="s">
        <v>1914</v>
      </c>
      <c r="J148" s="31"/>
      <c r="K148" s="31"/>
      <c r="L148" s="31">
        <v>50</v>
      </c>
      <c r="M148" s="30"/>
    </row>
    <row r="149" spans="1:13" x14ac:dyDescent="0.3">
      <c r="A149" s="32" t="s">
        <v>1913</v>
      </c>
      <c r="B149" s="32" t="s">
        <v>1916</v>
      </c>
      <c r="C149" s="32" t="s">
        <v>1917</v>
      </c>
      <c r="D149" s="31"/>
      <c r="E149" s="31"/>
      <c r="F149" s="31">
        <v>50</v>
      </c>
      <c r="G149" s="29" t="s">
        <v>446</v>
      </c>
      <c r="H149" s="30" t="s">
        <v>1918</v>
      </c>
      <c r="I149" s="30" t="s">
        <v>1916</v>
      </c>
      <c r="J149" s="31"/>
      <c r="K149" s="31"/>
      <c r="L149" s="31">
        <v>50</v>
      </c>
      <c r="M149" s="30" t="s">
        <v>1918</v>
      </c>
    </row>
    <row r="150" spans="1:13" x14ac:dyDescent="0.3">
      <c r="A150" s="32" t="s">
        <v>1919</v>
      </c>
      <c r="B150" s="32" t="s">
        <v>1920</v>
      </c>
      <c r="C150" s="32" t="s">
        <v>1921</v>
      </c>
      <c r="D150" s="31"/>
      <c r="E150" s="31">
        <v>12</v>
      </c>
      <c r="F150" s="31"/>
      <c r="G150" s="29" t="s">
        <v>448</v>
      </c>
      <c r="H150" s="30"/>
      <c r="I150" s="30" t="s">
        <v>1920</v>
      </c>
      <c r="J150" s="31"/>
      <c r="K150" s="31">
        <v>12</v>
      </c>
      <c r="L150" s="31"/>
      <c r="M150" s="30"/>
    </row>
    <row r="151" spans="1:13" x14ac:dyDescent="0.3">
      <c r="A151" s="32" t="s">
        <v>1922</v>
      </c>
      <c r="B151" s="32" t="s">
        <v>1595</v>
      </c>
      <c r="C151" s="32" t="s">
        <v>1923</v>
      </c>
      <c r="D151" s="31"/>
      <c r="E151" s="31">
        <v>10</v>
      </c>
      <c r="F151" s="31"/>
      <c r="G151" s="29" t="s">
        <v>448</v>
      </c>
      <c r="H151" s="33"/>
      <c r="I151" s="30" t="s">
        <v>1595</v>
      </c>
      <c r="J151" s="31"/>
      <c r="K151" s="31">
        <v>10</v>
      </c>
      <c r="L151" s="31"/>
      <c r="M151" s="33"/>
    </row>
    <row r="152" spans="1:13" x14ac:dyDescent="0.3">
      <c r="A152" s="81" t="s">
        <v>1879</v>
      </c>
      <c r="B152" s="81"/>
      <c r="C152" s="81"/>
      <c r="D152" s="82"/>
      <c r="E152" s="82"/>
      <c r="F152" s="82"/>
      <c r="G152" s="83"/>
      <c r="H152" s="84"/>
      <c r="I152" s="84"/>
      <c r="J152" s="82"/>
      <c r="K152" s="82"/>
      <c r="L152" s="82"/>
      <c r="M152" s="84"/>
    </row>
    <row r="153" spans="1:13" x14ac:dyDescent="0.3">
      <c r="A153" s="32" t="s">
        <v>1687</v>
      </c>
      <c r="B153" s="32" t="s">
        <v>1558</v>
      </c>
      <c r="C153" s="93" t="s">
        <v>1559</v>
      </c>
      <c r="D153" s="31" t="s">
        <v>108</v>
      </c>
      <c r="E153" s="31" t="s">
        <v>108</v>
      </c>
      <c r="F153" s="31">
        <v>400</v>
      </c>
      <c r="G153" s="29" t="s">
        <v>1560</v>
      </c>
      <c r="H153" s="33"/>
      <c r="I153" s="30" t="s">
        <v>1558</v>
      </c>
      <c r="J153" s="31" t="s">
        <v>108</v>
      </c>
      <c r="K153" s="31" t="s">
        <v>108</v>
      </c>
      <c r="L153" s="31">
        <v>400</v>
      </c>
      <c r="M153" s="33"/>
    </row>
    <row r="154" spans="1:13" x14ac:dyDescent="0.3">
      <c r="A154" s="32" t="s">
        <v>1927</v>
      </c>
      <c r="B154" s="32" t="s">
        <v>1561</v>
      </c>
      <c r="C154" s="32" t="s">
        <v>2109</v>
      </c>
      <c r="D154" s="31" t="s">
        <v>108</v>
      </c>
      <c r="E154" s="31" t="s">
        <v>108</v>
      </c>
      <c r="F154" s="31">
        <v>50</v>
      </c>
      <c r="G154" s="29" t="s">
        <v>446</v>
      </c>
      <c r="H154" s="30"/>
      <c r="I154" s="30" t="s">
        <v>1561</v>
      </c>
      <c r="J154" s="31" t="s">
        <v>108</v>
      </c>
      <c r="K154" s="31" t="s">
        <v>108</v>
      </c>
      <c r="L154" s="31">
        <v>50</v>
      </c>
      <c r="M154" s="30"/>
    </row>
    <row r="155" spans="1:13" x14ac:dyDescent="0.3">
      <c r="A155" s="32" t="s">
        <v>1928</v>
      </c>
      <c r="B155" s="32" t="s">
        <v>1562</v>
      </c>
      <c r="C155" s="93" t="s">
        <v>2110</v>
      </c>
      <c r="D155" s="31" t="s">
        <v>140</v>
      </c>
      <c r="E155" s="31" t="s">
        <v>140</v>
      </c>
      <c r="F155" s="31">
        <v>100</v>
      </c>
      <c r="G155" s="29" t="s">
        <v>446</v>
      </c>
      <c r="H155" s="30"/>
      <c r="I155" s="30" t="s">
        <v>1562</v>
      </c>
      <c r="J155" s="31" t="s">
        <v>140</v>
      </c>
      <c r="K155" s="31" t="s">
        <v>140</v>
      </c>
      <c r="L155" s="31">
        <v>100</v>
      </c>
      <c r="M155" s="30"/>
    </row>
    <row r="156" spans="1:13" x14ac:dyDescent="0.3">
      <c r="A156" s="32" t="s">
        <v>2061</v>
      </c>
      <c r="B156" s="32" t="s">
        <v>2062</v>
      </c>
      <c r="C156" s="93" t="s">
        <v>2111</v>
      </c>
      <c r="D156" s="31" t="s">
        <v>140</v>
      </c>
      <c r="E156" s="316" t="s">
        <v>140</v>
      </c>
      <c r="F156" s="31">
        <v>20</v>
      </c>
      <c r="G156" s="29" t="s">
        <v>446</v>
      </c>
      <c r="H156" s="30"/>
      <c r="I156" s="30" t="s">
        <v>2062</v>
      </c>
      <c r="J156" s="31" t="s">
        <v>140</v>
      </c>
      <c r="K156" s="316" t="s">
        <v>140</v>
      </c>
      <c r="L156" s="31">
        <v>20</v>
      </c>
      <c r="M156" s="30"/>
    </row>
    <row r="157" spans="1:13" x14ac:dyDescent="0.3">
      <c r="A157" s="32" t="s">
        <v>2068</v>
      </c>
      <c r="B157" s="32" t="s">
        <v>2070</v>
      </c>
      <c r="C157" s="93" t="s">
        <v>2071</v>
      </c>
      <c r="D157" s="31"/>
      <c r="E157" s="31"/>
      <c r="F157" s="31">
        <v>50</v>
      </c>
      <c r="G157" s="29" t="s">
        <v>1915</v>
      </c>
      <c r="H157" s="30" t="s">
        <v>2072</v>
      </c>
      <c r="I157" s="30" t="s">
        <v>2070</v>
      </c>
      <c r="J157" s="31"/>
      <c r="K157" s="31"/>
      <c r="L157" s="31">
        <v>50</v>
      </c>
      <c r="M157" s="30" t="s">
        <v>2072</v>
      </c>
    </row>
    <row r="158" spans="1:13" x14ac:dyDescent="0.3">
      <c r="A158" s="32" t="s">
        <v>2069</v>
      </c>
      <c r="B158" s="32" t="s">
        <v>2065</v>
      </c>
      <c r="C158" s="93" t="s">
        <v>2066</v>
      </c>
      <c r="D158" s="31"/>
      <c r="E158" s="31"/>
      <c r="F158" s="31">
        <v>50</v>
      </c>
      <c r="G158" s="29" t="s">
        <v>446</v>
      </c>
      <c r="H158" s="30" t="s">
        <v>2067</v>
      </c>
      <c r="I158" s="30" t="s">
        <v>2065</v>
      </c>
      <c r="J158" s="31"/>
      <c r="K158" s="31"/>
      <c r="L158" s="31">
        <v>50</v>
      </c>
      <c r="M158" s="30" t="s">
        <v>2067</v>
      </c>
    </row>
    <row r="159" spans="1:13" x14ac:dyDescent="0.3">
      <c r="A159" s="81" t="s">
        <v>1929</v>
      </c>
      <c r="B159" s="81"/>
      <c r="C159" s="94"/>
      <c r="D159" s="82"/>
      <c r="E159" s="82"/>
      <c r="F159" s="82"/>
      <c r="G159" s="83"/>
      <c r="H159" s="84"/>
      <c r="I159" s="84"/>
      <c r="J159" s="82"/>
      <c r="K159" s="82"/>
      <c r="L159" s="82"/>
      <c r="M159" s="84"/>
    </row>
    <row r="160" spans="1:13" x14ac:dyDescent="0.3">
      <c r="A160" s="32" t="s">
        <v>1563</v>
      </c>
      <c r="B160" s="32" t="s">
        <v>1564</v>
      </c>
      <c r="C160" s="93" t="s">
        <v>1565</v>
      </c>
      <c r="D160" s="31"/>
      <c r="E160" s="31">
        <v>1.2</v>
      </c>
      <c r="F160" s="31">
        <v>1.26</v>
      </c>
      <c r="G160" s="29" t="s">
        <v>475</v>
      </c>
      <c r="H160" s="30" t="s">
        <v>2100</v>
      </c>
      <c r="I160" s="30" t="s">
        <v>1564</v>
      </c>
      <c r="J160" s="31"/>
      <c r="K160" s="31">
        <v>1.2</v>
      </c>
      <c r="L160" s="31">
        <v>1.26</v>
      </c>
      <c r="M160" s="30" t="s">
        <v>2100</v>
      </c>
    </row>
    <row r="161" spans="1:13" x14ac:dyDescent="0.3">
      <c r="A161" s="32" t="s">
        <v>1566</v>
      </c>
      <c r="B161" s="32" t="s">
        <v>1567</v>
      </c>
      <c r="C161" s="32" t="s">
        <v>1930</v>
      </c>
      <c r="D161" s="31" t="s">
        <v>108</v>
      </c>
      <c r="E161" s="31" t="s">
        <v>108</v>
      </c>
      <c r="F161" s="31">
        <v>12</v>
      </c>
      <c r="G161" s="29" t="s">
        <v>448</v>
      </c>
      <c r="H161" s="30"/>
      <c r="I161" s="30" t="s">
        <v>1567</v>
      </c>
      <c r="J161" s="31" t="s">
        <v>108</v>
      </c>
      <c r="K161" s="31" t="s">
        <v>108</v>
      </c>
      <c r="L161" s="31">
        <v>12</v>
      </c>
      <c r="M161" s="30"/>
    </row>
    <row r="162" spans="1:13" x14ac:dyDescent="0.3">
      <c r="A162" s="32" t="s">
        <v>1568</v>
      </c>
      <c r="B162" s="32" t="s">
        <v>1931</v>
      </c>
      <c r="C162" s="93" t="s">
        <v>1569</v>
      </c>
      <c r="D162" s="31">
        <v>-1</v>
      </c>
      <c r="E162" s="31" t="s">
        <v>108</v>
      </c>
      <c r="F162" s="31">
        <v>1</v>
      </c>
      <c r="G162" s="29" t="s">
        <v>530</v>
      </c>
      <c r="H162" s="30"/>
      <c r="I162" s="30" t="s">
        <v>1931</v>
      </c>
      <c r="J162" s="31">
        <v>-1</v>
      </c>
      <c r="K162" s="31" t="s">
        <v>108</v>
      </c>
      <c r="L162" s="31">
        <v>1</v>
      </c>
      <c r="M162" s="30"/>
    </row>
    <row r="163" spans="1:13" x14ac:dyDescent="0.3">
      <c r="A163" s="32" t="s">
        <v>1571</v>
      </c>
      <c r="B163" s="32" t="s">
        <v>1662</v>
      </c>
      <c r="C163" s="93" t="s">
        <v>1663</v>
      </c>
      <c r="D163" s="31">
        <v>-4</v>
      </c>
      <c r="E163" s="31" t="s">
        <v>108</v>
      </c>
      <c r="F163" s="31">
        <v>4</v>
      </c>
      <c r="G163" s="29" t="s">
        <v>258</v>
      </c>
      <c r="H163" s="30" t="s">
        <v>2073</v>
      </c>
      <c r="I163" s="30" t="s">
        <v>1662</v>
      </c>
      <c r="J163" s="31">
        <v>-4</v>
      </c>
      <c r="K163" s="31" t="s">
        <v>108</v>
      </c>
      <c r="L163" s="31">
        <v>4</v>
      </c>
      <c r="M163" s="30" t="s">
        <v>2073</v>
      </c>
    </row>
    <row r="164" spans="1:13" ht="21" x14ac:dyDescent="0.3">
      <c r="A164" s="32" t="s">
        <v>1572</v>
      </c>
      <c r="B164" s="32" t="s">
        <v>257</v>
      </c>
      <c r="C164" s="93" t="s">
        <v>1355</v>
      </c>
      <c r="D164" s="31">
        <v>-3</v>
      </c>
      <c r="E164" s="31" t="s">
        <v>140</v>
      </c>
      <c r="F164" s="31">
        <v>3</v>
      </c>
      <c r="G164" s="29" t="s">
        <v>258</v>
      </c>
      <c r="H164" s="30" t="s">
        <v>1932</v>
      </c>
      <c r="I164" s="30" t="s">
        <v>257</v>
      </c>
      <c r="J164" s="31">
        <v>-3</v>
      </c>
      <c r="K164" s="31" t="s">
        <v>140</v>
      </c>
      <c r="L164" s="31">
        <v>3</v>
      </c>
      <c r="M164" s="30" t="s">
        <v>1932</v>
      </c>
    </row>
    <row r="165" spans="1:13" x14ac:dyDescent="0.3">
      <c r="A165" s="32" t="s">
        <v>1573</v>
      </c>
      <c r="B165" s="32" t="s">
        <v>259</v>
      </c>
      <c r="C165" s="32" t="s">
        <v>1368</v>
      </c>
      <c r="D165" s="31">
        <v>-1</v>
      </c>
      <c r="E165" s="31" t="s">
        <v>140</v>
      </c>
      <c r="F165" s="31">
        <v>2</v>
      </c>
      <c r="G165" s="29" t="s">
        <v>258</v>
      </c>
      <c r="H165" s="30" t="s">
        <v>1932</v>
      </c>
      <c r="I165" s="30" t="s">
        <v>259</v>
      </c>
      <c r="J165" s="31">
        <v>-1</v>
      </c>
      <c r="K165" s="31" t="s">
        <v>140</v>
      </c>
      <c r="L165" s="31">
        <v>2</v>
      </c>
      <c r="M165" s="30" t="s">
        <v>1932</v>
      </c>
    </row>
    <row r="166" spans="1:13" x14ac:dyDescent="0.3">
      <c r="A166" s="32" t="s">
        <v>1574</v>
      </c>
      <c r="B166" s="32" t="s">
        <v>1040</v>
      </c>
      <c r="C166" s="32" t="s">
        <v>1575</v>
      </c>
      <c r="D166" s="31" t="s">
        <v>108</v>
      </c>
      <c r="E166" s="31" t="s">
        <v>108</v>
      </c>
      <c r="F166" s="31">
        <v>17</v>
      </c>
      <c r="G166" s="29" t="s">
        <v>476</v>
      </c>
      <c r="H166" s="33" t="s">
        <v>1933</v>
      </c>
      <c r="I166" s="30" t="s">
        <v>1040</v>
      </c>
      <c r="J166" s="31" t="s">
        <v>108</v>
      </c>
      <c r="K166" s="31" t="s">
        <v>108</v>
      </c>
      <c r="L166" s="31">
        <v>17</v>
      </c>
      <c r="M166" s="33" t="s">
        <v>1933</v>
      </c>
    </row>
    <row r="167" spans="1:13" x14ac:dyDescent="0.3">
      <c r="A167" s="32" t="s">
        <v>1576</v>
      </c>
      <c r="B167" s="32" t="s">
        <v>255</v>
      </c>
      <c r="C167" s="32" t="s">
        <v>1672</v>
      </c>
      <c r="D167" s="31">
        <v>-0.25</v>
      </c>
      <c r="E167" s="31" t="s">
        <v>108</v>
      </c>
      <c r="F167" s="31" t="s">
        <v>2074</v>
      </c>
      <c r="G167" s="29" t="s">
        <v>475</v>
      </c>
      <c r="H167" s="33" t="s">
        <v>1934</v>
      </c>
      <c r="I167" s="30" t="s">
        <v>255</v>
      </c>
      <c r="J167" s="31">
        <v>-0.25</v>
      </c>
      <c r="K167" s="316" t="s">
        <v>108</v>
      </c>
      <c r="L167" s="31" t="s">
        <v>2074</v>
      </c>
      <c r="M167" s="33" t="s">
        <v>1934</v>
      </c>
    </row>
    <row r="168" spans="1:13" x14ac:dyDescent="0.3">
      <c r="A168" s="32" t="s">
        <v>1686</v>
      </c>
      <c r="B168" s="32" t="s">
        <v>1935</v>
      </c>
      <c r="C168" s="32" t="s">
        <v>1936</v>
      </c>
      <c r="D168" s="31">
        <v>-3.3</v>
      </c>
      <c r="E168" s="31" t="s">
        <v>108</v>
      </c>
      <c r="F168" s="31">
        <v>3.3</v>
      </c>
      <c r="G168" s="29" t="s">
        <v>475</v>
      </c>
      <c r="H168" s="30" t="s">
        <v>2087</v>
      </c>
      <c r="I168" s="30" t="s">
        <v>1935</v>
      </c>
      <c r="J168" s="31">
        <v>-3.3</v>
      </c>
      <c r="K168" s="31" t="s">
        <v>108</v>
      </c>
      <c r="L168" s="31">
        <v>3.3</v>
      </c>
      <c r="M168" s="30" t="s">
        <v>2087</v>
      </c>
    </row>
    <row r="169" spans="1:13" x14ac:dyDescent="0.3">
      <c r="A169" s="32" t="s">
        <v>1938</v>
      </c>
      <c r="B169" s="32" t="s">
        <v>1939</v>
      </c>
      <c r="C169" s="93" t="s">
        <v>1940</v>
      </c>
      <c r="D169" s="31">
        <v>0</v>
      </c>
      <c r="E169" s="31" t="s">
        <v>108</v>
      </c>
      <c r="F169" s="31">
        <v>3.3</v>
      </c>
      <c r="G169" s="29" t="s">
        <v>475</v>
      </c>
      <c r="H169" s="33" t="s">
        <v>2087</v>
      </c>
      <c r="I169" s="30" t="s">
        <v>1939</v>
      </c>
      <c r="J169" s="31">
        <v>0</v>
      </c>
      <c r="K169" s="31" t="s">
        <v>108</v>
      </c>
      <c r="L169" s="31">
        <v>3.3</v>
      </c>
      <c r="M169" s="33" t="s">
        <v>2087</v>
      </c>
    </row>
    <row r="170" spans="1:13" x14ac:dyDescent="0.3">
      <c r="A170" s="32" t="s">
        <v>1941</v>
      </c>
      <c r="B170" s="32" t="s">
        <v>1942</v>
      </c>
      <c r="C170" s="32" t="s">
        <v>1943</v>
      </c>
      <c r="D170" s="31" t="s">
        <v>108</v>
      </c>
      <c r="E170" s="31"/>
      <c r="F170" s="31">
        <v>3.5</v>
      </c>
      <c r="G170" s="29" t="s">
        <v>1944</v>
      </c>
      <c r="H170" s="33" t="s">
        <v>2053</v>
      </c>
      <c r="I170" s="30" t="s">
        <v>1942</v>
      </c>
      <c r="J170" s="31" t="s">
        <v>108</v>
      </c>
      <c r="K170" s="31"/>
      <c r="L170" s="31">
        <v>3.5</v>
      </c>
      <c r="M170" s="33" t="s">
        <v>2053</v>
      </c>
    </row>
    <row r="171" spans="1:13" x14ac:dyDescent="0.3">
      <c r="A171" s="32" t="s">
        <v>1945</v>
      </c>
      <c r="B171" s="32" t="s">
        <v>1946</v>
      </c>
      <c r="C171" s="93" t="s">
        <v>1947</v>
      </c>
      <c r="D171" s="31" t="s">
        <v>108</v>
      </c>
      <c r="E171" s="31">
        <v>1.5</v>
      </c>
      <c r="F171" s="31" t="s">
        <v>108</v>
      </c>
      <c r="G171" s="29" t="s">
        <v>478</v>
      </c>
      <c r="H171" s="33"/>
      <c r="I171" s="30" t="s">
        <v>1946</v>
      </c>
      <c r="J171" s="31" t="s">
        <v>108</v>
      </c>
      <c r="K171" s="31">
        <v>1.5</v>
      </c>
      <c r="L171" s="31" t="s">
        <v>108</v>
      </c>
      <c r="M171" s="33"/>
    </row>
    <row r="172" spans="1:13" x14ac:dyDescent="0.3">
      <c r="A172" s="32" t="s">
        <v>2101</v>
      </c>
      <c r="B172" s="32" t="s">
        <v>2103</v>
      </c>
      <c r="C172" s="32" t="s">
        <v>2106</v>
      </c>
      <c r="D172" s="31">
        <v>-41</v>
      </c>
      <c r="E172" s="31"/>
      <c r="F172" s="31">
        <v>41</v>
      </c>
      <c r="G172" s="29" t="s">
        <v>258</v>
      </c>
      <c r="H172" s="33" t="s">
        <v>2102</v>
      </c>
      <c r="I172" s="30" t="s">
        <v>2103</v>
      </c>
      <c r="J172" s="31">
        <v>-41</v>
      </c>
      <c r="K172" s="31"/>
      <c r="L172" s="31">
        <v>41</v>
      </c>
      <c r="M172" s="33" t="s">
        <v>2102</v>
      </c>
    </row>
    <row r="173" spans="1:13" ht="21" x14ac:dyDescent="0.3">
      <c r="A173" s="32" t="s">
        <v>2104</v>
      </c>
      <c r="B173" s="32" t="s">
        <v>2105</v>
      </c>
      <c r="C173" s="32" t="s">
        <v>2107</v>
      </c>
      <c r="D173" s="31">
        <v>-20</v>
      </c>
      <c r="E173" s="31"/>
      <c r="F173" s="31">
        <v>20</v>
      </c>
      <c r="G173" s="29" t="s">
        <v>258</v>
      </c>
      <c r="H173" s="33" t="s">
        <v>2108</v>
      </c>
      <c r="I173" s="30" t="s">
        <v>2105</v>
      </c>
      <c r="J173" s="78">
        <v>-20</v>
      </c>
      <c r="K173" s="31"/>
      <c r="L173" s="78">
        <v>20</v>
      </c>
      <c r="M173" s="33" t="s">
        <v>2108</v>
      </c>
    </row>
    <row r="174" spans="1:13" x14ac:dyDescent="0.3">
      <c r="A174" s="81" t="s">
        <v>1948</v>
      </c>
      <c r="B174" s="81"/>
      <c r="C174" s="81"/>
      <c r="D174" s="364"/>
      <c r="E174" s="364"/>
      <c r="F174" s="364"/>
      <c r="G174" s="83"/>
      <c r="H174" s="84"/>
      <c r="I174" s="84"/>
      <c r="J174" s="365"/>
      <c r="K174" s="82"/>
      <c r="L174" s="365"/>
      <c r="M174" s="84"/>
    </row>
    <row r="175" spans="1:13" x14ac:dyDescent="0.3">
      <c r="A175" s="32" t="s">
        <v>1577</v>
      </c>
      <c r="B175" s="32" t="s">
        <v>1578</v>
      </c>
      <c r="C175" s="32" t="s">
        <v>1949</v>
      </c>
      <c r="D175" s="97">
        <v>-2</v>
      </c>
      <c r="E175" s="97"/>
      <c r="F175" s="97">
        <v>2</v>
      </c>
      <c r="G175" s="29" t="s">
        <v>1579</v>
      </c>
      <c r="H175" s="33" t="s">
        <v>2075</v>
      </c>
      <c r="I175" s="30" t="s">
        <v>1578</v>
      </c>
      <c r="J175" s="31">
        <v>-2</v>
      </c>
      <c r="K175" s="112"/>
      <c r="L175" s="31">
        <v>2</v>
      </c>
      <c r="M175" s="33" t="s">
        <v>2075</v>
      </c>
    </row>
    <row r="176" spans="1:13" x14ac:dyDescent="0.3">
      <c r="A176" s="32" t="s">
        <v>1580</v>
      </c>
      <c r="B176" s="32" t="s">
        <v>1005</v>
      </c>
      <c r="C176" s="32" t="s">
        <v>1367</v>
      </c>
      <c r="D176" s="97" t="s">
        <v>140</v>
      </c>
      <c r="E176" s="97"/>
      <c r="F176" s="97">
        <v>25</v>
      </c>
      <c r="G176" s="29" t="s">
        <v>1349</v>
      </c>
      <c r="H176" s="30" t="s">
        <v>1950</v>
      </c>
      <c r="I176" s="30" t="s">
        <v>1005</v>
      </c>
      <c r="J176" s="78" t="s">
        <v>140</v>
      </c>
      <c r="K176" s="112"/>
      <c r="L176" s="78">
        <v>25</v>
      </c>
      <c r="M176" s="30" t="s">
        <v>1950</v>
      </c>
    </row>
    <row r="177" spans="1:13" x14ac:dyDescent="0.3">
      <c r="A177" s="32" t="s">
        <v>1581</v>
      </c>
      <c r="B177" s="32" t="s">
        <v>2057</v>
      </c>
      <c r="C177" s="32" t="s">
        <v>2058</v>
      </c>
      <c r="D177" s="97">
        <v>10</v>
      </c>
      <c r="E177" s="97" t="s">
        <v>140</v>
      </c>
      <c r="F177" s="97" t="s">
        <v>140</v>
      </c>
      <c r="G177" s="29" t="s">
        <v>2059</v>
      </c>
      <c r="H177" s="30" t="s">
        <v>2060</v>
      </c>
      <c r="I177" s="30" t="s">
        <v>2057</v>
      </c>
      <c r="J177" s="78">
        <v>10</v>
      </c>
      <c r="K177" s="112" t="s">
        <v>140</v>
      </c>
      <c r="L177" s="78" t="s">
        <v>140</v>
      </c>
      <c r="M177" s="30" t="s">
        <v>2060</v>
      </c>
    </row>
    <row r="178" spans="1:13" x14ac:dyDescent="0.3">
      <c r="A178" s="32" t="s">
        <v>1582</v>
      </c>
      <c r="B178" s="32" t="s">
        <v>1583</v>
      </c>
      <c r="C178" s="32" t="s">
        <v>1584</v>
      </c>
      <c r="D178" s="31"/>
      <c r="E178" s="31"/>
      <c r="F178" s="31">
        <v>100</v>
      </c>
      <c r="G178" s="29" t="s">
        <v>1915</v>
      </c>
      <c r="H178" s="30" t="s">
        <v>1951</v>
      </c>
      <c r="I178" s="30" t="s">
        <v>1583</v>
      </c>
      <c r="J178" s="31"/>
      <c r="K178" s="31"/>
      <c r="L178" s="31">
        <v>100</v>
      </c>
      <c r="M178" s="30" t="s">
        <v>1951</v>
      </c>
    </row>
    <row r="179" spans="1:13" x14ac:dyDescent="0.3">
      <c r="A179" s="32" t="s">
        <v>1585</v>
      </c>
      <c r="B179" s="32" t="s">
        <v>1586</v>
      </c>
      <c r="C179" s="32" t="s">
        <v>1587</v>
      </c>
      <c r="D179" s="31"/>
      <c r="E179" s="31"/>
      <c r="F179" s="31" t="s">
        <v>1354</v>
      </c>
      <c r="G179" s="29" t="s">
        <v>1588</v>
      </c>
      <c r="H179" s="33"/>
      <c r="I179" s="30" t="s">
        <v>1586</v>
      </c>
      <c r="J179" s="78"/>
      <c r="K179" s="31"/>
      <c r="L179" s="78" t="s">
        <v>1354</v>
      </c>
      <c r="M179" s="33"/>
    </row>
    <row r="180" spans="1:13" x14ac:dyDescent="0.3">
      <c r="A180" s="32" t="s">
        <v>1858</v>
      </c>
      <c r="B180" s="32" t="s">
        <v>1866</v>
      </c>
      <c r="C180" s="32" t="s">
        <v>1865</v>
      </c>
      <c r="D180" s="31">
        <v>1</v>
      </c>
      <c r="E180" s="31"/>
      <c r="F180" s="31"/>
      <c r="G180" s="29" t="s">
        <v>465</v>
      </c>
      <c r="H180" s="30" t="s">
        <v>2048</v>
      </c>
      <c r="I180" s="30" t="s">
        <v>1866</v>
      </c>
      <c r="J180" s="31">
        <v>1</v>
      </c>
      <c r="K180" s="31"/>
      <c r="L180" s="31"/>
      <c r="M180" s="30" t="s">
        <v>2048</v>
      </c>
    </row>
    <row r="181" spans="1:13" x14ac:dyDescent="0.3">
      <c r="A181" s="32" t="s">
        <v>1859</v>
      </c>
      <c r="B181" s="32" t="s">
        <v>1860</v>
      </c>
      <c r="C181" s="32" t="s">
        <v>1863</v>
      </c>
      <c r="D181" s="31">
        <v>4</v>
      </c>
      <c r="E181" s="31"/>
      <c r="F181" s="31"/>
      <c r="G181" s="29" t="s">
        <v>465</v>
      </c>
      <c r="H181" s="33" t="s">
        <v>2048</v>
      </c>
      <c r="I181" s="30" t="s">
        <v>1860</v>
      </c>
      <c r="J181" s="31">
        <v>4</v>
      </c>
      <c r="K181" s="112"/>
      <c r="L181" s="31"/>
      <c r="M181" s="33" t="s">
        <v>2048</v>
      </c>
    </row>
    <row r="182" spans="1:13" x14ac:dyDescent="0.3">
      <c r="A182" s="32" t="s">
        <v>1861</v>
      </c>
      <c r="B182" s="32" t="s">
        <v>1862</v>
      </c>
      <c r="C182" s="32" t="s">
        <v>1864</v>
      </c>
      <c r="D182" s="31">
        <v>10</v>
      </c>
      <c r="E182" s="31"/>
      <c r="F182" s="97"/>
      <c r="G182" s="29" t="s">
        <v>465</v>
      </c>
      <c r="H182" s="33" t="s">
        <v>2048</v>
      </c>
      <c r="I182" s="30" t="s">
        <v>1862</v>
      </c>
      <c r="J182" s="78">
        <v>10</v>
      </c>
      <c r="K182" s="112"/>
      <c r="L182" s="97"/>
      <c r="M182" s="33" t="s">
        <v>2048</v>
      </c>
    </row>
    <row r="183" spans="1:13" x14ac:dyDescent="0.3">
      <c r="A183" s="81" t="s">
        <v>1952</v>
      </c>
      <c r="B183" s="81"/>
      <c r="C183" s="81"/>
      <c r="D183" s="82"/>
      <c r="E183" s="82"/>
      <c r="F183" s="82"/>
      <c r="G183" s="83"/>
      <c r="H183" s="84"/>
      <c r="I183" s="84"/>
      <c r="J183" s="82"/>
      <c r="K183" s="132"/>
      <c r="L183" s="82"/>
      <c r="M183" s="84"/>
    </row>
    <row r="184" spans="1:13" x14ac:dyDescent="0.3">
      <c r="A184" s="32" t="s">
        <v>1953</v>
      </c>
      <c r="B184" s="32" t="s">
        <v>1956</v>
      </c>
      <c r="C184" s="32" t="s">
        <v>2088</v>
      </c>
      <c r="D184" s="31"/>
      <c r="E184" s="31"/>
      <c r="F184" s="31">
        <v>100</v>
      </c>
      <c r="G184" s="29" t="s">
        <v>256</v>
      </c>
      <c r="H184" s="30" t="s">
        <v>1957</v>
      </c>
      <c r="I184" s="30" t="s">
        <v>1956</v>
      </c>
      <c r="J184" s="31"/>
      <c r="K184" s="31"/>
      <c r="L184" s="31">
        <v>100</v>
      </c>
      <c r="M184" s="30" t="s">
        <v>1957</v>
      </c>
    </row>
    <row r="185" spans="1:13" x14ac:dyDescent="0.3">
      <c r="A185" s="32" t="s">
        <v>1958</v>
      </c>
      <c r="B185" s="32" t="s">
        <v>1959</v>
      </c>
      <c r="C185" s="32" t="s">
        <v>2089</v>
      </c>
      <c r="D185" s="31"/>
      <c r="E185" s="31"/>
      <c r="F185" s="31">
        <v>10000</v>
      </c>
      <c r="G185" s="29" t="s">
        <v>256</v>
      </c>
      <c r="H185" s="30" t="s">
        <v>1960</v>
      </c>
      <c r="I185" s="30" t="s">
        <v>1959</v>
      </c>
      <c r="J185" s="31"/>
      <c r="K185" s="31"/>
      <c r="L185" s="31">
        <v>10000</v>
      </c>
      <c r="M185" s="30" t="s">
        <v>1960</v>
      </c>
    </row>
    <row r="186" spans="1:13" x14ac:dyDescent="0.3">
      <c r="A186" s="32" t="s">
        <v>1961</v>
      </c>
      <c r="B186" s="32" t="s">
        <v>1962</v>
      </c>
      <c r="C186" s="32" t="s">
        <v>2090</v>
      </c>
      <c r="D186" s="31"/>
      <c r="E186" s="31"/>
      <c r="F186" s="31">
        <v>5000</v>
      </c>
      <c r="G186" s="29" t="s">
        <v>256</v>
      </c>
      <c r="H186" s="30" t="s">
        <v>1963</v>
      </c>
      <c r="I186" s="30" t="s">
        <v>1962</v>
      </c>
      <c r="J186" s="31"/>
      <c r="K186" s="31"/>
      <c r="L186" s="31">
        <v>5000</v>
      </c>
      <c r="M186" s="30" t="s">
        <v>1963</v>
      </c>
    </row>
    <row r="187" spans="1:13" x14ac:dyDescent="0.3">
      <c r="A187" s="32" t="s">
        <v>1964</v>
      </c>
      <c r="B187" s="32" t="s">
        <v>1965</v>
      </c>
      <c r="C187" s="32" t="s">
        <v>2091</v>
      </c>
      <c r="D187" s="31"/>
      <c r="E187" s="31"/>
      <c r="F187" s="31">
        <v>2500</v>
      </c>
      <c r="G187" s="29" t="s">
        <v>256</v>
      </c>
      <c r="H187" s="30" t="s">
        <v>1966</v>
      </c>
      <c r="I187" s="30" t="s">
        <v>1965</v>
      </c>
      <c r="J187" s="31"/>
      <c r="K187" s="31"/>
      <c r="L187" s="31">
        <v>2500</v>
      </c>
      <c r="M187" s="30" t="s">
        <v>1966</v>
      </c>
    </row>
    <row r="188" spans="1:13" x14ac:dyDescent="0.3">
      <c r="A188" s="32" t="s">
        <v>1967</v>
      </c>
      <c r="B188" s="32" t="s">
        <v>1968</v>
      </c>
      <c r="C188" s="32" t="s">
        <v>2092</v>
      </c>
      <c r="D188" s="31" t="s">
        <v>140</v>
      </c>
      <c r="E188" s="31"/>
      <c r="F188" s="31">
        <v>3.125</v>
      </c>
      <c r="G188" s="29" t="s">
        <v>1969</v>
      </c>
      <c r="H188" s="30" t="s">
        <v>1957</v>
      </c>
      <c r="I188" s="30" t="s">
        <v>1968</v>
      </c>
      <c r="J188" s="31" t="s">
        <v>140</v>
      </c>
      <c r="K188" s="31"/>
      <c r="L188" s="31">
        <v>3.125</v>
      </c>
      <c r="M188" s="30" t="s">
        <v>1957</v>
      </c>
    </row>
    <row r="189" spans="1:13" x14ac:dyDescent="0.3">
      <c r="A189" s="32" t="s">
        <v>1970</v>
      </c>
      <c r="B189" s="32" t="s">
        <v>1971</v>
      </c>
      <c r="C189" s="32" t="s">
        <v>2093</v>
      </c>
      <c r="D189" s="31"/>
      <c r="E189" s="31"/>
      <c r="F189" s="31">
        <v>25</v>
      </c>
      <c r="G189" s="29" t="s">
        <v>1969</v>
      </c>
      <c r="H189" s="30" t="s">
        <v>1960</v>
      </c>
      <c r="I189" s="30" t="s">
        <v>1971</v>
      </c>
      <c r="J189" s="31"/>
      <c r="K189" s="31"/>
      <c r="L189" s="31">
        <v>25</v>
      </c>
      <c r="M189" s="30" t="s">
        <v>1960</v>
      </c>
    </row>
    <row r="190" spans="1:13" x14ac:dyDescent="0.3">
      <c r="A190" s="32" t="s">
        <v>1972</v>
      </c>
      <c r="B190" s="32" t="s">
        <v>1973</v>
      </c>
      <c r="C190" s="32" t="s">
        <v>2094</v>
      </c>
      <c r="D190" s="31"/>
      <c r="E190" s="31"/>
      <c r="F190" s="31">
        <v>12.5</v>
      </c>
      <c r="G190" s="29" t="s">
        <v>1969</v>
      </c>
      <c r="H190" s="30" t="s">
        <v>1963</v>
      </c>
      <c r="I190" s="30" t="s">
        <v>1973</v>
      </c>
      <c r="J190" s="31"/>
      <c r="K190" s="31"/>
      <c r="L190" s="31">
        <v>12.5</v>
      </c>
      <c r="M190" s="30" t="s">
        <v>1963</v>
      </c>
    </row>
    <row r="191" spans="1:13" x14ac:dyDescent="0.3">
      <c r="A191" s="32" t="s">
        <v>1974</v>
      </c>
      <c r="B191" s="32" t="s">
        <v>1975</v>
      </c>
      <c r="C191" s="32" t="s">
        <v>2095</v>
      </c>
      <c r="D191" s="31"/>
      <c r="E191" s="31"/>
      <c r="F191" s="31">
        <v>6.25</v>
      </c>
      <c r="G191" s="29" t="s">
        <v>1969</v>
      </c>
      <c r="H191" s="30" t="s">
        <v>1966</v>
      </c>
      <c r="I191" s="30" t="s">
        <v>1975</v>
      </c>
      <c r="J191" s="31"/>
      <c r="K191" s="31"/>
      <c r="L191" s="31">
        <v>6.25</v>
      </c>
      <c r="M191" s="30" t="s">
        <v>1966</v>
      </c>
    </row>
    <row r="192" spans="1:13" x14ac:dyDescent="0.3">
      <c r="A192" s="32" t="s">
        <v>1976</v>
      </c>
      <c r="B192" s="32" t="s">
        <v>2077</v>
      </c>
      <c r="C192" s="32" t="s">
        <v>2096</v>
      </c>
      <c r="D192" s="31">
        <v>-50</v>
      </c>
      <c r="E192" s="31"/>
      <c r="F192" s="31">
        <v>50</v>
      </c>
      <c r="G192" s="29" t="s">
        <v>831</v>
      </c>
      <c r="H192" s="30"/>
      <c r="I192" s="30" t="s">
        <v>2077</v>
      </c>
      <c r="J192" s="78">
        <v>-50</v>
      </c>
      <c r="K192" s="31"/>
      <c r="L192" s="31">
        <v>50</v>
      </c>
      <c r="M192" s="30"/>
    </row>
    <row r="193" spans="1:13" x14ac:dyDescent="0.3">
      <c r="A193" s="32" t="s">
        <v>1977</v>
      </c>
      <c r="B193" s="32" t="s">
        <v>2076</v>
      </c>
      <c r="C193" s="32" t="s">
        <v>2097</v>
      </c>
      <c r="D193" s="31">
        <v>-100</v>
      </c>
      <c r="E193" s="31" t="s">
        <v>140</v>
      </c>
      <c r="F193" s="31">
        <v>100</v>
      </c>
      <c r="G193" s="29" t="s">
        <v>831</v>
      </c>
      <c r="H193" s="30"/>
      <c r="I193" s="30" t="s">
        <v>2076</v>
      </c>
      <c r="J193" s="31">
        <v>-100</v>
      </c>
      <c r="K193" s="112" t="s">
        <v>140</v>
      </c>
      <c r="L193" s="31">
        <v>100</v>
      </c>
      <c r="M193" s="30"/>
    </row>
    <row r="194" spans="1:13" x14ac:dyDescent="0.3">
      <c r="A194" s="32" t="s">
        <v>1978</v>
      </c>
      <c r="B194" s="32" t="s">
        <v>1980</v>
      </c>
      <c r="C194" s="32" t="s">
        <v>1981</v>
      </c>
      <c r="D194" s="31"/>
      <c r="E194" s="31"/>
      <c r="F194" s="31">
        <v>6</v>
      </c>
      <c r="G194" s="29" t="s">
        <v>530</v>
      </c>
      <c r="H194" s="30" t="s">
        <v>2078</v>
      </c>
      <c r="I194" s="30" t="s">
        <v>1980</v>
      </c>
      <c r="J194" s="31"/>
      <c r="K194" s="112"/>
      <c r="L194" s="31">
        <v>6</v>
      </c>
      <c r="M194" s="30" t="s">
        <v>2078</v>
      </c>
    </row>
    <row r="195" spans="1:13" x14ac:dyDescent="0.3">
      <c r="A195" s="32" t="s">
        <v>1982</v>
      </c>
      <c r="B195" s="32" t="s">
        <v>1983</v>
      </c>
      <c r="C195" s="32" t="s">
        <v>1984</v>
      </c>
      <c r="D195" s="31"/>
      <c r="E195" s="31"/>
      <c r="F195" s="31">
        <v>2</v>
      </c>
      <c r="G195" s="29" t="s">
        <v>530</v>
      </c>
      <c r="H195" s="30" t="s">
        <v>1985</v>
      </c>
      <c r="I195" s="30" t="s">
        <v>1983</v>
      </c>
      <c r="J195" s="31"/>
      <c r="K195" s="112"/>
      <c r="L195" s="31">
        <v>2</v>
      </c>
      <c r="M195" s="30" t="s">
        <v>1985</v>
      </c>
    </row>
    <row r="196" spans="1:13" x14ac:dyDescent="0.3">
      <c r="A196" s="32" t="s">
        <v>2054</v>
      </c>
      <c r="B196" s="32" t="s">
        <v>2055</v>
      </c>
      <c r="C196" s="32" t="s">
        <v>2056</v>
      </c>
      <c r="D196" s="31"/>
      <c r="E196" s="31"/>
      <c r="F196" s="31">
        <v>-40</v>
      </c>
      <c r="G196" s="29" t="s">
        <v>751</v>
      </c>
      <c r="H196" s="30"/>
      <c r="I196" s="30" t="s">
        <v>2055</v>
      </c>
      <c r="J196" s="31"/>
      <c r="K196" s="112"/>
      <c r="L196" s="31">
        <v>-40</v>
      </c>
      <c r="M196" s="30"/>
    </row>
    <row r="197" spans="1:13" x14ac:dyDescent="0.3">
      <c r="A197" s="81" t="s">
        <v>1986</v>
      </c>
      <c r="B197" s="81"/>
      <c r="C197" s="81"/>
      <c r="D197" s="82"/>
      <c r="E197" s="82"/>
      <c r="F197" s="82"/>
      <c r="G197" s="83"/>
      <c r="H197" s="84"/>
      <c r="I197" s="84"/>
      <c r="J197" s="82"/>
      <c r="K197" s="132"/>
      <c r="L197" s="82"/>
      <c r="M197" s="84"/>
    </row>
    <row r="198" spans="1:13" x14ac:dyDescent="0.3">
      <c r="A198" s="32" t="s">
        <v>1987</v>
      </c>
      <c r="B198" s="32" t="s">
        <v>1920</v>
      </c>
      <c r="C198" s="32" t="s">
        <v>1990</v>
      </c>
      <c r="D198" s="31"/>
      <c r="E198" s="31">
        <v>12</v>
      </c>
      <c r="F198" s="31"/>
      <c r="G198" s="29" t="s">
        <v>448</v>
      </c>
      <c r="H198" s="30" t="s">
        <v>1920</v>
      </c>
      <c r="I198" s="30" t="s">
        <v>1920</v>
      </c>
      <c r="J198" s="31"/>
      <c r="K198" s="31">
        <v>12</v>
      </c>
      <c r="L198" s="31"/>
      <c r="M198" s="30" t="s">
        <v>1920</v>
      </c>
    </row>
    <row r="199" spans="1:13" x14ac:dyDescent="0.3">
      <c r="A199" s="32" t="s">
        <v>1991</v>
      </c>
      <c r="B199" s="32" t="s">
        <v>1931</v>
      </c>
      <c r="C199" s="32" t="s">
        <v>1994</v>
      </c>
      <c r="D199" s="31">
        <v>-1</v>
      </c>
      <c r="E199" s="31"/>
      <c r="F199" s="31">
        <v>1</v>
      </c>
      <c r="G199" s="29" t="s">
        <v>530</v>
      </c>
      <c r="H199" s="30" t="s">
        <v>2022</v>
      </c>
      <c r="I199" s="30" t="s">
        <v>1931</v>
      </c>
      <c r="J199" s="31">
        <v>-1</v>
      </c>
      <c r="K199" s="112"/>
      <c r="L199" s="31">
        <v>1</v>
      </c>
      <c r="M199" s="30" t="s">
        <v>2022</v>
      </c>
    </row>
    <row r="200" spans="1:13" x14ac:dyDescent="0.3">
      <c r="A200" s="32" t="s">
        <v>1992</v>
      </c>
      <c r="B200" s="32" t="s">
        <v>1995</v>
      </c>
      <c r="C200" s="32" t="s">
        <v>1996</v>
      </c>
      <c r="D200" s="31">
        <v>-1</v>
      </c>
      <c r="E200" s="31"/>
      <c r="F200" s="31">
        <v>1</v>
      </c>
      <c r="G200" s="29" t="s">
        <v>258</v>
      </c>
      <c r="H200" s="30" t="s">
        <v>1997</v>
      </c>
      <c r="I200" s="30" t="s">
        <v>1995</v>
      </c>
      <c r="J200" s="31">
        <v>-1</v>
      </c>
      <c r="K200" s="112"/>
      <c r="L200" s="31">
        <v>1</v>
      </c>
      <c r="M200" s="30" t="s">
        <v>1997</v>
      </c>
    </row>
    <row r="201" spans="1:13" x14ac:dyDescent="0.3">
      <c r="A201" s="32" t="s">
        <v>1993</v>
      </c>
      <c r="B201" s="32" t="s">
        <v>1998</v>
      </c>
      <c r="C201" s="32" t="s">
        <v>1999</v>
      </c>
      <c r="D201" s="31">
        <v>-2</v>
      </c>
      <c r="E201" s="31"/>
      <c r="F201" s="31">
        <v>2</v>
      </c>
      <c r="G201" s="29" t="s">
        <v>258</v>
      </c>
      <c r="H201" s="30" t="s">
        <v>1997</v>
      </c>
      <c r="I201" s="30" t="s">
        <v>1998</v>
      </c>
      <c r="J201" s="31">
        <v>-2</v>
      </c>
      <c r="K201" s="112"/>
      <c r="L201" s="31">
        <v>2</v>
      </c>
      <c r="M201" s="30" t="s">
        <v>1997</v>
      </c>
    </row>
    <row r="202" spans="1:13" x14ac:dyDescent="0.3">
      <c r="A202" s="32" t="s">
        <v>2000</v>
      </c>
      <c r="B202" s="32" t="s">
        <v>2001</v>
      </c>
      <c r="C202" s="32" t="s">
        <v>2002</v>
      </c>
      <c r="D202" s="31" t="s">
        <v>2003</v>
      </c>
      <c r="E202" s="31"/>
      <c r="F202" s="31" t="s">
        <v>829</v>
      </c>
      <c r="G202" s="29" t="s">
        <v>475</v>
      </c>
      <c r="H202" s="30"/>
      <c r="I202" s="30" t="s">
        <v>2001</v>
      </c>
      <c r="J202" s="31" t="s">
        <v>2003</v>
      </c>
      <c r="K202" s="112"/>
      <c r="L202" s="31" t="s">
        <v>829</v>
      </c>
      <c r="M202" s="30"/>
    </row>
    <row r="203" spans="1:13" x14ac:dyDescent="0.3">
      <c r="A203" s="32" t="s">
        <v>2004</v>
      </c>
      <c r="B203" s="32" t="s">
        <v>2005</v>
      </c>
      <c r="C203" s="32" t="s">
        <v>2002</v>
      </c>
      <c r="D203" s="31" t="s">
        <v>2003</v>
      </c>
      <c r="E203" s="31"/>
      <c r="F203" s="31">
        <v>1.2</v>
      </c>
      <c r="G203" s="29" t="s">
        <v>475</v>
      </c>
      <c r="H203" s="30" t="s">
        <v>2006</v>
      </c>
      <c r="I203" s="30" t="s">
        <v>2005</v>
      </c>
      <c r="J203" s="31" t="s">
        <v>2003</v>
      </c>
      <c r="K203" s="31"/>
      <c r="L203" s="31">
        <v>1.2</v>
      </c>
      <c r="M203" s="30" t="s">
        <v>2006</v>
      </c>
    </row>
    <row r="204" spans="1:13" x14ac:dyDescent="0.3">
      <c r="A204" s="32" t="s">
        <v>2007</v>
      </c>
      <c r="B204" s="32" t="s">
        <v>2009</v>
      </c>
      <c r="C204" s="93" t="s">
        <v>2002</v>
      </c>
      <c r="D204" s="31" t="s">
        <v>1937</v>
      </c>
      <c r="E204" s="31"/>
      <c r="F204" s="31" t="s">
        <v>829</v>
      </c>
      <c r="G204" s="29" t="s">
        <v>475</v>
      </c>
      <c r="H204" s="30"/>
      <c r="I204" s="30" t="s">
        <v>2009</v>
      </c>
      <c r="J204" s="31" t="s">
        <v>1937</v>
      </c>
      <c r="K204" s="31"/>
      <c r="L204" s="31" t="s">
        <v>829</v>
      </c>
      <c r="M204" s="30"/>
    </row>
    <row r="205" spans="1:13" x14ac:dyDescent="0.3">
      <c r="A205" s="32" t="s">
        <v>2008</v>
      </c>
      <c r="B205" s="32" t="s">
        <v>2010</v>
      </c>
      <c r="C205" s="93" t="s">
        <v>2002</v>
      </c>
      <c r="D205" s="354">
        <v>-0.2</v>
      </c>
      <c r="E205" s="31"/>
      <c r="F205" s="31">
        <v>0.2</v>
      </c>
      <c r="G205" s="29" t="s">
        <v>475</v>
      </c>
      <c r="H205" s="30"/>
      <c r="I205" s="30" t="s">
        <v>2010</v>
      </c>
      <c r="J205" s="78">
        <v>-0.2</v>
      </c>
      <c r="K205" s="31"/>
      <c r="L205" s="31">
        <v>0.2</v>
      </c>
      <c r="M205" s="30"/>
    </row>
    <row r="206" spans="1:13" x14ac:dyDescent="0.3">
      <c r="A206" s="32" t="s">
        <v>2011</v>
      </c>
      <c r="B206" s="32" t="s">
        <v>2012</v>
      </c>
      <c r="C206" s="93" t="s">
        <v>2002</v>
      </c>
      <c r="D206" s="31">
        <v>0</v>
      </c>
      <c r="E206" s="31"/>
      <c r="F206" s="31" t="s">
        <v>2013</v>
      </c>
      <c r="G206" s="29" t="s">
        <v>475</v>
      </c>
      <c r="H206" s="30"/>
      <c r="I206" s="30" t="s">
        <v>2012</v>
      </c>
      <c r="J206" s="31">
        <v>0</v>
      </c>
      <c r="K206" s="31"/>
      <c r="L206" s="31" t="s">
        <v>2013</v>
      </c>
      <c r="M206" s="30"/>
    </row>
    <row r="207" spans="1:13" ht="21" x14ac:dyDescent="0.3">
      <c r="A207" s="32" t="s">
        <v>2015</v>
      </c>
      <c r="B207" s="32" t="s">
        <v>2017</v>
      </c>
      <c r="C207" s="93" t="s">
        <v>2018</v>
      </c>
      <c r="D207" s="31"/>
      <c r="E207" s="31"/>
      <c r="F207" s="31">
        <v>500</v>
      </c>
      <c r="G207" s="29" t="s">
        <v>446</v>
      </c>
      <c r="H207" s="30"/>
      <c r="I207" s="30" t="s">
        <v>2017</v>
      </c>
      <c r="J207" s="31"/>
      <c r="K207" s="31"/>
      <c r="L207" s="31">
        <v>500</v>
      </c>
      <c r="M207" s="30"/>
    </row>
    <row r="208" spans="1:13" x14ac:dyDescent="0.3">
      <c r="A208" s="32" t="s">
        <v>2019</v>
      </c>
      <c r="B208" s="32" t="s">
        <v>2020</v>
      </c>
      <c r="C208" s="93" t="s">
        <v>1575</v>
      </c>
      <c r="D208" s="31"/>
      <c r="E208" s="31"/>
      <c r="F208" s="31">
        <v>300</v>
      </c>
      <c r="G208" s="29" t="s">
        <v>219</v>
      </c>
      <c r="H208" s="30" t="s">
        <v>2021</v>
      </c>
      <c r="I208" s="30" t="s">
        <v>2020</v>
      </c>
      <c r="J208" s="31"/>
      <c r="K208" s="31"/>
      <c r="L208" s="31">
        <v>300</v>
      </c>
      <c r="M208" s="30" t="s">
        <v>2021</v>
      </c>
    </row>
    <row r="209" spans="1:13" x14ac:dyDescent="0.3">
      <c r="A209" s="81" t="s">
        <v>2023</v>
      </c>
      <c r="B209" s="81"/>
      <c r="C209" s="94"/>
      <c r="D209" s="82"/>
      <c r="E209" s="82"/>
      <c r="F209" s="82"/>
      <c r="G209" s="83"/>
      <c r="H209" s="84"/>
      <c r="I209" s="84"/>
      <c r="J209" s="82"/>
      <c r="K209" s="82"/>
      <c r="L209" s="82"/>
      <c r="M209" s="84"/>
    </row>
    <row r="210" spans="1:13" x14ac:dyDescent="0.3">
      <c r="A210" s="32" t="s">
        <v>2024</v>
      </c>
      <c r="B210" s="32" t="s">
        <v>2027</v>
      </c>
      <c r="C210" s="93" t="s">
        <v>2028</v>
      </c>
      <c r="D210" s="31">
        <v>0.1</v>
      </c>
      <c r="E210" s="31"/>
      <c r="F210" s="31">
        <v>1.2</v>
      </c>
      <c r="G210" s="29" t="s">
        <v>475</v>
      </c>
      <c r="H210" s="30" t="s">
        <v>2031</v>
      </c>
      <c r="I210" s="30" t="s">
        <v>2027</v>
      </c>
      <c r="J210" s="31">
        <v>0.1</v>
      </c>
      <c r="K210" s="31"/>
      <c r="L210" s="31">
        <v>1.2</v>
      </c>
      <c r="M210" s="30" t="s">
        <v>2031</v>
      </c>
    </row>
    <row r="211" spans="1:13" x14ac:dyDescent="0.3">
      <c r="A211" s="32" t="s">
        <v>2029</v>
      </c>
      <c r="B211" s="32" t="s">
        <v>2030</v>
      </c>
      <c r="C211" s="93" t="s">
        <v>2028</v>
      </c>
      <c r="D211" s="31">
        <v>0.1</v>
      </c>
      <c r="E211" s="31"/>
      <c r="F211" s="31" t="s">
        <v>2013</v>
      </c>
      <c r="G211" s="29" t="s">
        <v>475</v>
      </c>
      <c r="H211" s="30" t="s">
        <v>2031</v>
      </c>
      <c r="I211" s="30" t="s">
        <v>2030</v>
      </c>
      <c r="J211" s="31">
        <v>0.1</v>
      </c>
      <c r="K211" s="31"/>
      <c r="L211" s="31" t="s">
        <v>2013</v>
      </c>
      <c r="M211" s="30" t="s">
        <v>2031</v>
      </c>
    </row>
    <row r="212" spans="1:13" x14ac:dyDescent="0.3">
      <c r="A212" s="32" t="s">
        <v>2032</v>
      </c>
      <c r="B212" s="32" t="s">
        <v>2034</v>
      </c>
      <c r="C212" s="93" t="s">
        <v>2036</v>
      </c>
      <c r="D212" s="31">
        <v>0.1</v>
      </c>
      <c r="E212" s="31"/>
      <c r="F212" s="31">
        <v>1.2</v>
      </c>
      <c r="G212" s="29" t="s">
        <v>475</v>
      </c>
      <c r="H212" s="30"/>
      <c r="I212" s="30" t="s">
        <v>2034</v>
      </c>
      <c r="J212" s="31">
        <v>0.1</v>
      </c>
      <c r="K212" s="31"/>
      <c r="L212" s="31">
        <v>1.2</v>
      </c>
      <c r="M212" s="30"/>
    </row>
    <row r="213" spans="1:13" x14ac:dyDescent="0.3">
      <c r="A213" s="32" t="s">
        <v>2033</v>
      </c>
      <c r="B213" s="32" t="s">
        <v>2035</v>
      </c>
      <c r="C213" s="93" t="s">
        <v>2036</v>
      </c>
      <c r="D213" s="31">
        <v>0.1</v>
      </c>
      <c r="E213" s="31"/>
      <c r="F213" s="31" t="s">
        <v>2013</v>
      </c>
      <c r="G213" s="29" t="s">
        <v>475</v>
      </c>
      <c r="H213" s="30"/>
      <c r="I213" s="30" t="s">
        <v>2035</v>
      </c>
      <c r="J213" s="31">
        <v>0.1</v>
      </c>
      <c r="K213" s="31"/>
      <c r="L213" s="31" t="s">
        <v>2013</v>
      </c>
      <c r="M213" s="30"/>
    </row>
    <row r="214" spans="1:13" x14ac:dyDescent="0.3">
      <c r="A214" s="32" t="s">
        <v>2037</v>
      </c>
      <c r="B214" s="32" t="s">
        <v>2039</v>
      </c>
      <c r="C214" s="93" t="s">
        <v>2040</v>
      </c>
      <c r="D214" s="31"/>
      <c r="E214" s="31"/>
      <c r="F214" s="31">
        <v>500</v>
      </c>
      <c r="G214" s="29" t="s">
        <v>446</v>
      </c>
      <c r="H214" s="30"/>
      <c r="I214" s="30" t="s">
        <v>2039</v>
      </c>
      <c r="J214" s="31"/>
      <c r="K214" s="31"/>
      <c r="L214" s="31">
        <v>500</v>
      </c>
      <c r="M214" s="30"/>
    </row>
    <row r="215" spans="1:13" x14ac:dyDescent="0.3">
      <c r="A215" s="32" t="s">
        <v>2041</v>
      </c>
      <c r="B215" s="32" t="s">
        <v>2042</v>
      </c>
      <c r="C215" s="93" t="s">
        <v>1570</v>
      </c>
      <c r="D215" s="31"/>
      <c r="E215" s="31"/>
      <c r="F215" s="31">
        <v>10</v>
      </c>
      <c r="G215" s="29" t="s">
        <v>831</v>
      </c>
      <c r="H215" s="30"/>
      <c r="I215" s="30" t="s">
        <v>2042</v>
      </c>
      <c r="J215" s="31"/>
      <c r="K215" s="31"/>
      <c r="L215" s="31">
        <v>10</v>
      </c>
      <c r="M215" s="30"/>
    </row>
    <row r="216" spans="1:13" x14ac:dyDescent="0.3">
      <c r="A216" s="32" t="s">
        <v>2043</v>
      </c>
      <c r="B216" s="32" t="s">
        <v>2044</v>
      </c>
      <c r="C216" s="93" t="s">
        <v>2045</v>
      </c>
      <c r="D216" s="31"/>
      <c r="E216" s="31"/>
      <c r="F216" s="31">
        <v>3</v>
      </c>
      <c r="G216" s="29" t="s">
        <v>831</v>
      </c>
      <c r="H216" s="30"/>
      <c r="I216" s="30" t="s">
        <v>2044</v>
      </c>
      <c r="J216" s="31"/>
      <c r="K216" s="31"/>
      <c r="L216" s="31">
        <v>3</v>
      </c>
      <c r="M216" s="30"/>
    </row>
    <row r="217" spans="1:13" x14ac:dyDescent="0.3">
      <c r="A217" s="32" t="s">
        <v>2046</v>
      </c>
      <c r="B217" s="32" t="s">
        <v>2047</v>
      </c>
      <c r="C217" s="93" t="s">
        <v>1575</v>
      </c>
      <c r="D217" s="31"/>
      <c r="E217" s="31"/>
      <c r="F217" s="31">
        <v>500</v>
      </c>
      <c r="G217" s="29" t="s">
        <v>219</v>
      </c>
      <c r="H217" s="30"/>
      <c r="I217" s="30" t="s">
        <v>2047</v>
      </c>
      <c r="J217" s="31"/>
      <c r="K217" s="31"/>
      <c r="L217" s="31">
        <v>500</v>
      </c>
      <c r="M217" s="30"/>
    </row>
    <row r="218" spans="1:13" x14ac:dyDescent="0.3">
      <c r="A218" s="81" t="s">
        <v>2081</v>
      </c>
      <c r="B218" s="81"/>
      <c r="C218" s="94"/>
      <c r="D218" s="82"/>
      <c r="E218" s="82"/>
      <c r="F218" s="82"/>
      <c r="G218" s="83"/>
      <c r="H218" s="84"/>
      <c r="I218" s="84"/>
      <c r="J218" s="82"/>
      <c r="K218" s="82"/>
      <c r="L218" s="82"/>
      <c r="M218" s="84"/>
    </row>
    <row r="219" spans="1:13" x14ac:dyDescent="0.3">
      <c r="A219" s="32" t="s">
        <v>2082</v>
      </c>
      <c r="B219" s="32" t="s">
        <v>2085</v>
      </c>
      <c r="C219" s="93" t="s">
        <v>2086</v>
      </c>
      <c r="D219" s="31">
        <v>9</v>
      </c>
      <c r="E219" s="31">
        <v>10</v>
      </c>
      <c r="F219" s="31">
        <v>11</v>
      </c>
      <c r="G219" s="29" t="s">
        <v>219</v>
      </c>
      <c r="H219" s="30"/>
      <c r="I219" s="30" t="s">
        <v>2085</v>
      </c>
      <c r="J219" s="31">
        <v>9</v>
      </c>
      <c r="K219" s="31">
        <v>10</v>
      </c>
      <c r="L219" s="31">
        <v>11</v>
      </c>
      <c r="M219" s="30"/>
    </row>
    <row r="220" spans="1:13" x14ac:dyDescent="0.3">
      <c r="A220" s="81" t="s">
        <v>248</v>
      </c>
      <c r="B220" s="81"/>
      <c r="C220" s="94"/>
      <c r="D220" s="82"/>
      <c r="E220" s="82"/>
      <c r="F220" s="82"/>
      <c r="G220" s="83"/>
      <c r="H220" s="84"/>
      <c r="I220" s="84"/>
      <c r="J220" s="82"/>
      <c r="K220" s="82"/>
      <c r="L220" s="82"/>
      <c r="M220" s="84"/>
    </row>
    <row r="221" spans="1:13" x14ac:dyDescent="0.3">
      <c r="A221" s="32" t="s">
        <v>249</v>
      </c>
      <c r="B221" s="32" t="s">
        <v>250</v>
      </c>
      <c r="C221" s="93" t="s">
        <v>251</v>
      </c>
      <c r="D221" s="31">
        <v>-5</v>
      </c>
      <c r="E221" s="31" t="s">
        <v>253</v>
      </c>
      <c r="F221" s="31">
        <v>5</v>
      </c>
      <c r="G221" s="29" t="s">
        <v>591</v>
      </c>
      <c r="H221" s="33" t="s">
        <v>1366</v>
      </c>
      <c r="I221" s="30" t="s">
        <v>250</v>
      </c>
      <c r="J221" s="31">
        <v>-5</v>
      </c>
      <c r="K221" s="31" t="s">
        <v>253</v>
      </c>
      <c r="L221" s="31">
        <v>5</v>
      </c>
      <c r="M221" s="33" t="s">
        <v>1366</v>
      </c>
    </row>
    <row r="222" spans="1:13" x14ac:dyDescent="0.3">
      <c r="A222" s="81" t="s">
        <v>1043</v>
      </c>
      <c r="B222" s="81"/>
      <c r="C222" s="94"/>
      <c r="D222" s="82"/>
      <c r="E222" s="82"/>
      <c r="F222" s="82"/>
      <c r="G222" s="83"/>
      <c r="H222" s="98"/>
      <c r="I222" s="84"/>
      <c r="J222" s="82"/>
      <c r="K222" s="82"/>
      <c r="L222" s="82"/>
      <c r="M222" s="98"/>
    </row>
    <row r="223" spans="1:13" x14ac:dyDescent="0.3">
      <c r="A223" s="32" t="s">
        <v>1064</v>
      </c>
      <c r="B223" s="32" t="s">
        <v>1065</v>
      </c>
      <c r="C223" s="93"/>
      <c r="D223" s="31">
        <v>1.1879999999999999</v>
      </c>
      <c r="E223" s="31">
        <v>1.2</v>
      </c>
      <c r="F223" s="31">
        <v>1.212</v>
      </c>
      <c r="G223" s="29" t="s">
        <v>475</v>
      </c>
      <c r="H223" s="30"/>
      <c r="I223" s="30" t="s">
        <v>1065</v>
      </c>
      <c r="J223" s="31">
        <v>1.1879999999999999</v>
      </c>
      <c r="K223" s="31">
        <v>1.2</v>
      </c>
      <c r="L223" s="31">
        <v>1.212</v>
      </c>
      <c r="M223" s="30"/>
    </row>
    <row r="224" spans="1:13" x14ac:dyDescent="0.3">
      <c r="A224" s="81" t="s">
        <v>1589</v>
      </c>
      <c r="B224" s="81"/>
      <c r="C224" s="94"/>
      <c r="D224" s="82"/>
      <c r="E224" s="82"/>
      <c r="F224" s="82"/>
      <c r="G224" s="83"/>
      <c r="H224" s="98"/>
      <c r="I224" s="84"/>
      <c r="J224" s="82"/>
      <c r="K224" s="82"/>
      <c r="L224" s="82"/>
      <c r="M224" s="98"/>
    </row>
    <row r="225" spans="1:13" x14ac:dyDescent="0.3">
      <c r="A225" s="32" t="s">
        <v>1590</v>
      </c>
      <c r="B225" s="32" t="s">
        <v>1591</v>
      </c>
      <c r="C225" s="93" t="s">
        <v>1592</v>
      </c>
      <c r="D225" s="31"/>
      <c r="E225" s="31" t="s">
        <v>1593</v>
      </c>
      <c r="F225" s="31"/>
      <c r="G225" s="29" t="s">
        <v>449</v>
      </c>
      <c r="H225" s="30" t="s">
        <v>2014</v>
      </c>
      <c r="I225" s="30" t="s">
        <v>1591</v>
      </c>
      <c r="J225" s="31"/>
      <c r="K225" s="31" t="s">
        <v>1593</v>
      </c>
      <c r="L225" s="31"/>
      <c r="M225" s="30" t="s">
        <v>2014</v>
      </c>
    </row>
    <row r="226" spans="1:13" x14ac:dyDescent="0.3">
      <c r="A226" s="32" t="s">
        <v>1594</v>
      </c>
      <c r="B226" s="32" t="s">
        <v>1595</v>
      </c>
      <c r="C226" s="93" t="s">
        <v>1596</v>
      </c>
      <c r="D226" s="31"/>
      <c r="E226" s="31" t="s">
        <v>97</v>
      </c>
      <c r="F226" s="31"/>
      <c r="G226" s="29"/>
      <c r="H226" s="30" t="s">
        <v>1597</v>
      </c>
      <c r="I226" s="30" t="s">
        <v>1595</v>
      </c>
      <c r="J226" s="31"/>
      <c r="K226" s="31" t="s">
        <v>97</v>
      </c>
      <c r="L226" s="31"/>
      <c r="M226" s="30" t="s">
        <v>1597</v>
      </c>
    </row>
    <row r="227" spans="1:13" x14ac:dyDescent="0.3">
      <c r="A227" s="81" t="s">
        <v>260</v>
      </c>
      <c r="B227" s="81"/>
      <c r="C227" s="94"/>
      <c r="D227" s="82"/>
      <c r="E227" s="82"/>
      <c r="F227" s="82"/>
      <c r="G227" s="83"/>
      <c r="H227" s="84"/>
      <c r="I227" s="84"/>
      <c r="J227" s="82"/>
      <c r="K227" s="82"/>
      <c r="L227" s="82"/>
      <c r="M227" s="84"/>
    </row>
    <row r="228" spans="1:13" x14ac:dyDescent="0.3">
      <c r="A228" s="81" t="s">
        <v>981</v>
      </c>
      <c r="B228" s="81"/>
      <c r="C228" s="94"/>
      <c r="D228" s="82"/>
      <c r="E228" s="82"/>
      <c r="F228" s="82"/>
      <c r="G228" s="83"/>
      <c r="H228" s="84"/>
      <c r="I228" s="84"/>
      <c r="J228" s="82"/>
      <c r="K228" s="82"/>
      <c r="L228" s="82"/>
      <c r="M228" s="84"/>
    </row>
    <row r="229" spans="1:13" x14ac:dyDescent="0.3">
      <c r="A229" s="32" t="s">
        <v>1067</v>
      </c>
      <c r="B229" s="32" t="s">
        <v>1148</v>
      </c>
      <c r="C229" s="93" t="s">
        <v>1066</v>
      </c>
      <c r="D229" s="31"/>
      <c r="E229" s="31"/>
      <c r="F229" s="31">
        <v>6100</v>
      </c>
      <c r="G229" s="29" t="s">
        <v>849</v>
      </c>
      <c r="H229" s="33" t="s">
        <v>982</v>
      </c>
      <c r="I229" s="30" t="s">
        <v>1148</v>
      </c>
      <c r="J229" s="31"/>
      <c r="K229" s="31"/>
      <c r="L229" s="31">
        <v>6100</v>
      </c>
      <c r="M229" s="33" t="s">
        <v>982</v>
      </c>
    </row>
    <row r="230" spans="1:13" x14ac:dyDescent="0.3">
      <c r="A230" s="32" t="s">
        <v>1433</v>
      </c>
      <c r="B230" s="32" t="s">
        <v>1148</v>
      </c>
      <c r="C230" s="93" t="s">
        <v>1880</v>
      </c>
      <c r="D230" s="31"/>
      <c r="E230" s="31"/>
      <c r="F230" s="31">
        <v>7000</v>
      </c>
      <c r="G230" s="29" t="s">
        <v>849</v>
      </c>
      <c r="H230" s="33" t="s">
        <v>982</v>
      </c>
      <c r="I230" s="30" t="s">
        <v>1148</v>
      </c>
      <c r="J230" s="31"/>
      <c r="K230" s="31"/>
      <c r="L230" s="31">
        <v>7000</v>
      </c>
      <c r="M230" s="33" t="s">
        <v>982</v>
      </c>
    </row>
    <row r="231" spans="1:13" x14ac:dyDescent="0.3">
      <c r="A231" s="32" t="s">
        <v>983</v>
      </c>
      <c r="B231" s="32" t="s">
        <v>984</v>
      </c>
      <c r="C231" s="93" t="s">
        <v>1882</v>
      </c>
      <c r="D231" s="31"/>
      <c r="E231" s="31"/>
      <c r="F231" s="31">
        <v>200</v>
      </c>
      <c r="G231" s="29" t="s">
        <v>529</v>
      </c>
      <c r="H231" s="33" t="s">
        <v>1881</v>
      </c>
      <c r="I231" s="30" t="s">
        <v>984</v>
      </c>
      <c r="J231" s="31"/>
      <c r="K231" s="31"/>
      <c r="L231" s="31">
        <v>200</v>
      </c>
      <c r="M231" s="33" t="s">
        <v>1881</v>
      </c>
    </row>
    <row r="232" spans="1:13" ht="21" x14ac:dyDescent="0.3">
      <c r="A232" s="32" t="s">
        <v>985</v>
      </c>
      <c r="B232" s="32" t="s">
        <v>262</v>
      </c>
      <c r="C232" s="93" t="s">
        <v>986</v>
      </c>
      <c r="D232" s="31" t="s">
        <v>987</v>
      </c>
      <c r="E232" s="31"/>
      <c r="F232" s="31"/>
      <c r="G232" s="29" t="s">
        <v>446</v>
      </c>
      <c r="H232" s="33" t="s">
        <v>988</v>
      </c>
      <c r="I232" s="30" t="s">
        <v>262</v>
      </c>
      <c r="J232" s="31" t="s">
        <v>987</v>
      </c>
      <c r="K232" s="31"/>
      <c r="L232" s="31"/>
      <c r="M232" s="33" t="s">
        <v>988</v>
      </c>
    </row>
    <row r="233" spans="1:13" x14ac:dyDescent="0.3">
      <c r="A233" s="32" t="s">
        <v>989</v>
      </c>
      <c r="B233" s="32" t="s">
        <v>261</v>
      </c>
      <c r="C233" s="93" t="s">
        <v>990</v>
      </c>
      <c r="D233" s="31" t="s">
        <v>1193</v>
      </c>
      <c r="E233" s="31"/>
      <c r="F233" s="31"/>
      <c r="G233" s="29" t="s">
        <v>446</v>
      </c>
      <c r="H233" s="30" t="s">
        <v>991</v>
      </c>
      <c r="I233" s="30" t="s">
        <v>261</v>
      </c>
      <c r="J233" s="31" t="s">
        <v>1193</v>
      </c>
      <c r="K233" s="31"/>
      <c r="L233" s="31"/>
      <c r="M233" s="30" t="s">
        <v>991</v>
      </c>
    </row>
    <row r="234" spans="1:13" x14ac:dyDescent="0.3">
      <c r="A234" s="32" t="s">
        <v>992</v>
      </c>
      <c r="B234" s="32" t="s">
        <v>993</v>
      </c>
      <c r="C234" s="93" t="s">
        <v>994</v>
      </c>
      <c r="D234" s="31" t="s">
        <v>995</v>
      </c>
      <c r="E234" s="31"/>
      <c r="F234" s="31"/>
      <c r="G234" s="29" t="s">
        <v>446</v>
      </c>
      <c r="H234" s="30" t="s">
        <v>996</v>
      </c>
      <c r="I234" s="30" t="s">
        <v>993</v>
      </c>
      <c r="J234" s="31" t="s">
        <v>995</v>
      </c>
      <c r="K234" s="31"/>
      <c r="L234" s="31"/>
      <c r="M234" s="30" t="s">
        <v>996</v>
      </c>
    </row>
    <row r="235" spans="1:13" x14ac:dyDescent="0.3">
      <c r="A235" s="32" t="s">
        <v>997</v>
      </c>
      <c r="B235" s="32" t="s">
        <v>998</v>
      </c>
      <c r="C235" s="93" t="s">
        <v>999</v>
      </c>
      <c r="D235" s="31" t="s">
        <v>995</v>
      </c>
      <c r="E235" s="31"/>
      <c r="F235" s="31"/>
      <c r="G235" s="29" t="s">
        <v>446</v>
      </c>
      <c r="H235" s="30" t="s">
        <v>1000</v>
      </c>
      <c r="I235" s="30" t="s">
        <v>998</v>
      </c>
      <c r="J235" s="31" t="s">
        <v>995</v>
      </c>
      <c r="K235" s="31"/>
      <c r="L235" s="31"/>
      <c r="M235" s="30" t="s">
        <v>1000</v>
      </c>
    </row>
    <row r="236" spans="1:13" x14ac:dyDescent="0.3">
      <c r="A236" s="32" t="s">
        <v>1001</v>
      </c>
      <c r="B236" s="32" t="s">
        <v>1002</v>
      </c>
      <c r="C236" s="93" t="s">
        <v>1003</v>
      </c>
      <c r="D236" s="31" t="s">
        <v>987</v>
      </c>
      <c r="E236" s="31"/>
      <c r="F236" s="31"/>
      <c r="G236" s="29" t="s">
        <v>446</v>
      </c>
      <c r="H236" s="30" t="s">
        <v>1200</v>
      </c>
      <c r="I236" s="30" t="s">
        <v>1002</v>
      </c>
      <c r="J236" s="31" t="s">
        <v>987</v>
      </c>
      <c r="K236" s="31"/>
      <c r="L236" s="31"/>
      <c r="M236" s="30" t="s">
        <v>1200</v>
      </c>
    </row>
    <row r="237" spans="1:13" x14ac:dyDescent="0.3">
      <c r="A237" s="81" t="s">
        <v>263</v>
      </c>
      <c r="B237" s="81"/>
      <c r="C237" s="94"/>
      <c r="D237" s="82"/>
      <c r="E237" s="82"/>
      <c r="F237" s="82"/>
      <c r="G237" s="83"/>
      <c r="H237" s="84"/>
      <c r="I237" s="84"/>
      <c r="J237" s="82"/>
      <c r="K237" s="82"/>
      <c r="L237" s="82"/>
      <c r="M237" s="84"/>
    </row>
    <row r="238" spans="1:13" x14ac:dyDescent="0.3">
      <c r="A238" s="32" t="s">
        <v>264</v>
      </c>
      <c r="B238" s="32" t="s">
        <v>265</v>
      </c>
      <c r="C238" s="93" t="s">
        <v>266</v>
      </c>
      <c r="D238" s="31" t="s">
        <v>108</v>
      </c>
      <c r="E238" s="31" t="s">
        <v>108</v>
      </c>
      <c r="F238" s="31">
        <v>30</v>
      </c>
      <c r="G238" s="29" t="s">
        <v>849</v>
      </c>
      <c r="H238" s="30"/>
      <c r="I238" s="30" t="s">
        <v>265</v>
      </c>
      <c r="J238" s="31" t="s">
        <v>108</v>
      </c>
      <c r="K238" s="31" t="s">
        <v>108</v>
      </c>
      <c r="L238" s="31">
        <v>30</v>
      </c>
      <c r="M238" s="30"/>
    </row>
    <row r="239" spans="1:13" x14ac:dyDescent="0.3">
      <c r="A239" s="32" t="s">
        <v>267</v>
      </c>
      <c r="B239" s="32" t="s">
        <v>268</v>
      </c>
      <c r="C239" s="93" t="s">
        <v>269</v>
      </c>
      <c r="D239" s="31" t="s">
        <v>108</v>
      </c>
      <c r="E239" s="31" t="s">
        <v>108</v>
      </c>
      <c r="F239" s="31">
        <v>80</v>
      </c>
      <c r="G239" s="29" t="s">
        <v>849</v>
      </c>
      <c r="H239" s="30"/>
      <c r="I239" s="30" t="s">
        <v>268</v>
      </c>
      <c r="J239" s="31" t="s">
        <v>108</v>
      </c>
      <c r="K239" s="31" t="s">
        <v>108</v>
      </c>
      <c r="L239" s="31">
        <v>80</v>
      </c>
      <c r="M239" s="30"/>
    </row>
    <row r="240" spans="1:13" x14ac:dyDescent="0.3">
      <c r="A240" s="32" t="s">
        <v>270</v>
      </c>
      <c r="B240" s="32" t="s">
        <v>271</v>
      </c>
      <c r="C240" s="93" t="s">
        <v>272</v>
      </c>
      <c r="D240" s="31" t="s">
        <v>108</v>
      </c>
      <c r="E240" s="31" t="s">
        <v>108</v>
      </c>
      <c r="F240" s="31">
        <v>180</v>
      </c>
      <c r="G240" s="29" t="s">
        <v>849</v>
      </c>
      <c r="H240" s="30"/>
      <c r="I240" s="30" t="s">
        <v>271</v>
      </c>
      <c r="J240" s="31" t="s">
        <v>108</v>
      </c>
      <c r="K240" s="31" t="s">
        <v>108</v>
      </c>
      <c r="L240" s="31">
        <v>180</v>
      </c>
      <c r="M240" s="30"/>
    </row>
    <row r="241" spans="1:13" x14ac:dyDescent="0.3">
      <c r="A241" s="32" t="s">
        <v>273</v>
      </c>
      <c r="B241" s="32" t="s">
        <v>274</v>
      </c>
      <c r="C241" s="93" t="s">
        <v>275</v>
      </c>
      <c r="D241" s="31" t="s">
        <v>108</v>
      </c>
      <c r="E241" s="31" t="s">
        <v>108</v>
      </c>
      <c r="F241" s="31">
        <v>1.7</v>
      </c>
      <c r="G241" s="29" t="s">
        <v>849</v>
      </c>
      <c r="H241" s="33" t="s">
        <v>1256</v>
      </c>
      <c r="I241" s="30" t="s">
        <v>274</v>
      </c>
      <c r="J241" s="31" t="s">
        <v>108</v>
      </c>
      <c r="K241" s="31" t="s">
        <v>108</v>
      </c>
      <c r="L241" s="31">
        <v>1.7</v>
      </c>
      <c r="M241" s="33" t="s">
        <v>1256</v>
      </c>
    </row>
    <row r="242" spans="1:13" x14ac:dyDescent="0.3">
      <c r="A242" s="81" t="s">
        <v>276</v>
      </c>
      <c r="B242" s="81"/>
      <c r="C242" s="94"/>
      <c r="D242" s="82"/>
      <c r="E242" s="82"/>
      <c r="F242" s="82"/>
      <c r="G242" s="83"/>
      <c r="H242" s="84"/>
      <c r="I242" s="84"/>
      <c r="J242" s="82"/>
      <c r="K242" s="82"/>
      <c r="L242" s="82"/>
      <c r="M242" s="84"/>
    </row>
    <row r="243" spans="1:13" x14ac:dyDescent="0.3">
      <c r="A243" s="32" t="s">
        <v>277</v>
      </c>
      <c r="B243" s="32" t="s">
        <v>278</v>
      </c>
      <c r="C243" s="93" t="s">
        <v>279</v>
      </c>
      <c r="D243" s="31" t="s">
        <v>108</v>
      </c>
      <c r="E243" s="31" t="s">
        <v>108</v>
      </c>
      <c r="F243" s="31">
        <v>1</v>
      </c>
      <c r="G243" s="29" t="s">
        <v>280</v>
      </c>
      <c r="H243" s="30"/>
      <c r="I243" s="30" t="s">
        <v>278</v>
      </c>
      <c r="J243" s="31" t="s">
        <v>108</v>
      </c>
      <c r="K243" s="31" t="s">
        <v>108</v>
      </c>
      <c r="L243" s="31">
        <v>1</v>
      </c>
      <c r="M243" s="30"/>
    </row>
    <row r="244" spans="1:13" x14ac:dyDescent="0.3">
      <c r="A244" s="81" t="s">
        <v>281</v>
      </c>
      <c r="B244" s="81"/>
      <c r="C244" s="94"/>
      <c r="D244" s="82"/>
      <c r="E244" s="82"/>
      <c r="F244" s="82"/>
      <c r="G244" s="83"/>
      <c r="H244" s="98"/>
      <c r="I244" s="84"/>
      <c r="J244" s="82"/>
      <c r="K244" s="82"/>
      <c r="L244" s="82"/>
      <c r="M244" s="98"/>
    </row>
    <row r="245" spans="1:13" x14ac:dyDescent="0.3">
      <c r="A245" s="32" t="s">
        <v>282</v>
      </c>
      <c r="B245" s="32" t="s">
        <v>283</v>
      </c>
      <c r="C245" s="93" t="s">
        <v>284</v>
      </c>
      <c r="D245" s="31" t="s">
        <v>108</v>
      </c>
      <c r="E245" s="31" t="s">
        <v>108</v>
      </c>
      <c r="F245" s="31">
        <v>30</v>
      </c>
      <c r="G245" s="29" t="s">
        <v>849</v>
      </c>
      <c r="H245" s="30"/>
      <c r="I245" s="30" t="s">
        <v>283</v>
      </c>
      <c r="J245" s="31" t="s">
        <v>108</v>
      </c>
      <c r="K245" s="31" t="s">
        <v>108</v>
      </c>
      <c r="L245" s="31">
        <v>30</v>
      </c>
      <c r="M245" s="30"/>
    </row>
    <row r="246" spans="1:13" x14ac:dyDescent="0.3">
      <c r="A246" s="32" t="s">
        <v>285</v>
      </c>
      <c r="B246" s="32" t="s">
        <v>286</v>
      </c>
      <c r="C246" s="93" t="s">
        <v>287</v>
      </c>
      <c r="D246" s="31" t="s">
        <v>108</v>
      </c>
      <c r="E246" s="31" t="s">
        <v>108</v>
      </c>
      <c r="F246" s="31">
        <v>180</v>
      </c>
      <c r="G246" s="29" t="s">
        <v>849</v>
      </c>
      <c r="H246" s="30"/>
      <c r="I246" s="30" t="s">
        <v>286</v>
      </c>
      <c r="J246" s="31" t="s">
        <v>108</v>
      </c>
      <c r="K246" s="31" t="s">
        <v>108</v>
      </c>
      <c r="L246" s="31">
        <v>180</v>
      </c>
      <c r="M246" s="30"/>
    </row>
    <row r="247" spans="1:13" x14ac:dyDescent="0.3">
      <c r="A247" s="81" t="s">
        <v>288</v>
      </c>
      <c r="B247" s="81"/>
      <c r="C247" s="94"/>
      <c r="D247" s="82"/>
      <c r="E247" s="82"/>
      <c r="F247" s="82"/>
      <c r="G247" s="83"/>
      <c r="H247" s="84"/>
      <c r="I247" s="84"/>
      <c r="J247" s="82"/>
      <c r="K247" s="82"/>
      <c r="L247" s="82"/>
      <c r="M247" s="84"/>
    </row>
    <row r="248" spans="1:13" x14ac:dyDescent="0.3">
      <c r="A248" s="32" t="s">
        <v>1269</v>
      </c>
      <c r="B248" s="32" t="s">
        <v>1270</v>
      </c>
      <c r="C248" s="93" t="s">
        <v>279</v>
      </c>
      <c r="D248" s="31"/>
      <c r="E248" s="31"/>
      <c r="F248" s="31">
        <v>3</v>
      </c>
      <c r="G248" s="29" t="s">
        <v>280</v>
      </c>
      <c r="H248" s="30" t="s">
        <v>1271</v>
      </c>
      <c r="I248" s="30" t="s">
        <v>1270</v>
      </c>
      <c r="J248" s="31"/>
      <c r="K248" s="31"/>
      <c r="L248" s="31">
        <v>3</v>
      </c>
      <c r="M248" s="30" t="s">
        <v>1271</v>
      </c>
    </row>
    <row r="249" spans="1:13" x14ac:dyDescent="0.3">
      <c r="A249" s="32" t="s">
        <v>1272</v>
      </c>
      <c r="B249" s="32" t="s">
        <v>1273</v>
      </c>
      <c r="C249" s="93" t="s">
        <v>279</v>
      </c>
      <c r="D249" s="31"/>
      <c r="E249" s="31"/>
      <c r="F249" s="31">
        <v>8</v>
      </c>
      <c r="G249" s="29" t="s">
        <v>280</v>
      </c>
      <c r="H249" s="33" t="s">
        <v>1274</v>
      </c>
      <c r="I249" s="30" t="s">
        <v>1273</v>
      </c>
      <c r="J249" s="31"/>
      <c r="K249" s="31"/>
      <c r="L249" s="31">
        <v>8</v>
      </c>
      <c r="M249" s="33" t="s">
        <v>1274</v>
      </c>
    </row>
    <row r="250" spans="1:13" x14ac:dyDescent="0.3">
      <c r="A250" s="81" t="s">
        <v>289</v>
      </c>
      <c r="B250" s="81"/>
      <c r="C250" s="94"/>
      <c r="D250" s="82"/>
      <c r="E250" s="82"/>
      <c r="F250" s="82"/>
      <c r="G250" s="83"/>
      <c r="H250" s="84"/>
      <c r="I250" s="84"/>
      <c r="J250" s="82"/>
      <c r="K250" s="82"/>
      <c r="L250" s="82"/>
      <c r="M250" s="84"/>
    </row>
    <row r="251" spans="1:13" x14ac:dyDescent="0.3">
      <c r="A251" s="32" t="s">
        <v>290</v>
      </c>
      <c r="B251" s="32" t="s">
        <v>291</v>
      </c>
      <c r="C251" s="93" t="s">
        <v>292</v>
      </c>
      <c r="D251" s="31" t="s">
        <v>108</v>
      </c>
      <c r="E251" s="31" t="s">
        <v>108</v>
      </c>
      <c r="F251" s="31">
        <v>220</v>
      </c>
      <c r="G251" s="29" t="s">
        <v>849</v>
      </c>
      <c r="H251" s="30"/>
      <c r="I251" s="30" t="s">
        <v>291</v>
      </c>
      <c r="J251" s="31" t="s">
        <v>108</v>
      </c>
      <c r="K251" s="31" t="s">
        <v>108</v>
      </c>
      <c r="L251" s="31">
        <v>220</v>
      </c>
      <c r="M251" s="30"/>
    </row>
    <row r="252" spans="1:13" x14ac:dyDescent="0.3">
      <c r="A252" s="32" t="s">
        <v>293</v>
      </c>
      <c r="B252" s="32" t="s">
        <v>294</v>
      </c>
      <c r="C252" s="93" t="s">
        <v>295</v>
      </c>
      <c r="D252" s="31" t="s">
        <v>108</v>
      </c>
      <c r="E252" s="31" t="s">
        <v>108</v>
      </c>
      <c r="F252" s="31">
        <v>340</v>
      </c>
      <c r="G252" s="29" t="s">
        <v>849</v>
      </c>
      <c r="H252" s="30"/>
      <c r="I252" s="30" t="s">
        <v>294</v>
      </c>
      <c r="J252" s="31" t="s">
        <v>108</v>
      </c>
      <c r="K252" s="31" t="s">
        <v>108</v>
      </c>
      <c r="L252" s="31">
        <v>340</v>
      </c>
      <c r="M252" s="30"/>
    </row>
    <row r="253" spans="1:13" x14ac:dyDescent="0.3">
      <c r="A253" s="32" t="s">
        <v>296</v>
      </c>
      <c r="B253" s="32" t="s">
        <v>297</v>
      </c>
      <c r="C253" s="93" t="s">
        <v>298</v>
      </c>
      <c r="D253" s="31" t="s">
        <v>108</v>
      </c>
      <c r="E253" s="31" t="s">
        <v>108</v>
      </c>
      <c r="F253" s="31">
        <v>360</v>
      </c>
      <c r="G253" s="29" t="s">
        <v>849</v>
      </c>
      <c r="H253" s="30"/>
      <c r="I253" s="30" t="s">
        <v>297</v>
      </c>
      <c r="J253" s="31" t="s">
        <v>108</v>
      </c>
      <c r="K253" s="31" t="s">
        <v>108</v>
      </c>
      <c r="L253" s="31">
        <v>360</v>
      </c>
      <c r="M253" s="30"/>
    </row>
    <row r="254" spans="1:13" x14ac:dyDescent="0.3">
      <c r="A254" s="32" t="s">
        <v>1068</v>
      </c>
      <c r="B254" s="32" t="s">
        <v>1069</v>
      </c>
      <c r="C254" s="93" t="s">
        <v>1095</v>
      </c>
      <c r="D254" s="31" t="s">
        <v>108</v>
      </c>
      <c r="E254" s="31" t="s">
        <v>108</v>
      </c>
      <c r="F254" s="31">
        <v>800</v>
      </c>
      <c r="G254" s="29" t="s">
        <v>849</v>
      </c>
      <c r="H254" s="33"/>
      <c r="I254" s="30" t="s">
        <v>1069</v>
      </c>
      <c r="J254" s="31" t="s">
        <v>108</v>
      </c>
      <c r="K254" s="31" t="s">
        <v>108</v>
      </c>
      <c r="L254" s="31">
        <v>800</v>
      </c>
      <c r="M254" s="33"/>
    </row>
    <row r="255" spans="1:13" x14ac:dyDescent="0.3">
      <c r="A255" s="81" t="s">
        <v>1188</v>
      </c>
      <c r="B255" s="81"/>
      <c r="C255" s="94"/>
      <c r="D255" s="82"/>
      <c r="E255" s="82"/>
      <c r="F255" s="82"/>
      <c r="G255" s="83"/>
      <c r="H255" s="84"/>
      <c r="I255" s="84"/>
      <c r="J255" s="82"/>
      <c r="K255" s="82"/>
      <c r="L255" s="82"/>
      <c r="M255" s="84"/>
    </row>
    <row r="256" spans="1:13" x14ac:dyDescent="0.3">
      <c r="A256" s="32" t="s">
        <v>299</v>
      </c>
      <c r="B256" s="355" t="s">
        <v>300</v>
      </c>
      <c r="C256" s="96" t="s">
        <v>1182</v>
      </c>
      <c r="D256" s="356"/>
      <c r="E256" s="356"/>
      <c r="F256" s="356">
        <v>25</v>
      </c>
      <c r="G256" s="357" t="s">
        <v>529</v>
      </c>
      <c r="H256" s="96" t="s">
        <v>1538</v>
      </c>
      <c r="I256" s="30" t="s">
        <v>300</v>
      </c>
      <c r="J256" s="31"/>
      <c r="K256" s="31"/>
      <c r="L256" s="31">
        <v>25</v>
      </c>
      <c r="M256" s="30" t="s">
        <v>1538</v>
      </c>
    </row>
    <row r="257" spans="1:13" x14ac:dyDescent="0.3">
      <c r="A257" s="32" t="s">
        <v>1752</v>
      </c>
      <c r="B257" s="355" t="s">
        <v>1757</v>
      </c>
      <c r="C257" s="93" t="s">
        <v>1182</v>
      </c>
      <c r="D257" s="356"/>
      <c r="E257" s="356"/>
      <c r="F257" s="356">
        <v>6.25</v>
      </c>
      <c r="G257" s="357" t="s">
        <v>529</v>
      </c>
      <c r="H257" s="96" t="s">
        <v>1537</v>
      </c>
      <c r="I257" s="30" t="s">
        <v>1757</v>
      </c>
      <c r="J257" s="31"/>
      <c r="K257" s="31"/>
      <c r="L257" s="31">
        <v>6.25</v>
      </c>
      <c r="M257" s="33" t="s">
        <v>1537</v>
      </c>
    </row>
    <row r="258" spans="1:13" ht="21" x14ac:dyDescent="0.3">
      <c r="A258" s="32" t="s">
        <v>1179</v>
      </c>
      <c r="B258" s="32" t="s">
        <v>1781</v>
      </c>
      <c r="C258" s="93" t="s">
        <v>1666</v>
      </c>
      <c r="D258" s="31"/>
      <c r="E258" s="31">
        <v>37.5</v>
      </c>
      <c r="F258" s="31">
        <v>45</v>
      </c>
      <c r="G258" s="29" t="s">
        <v>529</v>
      </c>
      <c r="H258" s="33" t="s">
        <v>2113</v>
      </c>
      <c r="I258" s="30" t="s">
        <v>1781</v>
      </c>
      <c r="J258" s="31"/>
      <c r="K258" s="31">
        <v>37.5</v>
      </c>
      <c r="L258" s="31">
        <v>45</v>
      </c>
      <c r="M258" s="33" t="s">
        <v>2113</v>
      </c>
    </row>
    <row r="259" spans="1:13" ht="21" x14ac:dyDescent="0.3">
      <c r="A259" s="32" t="s">
        <v>1754</v>
      </c>
      <c r="B259" s="32" t="s">
        <v>1782</v>
      </c>
      <c r="C259" s="93" t="s">
        <v>1666</v>
      </c>
      <c r="D259" s="31"/>
      <c r="E259" s="31"/>
      <c r="F259" s="31">
        <v>12</v>
      </c>
      <c r="G259" s="29" t="s">
        <v>529</v>
      </c>
      <c r="H259" s="33" t="s">
        <v>1537</v>
      </c>
      <c r="I259" s="30" t="s">
        <v>1782</v>
      </c>
      <c r="J259" s="31"/>
      <c r="K259" s="31"/>
      <c r="L259" s="31">
        <v>12</v>
      </c>
      <c r="M259" s="33" t="s">
        <v>1537</v>
      </c>
    </row>
    <row r="260" spans="1:13" x14ac:dyDescent="0.3">
      <c r="A260" s="32" t="s">
        <v>1334</v>
      </c>
      <c r="B260" s="32" t="s">
        <v>1335</v>
      </c>
      <c r="C260" s="93" t="s">
        <v>1783</v>
      </c>
      <c r="D260" s="31"/>
      <c r="E260" s="31"/>
      <c r="F260" s="31" t="s">
        <v>1774</v>
      </c>
      <c r="G260" s="29" t="s">
        <v>529</v>
      </c>
      <c r="H260" s="30" t="s">
        <v>1775</v>
      </c>
      <c r="I260" s="30" t="s">
        <v>1335</v>
      </c>
      <c r="J260" s="31"/>
      <c r="K260" s="31"/>
      <c r="L260" s="31" t="s">
        <v>1774</v>
      </c>
      <c r="M260" s="30" t="s">
        <v>1775</v>
      </c>
    </row>
    <row r="261" spans="1:13" x14ac:dyDescent="0.3">
      <c r="A261" s="32" t="s">
        <v>1756</v>
      </c>
      <c r="B261" s="32" t="s">
        <v>1758</v>
      </c>
      <c r="C261" s="93" t="s">
        <v>1784</v>
      </c>
      <c r="D261" s="31"/>
      <c r="E261" s="31"/>
      <c r="F261" s="31" t="s">
        <v>1774</v>
      </c>
      <c r="G261" s="29" t="s">
        <v>529</v>
      </c>
      <c r="H261" s="30" t="s">
        <v>1776</v>
      </c>
      <c r="I261" s="30" t="s">
        <v>1758</v>
      </c>
      <c r="J261" s="31"/>
      <c r="K261" s="31"/>
      <c r="L261" s="31" t="s">
        <v>1774</v>
      </c>
      <c r="M261" s="30" t="s">
        <v>1776</v>
      </c>
    </row>
    <row r="262" spans="1:13" x14ac:dyDescent="0.3">
      <c r="A262" s="32" t="s">
        <v>1779</v>
      </c>
      <c r="B262" s="32" t="s">
        <v>1780</v>
      </c>
      <c r="C262" s="93" t="s">
        <v>1785</v>
      </c>
      <c r="D262" s="31"/>
      <c r="E262" s="31"/>
      <c r="F262" s="31" t="s">
        <v>1774</v>
      </c>
      <c r="G262" s="29" t="s">
        <v>529</v>
      </c>
      <c r="H262" s="33" t="s">
        <v>2114</v>
      </c>
      <c r="I262" s="30" t="s">
        <v>1780</v>
      </c>
      <c r="J262" s="31"/>
      <c r="K262" s="31"/>
      <c r="L262" s="31" t="s">
        <v>1774</v>
      </c>
      <c r="M262" s="33" t="s">
        <v>2114</v>
      </c>
    </row>
    <row r="263" spans="1:13" x14ac:dyDescent="0.3">
      <c r="A263" s="32" t="s">
        <v>1786</v>
      </c>
      <c r="B263" s="32" t="s">
        <v>1787</v>
      </c>
      <c r="C263" s="93" t="s">
        <v>1788</v>
      </c>
      <c r="D263" s="31"/>
      <c r="E263" s="31"/>
      <c r="F263" s="31" t="s">
        <v>1774</v>
      </c>
      <c r="G263" s="29" t="s">
        <v>529</v>
      </c>
      <c r="H263" s="33" t="s">
        <v>1789</v>
      </c>
      <c r="I263" s="30" t="s">
        <v>1787</v>
      </c>
      <c r="J263" s="31"/>
      <c r="K263" s="31"/>
      <c r="L263" s="31" t="s">
        <v>1774</v>
      </c>
      <c r="M263" s="33" t="s">
        <v>1789</v>
      </c>
    </row>
    <row r="264" spans="1:13" x14ac:dyDescent="0.3">
      <c r="A264" s="32" t="s">
        <v>1751</v>
      </c>
      <c r="B264" s="32" t="s">
        <v>1180</v>
      </c>
      <c r="C264" s="93" t="s">
        <v>1181</v>
      </c>
      <c r="D264" s="31"/>
      <c r="E264" s="31"/>
      <c r="F264" s="31">
        <v>15</v>
      </c>
      <c r="G264" s="29" t="s">
        <v>529</v>
      </c>
      <c r="H264" s="33" t="s">
        <v>1791</v>
      </c>
      <c r="I264" s="30" t="s">
        <v>1180</v>
      </c>
      <c r="J264" s="31"/>
      <c r="K264" s="31"/>
      <c r="L264" s="31">
        <v>15</v>
      </c>
      <c r="M264" s="33" t="s">
        <v>1791</v>
      </c>
    </row>
    <row r="265" spans="1:13" x14ac:dyDescent="0.3">
      <c r="A265" s="32" t="s">
        <v>1790</v>
      </c>
      <c r="B265" s="32" t="s">
        <v>1759</v>
      </c>
      <c r="C265" s="93" t="s">
        <v>1181</v>
      </c>
      <c r="D265" s="31"/>
      <c r="E265" s="31"/>
      <c r="F265" s="31">
        <v>5</v>
      </c>
      <c r="G265" s="29" t="s">
        <v>529</v>
      </c>
      <c r="H265" s="33" t="s">
        <v>1539</v>
      </c>
      <c r="I265" s="30" t="s">
        <v>1759</v>
      </c>
      <c r="J265" s="31"/>
      <c r="K265" s="31"/>
      <c r="L265" s="31">
        <v>5</v>
      </c>
      <c r="M265" s="33" t="s">
        <v>1539</v>
      </c>
    </row>
    <row r="266" spans="1:13" x14ac:dyDescent="0.3">
      <c r="A266" s="81" t="s">
        <v>1760</v>
      </c>
      <c r="B266" s="81"/>
      <c r="C266" s="94"/>
      <c r="D266" s="82"/>
      <c r="E266" s="82"/>
      <c r="F266" s="82"/>
      <c r="G266" s="83"/>
      <c r="H266" s="98"/>
      <c r="I266" s="84"/>
      <c r="J266" s="82"/>
      <c r="K266" s="82"/>
      <c r="L266" s="82"/>
      <c r="M266" s="98"/>
    </row>
    <row r="267" spans="1:13" x14ac:dyDescent="0.3">
      <c r="A267" s="32" t="s">
        <v>301</v>
      </c>
      <c r="B267" s="32" t="s">
        <v>302</v>
      </c>
      <c r="C267" s="93" t="s">
        <v>303</v>
      </c>
      <c r="D267" s="31" t="s">
        <v>108</v>
      </c>
      <c r="E267" s="31" t="s">
        <v>140</v>
      </c>
      <c r="F267" s="31">
        <v>12</v>
      </c>
      <c r="G267" s="29" t="s">
        <v>446</v>
      </c>
      <c r="H267" s="33" t="s">
        <v>1540</v>
      </c>
      <c r="I267" s="30" t="s">
        <v>302</v>
      </c>
      <c r="J267" s="31" t="s">
        <v>108</v>
      </c>
      <c r="K267" s="31" t="s">
        <v>140</v>
      </c>
      <c r="L267" s="31">
        <v>12</v>
      </c>
      <c r="M267" s="33" t="s">
        <v>1540</v>
      </c>
    </row>
    <row r="268" spans="1:13" x14ac:dyDescent="0.3">
      <c r="A268" s="32" t="s">
        <v>1761</v>
      </c>
      <c r="B268" s="32" t="s">
        <v>1763</v>
      </c>
      <c r="C268" s="93" t="s">
        <v>303</v>
      </c>
      <c r="D268" s="31" t="s">
        <v>140</v>
      </c>
      <c r="E268" s="31" t="s">
        <v>140</v>
      </c>
      <c r="F268" s="31">
        <v>40</v>
      </c>
      <c r="G268" s="29" t="s">
        <v>446</v>
      </c>
      <c r="H268" s="33" t="s">
        <v>1539</v>
      </c>
      <c r="I268" s="30" t="s">
        <v>1763</v>
      </c>
      <c r="J268" s="31" t="s">
        <v>140</v>
      </c>
      <c r="K268" s="31" t="s">
        <v>140</v>
      </c>
      <c r="L268" s="31">
        <v>40</v>
      </c>
      <c r="M268" s="33" t="s">
        <v>1539</v>
      </c>
    </row>
    <row r="269" spans="1:13" x14ac:dyDescent="0.3">
      <c r="A269" s="32" t="s">
        <v>1764</v>
      </c>
      <c r="B269" s="32" t="s">
        <v>1765</v>
      </c>
      <c r="C269" s="93" t="s">
        <v>303</v>
      </c>
      <c r="D269" s="31" t="s">
        <v>140</v>
      </c>
      <c r="E269" s="31" t="s">
        <v>140</v>
      </c>
      <c r="F269" s="31">
        <v>15</v>
      </c>
      <c r="G269" s="29" t="s">
        <v>446</v>
      </c>
      <c r="H269" s="30" t="s">
        <v>1766</v>
      </c>
      <c r="I269" s="30" t="s">
        <v>1765</v>
      </c>
      <c r="J269" s="31" t="s">
        <v>140</v>
      </c>
      <c r="K269" s="31" t="s">
        <v>140</v>
      </c>
      <c r="L269" s="31">
        <v>15</v>
      </c>
      <c r="M269" s="30" t="s">
        <v>1766</v>
      </c>
    </row>
    <row r="270" spans="1:13" x14ac:dyDescent="0.3">
      <c r="A270" s="32" t="s">
        <v>1792</v>
      </c>
      <c r="B270" s="32" t="s">
        <v>1793</v>
      </c>
      <c r="C270" s="93" t="s">
        <v>303</v>
      </c>
      <c r="D270" s="31" t="s">
        <v>140</v>
      </c>
      <c r="E270" s="31" t="s">
        <v>140</v>
      </c>
      <c r="F270" s="31">
        <v>75</v>
      </c>
      <c r="G270" s="29" t="s">
        <v>446</v>
      </c>
      <c r="H270" s="30" t="s">
        <v>1794</v>
      </c>
      <c r="I270" s="30" t="s">
        <v>1793</v>
      </c>
      <c r="J270" s="31" t="s">
        <v>140</v>
      </c>
      <c r="K270" s="31" t="s">
        <v>140</v>
      </c>
      <c r="L270" s="31">
        <v>75</v>
      </c>
      <c r="M270" s="30" t="s">
        <v>1794</v>
      </c>
    </row>
    <row r="271" spans="1:13" x14ac:dyDescent="0.3">
      <c r="A271" s="32" t="s">
        <v>304</v>
      </c>
      <c r="B271" s="32" t="s">
        <v>305</v>
      </c>
      <c r="C271" s="32" t="s">
        <v>306</v>
      </c>
      <c r="D271" s="31">
        <v>20</v>
      </c>
      <c r="E271" s="31" t="s">
        <v>108</v>
      </c>
      <c r="F271" s="31" t="s">
        <v>108</v>
      </c>
      <c r="G271" s="29" t="s">
        <v>446</v>
      </c>
      <c r="H271" s="33" t="s">
        <v>1796</v>
      </c>
      <c r="I271" s="30" t="s">
        <v>305</v>
      </c>
      <c r="J271" s="31">
        <v>20</v>
      </c>
      <c r="K271" s="31" t="s">
        <v>108</v>
      </c>
      <c r="L271" s="31" t="s">
        <v>108</v>
      </c>
      <c r="M271" s="33" t="s">
        <v>1796</v>
      </c>
    </row>
    <row r="272" spans="1:13" x14ac:dyDescent="0.3">
      <c r="A272" s="32" t="s">
        <v>1799</v>
      </c>
      <c r="B272" s="32" t="s">
        <v>1795</v>
      </c>
      <c r="C272" s="93" t="s">
        <v>306</v>
      </c>
      <c r="D272" s="31">
        <v>105</v>
      </c>
      <c r="E272" s="31" t="s">
        <v>108</v>
      </c>
      <c r="F272" s="31" t="s">
        <v>108</v>
      </c>
      <c r="G272" s="29" t="s">
        <v>446</v>
      </c>
      <c r="H272" s="30" t="s">
        <v>1797</v>
      </c>
      <c r="I272" s="30" t="s">
        <v>1795</v>
      </c>
      <c r="J272" s="31">
        <v>105</v>
      </c>
      <c r="K272" s="31" t="s">
        <v>108</v>
      </c>
      <c r="L272" s="31" t="s">
        <v>108</v>
      </c>
      <c r="M272" s="30" t="s">
        <v>1797</v>
      </c>
    </row>
    <row r="273" spans="1:13" x14ac:dyDescent="0.3">
      <c r="A273" s="32" t="s">
        <v>1777</v>
      </c>
      <c r="B273" s="32" t="s">
        <v>1778</v>
      </c>
      <c r="C273" s="93" t="s">
        <v>306</v>
      </c>
      <c r="D273" s="31">
        <v>13</v>
      </c>
      <c r="E273" s="31" t="s">
        <v>140</v>
      </c>
      <c r="F273" s="31" t="s">
        <v>140</v>
      </c>
      <c r="G273" s="29" t="s">
        <v>446</v>
      </c>
      <c r="H273" s="30" t="s">
        <v>1798</v>
      </c>
      <c r="I273" s="30" t="s">
        <v>1778</v>
      </c>
      <c r="J273" s="31">
        <v>13</v>
      </c>
      <c r="K273" s="31" t="s">
        <v>140</v>
      </c>
      <c r="L273" s="31" t="s">
        <v>140</v>
      </c>
      <c r="M273" s="30" t="s">
        <v>1798</v>
      </c>
    </row>
    <row r="274" spans="1:13" x14ac:dyDescent="0.3">
      <c r="A274" s="32" t="s">
        <v>1800</v>
      </c>
      <c r="B274" s="32" t="s">
        <v>1804</v>
      </c>
      <c r="C274" s="93" t="s">
        <v>306</v>
      </c>
      <c r="D274" s="78">
        <v>22</v>
      </c>
      <c r="E274" s="31" t="s">
        <v>140</v>
      </c>
      <c r="F274" s="31" t="s">
        <v>140</v>
      </c>
      <c r="G274" s="29" t="s">
        <v>446</v>
      </c>
      <c r="H274" s="30" t="s">
        <v>1794</v>
      </c>
      <c r="I274" s="30" t="s">
        <v>1804</v>
      </c>
      <c r="J274" s="78">
        <v>22</v>
      </c>
      <c r="K274" s="31" t="s">
        <v>140</v>
      </c>
      <c r="L274" s="31" t="s">
        <v>140</v>
      </c>
      <c r="M274" s="30" t="s">
        <v>1794</v>
      </c>
    </row>
    <row r="275" spans="1:13" x14ac:dyDescent="0.3">
      <c r="A275" s="32" t="s">
        <v>307</v>
      </c>
      <c r="B275" s="32" t="s">
        <v>308</v>
      </c>
      <c r="C275" s="93" t="s">
        <v>1070</v>
      </c>
      <c r="D275" s="31">
        <v>-5</v>
      </c>
      <c r="E275" s="31" t="s">
        <v>108</v>
      </c>
      <c r="F275" s="31" t="s">
        <v>108</v>
      </c>
      <c r="G275" s="29" t="s">
        <v>446</v>
      </c>
      <c r="H275" s="33" t="s">
        <v>1839</v>
      </c>
      <c r="I275" s="33" t="s">
        <v>308</v>
      </c>
      <c r="J275" s="31">
        <v>-5</v>
      </c>
      <c r="K275" s="31" t="s">
        <v>108</v>
      </c>
      <c r="L275" s="31" t="s">
        <v>108</v>
      </c>
      <c r="M275" s="33" t="s">
        <v>1839</v>
      </c>
    </row>
    <row r="276" spans="1:13" x14ac:dyDescent="0.3">
      <c r="A276" s="32" t="s">
        <v>1840</v>
      </c>
      <c r="B276" s="32" t="s">
        <v>1841</v>
      </c>
      <c r="C276" s="93" t="s">
        <v>1070</v>
      </c>
      <c r="D276" s="31">
        <v>-10</v>
      </c>
      <c r="E276" s="135" t="s">
        <v>108</v>
      </c>
      <c r="F276" s="31" t="s">
        <v>108</v>
      </c>
      <c r="G276" s="29" t="s">
        <v>446</v>
      </c>
      <c r="H276" s="30" t="s">
        <v>1842</v>
      </c>
      <c r="I276" s="30" t="s">
        <v>1841</v>
      </c>
      <c r="J276" s="31">
        <v>-10</v>
      </c>
      <c r="K276" s="135" t="s">
        <v>108</v>
      </c>
      <c r="L276" s="31" t="s">
        <v>108</v>
      </c>
      <c r="M276" s="30" t="s">
        <v>1842</v>
      </c>
    </row>
    <row r="277" spans="1:13" x14ac:dyDescent="0.3">
      <c r="A277" s="32" t="s">
        <v>1801</v>
      </c>
      <c r="B277" s="32" t="s">
        <v>1802</v>
      </c>
      <c r="C277" s="93" t="s">
        <v>1803</v>
      </c>
      <c r="D277" s="31">
        <v>-1</v>
      </c>
      <c r="E277" s="31" t="s">
        <v>108</v>
      </c>
      <c r="F277" s="31" t="s">
        <v>108</v>
      </c>
      <c r="G277" s="29" t="s">
        <v>446</v>
      </c>
      <c r="H277" s="30" t="s">
        <v>1846</v>
      </c>
      <c r="I277" s="30" t="s">
        <v>1802</v>
      </c>
      <c r="J277" s="31">
        <v>-1</v>
      </c>
      <c r="K277" s="31" t="s">
        <v>108</v>
      </c>
      <c r="L277" s="31" t="s">
        <v>108</v>
      </c>
      <c r="M277" s="30" t="s">
        <v>1846</v>
      </c>
    </row>
    <row r="278" spans="1:13" x14ac:dyDescent="0.3">
      <c r="A278" s="32" t="s">
        <v>1843</v>
      </c>
      <c r="B278" s="32" t="s">
        <v>1844</v>
      </c>
      <c r="C278" s="93" t="s">
        <v>1070</v>
      </c>
      <c r="D278" s="31">
        <v>-2</v>
      </c>
      <c r="E278" s="31" t="s">
        <v>108</v>
      </c>
      <c r="F278" s="31" t="s">
        <v>108</v>
      </c>
      <c r="G278" s="29" t="s">
        <v>446</v>
      </c>
      <c r="H278" s="30" t="s">
        <v>1845</v>
      </c>
      <c r="I278" s="30" t="s">
        <v>1844</v>
      </c>
      <c r="J278" s="31">
        <v>-2</v>
      </c>
      <c r="K278" s="31" t="s">
        <v>108</v>
      </c>
      <c r="L278" s="31" t="s">
        <v>108</v>
      </c>
      <c r="M278" s="30" t="s">
        <v>1845</v>
      </c>
    </row>
    <row r="279" spans="1:13" ht="21" x14ac:dyDescent="0.3">
      <c r="A279" s="32" t="s">
        <v>1330</v>
      </c>
      <c r="B279" s="32" t="s">
        <v>1331</v>
      </c>
      <c r="C279" s="93" t="s">
        <v>320</v>
      </c>
      <c r="D279" s="31">
        <v>20</v>
      </c>
      <c r="E279" s="31" t="s">
        <v>108</v>
      </c>
      <c r="F279" s="31" t="s">
        <v>108</v>
      </c>
      <c r="G279" s="29" t="s">
        <v>446</v>
      </c>
      <c r="H279" s="33" t="s">
        <v>1856</v>
      </c>
      <c r="I279" s="30" t="s">
        <v>1331</v>
      </c>
      <c r="J279" s="31">
        <v>20</v>
      </c>
      <c r="K279" s="31" t="s">
        <v>108</v>
      </c>
      <c r="L279" s="31" t="s">
        <v>108</v>
      </c>
      <c r="M279" s="33" t="s">
        <v>1856</v>
      </c>
    </row>
    <row r="280" spans="1:13" ht="21" x14ac:dyDescent="0.3">
      <c r="A280" s="32" t="s">
        <v>1332</v>
      </c>
      <c r="B280" s="32" t="s">
        <v>1333</v>
      </c>
      <c r="C280" s="93" t="s">
        <v>1346</v>
      </c>
      <c r="D280" s="78">
        <v>20</v>
      </c>
      <c r="E280" s="31" t="s">
        <v>108</v>
      </c>
      <c r="F280" s="31" t="s">
        <v>108</v>
      </c>
      <c r="G280" s="29" t="s">
        <v>446</v>
      </c>
      <c r="H280" s="33" t="s">
        <v>1856</v>
      </c>
      <c r="I280" s="30" t="s">
        <v>1333</v>
      </c>
      <c r="J280" s="78">
        <v>20</v>
      </c>
      <c r="K280" s="31" t="s">
        <v>108</v>
      </c>
      <c r="L280" s="31" t="s">
        <v>108</v>
      </c>
      <c r="M280" s="33" t="s">
        <v>1856</v>
      </c>
    </row>
    <row r="281" spans="1:13" x14ac:dyDescent="0.3">
      <c r="A281" s="81" t="s">
        <v>1189</v>
      </c>
      <c r="B281" s="81"/>
      <c r="C281" s="94"/>
      <c r="D281" s="82"/>
      <c r="E281" s="82"/>
      <c r="F281" s="82"/>
      <c r="G281" s="83"/>
      <c r="H281" s="84"/>
      <c r="I281" s="84"/>
      <c r="J281" s="82"/>
      <c r="K281" s="82"/>
      <c r="L281" s="82"/>
      <c r="M281" s="84"/>
    </row>
    <row r="282" spans="1:13" x14ac:dyDescent="0.3">
      <c r="A282" s="32" t="s">
        <v>309</v>
      </c>
      <c r="B282" s="32" t="s">
        <v>310</v>
      </c>
      <c r="C282" s="93" t="s">
        <v>311</v>
      </c>
      <c r="D282" s="31">
        <v>5</v>
      </c>
      <c r="E282" s="135" t="s">
        <v>108</v>
      </c>
      <c r="F282" s="31" t="s">
        <v>108</v>
      </c>
      <c r="G282" s="29" t="s">
        <v>446</v>
      </c>
      <c r="H282" s="33" t="s">
        <v>1540</v>
      </c>
      <c r="I282" s="30" t="s">
        <v>310</v>
      </c>
      <c r="J282" s="31">
        <v>5</v>
      </c>
      <c r="K282" s="135" t="s">
        <v>108</v>
      </c>
      <c r="L282" s="31" t="s">
        <v>108</v>
      </c>
      <c r="M282" s="33" t="s">
        <v>1540</v>
      </c>
    </row>
    <row r="283" spans="1:13" x14ac:dyDescent="0.3">
      <c r="A283" s="32" t="s">
        <v>1805</v>
      </c>
      <c r="B283" s="32" t="s">
        <v>1806</v>
      </c>
      <c r="C283" s="93" t="s">
        <v>311</v>
      </c>
      <c r="D283" s="31">
        <v>24</v>
      </c>
      <c r="E283" s="31" t="s">
        <v>108</v>
      </c>
      <c r="F283" s="31" t="s">
        <v>108</v>
      </c>
      <c r="G283" s="29" t="s">
        <v>446</v>
      </c>
      <c r="H283" s="30" t="s">
        <v>1539</v>
      </c>
      <c r="I283" s="30" t="s">
        <v>1806</v>
      </c>
      <c r="J283" s="31">
        <v>24</v>
      </c>
      <c r="K283" s="31" t="s">
        <v>108</v>
      </c>
      <c r="L283" s="31" t="s">
        <v>108</v>
      </c>
      <c r="M283" s="30" t="s">
        <v>1539</v>
      </c>
    </row>
    <row r="284" spans="1:13" x14ac:dyDescent="0.3">
      <c r="A284" s="32" t="s">
        <v>1847</v>
      </c>
      <c r="B284" s="32" t="s">
        <v>1849</v>
      </c>
      <c r="C284" s="93" t="s">
        <v>311</v>
      </c>
      <c r="D284" s="31">
        <v>4</v>
      </c>
      <c r="E284" s="31" t="s">
        <v>108</v>
      </c>
      <c r="F284" s="31" t="s">
        <v>108</v>
      </c>
      <c r="G284" s="29" t="s">
        <v>446</v>
      </c>
      <c r="H284" s="33" t="s">
        <v>1851</v>
      </c>
      <c r="I284" s="30" t="s">
        <v>1849</v>
      </c>
      <c r="J284" s="31">
        <v>4</v>
      </c>
      <c r="K284" s="31" t="s">
        <v>108</v>
      </c>
      <c r="L284" s="31" t="s">
        <v>108</v>
      </c>
      <c r="M284" s="33" t="s">
        <v>1851</v>
      </c>
    </row>
    <row r="285" spans="1:13" x14ac:dyDescent="0.3">
      <c r="A285" s="32" t="s">
        <v>1848</v>
      </c>
      <c r="B285" s="32" t="s">
        <v>1850</v>
      </c>
      <c r="C285" s="93" t="s">
        <v>311</v>
      </c>
      <c r="D285" s="31">
        <v>14</v>
      </c>
      <c r="E285" s="31" t="s">
        <v>108</v>
      </c>
      <c r="F285" s="31" t="s">
        <v>108</v>
      </c>
      <c r="G285" s="29" t="s">
        <v>446</v>
      </c>
      <c r="H285" s="33" t="s">
        <v>1852</v>
      </c>
      <c r="I285" s="30" t="s">
        <v>1850</v>
      </c>
      <c r="J285" s="31">
        <v>14</v>
      </c>
      <c r="K285" s="31" t="s">
        <v>108</v>
      </c>
      <c r="L285" s="31" t="s">
        <v>108</v>
      </c>
      <c r="M285" s="33" t="s">
        <v>1852</v>
      </c>
    </row>
    <row r="286" spans="1:13" x14ac:dyDescent="0.3">
      <c r="A286" s="32" t="s">
        <v>314</v>
      </c>
      <c r="B286" s="32" t="s">
        <v>315</v>
      </c>
      <c r="C286" s="93" t="s">
        <v>316</v>
      </c>
      <c r="D286" s="31"/>
      <c r="E286" s="31"/>
      <c r="F286" s="31">
        <v>20</v>
      </c>
      <c r="G286" s="29" t="s">
        <v>446</v>
      </c>
      <c r="H286" s="33" t="s">
        <v>1540</v>
      </c>
      <c r="I286" s="30" t="s">
        <v>315</v>
      </c>
      <c r="J286" s="31"/>
      <c r="K286" s="31"/>
      <c r="L286" s="31">
        <v>20</v>
      </c>
      <c r="M286" s="33" t="s">
        <v>1540</v>
      </c>
    </row>
    <row r="287" spans="1:13" x14ac:dyDescent="0.3">
      <c r="A287" s="32" t="s">
        <v>1769</v>
      </c>
      <c r="B287" s="32" t="s">
        <v>1767</v>
      </c>
      <c r="C287" s="93" t="s">
        <v>316</v>
      </c>
      <c r="D287" s="31"/>
      <c r="E287" s="31"/>
      <c r="F287" s="31">
        <v>35</v>
      </c>
      <c r="G287" s="29" t="s">
        <v>446</v>
      </c>
      <c r="H287" s="33" t="s">
        <v>1539</v>
      </c>
      <c r="I287" s="30" t="s">
        <v>1767</v>
      </c>
      <c r="J287" s="31"/>
      <c r="K287" s="31"/>
      <c r="L287" s="31">
        <v>35</v>
      </c>
      <c r="M287" s="33" t="s">
        <v>1539</v>
      </c>
    </row>
    <row r="288" spans="1:13" x14ac:dyDescent="0.3">
      <c r="A288" s="32" t="s">
        <v>1770</v>
      </c>
      <c r="B288" s="32" t="s">
        <v>1771</v>
      </c>
      <c r="C288" s="93" t="s">
        <v>316</v>
      </c>
      <c r="D288" s="31"/>
      <c r="E288" s="31"/>
      <c r="F288" s="31">
        <v>16</v>
      </c>
      <c r="G288" s="29" t="s">
        <v>446</v>
      </c>
      <c r="H288" s="33" t="s">
        <v>1772</v>
      </c>
      <c r="I288" s="30" t="s">
        <v>1771</v>
      </c>
      <c r="J288" s="31"/>
      <c r="K288" s="31"/>
      <c r="L288" s="31">
        <v>16</v>
      </c>
      <c r="M288" s="33" t="s">
        <v>1772</v>
      </c>
    </row>
    <row r="289" spans="1:13" x14ac:dyDescent="0.3">
      <c r="A289" s="32" t="s">
        <v>1853</v>
      </c>
      <c r="B289" s="32" t="s">
        <v>1854</v>
      </c>
      <c r="C289" s="32" t="s">
        <v>316</v>
      </c>
      <c r="D289" s="31"/>
      <c r="E289" s="31"/>
      <c r="F289" s="31">
        <v>25</v>
      </c>
      <c r="G289" s="29" t="s">
        <v>446</v>
      </c>
      <c r="H289" s="33" t="s">
        <v>1855</v>
      </c>
      <c r="I289" s="30" t="s">
        <v>1854</v>
      </c>
      <c r="J289" s="31"/>
      <c r="K289" s="31"/>
      <c r="L289" s="31">
        <v>25</v>
      </c>
      <c r="M289" s="33" t="s">
        <v>1855</v>
      </c>
    </row>
    <row r="290" spans="1:13" x14ac:dyDescent="0.3">
      <c r="A290" s="32" t="s">
        <v>312</v>
      </c>
      <c r="B290" s="32" t="s">
        <v>313</v>
      </c>
      <c r="C290" s="32" t="s">
        <v>1183</v>
      </c>
      <c r="D290" s="31" t="s">
        <v>108</v>
      </c>
      <c r="E290" s="31" t="s">
        <v>108</v>
      </c>
      <c r="F290" s="31" t="s">
        <v>1807</v>
      </c>
      <c r="G290" s="29" t="s">
        <v>446</v>
      </c>
      <c r="H290" s="33" t="s">
        <v>1249</v>
      </c>
      <c r="I290" s="30" t="s">
        <v>313</v>
      </c>
      <c r="J290" s="31" t="s">
        <v>108</v>
      </c>
      <c r="K290" s="31" t="s">
        <v>108</v>
      </c>
      <c r="L290" s="31" t="s">
        <v>1807</v>
      </c>
      <c r="M290" s="33" t="s">
        <v>1249</v>
      </c>
    </row>
    <row r="291" spans="1:13" x14ac:dyDescent="0.3">
      <c r="A291" s="32" t="s">
        <v>1247</v>
      </c>
      <c r="B291" s="32" t="s">
        <v>313</v>
      </c>
      <c r="C291" s="32" t="s">
        <v>1253</v>
      </c>
      <c r="D291" s="31" t="s">
        <v>108</v>
      </c>
      <c r="E291" s="31" t="s">
        <v>108</v>
      </c>
      <c r="F291" s="31" t="s">
        <v>1248</v>
      </c>
      <c r="G291" s="29" t="s">
        <v>446</v>
      </c>
      <c r="H291" s="33" t="s">
        <v>1249</v>
      </c>
      <c r="I291" s="30" t="s">
        <v>313</v>
      </c>
      <c r="J291" s="31" t="s">
        <v>108</v>
      </c>
      <c r="K291" s="31" t="s">
        <v>108</v>
      </c>
      <c r="L291" s="31" t="s">
        <v>1248</v>
      </c>
      <c r="M291" s="33" t="s">
        <v>1249</v>
      </c>
    </row>
    <row r="292" spans="1:13" x14ac:dyDescent="0.3">
      <c r="A292" s="32" t="s">
        <v>317</v>
      </c>
      <c r="B292" s="32" t="s">
        <v>318</v>
      </c>
      <c r="C292" s="32" t="s">
        <v>1773</v>
      </c>
      <c r="D292" s="31">
        <v>5</v>
      </c>
      <c r="E292" s="31" t="s">
        <v>108</v>
      </c>
      <c r="F292" s="31" t="s">
        <v>108</v>
      </c>
      <c r="G292" s="29" t="s">
        <v>446</v>
      </c>
      <c r="H292" s="33"/>
      <c r="I292" s="30" t="s">
        <v>318</v>
      </c>
      <c r="J292" s="31">
        <v>5</v>
      </c>
      <c r="K292" s="31" t="s">
        <v>108</v>
      </c>
      <c r="L292" s="31" t="s">
        <v>108</v>
      </c>
      <c r="M292" s="33"/>
    </row>
    <row r="293" spans="1:13" x14ac:dyDescent="0.3">
      <c r="A293" s="32" t="s">
        <v>319</v>
      </c>
      <c r="B293" s="32" t="s">
        <v>1072</v>
      </c>
      <c r="C293" s="32" t="s">
        <v>320</v>
      </c>
      <c r="D293" s="31">
        <v>41</v>
      </c>
      <c r="E293" s="135"/>
      <c r="F293" s="31"/>
      <c r="G293" s="29" t="s">
        <v>446</v>
      </c>
      <c r="H293" s="33"/>
      <c r="I293" s="30" t="s">
        <v>1072</v>
      </c>
      <c r="J293" s="31">
        <v>41</v>
      </c>
      <c r="K293" s="135"/>
      <c r="L293" s="31"/>
      <c r="M293" s="33"/>
    </row>
    <row r="294" spans="1:13" x14ac:dyDescent="0.3">
      <c r="A294" s="32" t="s">
        <v>1071</v>
      </c>
      <c r="B294" s="32" t="s">
        <v>1073</v>
      </c>
      <c r="C294" s="93" t="s">
        <v>1074</v>
      </c>
      <c r="D294" s="31">
        <v>41</v>
      </c>
      <c r="E294" s="31"/>
      <c r="F294" s="31"/>
      <c r="G294" s="29" t="s">
        <v>446</v>
      </c>
      <c r="H294" s="33"/>
      <c r="I294" s="30" t="s">
        <v>1073</v>
      </c>
      <c r="J294" s="31">
        <v>41</v>
      </c>
      <c r="K294" s="31"/>
      <c r="L294" s="31"/>
      <c r="M294" s="33"/>
    </row>
    <row r="295" spans="1:13" x14ac:dyDescent="0.3">
      <c r="A295" s="81" t="s">
        <v>321</v>
      </c>
      <c r="B295" s="81"/>
      <c r="C295" s="94"/>
      <c r="D295" s="82"/>
      <c r="E295" s="82"/>
      <c r="F295" s="82"/>
      <c r="G295" s="83"/>
      <c r="H295" s="98"/>
      <c r="I295" s="84"/>
      <c r="J295" s="82"/>
      <c r="K295" s="82"/>
      <c r="L295" s="82"/>
      <c r="M295" s="98"/>
    </row>
    <row r="296" spans="1:13" x14ac:dyDescent="0.3">
      <c r="A296" s="81" t="s">
        <v>322</v>
      </c>
      <c r="B296" s="81"/>
      <c r="C296" s="94"/>
      <c r="D296" s="82"/>
      <c r="E296" s="82"/>
      <c r="F296" s="82"/>
      <c r="G296" s="83"/>
      <c r="H296" s="98"/>
      <c r="I296" s="84"/>
      <c r="J296" s="82"/>
      <c r="K296" s="82"/>
      <c r="L296" s="82"/>
      <c r="M296" s="98"/>
    </row>
    <row r="297" spans="1:13" x14ac:dyDescent="0.3">
      <c r="A297" s="32" t="s">
        <v>323</v>
      </c>
      <c r="B297" s="32" t="s">
        <v>324</v>
      </c>
      <c r="C297" s="93" t="s">
        <v>1344</v>
      </c>
      <c r="D297" s="31">
        <v>1.71</v>
      </c>
      <c r="E297" s="31" t="s">
        <v>108</v>
      </c>
      <c r="F297" s="31">
        <v>3.6</v>
      </c>
      <c r="G297" s="29" t="s">
        <v>475</v>
      </c>
      <c r="H297" s="33" t="s">
        <v>1480</v>
      </c>
      <c r="I297" s="30" t="s">
        <v>324</v>
      </c>
      <c r="J297" s="31">
        <v>1.71</v>
      </c>
      <c r="K297" s="31" t="s">
        <v>108</v>
      </c>
      <c r="L297" s="31">
        <v>3.6</v>
      </c>
      <c r="M297" s="33" t="s">
        <v>1480</v>
      </c>
    </row>
    <row r="298" spans="1:13" x14ac:dyDescent="0.3">
      <c r="A298" s="32" t="s">
        <v>1342</v>
      </c>
      <c r="B298" s="32" t="s">
        <v>1343</v>
      </c>
      <c r="C298" s="32" t="s">
        <v>1345</v>
      </c>
      <c r="D298" s="31"/>
      <c r="E298" s="31"/>
      <c r="F298" s="31">
        <v>6</v>
      </c>
      <c r="G298" s="29" t="s">
        <v>476</v>
      </c>
      <c r="H298" s="33"/>
      <c r="I298" s="30" t="s">
        <v>1343</v>
      </c>
      <c r="J298" s="31"/>
      <c r="K298" s="31"/>
      <c r="L298" s="31">
        <v>6</v>
      </c>
      <c r="M298" s="33"/>
    </row>
    <row r="299" spans="1:13" x14ac:dyDescent="0.3">
      <c r="A299" s="81" t="s">
        <v>325</v>
      </c>
      <c r="B299" s="81"/>
      <c r="C299" s="81"/>
      <c r="D299" s="82"/>
      <c r="E299" s="82"/>
      <c r="F299" s="82"/>
      <c r="G299" s="83"/>
      <c r="H299" s="98"/>
      <c r="I299" s="84"/>
      <c r="J299" s="82"/>
      <c r="K299" s="82"/>
      <c r="L299" s="82"/>
      <c r="M299" s="98"/>
    </row>
    <row r="300" spans="1:13" x14ac:dyDescent="0.3">
      <c r="A300" s="32" t="s">
        <v>326</v>
      </c>
      <c r="B300" s="32" t="s">
        <v>327</v>
      </c>
      <c r="C300" s="32" t="s">
        <v>328</v>
      </c>
      <c r="D300" s="31" t="s">
        <v>108</v>
      </c>
      <c r="E300" s="31" t="s">
        <v>108</v>
      </c>
      <c r="F300" s="31">
        <v>16</v>
      </c>
      <c r="G300" s="29" t="s">
        <v>834</v>
      </c>
      <c r="H300" s="33" t="s">
        <v>1046</v>
      </c>
      <c r="I300" s="30" t="s">
        <v>327</v>
      </c>
      <c r="J300" s="31" t="s">
        <v>108</v>
      </c>
      <c r="K300" s="31" t="s">
        <v>108</v>
      </c>
      <c r="L300" s="31">
        <v>16</v>
      </c>
      <c r="M300" s="33" t="s">
        <v>1046</v>
      </c>
    </row>
    <row r="301" spans="1:13" x14ac:dyDescent="0.3">
      <c r="A301" s="32" t="s">
        <v>329</v>
      </c>
      <c r="B301" s="32" t="s">
        <v>330</v>
      </c>
      <c r="C301" s="32" t="s">
        <v>331</v>
      </c>
      <c r="D301" s="31" t="s">
        <v>108</v>
      </c>
      <c r="E301" s="31" t="s">
        <v>108</v>
      </c>
      <c r="F301" s="31">
        <v>11</v>
      </c>
      <c r="G301" s="29" t="s">
        <v>834</v>
      </c>
      <c r="H301" s="30"/>
      <c r="I301" s="30" t="s">
        <v>330</v>
      </c>
      <c r="J301" s="31" t="s">
        <v>108</v>
      </c>
      <c r="K301" s="31" t="s">
        <v>108</v>
      </c>
      <c r="L301" s="31">
        <v>11</v>
      </c>
      <c r="M301" s="33"/>
    </row>
    <row r="302" spans="1:13" x14ac:dyDescent="0.3">
      <c r="A302" s="32" t="s">
        <v>332</v>
      </c>
      <c r="B302" s="32" t="s">
        <v>333</v>
      </c>
      <c r="C302" s="32" t="s">
        <v>334</v>
      </c>
      <c r="D302" s="31" t="s">
        <v>108</v>
      </c>
      <c r="E302" s="31" t="s">
        <v>108</v>
      </c>
      <c r="F302" s="31">
        <v>5</v>
      </c>
      <c r="G302" s="29" t="s">
        <v>834</v>
      </c>
      <c r="H302" s="33"/>
      <c r="I302" s="30" t="s">
        <v>333</v>
      </c>
      <c r="J302" s="31" t="s">
        <v>108</v>
      </c>
      <c r="K302" s="31" t="s">
        <v>108</v>
      </c>
      <c r="L302" s="31">
        <v>5</v>
      </c>
      <c r="M302" s="33"/>
    </row>
    <row r="303" spans="1:13" x14ac:dyDescent="0.3">
      <c r="A303" s="32" t="s">
        <v>335</v>
      </c>
      <c r="B303" s="32" t="s">
        <v>336</v>
      </c>
      <c r="C303" s="32" t="s">
        <v>1883</v>
      </c>
      <c r="D303" s="31" t="s">
        <v>108</v>
      </c>
      <c r="E303" s="31" t="s">
        <v>108</v>
      </c>
      <c r="F303" s="31">
        <v>11</v>
      </c>
      <c r="G303" s="29" t="s">
        <v>834</v>
      </c>
      <c r="H303" s="33"/>
      <c r="I303" s="30" t="s">
        <v>336</v>
      </c>
      <c r="J303" s="31" t="s">
        <v>108</v>
      </c>
      <c r="K303" s="31" t="s">
        <v>108</v>
      </c>
      <c r="L303" s="31">
        <v>11</v>
      </c>
      <c r="M303" s="33"/>
    </row>
    <row r="304" spans="1:13" x14ac:dyDescent="0.3">
      <c r="A304" s="32" t="s">
        <v>337</v>
      </c>
      <c r="B304" s="32" t="s">
        <v>338</v>
      </c>
      <c r="C304" s="32" t="s">
        <v>1884</v>
      </c>
      <c r="D304" s="31" t="s">
        <v>108</v>
      </c>
      <c r="E304" s="31" t="s">
        <v>108</v>
      </c>
      <c r="F304" s="31">
        <v>11</v>
      </c>
      <c r="G304" s="29" t="s">
        <v>834</v>
      </c>
      <c r="H304" s="33" t="s">
        <v>1481</v>
      </c>
      <c r="I304" s="30" t="s">
        <v>338</v>
      </c>
      <c r="J304" s="31" t="s">
        <v>108</v>
      </c>
      <c r="K304" s="31" t="s">
        <v>108</v>
      </c>
      <c r="L304" s="31">
        <v>11</v>
      </c>
      <c r="M304" s="33" t="s">
        <v>1481</v>
      </c>
    </row>
    <row r="305" spans="1:13" x14ac:dyDescent="0.3">
      <c r="A305" s="32" t="s">
        <v>1048</v>
      </c>
      <c r="B305" s="32" t="s">
        <v>1049</v>
      </c>
      <c r="C305" s="32" t="s">
        <v>1050</v>
      </c>
      <c r="D305" s="31"/>
      <c r="E305" s="31"/>
      <c r="F305" s="31">
        <v>11</v>
      </c>
      <c r="G305" s="29" t="s">
        <v>834</v>
      </c>
      <c r="H305" s="33" t="s">
        <v>1051</v>
      </c>
      <c r="I305" s="30" t="s">
        <v>1049</v>
      </c>
      <c r="J305" s="31"/>
      <c r="K305" s="31"/>
      <c r="L305" s="31">
        <v>11</v>
      </c>
      <c r="M305" s="33" t="s">
        <v>1051</v>
      </c>
    </row>
    <row r="306" spans="1:13" x14ac:dyDescent="0.3">
      <c r="A306" s="32" t="s">
        <v>1047</v>
      </c>
      <c r="B306" s="32" t="s">
        <v>1052</v>
      </c>
      <c r="C306" s="32" t="s">
        <v>1053</v>
      </c>
      <c r="D306" s="31"/>
      <c r="E306" s="31"/>
      <c r="F306" s="31">
        <v>51</v>
      </c>
      <c r="G306" s="29" t="s">
        <v>834</v>
      </c>
      <c r="H306" s="33"/>
      <c r="I306" s="30" t="s">
        <v>1052</v>
      </c>
      <c r="J306" s="31"/>
      <c r="K306" s="31"/>
      <c r="L306" s="31">
        <v>51</v>
      </c>
      <c r="M306" s="33"/>
    </row>
    <row r="307" spans="1:13" x14ac:dyDescent="0.3">
      <c r="A307" s="32" t="s">
        <v>1054</v>
      </c>
      <c r="B307" s="32" t="s">
        <v>1055</v>
      </c>
      <c r="C307" s="32" t="s">
        <v>1885</v>
      </c>
      <c r="D307" s="31"/>
      <c r="E307" s="31"/>
      <c r="F307" s="31">
        <v>2.5</v>
      </c>
      <c r="G307" s="29" t="s">
        <v>342</v>
      </c>
      <c r="H307" s="33"/>
      <c r="I307" s="30" t="s">
        <v>1055</v>
      </c>
      <c r="J307" s="31"/>
      <c r="K307" s="31"/>
      <c r="L307" s="31">
        <v>2.5</v>
      </c>
      <c r="M307" s="33"/>
    </row>
    <row r="308" spans="1:13" x14ac:dyDescent="0.3">
      <c r="A308" s="32" t="s">
        <v>339</v>
      </c>
      <c r="B308" s="32" t="s">
        <v>340</v>
      </c>
      <c r="C308" s="32" t="s">
        <v>341</v>
      </c>
      <c r="D308" s="31" t="s">
        <v>108</v>
      </c>
      <c r="E308" s="31" t="s">
        <v>108</v>
      </c>
      <c r="F308" s="31">
        <v>5.2</v>
      </c>
      <c r="G308" s="29" t="s">
        <v>342</v>
      </c>
      <c r="H308" s="33"/>
      <c r="I308" s="30" t="s">
        <v>340</v>
      </c>
      <c r="J308" s="31" t="s">
        <v>108</v>
      </c>
      <c r="K308" s="31" t="s">
        <v>108</v>
      </c>
      <c r="L308" s="31">
        <v>5.2</v>
      </c>
      <c r="M308" s="33"/>
    </row>
    <row r="309" spans="1:13" x14ac:dyDescent="0.3">
      <c r="A309" s="32" t="s">
        <v>343</v>
      </c>
      <c r="B309" s="32" t="s">
        <v>344</v>
      </c>
      <c r="C309" s="32" t="s">
        <v>345</v>
      </c>
      <c r="D309" s="31" t="s">
        <v>57</v>
      </c>
      <c r="E309" s="31" t="s">
        <v>108</v>
      </c>
      <c r="F309" s="31" t="s">
        <v>108</v>
      </c>
      <c r="G309" s="29" t="s">
        <v>465</v>
      </c>
      <c r="H309" s="33"/>
      <c r="I309" s="30" t="s">
        <v>344</v>
      </c>
      <c r="J309" s="31" t="s">
        <v>57</v>
      </c>
      <c r="K309" s="31" t="s">
        <v>108</v>
      </c>
      <c r="L309" s="31" t="s">
        <v>108</v>
      </c>
      <c r="M309" s="33"/>
    </row>
    <row r="310" spans="1:13" x14ac:dyDescent="0.3">
      <c r="A310" s="32" t="s">
        <v>346</v>
      </c>
      <c r="B310" s="32" t="s">
        <v>1260</v>
      </c>
      <c r="C310" s="32" t="s">
        <v>1257</v>
      </c>
      <c r="D310" s="31">
        <v>10</v>
      </c>
      <c r="E310" s="31" t="s">
        <v>108</v>
      </c>
      <c r="F310" s="31" t="s">
        <v>108</v>
      </c>
      <c r="G310" s="29" t="s">
        <v>833</v>
      </c>
      <c r="H310" s="33"/>
      <c r="I310" s="30" t="s">
        <v>1260</v>
      </c>
      <c r="J310" s="31">
        <v>10</v>
      </c>
      <c r="K310" s="31" t="s">
        <v>108</v>
      </c>
      <c r="L310" s="31" t="s">
        <v>108</v>
      </c>
      <c r="M310" s="33"/>
    </row>
    <row r="311" spans="1:13" x14ac:dyDescent="0.3">
      <c r="A311" s="32" t="s">
        <v>1258</v>
      </c>
      <c r="B311" s="32" t="s">
        <v>1261</v>
      </c>
      <c r="C311" s="93" t="s">
        <v>1667</v>
      </c>
      <c r="D311" s="31">
        <v>10</v>
      </c>
      <c r="E311" s="31" t="s">
        <v>108</v>
      </c>
      <c r="F311" s="31" t="s">
        <v>108</v>
      </c>
      <c r="G311" s="29" t="s">
        <v>833</v>
      </c>
      <c r="H311" s="30"/>
      <c r="I311" s="30" t="s">
        <v>1261</v>
      </c>
      <c r="J311" s="31">
        <v>10</v>
      </c>
      <c r="K311" s="31" t="s">
        <v>108</v>
      </c>
      <c r="L311" s="31" t="s">
        <v>108</v>
      </c>
      <c r="M311" s="30"/>
    </row>
    <row r="312" spans="1:13" x14ac:dyDescent="0.3">
      <c r="A312" s="32" t="s">
        <v>1259</v>
      </c>
      <c r="B312" s="32" t="s">
        <v>1262</v>
      </c>
      <c r="C312" s="93" t="s">
        <v>1668</v>
      </c>
      <c r="D312" s="31">
        <v>20</v>
      </c>
      <c r="E312" s="31" t="s">
        <v>108</v>
      </c>
      <c r="F312" s="31" t="s">
        <v>108</v>
      </c>
      <c r="G312" s="29" t="s">
        <v>833</v>
      </c>
      <c r="H312" s="30"/>
      <c r="I312" s="30" t="s">
        <v>1262</v>
      </c>
      <c r="J312" s="31">
        <v>20</v>
      </c>
      <c r="K312" s="31" t="s">
        <v>108</v>
      </c>
      <c r="L312" s="31" t="s">
        <v>108</v>
      </c>
      <c r="M312" s="30"/>
    </row>
    <row r="313" spans="1:13" x14ac:dyDescent="0.3">
      <c r="A313" s="32" t="s">
        <v>407</v>
      </c>
      <c r="B313" s="32" t="s">
        <v>1056</v>
      </c>
      <c r="C313" s="93" t="s">
        <v>1356</v>
      </c>
      <c r="D313" s="31"/>
      <c r="E313" s="31" t="s">
        <v>108</v>
      </c>
      <c r="F313" s="31">
        <v>8</v>
      </c>
      <c r="G313" s="29"/>
      <c r="H313" s="30" t="s">
        <v>1353</v>
      </c>
      <c r="I313" s="30" t="s">
        <v>1056</v>
      </c>
      <c r="J313" s="31"/>
      <c r="K313" s="31" t="s">
        <v>108</v>
      </c>
      <c r="L313" s="31">
        <v>8</v>
      </c>
      <c r="M313" s="30" t="s">
        <v>1353</v>
      </c>
    </row>
    <row r="314" spans="1:13" x14ac:dyDescent="0.3">
      <c r="A314" s="32" t="s">
        <v>1434</v>
      </c>
      <c r="B314" s="32" t="s">
        <v>1056</v>
      </c>
      <c r="C314" s="93" t="s">
        <v>1435</v>
      </c>
      <c r="D314" s="31"/>
      <c r="E314" s="31" t="s">
        <v>108</v>
      </c>
      <c r="F314" s="31">
        <v>9</v>
      </c>
      <c r="G314" s="29"/>
      <c r="H314" s="30" t="s">
        <v>1436</v>
      </c>
      <c r="I314" s="30" t="s">
        <v>1056</v>
      </c>
      <c r="J314" s="31"/>
      <c r="K314" s="31" t="s">
        <v>108</v>
      </c>
      <c r="L314" s="31">
        <v>9</v>
      </c>
      <c r="M314" s="30" t="s">
        <v>1436</v>
      </c>
    </row>
    <row r="315" spans="1:13" x14ac:dyDescent="0.3">
      <c r="A315" s="81" t="s">
        <v>1886</v>
      </c>
      <c r="B315" s="81"/>
      <c r="C315" s="94"/>
      <c r="D315" s="82"/>
      <c r="E315" s="82"/>
      <c r="F315" s="82"/>
      <c r="G315" s="83"/>
      <c r="H315" s="84"/>
      <c r="I315" s="84"/>
      <c r="J315" s="82"/>
      <c r="K315" s="82"/>
      <c r="L315" s="82"/>
      <c r="M315" s="84"/>
    </row>
    <row r="316" spans="1:13" x14ac:dyDescent="0.3">
      <c r="A316" s="81" t="s">
        <v>347</v>
      </c>
      <c r="B316" s="81"/>
      <c r="C316" s="94"/>
      <c r="D316" s="82"/>
      <c r="E316" s="82"/>
      <c r="F316" s="82"/>
      <c r="G316" s="83"/>
      <c r="H316" s="84"/>
      <c r="I316" s="84"/>
      <c r="J316" s="82"/>
      <c r="K316" s="82"/>
      <c r="L316" s="82"/>
      <c r="M316" s="84"/>
    </row>
    <row r="317" spans="1:13" x14ac:dyDescent="0.3">
      <c r="A317" s="81" t="s">
        <v>348</v>
      </c>
      <c r="B317" s="81"/>
      <c r="C317" s="94"/>
      <c r="D317" s="82"/>
      <c r="E317" s="82"/>
      <c r="F317" s="82"/>
      <c r="G317" s="83"/>
      <c r="H317" s="84"/>
      <c r="I317" s="84"/>
      <c r="J317" s="82"/>
      <c r="K317" s="82"/>
      <c r="L317" s="82"/>
      <c r="M317" s="84"/>
    </row>
    <row r="318" spans="1:13" x14ac:dyDescent="0.3">
      <c r="A318" s="32" t="s">
        <v>349</v>
      </c>
      <c r="B318" s="32" t="s">
        <v>350</v>
      </c>
      <c r="C318" s="93" t="s">
        <v>1106</v>
      </c>
      <c r="D318" s="31">
        <v>1.54</v>
      </c>
      <c r="E318" s="31" t="s">
        <v>108</v>
      </c>
      <c r="F318" s="31" t="s">
        <v>108</v>
      </c>
      <c r="G318" s="29" t="s">
        <v>475</v>
      </c>
      <c r="H318" s="30" t="s">
        <v>1264</v>
      </c>
      <c r="I318" s="30" t="s">
        <v>350</v>
      </c>
      <c r="J318" s="31">
        <v>1.54</v>
      </c>
      <c r="K318" s="31" t="s">
        <v>108</v>
      </c>
      <c r="L318" s="31" t="s">
        <v>108</v>
      </c>
      <c r="M318" s="30" t="s">
        <v>1264</v>
      </c>
    </row>
    <row r="319" spans="1:13" x14ac:dyDescent="0.3">
      <c r="A319" s="32" t="s">
        <v>351</v>
      </c>
      <c r="B319" s="32" t="s">
        <v>352</v>
      </c>
      <c r="C319" s="93" t="s">
        <v>1107</v>
      </c>
      <c r="D319" s="31">
        <v>1.54</v>
      </c>
      <c r="E319" s="31" t="s">
        <v>108</v>
      </c>
      <c r="F319" s="31" t="s">
        <v>108</v>
      </c>
      <c r="G319" s="29" t="s">
        <v>475</v>
      </c>
      <c r="H319" s="30"/>
      <c r="I319" s="30" t="s">
        <v>352</v>
      </c>
      <c r="J319" s="31">
        <v>1.54</v>
      </c>
      <c r="K319" s="31" t="s">
        <v>108</v>
      </c>
      <c r="L319" s="31" t="s">
        <v>108</v>
      </c>
      <c r="M319" s="30"/>
    </row>
    <row r="320" spans="1:13" x14ac:dyDescent="0.3">
      <c r="A320" s="32" t="s">
        <v>1172</v>
      </c>
      <c r="B320" s="32" t="s">
        <v>1173</v>
      </c>
      <c r="C320" s="93" t="s">
        <v>1187</v>
      </c>
      <c r="D320" s="31"/>
      <c r="E320" s="31"/>
      <c r="F320" s="31">
        <v>100</v>
      </c>
      <c r="G320" s="29" t="s">
        <v>1174</v>
      </c>
      <c r="H320" s="30" t="s">
        <v>1195</v>
      </c>
      <c r="I320" s="30" t="s">
        <v>1173</v>
      </c>
      <c r="J320" s="31"/>
      <c r="K320" s="31"/>
      <c r="L320" s="31">
        <v>100</v>
      </c>
      <c r="M320" s="30" t="s">
        <v>1195</v>
      </c>
    </row>
    <row r="321" spans="1:13" x14ac:dyDescent="0.3">
      <c r="A321" s="81" t="s">
        <v>353</v>
      </c>
      <c r="B321" s="81"/>
      <c r="C321" s="94"/>
      <c r="D321" s="82"/>
      <c r="E321" s="82"/>
      <c r="F321" s="82"/>
      <c r="G321" s="83"/>
      <c r="H321" s="98"/>
      <c r="I321" s="84"/>
      <c r="J321" s="82"/>
      <c r="K321" s="82"/>
      <c r="L321" s="82"/>
      <c r="M321" s="98"/>
    </row>
    <row r="322" spans="1:13" x14ac:dyDescent="0.3">
      <c r="A322" s="32" t="s">
        <v>1175</v>
      </c>
      <c r="B322" s="32" t="s">
        <v>1176</v>
      </c>
      <c r="C322" s="93" t="s">
        <v>1178</v>
      </c>
      <c r="D322" s="31"/>
      <c r="E322" s="31"/>
      <c r="F322" s="31">
        <v>10</v>
      </c>
      <c r="G322" s="29" t="s">
        <v>1174</v>
      </c>
      <c r="H322" s="33" t="s">
        <v>1177</v>
      </c>
      <c r="I322" s="30" t="s">
        <v>1176</v>
      </c>
      <c r="J322" s="31"/>
      <c r="K322" s="31"/>
      <c r="L322" s="31">
        <v>10</v>
      </c>
      <c r="M322" s="33" t="s">
        <v>1177</v>
      </c>
    </row>
    <row r="323" spans="1:13" x14ac:dyDescent="0.3">
      <c r="A323" s="81" t="s">
        <v>354</v>
      </c>
      <c r="B323" s="81"/>
      <c r="C323" s="81"/>
      <c r="D323" s="82"/>
      <c r="E323" s="82"/>
      <c r="F323" s="82"/>
      <c r="G323" s="83"/>
      <c r="H323" s="84"/>
      <c r="I323" s="84"/>
      <c r="J323" s="82"/>
      <c r="K323" s="82"/>
      <c r="L323" s="82"/>
      <c r="M323" s="84"/>
    </row>
    <row r="324" spans="1:13" x14ac:dyDescent="0.3">
      <c r="A324" s="32" t="s">
        <v>1113</v>
      </c>
      <c r="B324" s="32" t="s">
        <v>1114</v>
      </c>
      <c r="C324" s="32"/>
      <c r="D324" s="31">
        <v>1.18</v>
      </c>
      <c r="E324" s="31">
        <v>1.23</v>
      </c>
      <c r="F324" s="31">
        <v>1.27</v>
      </c>
      <c r="G324" s="29" t="s">
        <v>475</v>
      </c>
      <c r="H324" s="30"/>
      <c r="I324" s="30" t="s">
        <v>1114</v>
      </c>
      <c r="J324" s="31">
        <v>1.1821249999999999</v>
      </c>
      <c r="K324" s="31">
        <v>1.23</v>
      </c>
      <c r="L324" s="31">
        <v>1.27</v>
      </c>
      <c r="M324" s="30"/>
    </row>
    <row r="325" spans="1:13" x14ac:dyDescent="0.3">
      <c r="A325" s="32" t="s">
        <v>355</v>
      </c>
      <c r="B325" s="32" t="s">
        <v>1115</v>
      </c>
      <c r="C325" s="32"/>
      <c r="D325" s="31">
        <v>1.38</v>
      </c>
      <c r="E325" s="31">
        <v>1.43</v>
      </c>
      <c r="F325" s="31">
        <v>1.47</v>
      </c>
      <c r="G325" s="29" t="s">
        <v>475</v>
      </c>
      <c r="H325" s="30"/>
      <c r="I325" s="30" t="s">
        <v>1115</v>
      </c>
      <c r="J325" s="31">
        <v>1.3751249999999997</v>
      </c>
      <c r="K325" s="31">
        <v>1.43</v>
      </c>
      <c r="L325" s="31">
        <v>1.47</v>
      </c>
      <c r="M325" s="30"/>
    </row>
    <row r="326" spans="1:13" x14ac:dyDescent="0.3">
      <c r="A326" s="32" t="s">
        <v>356</v>
      </c>
      <c r="B326" s="32" t="s">
        <v>1116</v>
      </c>
      <c r="C326" s="32"/>
      <c r="D326" s="31">
        <v>1.57</v>
      </c>
      <c r="E326" s="31">
        <v>1.63</v>
      </c>
      <c r="F326" s="31">
        <v>1.68</v>
      </c>
      <c r="G326" s="29" t="s">
        <v>475</v>
      </c>
      <c r="H326" s="30"/>
      <c r="I326" s="30" t="s">
        <v>1116</v>
      </c>
      <c r="J326" s="31">
        <v>1.568125</v>
      </c>
      <c r="K326" s="31">
        <v>1.63</v>
      </c>
      <c r="L326" s="31">
        <v>1.68</v>
      </c>
      <c r="M326" s="30"/>
    </row>
    <row r="327" spans="1:13" x14ac:dyDescent="0.3">
      <c r="A327" s="32" t="s">
        <v>357</v>
      </c>
      <c r="B327" s="32" t="s">
        <v>1117</v>
      </c>
      <c r="C327" s="32"/>
      <c r="D327" s="31">
        <v>1.76</v>
      </c>
      <c r="E327" s="31">
        <v>1.83</v>
      </c>
      <c r="F327" s="31">
        <v>1.89</v>
      </c>
      <c r="G327" s="29" t="s">
        <v>475</v>
      </c>
      <c r="H327" s="30"/>
      <c r="I327" s="30" t="s">
        <v>1117</v>
      </c>
      <c r="J327" s="31">
        <v>1.7611249999999998</v>
      </c>
      <c r="K327" s="31">
        <v>1.83</v>
      </c>
      <c r="L327" s="31">
        <v>1.89</v>
      </c>
      <c r="M327" s="30"/>
    </row>
    <row r="328" spans="1:13" x14ac:dyDescent="0.3">
      <c r="A328" s="32" t="s">
        <v>358</v>
      </c>
      <c r="B328" s="32" t="s">
        <v>1118</v>
      </c>
      <c r="C328" s="32"/>
      <c r="D328" s="31">
        <v>1.95</v>
      </c>
      <c r="E328" s="31">
        <v>2.0299999999999998</v>
      </c>
      <c r="F328" s="31">
        <v>2.1</v>
      </c>
      <c r="G328" s="29" t="s">
        <v>475</v>
      </c>
      <c r="H328" s="30"/>
      <c r="I328" s="30" t="s">
        <v>1118</v>
      </c>
      <c r="J328" s="31">
        <v>1.9541249999999999</v>
      </c>
      <c r="K328" s="31">
        <v>2.0299999999999998</v>
      </c>
      <c r="L328" s="31">
        <v>2.1</v>
      </c>
      <c r="M328" s="30"/>
    </row>
    <row r="329" spans="1:13" x14ac:dyDescent="0.3">
      <c r="A329" s="32" t="s">
        <v>359</v>
      </c>
      <c r="B329" s="32" t="s">
        <v>1119</v>
      </c>
      <c r="C329" s="93"/>
      <c r="D329" s="31">
        <v>2.0499999999999998</v>
      </c>
      <c r="E329" s="31">
        <v>2.13</v>
      </c>
      <c r="F329" s="31">
        <v>2.2000000000000002</v>
      </c>
      <c r="G329" s="29" t="s">
        <v>475</v>
      </c>
      <c r="H329" s="30"/>
      <c r="I329" s="30" t="s">
        <v>1119</v>
      </c>
      <c r="J329" s="31">
        <v>2.0506250000000001</v>
      </c>
      <c r="K329" s="31">
        <v>2.13</v>
      </c>
      <c r="L329" s="31">
        <v>2.2000000000000002</v>
      </c>
      <c r="M329" s="30"/>
    </row>
    <row r="330" spans="1:13" x14ac:dyDescent="0.3">
      <c r="A330" s="32" t="s">
        <v>360</v>
      </c>
      <c r="B330" s="32" t="s">
        <v>1120</v>
      </c>
      <c r="C330" s="93"/>
      <c r="D330" s="31">
        <v>2.15</v>
      </c>
      <c r="E330" s="31">
        <v>2.23</v>
      </c>
      <c r="F330" s="31">
        <v>2.2999999999999998</v>
      </c>
      <c r="G330" s="29" t="s">
        <v>475</v>
      </c>
      <c r="H330" s="30"/>
      <c r="I330" s="30" t="s">
        <v>1120</v>
      </c>
      <c r="J330" s="31">
        <v>2.147125</v>
      </c>
      <c r="K330" s="31">
        <v>2.23</v>
      </c>
      <c r="L330" s="31">
        <v>2.2999999999999998</v>
      </c>
      <c r="M330" s="30"/>
    </row>
    <row r="331" spans="1:13" x14ac:dyDescent="0.3">
      <c r="A331" s="32" t="s">
        <v>361</v>
      </c>
      <c r="B331" s="32" t="s">
        <v>1121</v>
      </c>
      <c r="C331" s="32"/>
      <c r="D331" s="31">
        <v>2.2400000000000002</v>
      </c>
      <c r="E331" s="31">
        <v>2.33</v>
      </c>
      <c r="F331" s="31">
        <v>2.41</v>
      </c>
      <c r="G331" s="29" t="s">
        <v>475</v>
      </c>
      <c r="H331" s="30"/>
      <c r="I331" s="30" t="s">
        <v>1121</v>
      </c>
      <c r="J331" s="31">
        <v>2.2436249999999998</v>
      </c>
      <c r="K331" s="31">
        <v>2.33</v>
      </c>
      <c r="L331" s="31">
        <v>2.41</v>
      </c>
      <c r="M331" s="30"/>
    </row>
    <row r="332" spans="1:13" x14ac:dyDescent="0.3">
      <c r="A332" s="32" t="s">
        <v>362</v>
      </c>
      <c r="B332" s="32" t="s">
        <v>1122</v>
      </c>
      <c r="C332" s="93"/>
      <c r="D332" s="31">
        <v>2.34</v>
      </c>
      <c r="E332" s="31">
        <v>2.4300000000000002</v>
      </c>
      <c r="F332" s="31">
        <v>2.5099999999999998</v>
      </c>
      <c r="G332" s="29" t="s">
        <v>475</v>
      </c>
      <c r="H332" s="30"/>
      <c r="I332" s="30" t="s">
        <v>1122</v>
      </c>
      <c r="J332" s="31">
        <v>2.3401249999999996</v>
      </c>
      <c r="K332" s="31">
        <v>2.4300000000000002</v>
      </c>
      <c r="L332" s="31">
        <v>2.5099999999999998</v>
      </c>
      <c r="M332" s="30"/>
    </row>
    <row r="333" spans="1:13" x14ac:dyDescent="0.3">
      <c r="A333" s="32" t="s">
        <v>363</v>
      </c>
      <c r="B333" s="32" t="s">
        <v>1123</v>
      </c>
      <c r="C333" s="93"/>
      <c r="D333" s="31">
        <v>2.44</v>
      </c>
      <c r="E333" s="31">
        <v>2.5299999999999998</v>
      </c>
      <c r="F333" s="31">
        <v>2.61</v>
      </c>
      <c r="G333" s="29" t="s">
        <v>475</v>
      </c>
      <c r="H333" s="30"/>
      <c r="I333" s="30" t="s">
        <v>1123</v>
      </c>
      <c r="J333" s="31">
        <v>2.4366249999999998</v>
      </c>
      <c r="K333" s="31">
        <v>2.5299999999999998</v>
      </c>
      <c r="L333" s="31">
        <v>2.61</v>
      </c>
      <c r="M333" s="30"/>
    </row>
    <row r="334" spans="1:13" x14ac:dyDescent="0.3">
      <c r="A334" s="32" t="s">
        <v>364</v>
      </c>
      <c r="B334" s="32" t="s">
        <v>1124</v>
      </c>
      <c r="C334" s="32"/>
      <c r="D334" s="31">
        <v>2.5299999999999998</v>
      </c>
      <c r="E334" s="31">
        <v>2.63</v>
      </c>
      <c r="F334" s="31">
        <v>2.72</v>
      </c>
      <c r="G334" s="29" t="s">
        <v>475</v>
      </c>
      <c r="H334" s="30"/>
      <c r="I334" s="30" t="s">
        <v>1124</v>
      </c>
      <c r="J334" s="31">
        <v>2.5331250000000001</v>
      </c>
      <c r="K334" s="31">
        <v>2.63</v>
      </c>
      <c r="L334" s="31">
        <v>2.72</v>
      </c>
      <c r="M334" s="30"/>
    </row>
    <row r="335" spans="1:13" x14ac:dyDescent="0.3">
      <c r="A335" s="32" t="s">
        <v>365</v>
      </c>
      <c r="B335" s="32" t="s">
        <v>1125</v>
      </c>
      <c r="C335" s="32"/>
      <c r="D335" s="31">
        <v>2.63</v>
      </c>
      <c r="E335" s="31">
        <v>2.73</v>
      </c>
      <c r="F335" s="31">
        <v>2.82</v>
      </c>
      <c r="G335" s="29" t="s">
        <v>475</v>
      </c>
      <c r="H335" s="30"/>
      <c r="I335" s="30" t="s">
        <v>1125</v>
      </c>
      <c r="J335" s="31">
        <v>2.6296249999999999</v>
      </c>
      <c r="K335" s="31">
        <v>2.73</v>
      </c>
      <c r="L335" s="31">
        <v>2.82</v>
      </c>
      <c r="M335" s="30"/>
    </row>
    <row r="336" spans="1:13" x14ac:dyDescent="0.3">
      <c r="A336" s="32" t="s">
        <v>366</v>
      </c>
      <c r="B336" s="32" t="s">
        <v>1126</v>
      </c>
      <c r="C336" s="32"/>
      <c r="D336" s="31">
        <v>2.73</v>
      </c>
      <c r="E336" s="31">
        <v>2.83</v>
      </c>
      <c r="F336" s="31">
        <v>2.92</v>
      </c>
      <c r="G336" s="29" t="s">
        <v>475</v>
      </c>
      <c r="H336" s="30"/>
      <c r="I336" s="30" t="s">
        <v>1126</v>
      </c>
      <c r="J336" s="31">
        <v>2.7261249999999997</v>
      </c>
      <c r="K336" s="31">
        <v>2.83</v>
      </c>
      <c r="L336" s="31">
        <v>2.92</v>
      </c>
      <c r="M336" s="30"/>
    </row>
    <row r="337" spans="1:13" x14ac:dyDescent="0.3">
      <c r="A337" s="32" t="s">
        <v>367</v>
      </c>
      <c r="B337" s="32" t="s">
        <v>1127</v>
      </c>
      <c r="C337" s="32"/>
      <c r="D337" s="31">
        <v>2.82</v>
      </c>
      <c r="E337" s="31">
        <v>2.93</v>
      </c>
      <c r="F337" s="31">
        <v>3.03</v>
      </c>
      <c r="G337" s="29" t="s">
        <v>475</v>
      </c>
      <c r="H337" s="30"/>
      <c r="I337" s="30" t="s">
        <v>1127</v>
      </c>
      <c r="J337" s="31">
        <v>2.8226249999999999</v>
      </c>
      <c r="K337" s="31">
        <v>2.93</v>
      </c>
      <c r="L337" s="31">
        <v>3.03</v>
      </c>
      <c r="M337" s="30"/>
    </row>
    <row r="338" spans="1:13" x14ac:dyDescent="0.3">
      <c r="A338" s="32" t="s">
        <v>368</v>
      </c>
      <c r="B338" s="32" t="s">
        <v>1128</v>
      </c>
      <c r="C338" s="93"/>
      <c r="D338" s="31">
        <v>2.92</v>
      </c>
      <c r="E338" s="31">
        <v>3.03</v>
      </c>
      <c r="F338" s="31">
        <v>3.13</v>
      </c>
      <c r="G338" s="29" t="s">
        <v>475</v>
      </c>
      <c r="H338" s="30"/>
      <c r="I338" s="30" t="s">
        <v>1128</v>
      </c>
      <c r="J338" s="31">
        <v>2.9191249999999997</v>
      </c>
      <c r="K338" s="31">
        <v>3.03</v>
      </c>
      <c r="L338" s="31">
        <v>3.13</v>
      </c>
      <c r="M338" s="30"/>
    </row>
    <row r="339" spans="1:13" x14ac:dyDescent="0.3">
      <c r="A339" s="32" t="s">
        <v>369</v>
      </c>
      <c r="B339" s="32" t="s">
        <v>1129</v>
      </c>
      <c r="C339" s="93"/>
      <c r="D339" s="31">
        <v>3.02</v>
      </c>
      <c r="E339" s="31">
        <v>3.13</v>
      </c>
      <c r="F339" s="31">
        <v>3.23</v>
      </c>
      <c r="G339" s="29" t="s">
        <v>475</v>
      </c>
      <c r="H339" s="30"/>
      <c r="I339" s="30" t="s">
        <v>1129</v>
      </c>
      <c r="J339" s="31">
        <v>3.015625</v>
      </c>
      <c r="K339" s="31">
        <v>3.13</v>
      </c>
      <c r="L339" s="31">
        <v>3.23</v>
      </c>
      <c r="M339" s="30"/>
    </row>
    <row r="340" spans="1:13" x14ac:dyDescent="0.3">
      <c r="A340" s="32" t="s">
        <v>370</v>
      </c>
      <c r="B340" s="32" t="s">
        <v>371</v>
      </c>
      <c r="C340" s="32" t="s">
        <v>372</v>
      </c>
      <c r="D340" s="31" t="s">
        <v>108</v>
      </c>
      <c r="E340" s="31">
        <v>5</v>
      </c>
      <c r="F340" s="31">
        <v>15</v>
      </c>
      <c r="G340" s="29" t="s">
        <v>219</v>
      </c>
      <c r="H340" s="30"/>
      <c r="I340" s="30" t="s">
        <v>371</v>
      </c>
      <c r="J340" s="31" t="s">
        <v>108</v>
      </c>
      <c r="K340" s="31">
        <v>5</v>
      </c>
      <c r="L340" s="31">
        <v>15</v>
      </c>
      <c r="M340" s="30"/>
    </row>
    <row r="341" spans="1:13" x14ac:dyDescent="0.3">
      <c r="A341" s="81" t="s">
        <v>373</v>
      </c>
      <c r="B341" s="81"/>
      <c r="C341" s="81"/>
      <c r="D341" s="82"/>
      <c r="E341" s="82"/>
      <c r="F341" s="82"/>
      <c r="G341" s="83"/>
      <c r="H341" s="84"/>
      <c r="I341" s="84"/>
      <c r="J341" s="82"/>
      <c r="K341" s="82"/>
      <c r="L341" s="82"/>
      <c r="M341" s="84"/>
    </row>
    <row r="342" spans="1:13" x14ac:dyDescent="0.3">
      <c r="A342" s="32" t="s">
        <v>374</v>
      </c>
      <c r="B342" s="32" t="s">
        <v>375</v>
      </c>
      <c r="C342" s="32" t="s">
        <v>1336</v>
      </c>
      <c r="D342" s="31" t="s">
        <v>108</v>
      </c>
      <c r="E342" s="31" t="s">
        <v>108</v>
      </c>
      <c r="F342" s="31">
        <v>170</v>
      </c>
      <c r="G342" s="29" t="s">
        <v>446</v>
      </c>
      <c r="H342" s="30"/>
      <c r="I342" s="30" t="s">
        <v>375</v>
      </c>
      <c r="J342" s="31" t="s">
        <v>108</v>
      </c>
      <c r="K342" s="31" t="s">
        <v>108</v>
      </c>
      <c r="L342" s="31">
        <v>170</v>
      </c>
      <c r="M342" s="30"/>
    </row>
    <row r="343" spans="1:13" x14ac:dyDescent="0.3">
      <c r="A343" s="81" t="s">
        <v>1235</v>
      </c>
      <c r="B343" s="81"/>
      <c r="C343" s="81"/>
      <c r="D343" s="82"/>
      <c r="E343" s="82"/>
      <c r="F343" s="82"/>
      <c r="G343" s="83"/>
      <c r="H343" s="84"/>
      <c r="I343" s="84"/>
      <c r="J343" s="82"/>
      <c r="K343" s="82"/>
      <c r="L343" s="82"/>
      <c r="M343" s="84"/>
    </row>
    <row r="344" spans="1:13" x14ac:dyDescent="0.3">
      <c r="A344" s="32" t="s">
        <v>376</v>
      </c>
      <c r="B344" s="32" t="s">
        <v>377</v>
      </c>
      <c r="C344" s="32" t="s">
        <v>1100</v>
      </c>
      <c r="D344" s="31" t="s">
        <v>108</v>
      </c>
      <c r="E344" s="31" t="s">
        <v>108</v>
      </c>
      <c r="F344" s="31">
        <v>25</v>
      </c>
      <c r="G344" s="29" t="s">
        <v>529</v>
      </c>
      <c r="H344" s="30" t="s">
        <v>1170</v>
      </c>
      <c r="I344" s="30" t="s">
        <v>377</v>
      </c>
      <c r="J344" s="31" t="s">
        <v>108</v>
      </c>
      <c r="K344" s="31" t="s">
        <v>108</v>
      </c>
      <c r="L344" s="31">
        <v>25</v>
      </c>
      <c r="M344" s="30" t="s">
        <v>1170</v>
      </c>
    </row>
    <row r="345" spans="1:13" x14ac:dyDescent="0.3">
      <c r="A345" s="32" t="s">
        <v>1168</v>
      </c>
      <c r="B345" s="32" t="s">
        <v>1169</v>
      </c>
      <c r="C345" s="32" t="s">
        <v>1100</v>
      </c>
      <c r="D345" s="31"/>
      <c r="E345" s="31"/>
      <c r="F345" s="31">
        <v>12</v>
      </c>
      <c r="G345" s="29" t="s">
        <v>529</v>
      </c>
      <c r="H345" s="30" t="s">
        <v>1171</v>
      </c>
      <c r="I345" s="30" t="s">
        <v>1169</v>
      </c>
      <c r="J345" s="31"/>
      <c r="K345" s="31"/>
      <c r="L345" s="31">
        <v>12</v>
      </c>
      <c r="M345" s="30" t="s">
        <v>1171</v>
      </c>
    </row>
    <row r="346" spans="1:13" x14ac:dyDescent="0.3">
      <c r="A346" s="32" t="s">
        <v>378</v>
      </c>
      <c r="B346" s="32" t="s">
        <v>835</v>
      </c>
      <c r="C346" s="32" t="s">
        <v>379</v>
      </c>
      <c r="D346" s="31" t="s">
        <v>380</v>
      </c>
      <c r="E346" s="31" t="s">
        <v>108</v>
      </c>
      <c r="F346" s="31" t="s">
        <v>108</v>
      </c>
      <c r="G346" s="29" t="s">
        <v>446</v>
      </c>
      <c r="H346" s="30"/>
      <c r="I346" s="30" t="s">
        <v>835</v>
      </c>
      <c r="J346" s="31" t="s">
        <v>380</v>
      </c>
      <c r="K346" s="31" t="s">
        <v>108</v>
      </c>
      <c r="L346" s="31" t="s">
        <v>108</v>
      </c>
      <c r="M346" s="30"/>
    </row>
    <row r="347" spans="1:13" x14ac:dyDescent="0.3">
      <c r="A347" s="32" t="s">
        <v>381</v>
      </c>
      <c r="B347" s="32" t="s">
        <v>836</v>
      </c>
      <c r="C347" s="32" t="s">
        <v>379</v>
      </c>
      <c r="D347" s="31" t="s">
        <v>380</v>
      </c>
      <c r="E347" s="31" t="s">
        <v>108</v>
      </c>
      <c r="F347" s="31" t="s">
        <v>108</v>
      </c>
      <c r="G347" s="29" t="s">
        <v>446</v>
      </c>
      <c r="H347" s="30"/>
      <c r="I347" s="30" t="s">
        <v>836</v>
      </c>
      <c r="J347" s="31" t="s">
        <v>380</v>
      </c>
      <c r="K347" s="31" t="s">
        <v>108</v>
      </c>
      <c r="L347" s="31" t="s">
        <v>108</v>
      </c>
      <c r="M347" s="30"/>
    </row>
    <row r="348" spans="1:13" x14ac:dyDescent="0.3">
      <c r="A348" s="32" t="s">
        <v>382</v>
      </c>
      <c r="B348" s="32" t="s">
        <v>837</v>
      </c>
      <c r="C348" s="32" t="s">
        <v>379</v>
      </c>
      <c r="D348" s="31"/>
      <c r="E348" s="31" t="s">
        <v>108</v>
      </c>
      <c r="F348" s="31" t="s">
        <v>383</v>
      </c>
      <c r="G348" s="29" t="s">
        <v>446</v>
      </c>
      <c r="H348" s="30"/>
      <c r="I348" s="30" t="s">
        <v>837</v>
      </c>
      <c r="J348" s="31"/>
      <c r="K348" s="31" t="s">
        <v>108</v>
      </c>
      <c r="L348" s="31" t="s">
        <v>383</v>
      </c>
      <c r="M348" s="30"/>
    </row>
    <row r="349" spans="1:13" x14ac:dyDescent="0.3">
      <c r="A349" s="32" t="s">
        <v>384</v>
      </c>
      <c r="B349" s="32" t="s">
        <v>838</v>
      </c>
      <c r="C349" s="32" t="s">
        <v>379</v>
      </c>
      <c r="D349" s="31">
        <v>1</v>
      </c>
      <c r="E349" s="31" t="s">
        <v>108</v>
      </c>
      <c r="F349" s="31" t="s">
        <v>108</v>
      </c>
      <c r="G349" s="29" t="s">
        <v>446</v>
      </c>
      <c r="H349" s="30"/>
      <c r="I349" s="30" t="s">
        <v>838</v>
      </c>
      <c r="J349" s="31">
        <v>1</v>
      </c>
      <c r="K349" s="31" t="s">
        <v>108</v>
      </c>
      <c r="L349" s="31" t="s">
        <v>108</v>
      </c>
      <c r="M349" s="30"/>
    </row>
    <row r="350" spans="1:13" x14ac:dyDescent="0.3">
      <c r="A350" s="32" t="s">
        <v>1236</v>
      </c>
      <c r="B350" s="32" t="s">
        <v>1242</v>
      </c>
      <c r="C350" s="32" t="s">
        <v>1244</v>
      </c>
      <c r="D350" s="31"/>
      <c r="E350" s="31"/>
      <c r="F350" s="31">
        <v>90</v>
      </c>
      <c r="G350" s="29" t="s">
        <v>529</v>
      </c>
      <c r="H350" s="30" t="s">
        <v>1700</v>
      </c>
      <c r="I350" s="30" t="s">
        <v>1242</v>
      </c>
      <c r="J350" s="31"/>
      <c r="K350" s="31"/>
      <c r="L350" s="31">
        <v>90</v>
      </c>
      <c r="M350" s="30" t="s">
        <v>1700</v>
      </c>
    </row>
    <row r="351" spans="1:13" x14ac:dyDescent="0.3">
      <c r="A351" s="32" t="s">
        <v>1237</v>
      </c>
      <c r="B351" s="32" t="s">
        <v>1243</v>
      </c>
      <c r="C351" s="32" t="s">
        <v>1244</v>
      </c>
      <c r="D351" s="31"/>
      <c r="E351" s="31"/>
      <c r="F351" s="31">
        <v>75</v>
      </c>
      <c r="G351" s="29" t="s">
        <v>529</v>
      </c>
      <c r="H351" s="30" t="s">
        <v>1239</v>
      </c>
      <c r="I351" s="30" t="s">
        <v>1243</v>
      </c>
      <c r="J351" s="31"/>
      <c r="K351" s="31"/>
      <c r="L351" s="31">
        <v>75</v>
      </c>
      <c r="M351" s="30" t="s">
        <v>1239</v>
      </c>
    </row>
    <row r="352" spans="1:13" x14ac:dyDescent="0.3">
      <c r="A352" s="32" t="s">
        <v>1238</v>
      </c>
      <c r="B352" s="32" t="s">
        <v>1243</v>
      </c>
      <c r="C352" s="32" t="s">
        <v>1244</v>
      </c>
      <c r="D352" s="31"/>
      <c r="E352" s="31"/>
      <c r="F352" s="31">
        <v>50</v>
      </c>
      <c r="G352" s="29" t="s">
        <v>529</v>
      </c>
      <c r="H352" s="30" t="s">
        <v>1702</v>
      </c>
      <c r="I352" s="30" t="s">
        <v>1243</v>
      </c>
      <c r="J352" s="31"/>
      <c r="K352" s="31"/>
      <c r="L352" s="31">
        <v>50</v>
      </c>
      <c r="M352" s="30" t="s">
        <v>1702</v>
      </c>
    </row>
    <row r="353" spans="1:13" x14ac:dyDescent="0.3">
      <c r="A353" s="32" t="s">
        <v>1701</v>
      </c>
      <c r="B353" s="32" t="s">
        <v>1240</v>
      </c>
      <c r="C353" s="32" t="s">
        <v>1244</v>
      </c>
      <c r="D353" s="31"/>
      <c r="E353" s="31"/>
      <c r="F353" s="31">
        <v>25</v>
      </c>
      <c r="G353" s="29" t="s">
        <v>529</v>
      </c>
      <c r="H353" s="30" t="s">
        <v>1241</v>
      </c>
      <c r="I353" s="30" t="s">
        <v>1240</v>
      </c>
      <c r="J353" s="31"/>
      <c r="K353" s="31"/>
      <c r="L353" s="31">
        <v>25</v>
      </c>
      <c r="M353" s="30" t="s">
        <v>1241</v>
      </c>
    </row>
    <row r="354" spans="1:13" x14ac:dyDescent="0.3">
      <c r="A354" s="81" t="s">
        <v>408</v>
      </c>
      <c r="B354" s="81"/>
      <c r="C354" s="81"/>
      <c r="D354" s="82"/>
      <c r="E354" s="82"/>
      <c r="F354" s="82"/>
      <c r="G354" s="83"/>
      <c r="H354" s="84"/>
      <c r="I354" s="84"/>
      <c r="J354" s="82"/>
      <c r="K354" s="82"/>
      <c r="L354" s="82"/>
      <c r="M354" s="84"/>
    </row>
    <row r="355" spans="1:13" x14ac:dyDescent="0.3">
      <c r="A355" s="81" t="s">
        <v>385</v>
      </c>
      <c r="B355" s="81"/>
      <c r="C355" s="81"/>
      <c r="D355" s="82"/>
      <c r="E355" s="82"/>
      <c r="F355" s="82"/>
      <c r="G355" s="83"/>
      <c r="H355" s="84"/>
      <c r="I355" s="84"/>
      <c r="J355" s="82"/>
      <c r="K355" s="82"/>
      <c r="L355" s="82"/>
      <c r="M355" s="84"/>
    </row>
    <row r="356" spans="1:13" x14ac:dyDescent="0.3">
      <c r="A356" s="32" t="s">
        <v>386</v>
      </c>
      <c r="B356" s="32" t="s">
        <v>387</v>
      </c>
      <c r="C356" s="32" t="s">
        <v>1042</v>
      </c>
      <c r="D356" s="31" t="s">
        <v>108</v>
      </c>
      <c r="E356" s="31">
        <v>9</v>
      </c>
      <c r="F356" s="31">
        <v>15</v>
      </c>
      <c r="G356" s="29" t="s">
        <v>849</v>
      </c>
      <c r="H356" s="30"/>
      <c r="I356" s="30" t="s">
        <v>387</v>
      </c>
      <c r="J356" s="31" t="s">
        <v>108</v>
      </c>
      <c r="K356" s="31">
        <v>9</v>
      </c>
      <c r="L356" s="31">
        <v>15</v>
      </c>
      <c r="M356" s="30"/>
    </row>
    <row r="357" spans="1:13" ht="21" x14ac:dyDescent="0.3">
      <c r="A357" s="93" t="s">
        <v>388</v>
      </c>
      <c r="B357" s="32" t="s">
        <v>389</v>
      </c>
      <c r="C357" s="32"/>
      <c r="D357" s="31"/>
      <c r="E357" s="31"/>
      <c r="F357" s="31"/>
      <c r="G357" s="29"/>
      <c r="H357" s="30"/>
      <c r="I357" s="30" t="s">
        <v>389</v>
      </c>
      <c r="J357" s="31"/>
      <c r="K357" s="31"/>
      <c r="L357" s="31"/>
      <c r="M357" s="30"/>
    </row>
    <row r="358" spans="1:13" x14ac:dyDescent="0.3">
      <c r="A358" s="93" t="s">
        <v>390</v>
      </c>
      <c r="B358" s="32" t="s">
        <v>391</v>
      </c>
      <c r="C358" s="32" t="s">
        <v>1196</v>
      </c>
      <c r="D358" s="31" t="s">
        <v>108</v>
      </c>
      <c r="E358" s="31" t="s">
        <v>108</v>
      </c>
      <c r="F358" s="31" t="s">
        <v>1255</v>
      </c>
      <c r="G358" s="29" t="s">
        <v>530</v>
      </c>
      <c r="H358" s="30"/>
      <c r="I358" s="30" t="s">
        <v>391</v>
      </c>
      <c r="J358" s="31" t="s">
        <v>108</v>
      </c>
      <c r="K358" s="31" t="s">
        <v>108</v>
      </c>
      <c r="L358" s="31" t="s">
        <v>1255</v>
      </c>
      <c r="M358" s="30"/>
    </row>
    <row r="359" spans="1:13" x14ac:dyDescent="0.3">
      <c r="A359" s="32" t="s">
        <v>392</v>
      </c>
      <c r="B359" s="32" t="s">
        <v>1108</v>
      </c>
      <c r="C359" s="32" t="s">
        <v>1150</v>
      </c>
      <c r="D359" s="31" t="s">
        <v>108</v>
      </c>
      <c r="E359" s="31">
        <v>250</v>
      </c>
      <c r="F359" s="31" t="s">
        <v>108</v>
      </c>
      <c r="G359" s="29" t="s">
        <v>449</v>
      </c>
      <c r="H359" s="30"/>
      <c r="I359" s="30" t="s">
        <v>1108</v>
      </c>
      <c r="J359" s="31" t="s">
        <v>108</v>
      </c>
      <c r="K359" s="31">
        <v>250</v>
      </c>
      <c r="L359" s="31" t="s">
        <v>108</v>
      </c>
      <c r="M359" s="30"/>
    </row>
    <row r="360" spans="1:13" ht="21.5" x14ac:dyDescent="0.3">
      <c r="A360" s="94" t="s">
        <v>1357</v>
      </c>
      <c r="B360" s="81"/>
      <c r="C360" s="81"/>
      <c r="D360" s="82"/>
      <c r="E360" s="82"/>
      <c r="F360" s="82"/>
      <c r="G360" s="83"/>
      <c r="H360" s="84"/>
      <c r="I360" s="84"/>
      <c r="J360" s="82"/>
      <c r="K360" s="82"/>
      <c r="L360" s="82"/>
      <c r="M360" s="84"/>
    </row>
    <row r="361" spans="1:13" x14ac:dyDescent="0.3">
      <c r="A361" s="32" t="s">
        <v>1359</v>
      </c>
      <c r="B361" s="32" t="s">
        <v>1360</v>
      </c>
      <c r="C361" s="32" t="s">
        <v>1361</v>
      </c>
      <c r="D361" s="31" t="s">
        <v>108</v>
      </c>
      <c r="E361" s="31">
        <v>80</v>
      </c>
      <c r="F361" s="31">
        <v>100</v>
      </c>
      <c r="G361" s="29" t="s">
        <v>849</v>
      </c>
      <c r="H361" s="30"/>
      <c r="I361" s="30" t="s">
        <v>1360</v>
      </c>
      <c r="J361" s="31" t="s">
        <v>108</v>
      </c>
      <c r="K361" s="31">
        <v>80</v>
      </c>
      <c r="L361" s="31">
        <v>100</v>
      </c>
      <c r="M361" s="30"/>
    </row>
    <row r="362" spans="1:13" ht="21" x14ac:dyDescent="0.3">
      <c r="A362" s="93" t="s">
        <v>1358</v>
      </c>
      <c r="B362" s="32" t="s">
        <v>389</v>
      </c>
      <c r="C362" s="32"/>
      <c r="D362" s="31"/>
      <c r="E362" s="31"/>
      <c r="F362" s="31"/>
      <c r="G362" s="29"/>
      <c r="H362" s="30"/>
      <c r="I362" s="30" t="s">
        <v>389</v>
      </c>
      <c r="J362" s="31"/>
      <c r="K362" s="31"/>
      <c r="L362" s="31"/>
      <c r="M362" s="30"/>
    </row>
    <row r="363" spans="1:13" x14ac:dyDescent="0.3">
      <c r="A363" s="93" t="s">
        <v>1362</v>
      </c>
      <c r="B363" s="32" t="s">
        <v>1364</v>
      </c>
      <c r="C363" s="32" t="s">
        <v>1369</v>
      </c>
      <c r="D363" s="31" t="s">
        <v>108</v>
      </c>
      <c r="E363" s="31" t="s">
        <v>108</v>
      </c>
      <c r="F363" s="31" t="s">
        <v>253</v>
      </c>
      <c r="G363" s="29" t="s">
        <v>530</v>
      </c>
      <c r="H363" s="30"/>
      <c r="I363" s="30" t="s">
        <v>1364</v>
      </c>
      <c r="J363" s="31" t="s">
        <v>108</v>
      </c>
      <c r="K363" s="31" t="s">
        <v>108</v>
      </c>
      <c r="L363" s="31" t="s">
        <v>253</v>
      </c>
      <c r="M363" s="30"/>
    </row>
    <row r="364" spans="1:13" x14ac:dyDescent="0.3">
      <c r="A364" s="32" t="s">
        <v>1363</v>
      </c>
      <c r="B364" s="32" t="s">
        <v>1108</v>
      </c>
      <c r="C364" s="32" t="s">
        <v>1150</v>
      </c>
      <c r="D364" s="31" t="s">
        <v>108</v>
      </c>
      <c r="E364" s="31">
        <v>60</v>
      </c>
      <c r="F364" s="31" t="s">
        <v>108</v>
      </c>
      <c r="G364" s="29" t="s">
        <v>449</v>
      </c>
      <c r="H364" s="30"/>
      <c r="I364" s="30" t="s">
        <v>1108</v>
      </c>
      <c r="J364" s="31" t="s">
        <v>108</v>
      </c>
      <c r="K364" s="31">
        <v>60</v>
      </c>
      <c r="L364" s="31" t="s">
        <v>108</v>
      </c>
      <c r="M364" s="30"/>
    </row>
    <row r="365" spans="1:13" x14ac:dyDescent="0.3">
      <c r="A365" s="32" t="s">
        <v>393</v>
      </c>
      <c r="B365" s="32" t="s">
        <v>389</v>
      </c>
      <c r="C365" s="32"/>
      <c r="D365" s="31"/>
      <c r="E365" s="31"/>
      <c r="F365" s="31"/>
      <c r="G365" s="29"/>
      <c r="H365" s="30"/>
      <c r="I365" s="30" t="s">
        <v>389</v>
      </c>
      <c r="J365" s="31"/>
      <c r="K365" s="31"/>
      <c r="L365" s="31"/>
      <c r="M365" s="30"/>
    </row>
    <row r="366" spans="1:13" x14ac:dyDescent="0.3">
      <c r="A366" s="93" t="s">
        <v>394</v>
      </c>
      <c r="B366" s="32" t="s">
        <v>395</v>
      </c>
      <c r="C366" s="32" t="s">
        <v>396</v>
      </c>
      <c r="D366" s="31" t="s">
        <v>108</v>
      </c>
      <c r="E366" s="31">
        <v>0.3</v>
      </c>
      <c r="F366" s="31">
        <v>0.7</v>
      </c>
      <c r="G366" s="29" t="s">
        <v>849</v>
      </c>
      <c r="H366" s="30"/>
      <c r="I366" s="30" t="s">
        <v>395</v>
      </c>
      <c r="J366" s="31" t="s">
        <v>108</v>
      </c>
      <c r="K366" s="31">
        <v>0.3</v>
      </c>
      <c r="L366" s="31">
        <v>0.7</v>
      </c>
      <c r="M366" s="30"/>
    </row>
    <row r="367" spans="1:13" x14ac:dyDescent="0.3">
      <c r="A367" s="32" t="s">
        <v>397</v>
      </c>
      <c r="B367" s="32" t="s">
        <v>389</v>
      </c>
      <c r="C367" s="32"/>
      <c r="D367" s="31"/>
      <c r="E367" s="31"/>
      <c r="F367" s="31"/>
      <c r="G367" s="29"/>
      <c r="H367" s="30"/>
      <c r="I367" s="30" t="s">
        <v>389</v>
      </c>
      <c r="J367" s="31"/>
      <c r="K367" s="31"/>
      <c r="L367" s="31"/>
      <c r="M367" s="30"/>
    </row>
    <row r="368" spans="1:13" x14ac:dyDescent="0.3">
      <c r="A368" s="32" t="s">
        <v>398</v>
      </c>
      <c r="B368" s="32" t="s">
        <v>399</v>
      </c>
      <c r="C368" s="32" t="s">
        <v>400</v>
      </c>
      <c r="D368" s="31" t="s">
        <v>108</v>
      </c>
      <c r="E368" s="31" t="s">
        <v>108</v>
      </c>
      <c r="F368" s="31">
        <v>7</v>
      </c>
      <c r="G368" s="29" t="s">
        <v>1110</v>
      </c>
      <c r="H368" s="30" t="s">
        <v>1109</v>
      </c>
      <c r="I368" s="30" t="s">
        <v>399</v>
      </c>
      <c r="J368" s="31" t="s">
        <v>108</v>
      </c>
      <c r="K368" s="31" t="s">
        <v>108</v>
      </c>
      <c r="L368" s="31">
        <v>7</v>
      </c>
      <c r="M368" s="30" t="s">
        <v>1109</v>
      </c>
    </row>
    <row r="369" spans="1:13" x14ac:dyDescent="0.3">
      <c r="A369" s="32" t="s">
        <v>401</v>
      </c>
      <c r="B369" s="32" t="s">
        <v>402</v>
      </c>
      <c r="C369" s="32" t="s">
        <v>403</v>
      </c>
      <c r="D369" s="31">
        <v>45</v>
      </c>
      <c r="E369" s="31">
        <v>50</v>
      </c>
      <c r="F369" s="31">
        <v>55</v>
      </c>
      <c r="G369" s="29" t="s">
        <v>530</v>
      </c>
      <c r="H369" s="30"/>
      <c r="I369" s="30" t="s">
        <v>402</v>
      </c>
      <c r="J369" s="31">
        <v>45</v>
      </c>
      <c r="K369" s="31">
        <v>50</v>
      </c>
      <c r="L369" s="31">
        <v>55</v>
      </c>
      <c r="M369" s="30"/>
    </row>
    <row r="370" spans="1:13" x14ac:dyDescent="0.3">
      <c r="A370" s="32" t="s">
        <v>404</v>
      </c>
      <c r="B370" s="32" t="s">
        <v>405</v>
      </c>
      <c r="C370" s="32" t="s">
        <v>406</v>
      </c>
      <c r="D370" s="31">
        <v>28.8</v>
      </c>
      <c r="E370" s="31">
        <v>32</v>
      </c>
      <c r="F370" s="31">
        <v>35.200000000000003</v>
      </c>
      <c r="G370" s="29" t="s">
        <v>256</v>
      </c>
      <c r="H370" s="30" t="s">
        <v>1252</v>
      </c>
      <c r="I370" s="30" t="s">
        <v>405</v>
      </c>
      <c r="J370" s="31">
        <v>28.8</v>
      </c>
      <c r="K370" s="31">
        <v>32</v>
      </c>
      <c r="L370" s="31">
        <v>35.200000000000003</v>
      </c>
      <c r="M370" s="30" t="s">
        <v>1252</v>
      </c>
    </row>
    <row r="371" spans="1:13" x14ac:dyDescent="0.3">
      <c r="A371" s="81" t="s">
        <v>1112</v>
      </c>
      <c r="B371" s="81"/>
      <c r="C371" s="81"/>
      <c r="D371" s="82"/>
      <c r="E371" s="82"/>
      <c r="F371" s="82"/>
      <c r="G371" s="83"/>
      <c r="H371" s="84"/>
      <c r="I371" s="84"/>
      <c r="J371" s="82"/>
      <c r="K371" s="82"/>
      <c r="L371" s="82"/>
      <c r="M371" s="84"/>
    </row>
    <row r="372" spans="1:13" x14ac:dyDescent="0.3">
      <c r="A372" s="32" t="s">
        <v>1130</v>
      </c>
      <c r="B372" s="32" t="s">
        <v>1136</v>
      </c>
      <c r="C372" s="30" t="s">
        <v>1140</v>
      </c>
      <c r="D372" s="31">
        <v>8.0000000000000002E-3</v>
      </c>
      <c r="E372" s="31"/>
      <c r="F372" s="31">
        <v>100</v>
      </c>
      <c r="G372" s="29" t="s">
        <v>529</v>
      </c>
      <c r="H372" s="30"/>
      <c r="I372" s="30" t="s">
        <v>1136</v>
      </c>
      <c r="J372" s="31">
        <v>8.0000000000000002E-3</v>
      </c>
      <c r="K372" s="31"/>
      <c r="L372" s="31">
        <v>100</v>
      </c>
      <c r="M372" s="30"/>
    </row>
    <row r="373" spans="1:13" x14ac:dyDescent="0.3">
      <c r="A373" s="32" t="s">
        <v>1131</v>
      </c>
      <c r="B373" s="32" t="s">
        <v>1137</v>
      </c>
      <c r="C373" s="32" t="s">
        <v>1198</v>
      </c>
      <c r="D373" s="31">
        <v>24</v>
      </c>
      <c r="E373" s="31"/>
      <c r="F373" s="31">
        <v>100</v>
      </c>
      <c r="G373" s="29" t="s">
        <v>529</v>
      </c>
      <c r="H373" s="30" t="s">
        <v>1141</v>
      </c>
      <c r="I373" s="30" t="s">
        <v>1137</v>
      </c>
      <c r="J373" s="31">
        <v>24</v>
      </c>
      <c r="K373" s="31"/>
      <c r="L373" s="31">
        <v>100</v>
      </c>
      <c r="M373" s="30" t="s">
        <v>1141</v>
      </c>
    </row>
    <row r="374" spans="1:13" x14ac:dyDescent="0.3">
      <c r="A374" s="32" t="s">
        <v>1197</v>
      </c>
      <c r="B374" s="32" t="s">
        <v>1137</v>
      </c>
      <c r="C374" s="32" t="s">
        <v>1199</v>
      </c>
      <c r="D374" s="31">
        <v>24</v>
      </c>
      <c r="E374" s="31"/>
      <c r="F374" s="31">
        <v>50</v>
      </c>
      <c r="G374" s="29" t="s">
        <v>529</v>
      </c>
      <c r="H374" s="30" t="s">
        <v>1141</v>
      </c>
      <c r="I374" s="30" t="s">
        <v>1137</v>
      </c>
      <c r="J374" s="31">
        <v>24</v>
      </c>
      <c r="K374" s="31"/>
      <c r="L374" s="31">
        <v>50</v>
      </c>
      <c r="M374" s="30" t="s">
        <v>1141</v>
      </c>
    </row>
    <row r="375" spans="1:13" x14ac:dyDescent="0.3">
      <c r="A375" s="32" t="s">
        <v>1132</v>
      </c>
      <c r="B375" s="32" t="s">
        <v>1138</v>
      </c>
      <c r="C375" s="32" t="s">
        <v>1142</v>
      </c>
      <c r="D375" s="31">
        <v>47</v>
      </c>
      <c r="E375" s="31"/>
      <c r="F375" s="31">
        <v>53</v>
      </c>
      <c r="G375" s="29" t="s">
        <v>530</v>
      </c>
      <c r="H375" s="30"/>
      <c r="I375" s="30" t="s">
        <v>1138</v>
      </c>
      <c r="J375" s="31">
        <v>47</v>
      </c>
      <c r="K375" s="31"/>
      <c r="L375" s="31">
        <v>53</v>
      </c>
      <c r="M375" s="30"/>
    </row>
    <row r="376" spans="1:13" x14ac:dyDescent="0.3">
      <c r="A376" s="32" t="s">
        <v>1133</v>
      </c>
      <c r="B376" s="32" t="s">
        <v>1265</v>
      </c>
      <c r="C376" s="32" t="s">
        <v>1266</v>
      </c>
      <c r="D376" s="31"/>
      <c r="E376" s="31"/>
      <c r="F376" s="31">
        <v>7.5</v>
      </c>
      <c r="G376" s="29" t="s">
        <v>1110</v>
      </c>
      <c r="H376" s="30" t="s">
        <v>1284</v>
      </c>
      <c r="I376" s="30" t="s">
        <v>1265</v>
      </c>
      <c r="J376" s="31"/>
      <c r="K376" s="31"/>
      <c r="L376" s="31">
        <v>7.5</v>
      </c>
      <c r="M376" s="30" t="s">
        <v>1284</v>
      </c>
    </row>
    <row r="377" spans="1:13" x14ac:dyDescent="0.3">
      <c r="A377" s="32" t="s">
        <v>1134</v>
      </c>
      <c r="B377" s="32" t="s">
        <v>1267</v>
      </c>
      <c r="C377" s="32" t="s">
        <v>1282</v>
      </c>
      <c r="D377" s="31"/>
      <c r="E377" s="31"/>
      <c r="F377" s="31">
        <v>35</v>
      </c>
      <c r="G377" s="29" t="s">
        <v>1075</v>
      </c>
      <c r="H377" s="30" t="s">
        <v>1268</v>
      </c>
      <c r="I377" s="30" t="s">
        <v>1267</v>
      </c>
      <c r="J377" s="31"/>
      <c r="K377" s="31"/>
      <c r="L377" s="31">
        <v>35</v>
      </c>
      <c r="M377" s="30" t="s">
        <v>1268</v>
      </c>
    </row>
    <row r="378" spans="1:13" x14ac:dyDescent="0.3">
      <c r="A378" s="32" t="s">
        <v>1135</v>
      </c>
      <c r="B378" s="32" t="s">
        <v>1139</v>
      </c>
      <c r="C378" s="32" t="s">
        <v>1144</v>
      </c>
      <c r="D378" s="31"/>
      <c r="E378" s="31"/>
      <c r="F378" s="31">
        <v>2</v>
      </c>
      <c r="G378" s="29" t="s">
        <v>1143</v>
      </c>
      <c r="H378" s="30"/>
      <c r="I378" s="30" t="s">
        <v>1139</v>
      </c>
      <c r="J378" s="31"/>
      <c r="K378" s="31"/>
      <c r="L378" s="31">
        <v>2</v>
      </c>
      <c r="M378" s="30"/>
    </row>
    <row r="379" spans="1:13" x14ac:dyDescent="0.3">
      <c r="A379" s="81" t="s">
        <v>1101</v>
      </c>
      <c r="B379" s="81"/>
      <c r="C379" s="81"/>
      <c r="D379" s="82"/>
      <c r="E379" s="82"/>
      <c r="F379" s="82"/>
      <c r="G379" s="83"/>
      <c r="H379" s="84"/>
      <c r="I379" s="84"/>
      <c r="J379" s="82"/>
      <c r="K379" s="82"/>
      <c r="L379" s="82"/>
      <c r="M379" s="84"/>
    </row>
    <row r="380" spans="1:13" x14ac:dyDescent="0.3">
      <c r="A380" s="32" t="s">
        <v>409</v>
      </c>
      <c r="B380" s="32" t="s">
        <v>412</v>
      </c>
      <c r="C380" s="32" t="s">
        <v>1186</v>
      </c>
      <c r="D380" s="31"/>
      <c r="E380" s="31">
        <v>800</v>
      </c>
      <c r="F380" s="31">
        <v>1600</v>
      </c>
      <c r="G380" s="29" t="s">
        <v>849</v>
      </c>
      <c r="H380" s="30" t="s">
        <v>1185</v>
      </c>
      <c r="I380" s="30" t="s">
        <v>412</v>
      </c>
      <c r="J380" s="31"/>
      <c r="K380" s="31">
        <v>800</v>
      </c>
      <c r="L380" s="31">
        <v>1600</v>
      </c>
      <c r="M380" s="30" t="s">
        <v>1185</v>
      </c>
    </row>
    <row r="381" spans="1:13" x14ac:dyDescent="0.3">
      <c r="A381" s="81" t="s">
        <v>1018</v>
      </c>
      <c r="B381" s="81"/>
      <c r="C381" s="81"/>
      <c r="D381" s="82"/>
      <c r="E381" s="82"/>
      <c r="F381" s="82"/>
      <c r="G381" s="83"/>
      <c r="H381" s="84"/>
      <c r="I381" s="84"/>
      <c r="J381" s="82"/>
      <c r="K381" s="82"/>
      <c r="L381" s="82"/>
      <c r="M381" s="84"/>
    </row>
    <row r="382" spans="1:13" x14ac:dyDescent="0.3">
      <c r="A382" s="32" t="s">
        <v>410</v>
      </c>
      <c r="B382" s="32" t="s">
        <v>413</v>
      </c>
      <c r="C382" s="32" t="s">
        <v>414</v>
      </c>
      <c r="D382" s="31">
        <v>4</v>
      </c>
      <c r="E382" s="31"/>
      <c r="F382" s="31">
        <v>35</v>
      </c>
      <c r="G382" s="29" t="s">
        <v>529</v>
      </c>
      <c r="H382" s="30"/>
      <c r="I382" s="30" t="s">
        <v>413</v>
      </c>
      <c r="J382" s="31">
        <v>4</v>
      </c>
      <c r="K382" s="31"/>
      <c r="L382" s="31">
        <v>35</v>
      </c>
      <c r="M382" s="30"/>
    </row>
    <row r="383" spans="1:13" x14ac:dyDescent="0.3">
      <c r="A383" s="81" t="s">
        <v>1517</v>
      </c>
      <c r="B383" s="81"/>
      <c r="C383" s="81"/>
      <c r="D383" s="82"/>
      <c r="E383" s="82"/>
      <c r="F383" s="82"/>
      <c r="G383" s="83"/>
      <c r="H383" s="84"/>
      <c r="I383" s="84"/>
      <c r="J383" s="82"/>
      <c r="K383" s="82"/>
      <c r="L383" s="82"/>
      <c r="M383" s="84"/>
    </row>
    <row r="384" spans="1:13" x14ac:dyDescent="0.3">
      <c r="A384" s="32" t="s">
        <v>979</v>
      </c>
      <c r="B384" s="32" t="s">
        <v>415</v>
      </c>
      <c r="C384" s="32" t="s">
        <v>416</v>
      </c>
      <c r="D384" s="31"/>
      <c r="E384" s="31">
        <v>0.38</v>
      </c>
      <c r="F384" s="31">
        <v>1</v>
      </c>
      <c r="G384" s="29" t="s">
        <v>849</v>
      </c>
      <c r="H384" s="30"/>
      <c r="I384" s="30" t="s">
        <v>415</v>
      </c>
      <c r="J384" s="31"/>
      <c r="K384" s="31">
        <v>0.38</v>
      </c>
      <c r="L384" s="31">
        <v>1</v>
      </c>
      <c r="M384" s="30"/>
    </row>
    <row r="385" spans="1:13" x14ac:dyDescent="0.3">
      <c r="A385" s="32" t="s">
        <v>1079</v>
      </c>
      <c r="B385" s="32" t="s">
        <v>1080</v>
      </c>
      <c r="C385" s="32" t="s">
        <v>1081</v>
      </c>
      <c r="D385" s="31"/>
      <c r="E385" s="31">
        <v>80</v>
      </c>
      <c r="F385" s="31"/>
      <c r="G385" s="29" t="s">
        <v>1092</v>
      </c>
      <c r="H385" s="30"/>
      <c r="I385" s="30" t="s">
        <v>1080</v>
      </c>
      <c r="J385" s="31"/>
      <c r="K385" s="31">
        <v>80</v>
      </c>
      <c r="L385" s="31"/>
      <c r="M385" s="30"/>
    </row>
    <row r="386" spans="1:13" x14ac:dyDescent="0.3">
      <c r="A386" s="32" t="s">
        <v>1082</v>
      </c>
      <c r="B386" s="32" t="s">
        <v>1083</v>
      </c>
      <c r="C386" s="32" t="s">
        <v>1084</v>
      </c>
      <c r="D386" s="31"/>
      <c r="E386" s="31"/>
      <c r="F386" s="31">
        <v>1</v>
      </c>
      <c r="G386" s="29" t="s">
        <v>1093</v>
      </c>
      <c r="H386" s="30"/>
      <c r="I386" s="30" t="s">
        <v>1083</v>
      </c>
      <c r="J386" s="31"/>
      <c r="K386" s="31"/>
      <c r="L386" s="31">
        <v>1</v>
      </c>
      <c r="M386" s="30"/>
    </row>
    <row r="387" spans="1:13" x14ac:dyDescent="0.3">
      <c r="A387" s="81" t="s">
        <v>1518</v>
      </c>
      <c r="B387" s="81"/>
      <c r="C387" s="81"/>
      <c r="D387" s="82"/>
      <c r="E387" s="82"/>
      <c r="F387" s="82"/>
      <c r="G387" s="83"/>
      <c r="H387" s="84"/>
      <c r="I387" s="84"/>
      <c r="J387" s="82"/>
      <c r="K387" s="82"/>
      <c r="L387" s="82"/>
      <c r="M387" s="84"/>
    </row>
    <row r="388" spans="1:13" x14ac:dyDescent="0.3">
      <c r="A388" s="32" t="s">
        <v>411</v>
      </c>
      <c r="B388" s="32" t="s">
        <v>417</v>
      </c>
      <c r="C388" s="32" t="s">
        <v>406</v>
      </c>
      <c r="D388" s="31"/>
      <c r="E388" s="31">
        <v>32.768000000000001</v>
      </c>
      <c r="F388" s="31"/>
      <c r="G388" s="29" t="s">
        <v>256</v>
      </c>
      <c r="H388" s="30"/>
      <c r="I388" s="30" t="s">
        <v>417</v>
      </c>
      <c r="J388" s="31"/>
      <c r="K388" s="31">
        <v>32.768000000000001</v>
      </c>
      <c r="L388" s="31"/>
      <c r="M388" s="30"/>
    </row>
    <row r="389" spans="1:13" x14ac:dyDescent="0.3">
      <c r="A389" s="32" t="s">
        <v>1151</v>
      </c>
      <c r="B389" s="32" t="s">
        <v>418</v>
      </c>
      <c r="C389" s="32" t="s">
        <v>559</v>
      </c>
      <c r="D389" s="31"/>
      <c r="E389" s="31"/>
      <c r="F389" s="31">
        <v>1000</v>
      </c>
      <c r="G389" s="29" t="s">
        <v>834</v>
      </c>
      <c r="H389" s="30"/>
      <c r="I389" s="30" t="s">
        <v>418</v>
      </c>
      <c r="J389" s="31"/>
      <c r="K389" s="31"/>
      <c r="L389" s="31">
        <v>1000</v>
      </c>
      <c r="M389" s="30"/>
    </row>
    <row r="390" spans="1:13" x14ac:dyDescent="0.3">
      <c r="A390" s="32" t="s">
        <v>1076</v>
      </c>
      <c r="B390" s="32" t="s">
        <v>1077</v>
      </c>
      <c r="C390" s="32" t="s">
        <v>1078</v>
      </c>
      <c r="D390" s="31"/>
      <c r="E390" s="31">
        <v>50</v>
      </c>
      <c r="F390" s="31">
        <v>250</v>
      </c>
      <c r="G390" s="29" t="s">
        <v>754</v>
      </c>
      <c r="H390" s="30" t="s">
        <v>1111</v>
      </c>
      <c r="I390" s="30" t="s">
        <v>1077</v>
      </c>
      <c r="J390" s="31"/>
      <c r="K390" s="31">
        <v>50</v>
      </c>
      <c r="L390" s="31">
        <v>250</v>
      </c>
      <c r="M390" s="30" t="s">
        <v>1111</v>
      </c>
    </row>
    <row r="391" spans="1:13" x14ac:dyDescent="0.3">
      <c r="A391" s="81" t="s">
        <v>1598</v>
      </c>
      <c r="B391" s="81"/>
      <c r="C391" s="81"/>
      <c r="D391" s="82"/>
      <c r="E391" s="82"/>
      <c r="F391" s="82"/>
      <c r="G391" s="83"/>
      <c r="H391" s="84"/>
      <c r="I391" s="84"/>
      <c r="J391" s="82"/>
      <c r="K391" s="82"/>
      <c r="L391" s="82"/>
      <c r="M391" s="84"/>
    </row>
    <row r="392" spans="1:13" x14ac:dyDescent="0.3">
      <c r="A392" s="32" t="s">
        <v>1599</v>
      </c>
      <c r="B392" s="32" t="s">
        <v>1600</v>
      </c>
      <c r="C392" s="30" t="s">
        <v>1601</v>
      </c>
      <c r="D392" s="31"/>
      <c r="E392" s="31"/>
      <c r="F392" s="31">
        <v>20</v>
      </c>
      <c r="G392" s="29" t="s">
        <v>1059</v>
      </c>
      <c r="H392" s="30"/>
      <c r="I392" s="30" t="s">
        <v>1600</v>
      </c>
      <c r="J392" s="31"/>
      <c r="K392" s="31"/>
      <c r="L392" s="31">
        <v>20</v>
      </c>
      <c r="M392" s="30"/>
    </row>
    <row r="393" spans="1:13" x14ac:dyDescent="0.3">
      <c r="A393" s="32" t="s">
        <v>1602</v>
      </c>
      <c r="B393" s="32" t="s">
        <v>1603</v>
      </c>
      <c r="C393" s="30" t="s">
        <v>1604</v>
      </c>
      <c r="D393" s="31"/>
      <c r="E393" s="31"/>
      <c r="F393" s="31">
        <v>20</v>
      </c>
      <c r="G393" s="29" t="s">
        <v>1059</v>
      </c>
      <c r="H393" s="30"/>
      <c r="I393" s="30" t="s">
        <v>1603</v>
      </c>
      <c r="J393" s="31"/>
      <c r="K393" s="31"/>
      <c r="L393" s="31">
        <v>20</v>
      </c>
      <c r="M393" s="30"/>
    </row>
    <row r="394" spans="1:13" x14ac:dyDescent="0.3">
      <c r="A394" s="32" t="s">
        <v>1605</v>
      </c>
      <c r="B394" s="32" t="s">
        <v>1057</v>
      </c>
      <c r="C394" s="32" t="s">
        <v>1058</v>
      </c>
      <c r="D394" s="31"/>
      <c r="E394" s="31">
        <v>160</v>
      </c>
      <c r="F394" s="31">
        <v>240</v>
      </c>
      <c r="G394" s="29" t="s">
        <v>529</v>
      </c>
      <c r="H394" s="30"/>
      <c r="I394" s="30" t="s">
        <v>1057</v>
      </c>
      <c r="J394" s="31"/>
      <c r="K394" s="31">
        <v>160</v>
      </c>
      <c r="L394" s="31">
        <v>240</v>
      </c>
      <c r="M394" s="30"/>
    </row>
    <row r="395" spans="1:13" x14ac:dyDescent="0.3">
      <c r="A395" s="32" t="s">
        <v>1606</v>
      </c>
      <c r="B395" s="32" t="s">
        <v>1060</v>
      </c>
      <c r="C395" s="32" t="s">
        <v>1061</v>
      </c>
      <c r="D395" s="31"/>
      <c r="E395" s="31">
        <v>700</v>
      </c>
      <c r="F395" s="31">
        <v>1000</v>
      </c>
      <c r="G395" s="29" t="s">
        <v>219</v>
      </c>
      <c r="H395" s="30" t="s">
        <v>2115</v>
      </c>
      <c r="I395" s="30" t="s">
        <v>1060</v>
      </c>
      <c r="J395" s="31"/>
      <c r="K395" s="31">
        <v>700</v>
      </c>
      <c r="L395" s="31">
        <v>1000</v>
      </c>
      <c r="M395" s="30" t="s">
        <v>2115</v>
      </c>
    </row>
    <row r="396" spans="1:13" x14ac:dyDescent="0.3">
      <c r="A396" s="32" t="s">
        <v>1607</v>
      </c>
      <c r="B396" s="32" t="s">
        <v>1608</v>
      </c>
      <c r="C396" s="32" t="s">
        <v>1281</v>
      </c>
      <c r="D396" s="31">
        <v>-200</v>
      </c>
      <c r="E396" s="31"/>
      <c r="F396" s="31">
        <v>200</v>
      </c>
      <c r="G396" s="29" t="s">
        <v>1075</v>
      </c>
      <c r="H396" s="30" t="s">
        <v>1609</v>
      </c>
      <c r="I396" s="30" t="s">
        <v>1608</v>
      </c>
      <c r="J396" s="31">
        <v>-200</v>
      </c>
      <c r="K396" s="31"/>
      <c r="L396" s="31">
        <v>200</v>
      </c>
      <c r="M396" s="30" t="s">
        <v>1609</v>
      </c>
    </row>
    <row r="397" spans="1:13" x14ac:dyDescent="0.3">
      <c r="A397" s="32" t="s">
        <v>1610</v>
      </c>
      <c r="B397" s="32" t="s">
        <v>1611</v>
      </c>
      <c r="C397" s="32" t="s">
        <v>1281</v>
      </c>
      <c r="D397" s="31">
        <v>-100</v>
      </c>
      <c r="E397" s="31"/>
      <c r="F397" s="31">
        <v>100</v>
      </c>
      <c r="G397" s="29" t="s">
        <v>1075</v>
      </c>
      <c r="H397" s="30" t="s">
        <v>1612</v>
      </c>
      <c r="I397" s="30" t="s">
        <v>1611</v>
      </c>
      <c r="J397" s="31">
        <v>-100</v>
      </c>
      <c r="K397" s="31"/>
      <c r="L397" s="31">
        <v>100</v>
      </c>
      <c r="M397" s="30" t="s">
        <v>1612</v>
      </c>
    </row>
    <row r="398" spans="1:13" x14ac:dyDescent="0.3">
      <c r="A398" s="32" t="s">
        <v>1613</v>
      </c>
      <c r="B398" s="32" t="s">
        <v>1614</v>
      </c>
      <c r="C398" s="32" t="s">
        <v>1615</v>
      </c>
      <c r="D398" s="31">
        <v>45</v>
      </c>
      <c r="E398" s="31"/>
      <c r="F398" s="31">
        <v>55</v>
      </c>
      <c r="G398" s="29" t="s">
        <v>530</v>
      </c>
      <c r="H398" s="30" t="s">
        <v>1616</v>
      </c>
      <c r="I398" s="30" t="s">
        <v>1614</v>
      </c>
      <c r="J398" s="31">
        <v>45</v>
      </c>
      <c r="K398" s="31"/>
      <c r="L398" s="31">
        <v>55</v>
      </c>
      <c r="M398" s="30" t="s">
        <v>1616</v>
      </c>
    </row>
    <row r="399" spans="1:13" x14ac:dyDescent="0.3">
      <c r="A399" s="81" t="s">
        <v>1285</v>
      </c>
      <c r="B399" s="81"/>
      <c r="C399" s="81"/>
      <c r="D399" s="82"/>
      <c r="E399" s="82"/>
      <c r="F399" s="82"/>
      <c r="G399" s="83"/>
      <c r="H399" s="84"/>
      <c r="I399" s="84"/>
      <c r="J399" s="82"/>
      <c r="K399" s="82"/>
      <c r="L399" s="82"/>
      <c r="M399" s="84"/>
    </row>
    <row r="400" spans="1:13" x14ac:dyDescent="0.3">
      <c r="A400" s="81" t="s">
        <v>1713</v>
      </c>
      <c r="B400" s="81"/>
      <c r="C400" s="81"/>
      <c r="D400" s="82"/>
      <c r="E400" s="82"/>
      <c r="F400" s="82"/>
      <c r="G400" s="83"/>
      <c r="H400" s="84"/>
      <c r="I400" s="84"/>
      <c r="J400" s="82"/>
      <c r="K400" s="82"/>
      <c r="L400" s="82"/>
      <c r="M400" s="84"/>
    </row>
    <row r="401" spans="1:13" x14ac:dyDescent="0.3">
      <c r="A401" s="32" t="s">
        <v>1298</v>
      </c>
      <c r="B401" s="32" t="s">
        <v>1312</v>
      </c>
      <c r="C401" s="32" t="s">
        <v>1319</v>
      </c>
      <c r="D401" s="31">
        <v>34</v>
      </c>
      <c r="E401" s="31"/>
      <c r="F401" s="31"/>
      <c r="G401" s="29" t="s">
        <v>1091</v>
      </c>
      <c r="H401" s="30"/>
      <c r="I401" s="30" t="s">
        <v>1312</v>
      </c>
      <c r="J401" s="31">
        <v>34</v>
      </c>
      <c r="K401" s="31"/>
      <c r="L401" s="31"/>
      <c r="M401" s="30"/>
    </row>
    <row r="402" spans="1:13" x14ac:dyDescent="0.3">
      <c r="A402" s="32" t="s">
        <v>1299</v>
      </c>
      <c r="B402" s="32" t="s">
        <v>1313</v>
      </c>
      <c r="C402" s="30" t="s">
        <v>1287</v>
      </c>
      <c r="D402" s="31">
        <v>10</v>
      </c>
      <c r="E402" s="31"/>
      <c r="F402" s="31"/>
      <c r="G402" s="29" t="s">
        <v>1091</v>
      </c>
      <c r="H402" s="30"/>
      <c r="I402" s="30" t="s">
        <v>1313</v>
      </c>
      <c r="J402" s="31">
        <v>10</v>
      </c>
      <c r="K402" s="31"/>
      <c r="L402" s="31"/>
      <c r="M402" s="30"/>
    </row>
    <row r="403" spans="1:13" x14ac:dyDescent="0.3">
      <c r="A403" s="32" t="s">
        <v>1723</v>
      </c>
      <c r="B403" s="32" t="s">
        <v>1724</v>
      </c>
      <c r="C403" s="30" t="s">
        <v>1725</v>
      </c>
      <c r="D403" s="31"/>
      <c r="E403" s="31">
        <v>62</v>
      </c>
      <c r="F403" s="31"/>
      <c r="G403" s="29" t="s">
        <v>1091</v>
      </c>
      <c r="H403" s="30"/>
      <c r="I403" s="30" t="s">
        <v>1724</v>
      </c>
      <c r="J403" s="31"/>
      <c r="K403" s="31">
        <v>62</v>
      </c>
      <c r="L403" s="31"/>
      <c r="M403" s="30"/>
    </row>
    <row r="404" spans="1:13" x14ac:dyDescent="0.3">
      <c r="A404" s="32" t="s">
        <v>1300</v>
      </c>
      <c r="B404" s="32" t="s">
        <v>1316</v>
      </c>
      <c r="C404" s="30" t="s">
        <v>1288</v>
      </c>
      <c r="D404" s="31"/>
      <c r="E404" s="31"/>
      <c r="F404" s="31">
        <v>22</v>
      </c>
      <c r="G404" s="29" t="s">
        <v>1091</v>
      </c>
      <c r="H404" s="30"/>
      <c r="I404" s="30" t="s">
        <v>1316</v>
      </c>
      <c r="J404" s="31"/>
      <c r="K404" s="31"/>
      <c r="L404" s="31">
        <v>22</v>
      </c>
      <c r="M404" s="30"/>
    </row>
    <row r="405" spans="1:13" x14ac:dyDescent="0.3">
      <c r="A405" s="32" t="s">
        <v>1301</v>
      </c>
      <c r="B405" s="32" t="s">
        <v>1314</v>
      </c>
      <c r="C405" s="30" t="s">
        <v>1289</v>
      </c>
      <c r="D405" s="31">
        <v>12</v>
      </c>
      <c r="E405" s="31"/>
      <c r="F405" s="31"/>
      <c r="G405" s="29" t="s">
        <v>1091</v>
      </c>
      <c r="H405" s="30"/>
      <c r="I405" s="30" t="s">
        <v>1314</v>
      </c>
      <c r="J405" s="31">
        <v>12</v>
      </c>
      <c r="K405" s="31"/>
      <c r="L405" s="31"/>
      <c r="M405" s="30"/>
    </row>
    <row r="406" spans="1:13" x14ac:dyDescent="0.3">
      <c r="A406" s="32" t="s">
        <v>1302</v>
      </c>
      <c r="B406" s="32" t="s">
        <v>1315</v>
      </c>
      <c r="C406" s="32" t="s">
        <v>1290</v>
      </c>
      <c r="D406" s="31">
        <v>10</v>
      </c>
      <c r="E406" s="31"/>
      <c r="F406" s="31"/>
      <c r="G406" s="29" t="s">
        <v>1091</v>
      </c>
      <c r="H406" s="30"/>
      <c r="I406" s="30" t="s">
        <v>1315</v>
      </c>
      <c r="J406" s="31">
        <v>10</v>
      </c>
      <c r="K406" s="31"/>
      <c r="L406" s="31"/>
      <c r="M406" s="30"/>
    </row>
    <row r="407" spans="1:13" x14ac:dyDescent="0.3">
      <c r="A407" s="32" t="s">
        <v>1303</v>
      </c>
      <c r="B407" s="32" t="s">
        <v>1317</v>
      </c>
      <c r="C407" s="32" t="s">
        <v>1291</v>
      </c>
      <c r="D407" s="31">
        <v>22</v>
      </c>
      <c r="E407" s="31"/>
      <c r="F407" s="31"/>
      <c r="G407" s="29" t="s">
        <v>1091</v>
      </c>
      <c r="H407" s="30"/>
      <c r="I407" s="30" t="s">
        <v>1317</v>
      </c>
      <c r="J407" s="31">
        <v>22</v>
      </c>
      <c r="K407" s="31"/>
      <c r="L407" s="31"/>
      <c r="M407" s="30"/>
    </row>
    <row r="408" spans="1:13" x14ac:dyDescent="0.3">
      <c r="A408" s="32" t="s">
        <v>1304</v>
      </c>
      <c r="B408" s="32" t="s">
        <v>1318</v>
      </c>
      <c r="C408" s="32" t="s">
        <v>1292</v>
      </c>
      <c r="D408" s="31">
        <v>22</v>
      </c>
      <c r="E408" s="31"/>
      <c r="F408" s="31"/>
      <c r="G408" s="29" t="s">
        <v>1091</v>
      </c>
      <c r="H408" s="30"/>
      <c r="I408" s="30" t="s">
        <v>1318</v>
      </c>
      <c r="J408" s="31">
        <v>22</v>
      </c>
      <c r="K408" s="31"/>
      <c r="L408" s="31"/>
      <c r="M408" s="30"/>
    </row>
    <row r="409" spans="1:13" x14ac:dyDescent="0.3">
      <c r="A409" s="32" t="s">
        <v>1707</v>
      </c>
      <c r="B409" s="32" t="s">
        <v>1708</v>
      </c>
      <c r="C409" s="32" t="s">
        <v>1709</v>
      </c>
      <c r="D409" s="31"/>
      <c r="E409" s="31"/>
      <c r="F409" s="31">
        <v>5</v>
      </c>
      <c r="G409" s="29" t="s">
        <v>1091</v>
      </c>
      <c r="H409" s="30"/>
      <c r="I409" s="30" t="s">
        <v>1708</v>
      </c>
      <c r="J409" s="31"/>
      <c r="K409" s="31"/>
      <c r="L409" s="31">
        <v>5</v>
      </c>
      <c r="M409" s="30"/>
    </row>
    <row r="410" spans="1:13" x14ac:dyDescent="0.3">
      <c r="A410" s="32" t="s">
        <v>1710</v>
      </c>
      <c r="B410" s="32" t="s">
        <v>1711</v>
      </c>
      <c r="C410" s="32" t="s">
        <v>1712</v>
      </c>
      <c r="D410" s="31"/>
      <c r="E410" s="31"/>
      <c r="F410" s="31">
        <v>5</v>
      </c>
      <c r="G410" s="29" t="s">
        <v>1091</v>
      </c>
      <c r="H410" s="30"/>
      <c r="I410" s="30" t="s">
        <v>1711</v>
      </c>
      <c r="J410" s="31"/>
      <c r="K410" s="31"/>
      <c r="L410" s="31">
        <v>5</v>
      </c>
      <c r="M410" s="30"/>
    </row>
    <row r="411" spans="1:13" x14ac:dyDescent="0.3">
      <c r="A411" s="81" t="s">
        <v>1722</v>
      </c>
      <c r="B411" s="81"/>
      <c r="C411" s="81"/>
      <c r="D411" s="82"/>
      <c r="E411" s="82"/>
      <c r="F411" s="82"/>
      <c r="G411" s="83"/>
      <c r="H411" s="84"/>
      <c r="I411" s="84"/>
      <c r="J411" s="82"/>
      <c r="K411" s="82"/>
      <c r="L411" s="82"/>
      <c r="M411" s="84"/>
    </row>
    <row r="412" spans="1:13" x14ac:dyDescent="0.3">
      <c r="A412" s="32" t="s">
        <v>1721</v>
      </c>
      <c r="B412" s="32" t="s">
        <v>1312</v>
      </c>
      <c r="C412" s="32" t="s">
        <v>1319</v>
      </c>
      <c r="D412" s="31">
        <v>60</v>
      </c>
      <c r="E412" s="31"/>
      <c r="F412" s="31"/>
      <c r="G412" s="29" t="s">
        <v>1091</v>
      </c>
      <c r="H412" s="30"/>
      <c r="I412" s="30" t="s">
        <v>1312</v>
      </c>
      <c r="J412" s="31">
        <v>60</v>
      </c>
      <c r="K412" s="31"/>
      <c r="L412" s="31"/>
      <c r="M412" s="30"/>
    </row>
    <row r="413" spans="1:13" x14ac:dyDescent="0.3">
      <c r="A413" s="32" t="s">
        <v>1727</v>
      </c>
      <c r="B413" s="32" t="s">
        <v>1313</v>
      </c>
      <c r="C413" s="30" t="s">
        <v>1287</v>
      </c>
      <c r="D413" s="31">
        <v>20</v>
      </c>
      <c r="E413" s="31"/>
      <c r="F413" s="31"/>
      <c r="G413" s="29" t="s">
        <v>1091</v>
      </c>
      <c r="H413" s="30"/>
      <c r="I413" s="30" t="s">
        <v>1313</v>
      </c>
      <c r="J413" s="31">
        <v>20</v>
      </c>
      <c r="K413" s="31"/>
      <c r="L413" s="31"/>
      <c r="M413" s="30"/>
    </row>
    <row r="414" spans="1:13" x14ac:dyDescent="0.3">
      <c r="A414" s="32" t="s">
        <v>1728</v>
      </c>
      <c r="B414" s="32" t="s">
        <v>1724</v>
      </c>
      <c r="C414" s="30" t="s">
        <v>1725</v>
      </c>
      <c r="D414" s="31"/>
      <c r="E414" s="31">
        <v>80</v>
      </c>
      <c r="F414" s="31"/>
      <c r="G414" s="29" t="s">
        <v>1091</v>
      </c>
      <c r="H414" s="30"/>
      <c r="I414" s="30" t="s">
        <v>1724</v>
      </c>
      <c r="J414" s="31"/>
      <c r="K414" s="31">
        <v>80</v>
      </c>
      <c r="L414" s="31"/>
      <c r="M414" s="30"/>
    </row>
    <row r="415" spans="1:13" x14ac:dyDescent="0.3">
      <c r="A415" s="32" t="s">
        <v>1729</v>
      </c>
      <c r="B415" s="32" t="s">
        <v>1316</v>
      </c>
      <c r="C415" s="30" t="s">
        <v>1288</v>
      </c>
      <c r="D415" s="31"/>
      <c r="E415" s="31"/>
      <c r="F415" s="31">
        <v>40</v>
      </c>
      <c r="G415" s="29" t="s">
        <v>1091</v>
      </c>
      <c r="H415" s="30"/>
      <c r="I415" s="30" t="s">
        <v>1316</v>
      </c>
      <c r="J415" s="31"/>
      <c r="K415" s="31"/>
      <c r="L415" s="31">
        <v>40</v>
      </c>
      <c r="M415" s="30"/>
    </row>
    <row r="416" spans="1:13" x14ac:dyDescent="0.3">
      <c r="A416" s="32" t="s">
        <v>1730</v>
      </c>
      <c r="B416" s="32" t="s">
        <v>1314</v>
      </c>
      <c r="C416" s="30" t="s">
        <v>1289</v>
      </c>
      <c r="D416" s="31">
        <v>20</v>
      </c>
      <c r="E416" s="31"/>
      <c r="F416" s="31"/>
      <c r="G416" s="29" t="s">
        <v>1091</v>
      </c>
      <c r="H416" s="30"/>
      <c r="I416" s="30" t="s">
        <v>1314</v>
      </c>
      <c r="J416" s="31">
        <v>20</v>
      </c>
      <c r="K416" s="31"/>
      <c r="L416" s="31"/>
      <c r="M416" s="30"/>
    </row>
    <row r="417" spans="1:13" x14ac:dyDescent="0.3">
      <c r="A417" s="32" t="s">
        <v>1731</v>
      </c>
      <c r="B417" s="32" t="s">
        <v>1315</v>
      </c>
      <c r="C417" s="32" t="s">
        <v>1290</v>
      </c>
      <c r="D417" s="31">
        <v>20</v>
      </c>
      <c r="E417" s="31"/>
      <c r="F417" s="31"/>
      <c r="G417" s="29" t="s">
        <v>1091</v>
      </c>
      <c r="H417" s="30"/>
      <c r="I417" s="30" t="s">
        <v>1315</v>
      </c>
      <c r="J417" s="31">
        <v>20</v>
      </c>
      <c r="K417" s="31"/>
      <c r="L417" s="31"/>
      <c r="M417" s="30"/>
    </row>
    <row r="418" spans="1:13" x14ac:dyDescent="0.3">
      <c r="A418" s="32" t="s">
        <v>1732</v>
      </c>
      <c r="B418" s="32" t="s">
        <v>1317</v>
      </c>
      <c r="C418" s="32" t="s">
        <v>1291</v>
      </c>
      <c r="D418" s="31">
        <v>50</v>
      </c>
      <c r="E418" s="31"/>
      <c r="F418" s="31"/>
      <c r="G418" s="29" t="s">
        <v>1091</v>
      </c>
      <c r="H418" s="30" t="s">
        <v>1857</v>
      </c>
      <c r="I418" s="30" t="s">
        <v>1317</v>
      </c>
      <c r="J418" s="31">
        <v>50</v>
      </c>
      <c r="K418" s="31"/>
      <c r="L418" s="31"/>
      <c r="M418" s="30" t="s">
        <v>1857</v>
      </c>
    </row>
    <row r="419" spans="1:13" x14ac:dyDescent="0.3">
      <c r="A419" s="32" t="s">
        <v>1733</v>
      </c>
      <c r="B419" s="32" t="s">
        <v>1318</v>
      </c>
      <c r="C419" s="32" t="s">
        <v>1292</v>
      </c>
      <c r="D419" s="31">
        <v>40</v>
      </c>
      <c r="E419" s="31"/>
      <c r="F419" s="31"/>
      <c r="G419" s="29" t="s">
        <v>1091</v>
      </c>
      <c r="H419" s="30"/>
      <c r="I419" s="30" t="s">
        <v>1318</v>
      </c>
      <c r="J419" s="31">
        <v>40</v>
      </c>
      <c r="K419" s="31"/>
      <c r="L419" s="31"/>
      <c r="M419" s="30"/>
    </row>
    <row r="420" spans="1:13" x14ac:dyDescent="0.3">
      <c r="A420" s="32" t="s">
        <v>1734</v>
      </c>
      <c r="B420" s="32" t="s">
        <v>1708</v>
      </c>
      <c r="C420" s="32" t="s">
        <v>1709</v>
      </c>
      <c r="D420" s="31"/>
      <c r="E420" s="31"/>
      <c r="F420" s="31">
        <v>5</v>
      </c>
      <c r="G420" s="29" t="s">
        <v>1091</v>
      </c>
      <c r="H420" s="30"/>
      <c r="I420" s="30" t="s">
        <v>1708</v>
      </c>
      <c r="J420" s="31"/>
      <c r="K420" s="31"/>
      <c r="L420" s="31">
        <v>5</v>
      </c>
      <c r="M420" s="30"/>
    </row>
    <row r="421" spans="1:13" x14ac:dyDescent="0.3">
      <c r="A421" s="32" t="s">
        <v>1735</v>
      </c>
      <c r="B421" s="32" t="s">
        <v>1711</v>
      </c>
      <c r="C421" s="32" t="s">
        <v>1712</v>
      </c>
      <c r="D421" s="31"/>
      <c r="E421" s="31"/>
      <c r="F421" s="31">
        <v>5</v>
      </c>
      <c r="G421" s="29" t="s">
        <v>1091</v>
      </c>
      <c r="H421" s="30"/>
      <c r="I421" s="30" t="s">
        <v>1711</v>
      </c>
      <c r="J421" s="31"/>
      <c r="K421" s="31"/>
      <c r="L421" s="31">
        <v>5</v>
      </c>
      <c r="M421" s="30"/>
    </row>
    <row r="422" spans="1:13" x14ac:dyDescent="0.3">
      <c r="A422" s="81" t="s">
        <v>1320</v>
      </c>
      <c r="B422" s="81"/>
      <c r="C422" s="81"/>
      <c r="D422" s="82"/>
      <c r="E422" s="82"/>
      <c r="F422" s="82"/>
      <c r="G422" s="83"/>
      <c r="H422" s="84"/>
      <c r="I422" s="84"/>
      <c r="J422" s="82"/>
      <c r="K422" s="82"/>
      <c r="L422" s="82"/>
      <c r="M422" s="84"/>
    </row>
    <row r="423" spans="1:13" x14ac:dyDescent="0.3">
      <c r="A423" s="32" t="s">
        <v>1305</v>
      </c>
      <c r="B423" s="32" t="s">
        <v>1312</v>
      </c>
      <c r="C423" s="32" t="s">
        <v>1286</v>
      </c>
      <c r="D423" s="31">
        <v>52</v>
      </c>
      <c r="E423" s="31"/>
      <c r="F423" s="31"/>
      <c r="G423" s="29" t="s">
        <v>1091</v>
      </c>
      <c r="H423" s="30"/>
      <c r="I423" s="30" t="s">
        <v>1312</v>
      </c>
      <c r="J423" s="31">
        <v>52</v>
      </c>
      <c r="K423" s="31"/>
      <c r="L423" s="31"/>
      <c r="M423" s="30"/>
    </row>
    <row r="424" spans="1:13" x14ac:dyDescent="0.3">
      <c r="A424" s="32" t="s">
        <v>1306</v>
      </c>
      <c r="B424" s="32" t="s">
        <v>1313</v>
      </c>
      <c r="C424" s="30" t="s">
        <v>1287</v>
      </c>
      <c r="D424" s="31">
        <v>10</v>
      </c>
      <c r="E424" s="31"/>
      <c r="F424" s="31"/>
      <c r="G424" s="29" t="s">
        <v>1091</v>
      </c>
      <c r="H424" s="30"/>
      <c r="I424" s="30" t="s">
        <v>1313</v>
      </c>
      <c r="J424" s="31">
        <v>10</v>
      </c>
      <c r="K424" s="31"/>
      <c r="L424" s="31"/>
      <c r="M424" s="30"/>
    </row>
    <row r="425" spans="1:13" x14ac:dyDescent="0.3">
      <c r="A425" s="32" t="s">
        <v>1322</v>
      </c>
      <c r="B425" s="32" t="s">
        <v>1703</v>
      </c>
      <c r="C425" s="30" t="s">
        <v>1704</v>
      </c>
      <c r="D425" s="31"/>
      <c r="E425" s="31">
        <v>62</v>
      </c>
      <c r="F425" s="31"/>
      <c r="G425" s="29" t="s">
        <v>1091</v>
      </c>
      <c r="H425" s="30"/>
      <c r="I425" s="30" t="s">
        <v>1703</v>
      </c>
      <c r="J425" s="31"/>
      <c r="K425" s="31">
        <v>62</v>
      </c>
      <c r="L425" s="31"/>
      <c r="M425" s="30"/>
    </row>
    <row r="426" spans="1:13" x14ac:dyDescent="0.3">
      <c r="A426" s="32" t="s">
        <v>1307</v>
      </c>
      <c r="B426" s="32" t="s">
        <v>1316</v>
      </c>
      <c r="C426" s="30" t="s">
        <v>1293</v>
      </c>
      <c r="D426" s="31"/>
      <c r="E426" s="31"/>
      <c r="F426" s="31">
        <v>40</v>
      </c>
      <c r="G426" s="29" t="s">
        <v>1091</v>
      </c>
      <c r="H426" s="30"/>
      <c r="I426" s="30" t="s">
        <v>1316</v>
      </c>
      <c r="J426" s="31"/>
      <c r="K426" s="31"/>
      <c r="L426" s="31">
        <v>40</v>
      </c>
      <c r="M426" s="30"/>
    </row>
    <row r="427" spans="1:13" x14ac:dyDescent="0.3">
      <c r="A427" s="32" t="s">
        <v>1308</v>
      </c>
      <c r="B427" s="32" t="s">
        <v>1314</v>
      </c>
      <c r="C427" s="30" t="s">
        <v>1294</v>
      </c>
      <c r="D427" s="31">
        <v>12</v>
      </c>
      <c r="E427" s="31"/>
      <c r="F427" s="31"/>
      <c r="G427" s="29" t="s">
        <v>1091</v>
      </c>
      <c r="H427" s="30"/>
      <c r="I427" s="30" t="s">
        <v>1314</v>
      </c>
      <c r="J427" s="31">
        <v>12</v>
      </c>
      <c r="K427" s="31"/>
      <c r="L427" s="31"/>
      <c r="M427" s="30"/>
    </row>
    <row r="428" spans="1:13" x14ac:dyDescent="0.3">
      <c r="A428" s="32" t="s">
        <v>1309</v>
      </c>
      <c r="B428" s="32" t="s">
        <v>1315</v>
      </c>
      <c r="C428" s="30" t="s">
        <v>1295</v>
      </c>
      <c r="D428" s="31">
        <v>10</v>
      </c>
      <c r="E428" s="31"/>
      <c r="F428" s="31"/>
      <c r="G428" s="29" t="s">
        <v>1091</v>
      </c>
      <c r="H428" s="30"/>
      <c r="I428" s="30" t="s">
        <v>1315</v>
      </c>
      <c r="J428" s="31">
        <v>10</v>
      </c>
      <c r="K428" s="31"/>
      <c r="L428" s="31"/>
      <c r="M428" s="30"/>
    </row>
    <row r="429" spans="1:13" x14ac:dyDescent="0.3">
      <c r="A429" s="32" t="s">
        <v>1310</v>
      </c>
      <c r="B429" s="32" t="s">
        <v>1317</v>
      </c>
      <c r="C429" s="30" t="s">
        <v>1296</v>
      </c>
      <c r="D429" s="31">
        <v>40</v>
      </c>
      <c r="E429" s="31"/>
      <c r="F429" s="31"/>
      <c r="G429" s="29" t="s">
        <v>1091</v>
      </c>
      <c r="H429" s="30"/>
      <c r="I429" s="30" t="s">
        <v>1317</v>
      </c>
      <c r="J429" s="31">
        <v>40</v>
      </c>
      <c r="K429" s="31"/>
      <c r="L429" s="31"/>
      <c r="M429" s="30"/>
    </row>
    <row r="430" spans="1:13" x14ac:dyDescent="0.3">
      <c r="A430" s="32" t="s">
        <v>1311</v>
      </c>
      <c r="B430" s="32" t="s">
        <v>1318</v>
      </c>
      <c r="C430" s="30" t="s">
        <v>1297</v>
      </c>
      <c r="D430" s="31">
        <v>40</v>
      </c>
      <c r="E430" s="31"/>
      <c r="F430" s="31"/>
      <c r="G430" s="29" t="s">
        <v>1091</v>
      </c>
      <c r="H430" s="30"/>
      <c r="I430" s="30" t="s">
        <v>1318</v>
      </c>
      <c r="J430" s="31">
        <v>40</v>
      </c>
      <c r="K430" s="31"/>
      <c r="L430" s="31"/>
      <c r="M430" s="30"/>
    </row>
    <row r="431" spans="1:13" x14ac:dyDescent="0.3">
      <c r="A431" s="32" t="s">
        <v>1323</v>
      </c>
      <c r="B431" s="32" t="s">
        <v>1705</v>
      </c>
      <c r="C431" s="30" t="s">
        <v>1706</v>
      </c>
      <c r="D431" s="31"/>
      <c r="E431" s="31"/>
      <c r="F431" s="31">
        <v>5</v>
      </c>
      <c r="G431" s="29" t="s">
        <v>1091</v>
      </c>
      <c r="H431" s="30"/>
      <c r="I431" s="30" t="s">
        <v>1705</v>
      </c>
      <c r="J431" s="31"/>
      <c r="K431" s="31"/>
      <c r="L431" s="31">
        <v>5</v>
      </c>
      <c r="M431" s="30"/>
    </row>
    <row r="432" spans="1:13" x14ac:dyDescent="0.3">
      <c r="A432" s="32" t="s">
        <v>1321</v>
      </c>
      <c r="B432" s="32"/>
      <c r="C432" s="30"/>
      <c r="D432" s="31"/>
      <c r="E432" s="31"/>
      <c r="F432" s="31"/>
      <c r="G432" s="29" t="s">
        <v>1091</v>
      </c>
      <c r="H432" s="30"/>
      <c r="I432" s="30"/>
      <c r="J432" s="31"/>
      <c r="K432" s="31"/>
      <c r="L432" s="31"/>
      <c r="M432" s="30"/>
    </row>
    <row r="433" spans="1:13" x14ac:dyDescent="0.3">
      <c r="A433" s="32" t="s">
        <v>1714</v>
      </c>
      <c r="B433" s="32" t="s">
        <v>1312</v>
      </c>
      <c r="C433" s="30" t="s">
        <v>1286</v>
      </c>
      <c r="D433" s="31">
        <v>102</v>
      </c>
      <c r="E433" s="31"/>
      <c r="F433" s="31"/>
      <c r="G433" s="29" t="s">
        <v>1091</v>
      </c>
      <c r="H433" s="30"/>
      <c r="I433" s="30" t="s">
        <v>1312</v>
      </c>
      <c r="J433" s="31">
        <v>102</v>
      </c>
      <c r="K433" s="31"/>
      <c r="L433" s="31"/>
      <c r="M433" s="30"/>
    </row>
    <row r="434" spans="1:13" x14ac:dyDescent="0.3">
      <c r="A434" s="32" t="s">
        <v>1715</v>
      </c>
      <c r="B434" s="32" t="s">
        <v>1313</v>
      </c>
      <c r="C434" s="30" t="s">
        <v>1287</v>
      </c>
      <c r="D434" s="31">
        <v>20</v>
      </c>
      <c r="E434" s="31"/>
      <c r="F434" s="31"/>
      <c r="G434" s="29" t="s">
        <v>1091</v>
      </c>
      <c r="H434" s="30"/>
      <c r="I434" s="30" t="s">
        <v>1313</v>
      </c>
      <c r="J434" s="31">
        <v>20</v>
      </c>
      <c r="K434" s="31"/>
      <c r="L434" s="31"/>
      <c r="M434" s="30"/>
    </row>
    <row r="435" spans="1:13" x14ac:dyDescent="0.3">
      <c r="A435" s="32" t="s">
        <v>1726</v>
      </c>
      <c r="B435" s="32" t="s">
        <v>1703</v>
      </c>
      <c r="C435" s="30" t="s">
        <v>1704</v>
      </c>
      <c r="D435" s="31"/>
      <c r="E435" s="31">
        <v>122</v>
      </c>
      <c r="F435" s="31"/>
      <c r="G435" s="29" t="s">
        <v>1091</v>
      </c>
      <c r="H435" s="30"/>
      <c r="I435" s="30" t="s">
        <v>1703</v>
      </c>
      <c r="J435" s="31"/>
      <c r="K435" s="31">
        <v>122</v>
      </c>
      <c r="L435" s="31"/>
      <c r="M435" s="30"/>
    </row>
    <row r="436" spans="1:13" x14ac:dyDescent="0.3">
      <c r="A436" s="32" t="s">
        <v>1716</v>
      </c>
      <c r="B436" s="32" t="s">
        <v>1316</v>
      </c>
      <c r="C436" s="32" t="s">
        <v>1293</v>
      </c>
      <c r="D436" s="31"/>
      <c r="E436" s="31"/>
      <c r="F436" s="31">
        <v>80</v>
      </c>
      <c r="G436" s="29" t="s">
        <v>1091</v>
      </c>
      <c r="H436" s="30"/>
      <c r="I436" s="30" t="s">
        <v>1316</v>
      </c>
      <c r="J436" s="31"/>
      <c r="K436" s="31"/>
      <c r="L436" s="31">
        <v>80</v>
      </c>
      <c r="M436" s="30"/>
    </row>
    <row r="437" spans="1:13" x14ac:dyDescent="0.3">
      <c r="A437" s="32" t="s">
        <v>1717</v>
      </c>
      <c r="B437" s="32" t="s">
        <v>1314</v>
      </c>
      <c r="C437" s="32" t="s">
        <v>1294</v>
      </c>
      <c r="D437" s="31">
        <v>22</v>
      </c>
      <c r="E437" s="31"/>
      <c r="F437" s="31"/>
      <c r="G437" s="29" t="s">
        <v>1091</v>
      </c>
      <c r="H437" s="30"/>
      <c r="I437" s="30" t="s">
        <v>1314</v>
      </c>
      <c r="J437" s="31">
        <v>22</v>
      </c>
      <c r="K437" s="31"/>
      <c r="L437" s="31"/>
      <c r="M437" s="30"/>
    </row>
    <row r="438" spans="1:13" x14ac:dyDescent="0.3">
      <c r="A438" s="32" t="s">
        <v>1718</v>
      </c>
      <c r="B438" s="32" t="s">
        <v>1315</v>
      </c>
      <c r="C438" s="32" t="s">
        <v>1295</v>
      </c>
      <c r="D438" s="31">
        <v>20</v>
      </c>
      <c r="E438" s="31"/>
      <c r="F438" s="31"/>
      <c r="G438" s="29" t="s">
        <v>1091</v>
      </c>
      <c r="H438" s="30"/>
      <c r="I438" s="30" t="s">
        <v>1315</v>
      </c>
      <c r="J438" s="31">
        <v>20</v>
      </c>
      <c r="K438" s="31"/>
      <c r="L438" s="31"/>
      <c r="M438" s="30"/>
    </row>
    <row r="439" spans="1:13" x14ac:dyDescent="0.3">
      <c r="A439" s="32" t="s">
        <v>1719</v>
      </c>
      <c r="B439" s="32" t="s">
        <v>1317</v>
      </c>
      <c r="C439" s="32" t="s">
        <v>1296</v>
      </c>
      <c r="D439" s="31">
        <v>80</v>
      </c>
      <c r="E439" s="31"/>
      <c r="F439" s="31"/>
      <c r="G439" s="29" t="s">
        <v>1091</v>
      </c>
      <c r="H439" s="30"/>
      <c r="I439" s="30" t="s">
        <v>1317</v>
      </c>
      <c r="J439" s="31">
        <v>80</v>
      </c>
      <c r="K439" s="31"/>
      <c r="L439" s="31"/>
      <c r="M439" s="30"/>
    </row>
    <row r="440" spans="1:13" x14ac:dyDescent="0.3">
      <c r="A440" s="32" t="s">
        <v>1720</v>
      </c>
      <c r="B440" s="32" t="s">
        <v>1318</v>
      </c>
      <c r="C440" s="32" t="s">
        <v>1297</v>
      </c>
      <c r="D440" s="31">
        <v>80</v>
      </c>
      <c r="E440" s="31"/>
      <c r="F440" s="31"/>
      <c r="G440" s="29" t="s">
        <v>1091</v>
      </c>
      <c r="H440" s="30"/>
      <c r="I440" s="30" t="s">
        <v>1318</v>
      </c>
      <c r="J440" s="31">
        <v>80</v>
      </c>
      <c r="K440" s="31"/>
      <c r="L440" s="31"/>
      <c r="M440" s="30"/>
    </row>
    <row r="441" spans="1:13" x14ac:dyDescent="0.3">
      <c r="A441" s="81" t="s">
        <v>1149</v>
      </c>
      <c r="B441" s="81"/>
      <c r="C441" s="81"/>
      <c r="D441" s="82"/>
      <c r="E441" s="82"/>
      <c r="F441" s="82"/>
      <c r="G441" s="83"/>
      <c r="H441" s="84"/>
      <c r="I441" s="84"/>
      <c r="J441" s="82"/>
      <c r="K441" s="82"/>
      <c r="L441" s="82"/>
      <c r="M441" s="84"/>
    </row>
    <row r="442" spans="1:13" x14ac:dyDescent="0.3">
      <c r="A442" s="32" t="s">
        <v>50</v>
      </c>
      <c r="B442" s="32" t="s">
        <v>850</v>
      </c>
      <c r="C442" s="32" t="s">
        <v>472</v>
      </c>
      <c r="D442" s="31">
        <v>-40</v>
      </c>
      <c r="E442" s="31">
        <v>25</v>
      </c>
      <c r="F442" s="31">
        <v>105</v>
      </c>
      <c r="G442" s="29" t="s">
        <v>591</v>
      </c>
      <c r="H442" s="30" t="s">
        <v>1145</v>
      </c>
      <c r="I442" s="30" t="s">
        <v>850</v>
      </c>
      <c r="J442" s="31">
        <v>-40</v>
      </c>
      <c r="K442" s="31">
        <v>25</v>
      </c>
      <c r="L442" s="31">
        <v>105</v>
      </c>
      <c r="M442" s="30" t="s">
        <v>1145</v>
      </c>
    </row>
    <row r="443" spans="1:13" x14ac:dyDescent="0.3">
      <c r="A443" s="32" t="s">
        <v>51</v>
      </c>
      <c r="B443" s="32" t="s">
        <v>851</v>
      </c>
      <c r="C443" s="30" t="s">
        <v>605</v>
      </c>
      <c r="D443" s="31">
        <v>-40</v>
      </c>
      <c r="E443" s="31">
        <v>25</v>
      </c>
      <c r="F443" s="31">
        <v>105</v>
      </c>
      <c r="G443" s="29" t="s">
        <v>591</v>
      </c>
      <c r="H443" s="30" t="s">
        <v>765</v>
      </c>
      <c r="I443" s="30" t="s">
        <v>851</v>
      </c>
      <c r="J443" s="31">
        <v>-40</v>
      </c>
      <c r="K443" s="31">
        <v>25</v>
      </c>
      <c r="L443" s="31">
        <v>105</v>
      </c>
      <c r="M443" s="30" t="s">
        <v>765</v>
      </c>
    </row>
    <row r="444" spans="1:13" x14ac:dyDescent="0.3">
      <c r="A444" s="32" t="s">
        <v>54</v>
      </c>
      <c r="B444" s="32" t="s">
        <v>55</v>
      </c>
      <c r="C444" s="30" t="s">
        <v>56</v>
      </c>
      <c r="D444" s="31" t="s">
        <v>57</v>
      </c>
      <c r="E444" s="31"/>
      <c r="F444" s="31"/>
      <c r="G444" s="29" t="s">
        <v>465</v>
      </c>
      <c r="H444" s="30" t="s">
        <v>101</v>
      </c>
      <c r="I444" s="30" t="s">
        <v>55</v>
      </c>
      <c r="J444" s="31" t="s">
        <v>57</v>
      </c>
      <c r="K444" s="31"/>
      <c r="L444" s="31"/>
      <c r="M444" s="30" t="s">
        <v>101</v>
      </c>
    </row>
    <row r="445" spans="1:13" x14ac:dyDescent="0.3">
      <c r="A445" s="32" t="s">
        <v>58</v>
      </c>
      <c r="B445" s="32" t="s">
        <v>854</v>
      </c>
      <c r="C445" s="30" t="s">
        <v>459</v>
      </c>
      <c r="D445" s="31"/>
      <c r="E445" s="31"/>
      <c r="F445" s="31" t="s">
        <v>841</v>
      </c>
      <c r="G445" s="29" t="s">
        <v>750</v>
      </c>
      <c r="H445" s="30"/>
      <c r="I445" s="30" t="s">
        <v>854</v>
      </c>
      <c r="J445" s="31"/>
      <c r="K445" s="31"/>
      <c r="L445" s="31" t="s">
        <v>841</v>
      </c>
      <c r="M445" s="30"/>
    </row>
    <row r="446" spans="1:13" x14ac:dyDescent="0.3">
      <c r="A446" s="32" t="s">
        <v>59</v>
      </c>
      <c r="B446" s="32" t="s">
        <v>855</v>
      </c>
      <c r="C446" s="30" t="s">
        <v>460</v>
      </c>
      <c r="D446" s="31"/>
      <c r="E446" s="31"/>
      <c r="F446" s="31">
        <v>512</v>
      </c>
      <c r="G446" s="29" t="s">
        <v>461</v>
      </c>
      <c r="H446" s="30"/>
      <c r="I446" s="30" t="s">
        <v>855</v>
      </c>
      <c r="J446" s="31"/>
      <c r="K446" s="31"/>
      <c r="L446" s="31">
        <v>512</v>
      </c>
      <c r="M446" s="30"/>
    </row>
    <row r="447" spans="1:13" x14ac:dyDescent="0.3">
      <c r="A447" s="32" t="s">
        <v>60</v>
      </c>
      <c r="B447" s="32" t="s">
        <v>856</v>
      </c>
      <c r="C447" s="30" t="s">
        <v>463</v>
      </c>
      <c r="D447" s="31"/>
      <c r="E447" s="31"/>
      <c r="F447" s="31" t="s">
        <v>841</v>
      </c>
      <c r="G447" s="29" t="s">
        <v>750</v>
      </c>
      <c r="H447" s="30"/>
      <c r="I447" s="30" t="s">
        <v>856</v>
      </c>
      <c r="J447" s="31"/>
      <c r="K447" s="31"/>
      <c r="L447" s="31" t="s">
        <v>841</v>
      </c>
      <c r="M447" s="30"/>
    </row>
    <row r="448" spans="1:13" x14ac:dyDescent="0.3">
      <c r="A448" s="32" t="s">
        <v>61</v>
      </c>
      <c r="B448" s="32" t="s">
        <v>857</v>
      </c>
      <c r="C448" s="30" t="s">
        <v>95</v>
      </c>
      <c r="D448" s="31"/>
      <c r="E448" s="31"/>
      <c r="F448" s="31">
        <v>512</v>
      </c>
      <c r="G448" s="29" t="s">
        <v>461</v>
      </c>
      <c r="H448" s="30"/>
      <c r="I448" s="30" t="s">
        <v>857</v>
      </c>
      <c r="J448" s="31"/>
      <c r="K448" s="31"/>
      <c r="L448" s="31">
        <v>512</v>
      </c>
      <c r="M448" s="30"/>
    </row>
    <row r="449" spans="1:13" x14ac:dyDescent="0.3">
      <c r="A449" s="32" t="s">
        <v>62</v>
      </c>
      <c r="B449" s="32" t="s">
        <v>858</v>
      </c>
      <c r="C449" s="30" t="s">
        <v>462</v>
      </c>
      <c r="D449" s="31"/>
      <c r="E449" s="31"/>
      <c r="F449" s="31" t="s">
        <v>841</v>
      </c>
      <c r="G449" s="29" t="s">
        <v>750</v>
      </c>
      <c r="H449" s="30"/>
      <c r="I449" s="30" t="s">
        <v>858</v>
      </c>
      <c r="J449" s="31"/>
      <c r="K449" s="31"/>
      <c r="L449" s="31" t="s">
        <v>841</v>
      </c>
      <c r="M449" s="30"/>
    </row>
    <row r="450" spans="1:13" x14ac:dyDescent="0.3">
      <c r="A450" s="32" t="s">
        <v>63</v>
      </c>
      <c r="B450" s="32" t="s">
        <v>859</v>
      </c>
      <c r="C450" s="30" t="s">
        <v>96</v>
      </c>
      <c r="D450" s="31"/>
      <c r="E450" s="31"/>
      <c r="F450" s="31">
        <v>512</v>
      </c>
      <c r="G450" s="29" t="s">
        <v>461</v>
      </c>
      <c r="H450" s="30"/>
      <c r="I450" s="30" t="s">
        <v>859</v>
      </c>
      <c r="J450" s="31"/>
      <c r="K450" s="31"/>
      <c r="L450" s="31">
        <v>512</v>
      </c>
      <c r="M450" s="30"/>
    </row>
    <row r="451" spans="1:13" x14ac:dyDescent="0.3">
      <c r="A451" s="32" t="s">
        <v>64</v>
      </c>
      <c r="B451" s="32" t="s">
        <v>860</v>
      </c>
      <c r="C451" s="30" t="s">
        <v>606</v>
      </c>
      <c r="D451" s="31">
        <v>-40</v>
      </c>
      <c r="E451" s="31"/>
      <c r="F451" s="31">
        <v>105</v>
      </c>
      <c r="G451" s="29" t="s">
        <v>591</v>
      </c>
      <c r="H451" s="30" t="s">
        <v>765</v>
      </c>
      <c r="I451" s="30" t="s">
        <v>860</v>
      </c>
      <c r="J451" s="31">
        <v>-40</v>
      </c>
      <c r="K451" s="31"/>
      <c r="L451" s="31">
        <v>105</v>
      </c>
      <c r="M451" s="30" t="s">
        <v>765</v>
      </c>
    </row>
    <row r="452" spans="1:13" x14ac:dyDescent="0.3">
      <c r="A452" s="32" t="s">
        <v>67</v>
      </c>
      <c r="B452" s="32" t="s">
        <v>863</v>
      </c>
      <c r="C452" s="30" t="s">
        <v>588</v>
      </c>
      <c r="D452" s="31">
        <v>-40</v>
      </c>
      <c r="E452" s="31"/>
      <c r="F452" s="31">
        <v>125</v>
      </c>
      <c r="G452" s="29" t="s">
        <v>591</v>
      </c>
      <c r="H452" s="30"/>
      <c r="I452" s="30" t="s">
        <v>863</v>
      </c>
      <c r="J452" s="31">
        <v>-40</v>
      </c>
      <c r="K452" s="31"/>
      <c r="L452" s="31">
        <v>125</v>
      </c>
      <c r="M452" s="30"/>
    </row>
    <row r="453" spans="1:13" x14ac:dyDescent="0.3">
      <c r="A453" s="32" t="s">
        <v>70</v>
      </c>
      <c r="B453" s="32" t="s">
        <v>865</v>
      </c>
      <c r="C453" s="30" t="s">
        <v>866</v>
      </c>
      <c r="D453" s="31">
        <v>-100</v>
      </c>
      <c r="E453" s="31"/>
      <c r="F453" s="31">
        <v>100</v>
      </c>
      <c r="G453" s="29" t="s">
        <v>476</v>
      </c>
      <c r="H453" s="30" t="s">
        <v>867</v>
      </c>
      <c r="I453" s="30" t="s">
        <v>865</v>
      </c>
      <c r="J453" s="31">
        <v>-100</v>
      </c>
      <c r="K453" s="31"/>
      <c r="L453" s="31">
        <v>100</v>
      </c>
      <c r="M453" s="30" t="s">
        <v>867</v>
      </c>
    </row>
    <row r="454" spans="1:13" x14ac:dyDescent="0.3">
      <c r="A454" s="32" t="s">
        <v>71</v>
      </c>
      <c r="B454" s="32" t="s">
        <v>868</v>
      </c>
      <c r="C454" s="30" t="s">
        <v>869</v>
      </c>
      <c r="D454" s="31"/>
      <c r="E454" s="31"/>
      <c r="F454" s="31">
        <v>7</v>
      </c>
      <c r="G454" s="29" t="s">
        <v>478</v>
      </c>
      <c r="H454" s="30"/>
      <c r="I454" s="30" t="s">
        <v>868</v>
      </c>
      <c r="J454" s="31"/>
      <c r="K454" s="31"/>
      <c r="L454" s="31">
        <v>7</v>
      </c>
      <c r="M454" s="30"/>
    </row>
    <row r="455" spans="1:13" x14ac:dyDescent="0.3">
      <c r="A455" s="32" t="s">
        <v>72</v>
      </c>
      <c r="B455" s="32" t="s">
        <v>870</v>
      </c>
      <c r="C455" s="30" t="s">
        <v>871</v>
      </c>
      <c r="D455" s="31"/>
      <c r="E455" s="31"/>
      <c r="F455" s="31">
        <v>7</v>
      </c>
      <c r="G455" s="29" t="s">
        <v>478</v>
      </c>
      <c r="H455" s="30"/>
      <c r="I455" s="30" t="s">
        <v>870</v>
      </c>
      <c r="J455" s="31"/>
      <c r="K455" s="31"/>
      <c r="L455" s="31">
        <v>7</v>
      </c>
      <c r="M455" s="30"/>
    </row>
    <row r="456" spans="1:13" x14ac:dyDescent="0.3">
      <c r="A456" s="32" t="s">
        <v>73</v>
      </c>
      <c r="B456" s="32"/>
      <c r="C456" s="30" t="s">
        <v>440</v>
      </c>
      <c r="D456" s="31"/>
      <c r="E456" s="31"/>
      <c r="F456" s="31" t="s">
        <v>474</v>
      </c>
      <c r="G456" s="29" t="s">
        <v>750</v>
      </c>
      <c r="H456" s="30"/>
      <c r="I456" s="30"/>
      <c r="J456" s="31"/>
      <c r="K456" s="31"/>
      <c r="L456" s="31" t="s">
        <v>474</v>
      </c>
      <c r="M456" s="30"/>
    </row>
    <row r="457" spans="1:13" x14ac:dyDescent="0.3">
      <c r="A457" s="32" t="s">
        <v>74</v>
      </c>
      <c r="B457" s="32" t="s">
        <v>872</v>
      </c>
      <c r="C457" s="30" t="s">
        <v>441</v>
      </c>
      <c r="D457" s="31"/>
      <c r="E457" s="31"/>
      <c r="F457" s="31" t="s">
        <v>841</v>
      </c>
      <c r="G457" s="29" t="s">
        <v>750</v>
      </c>
      <c r="H457" s="30" t="s">
        <v>1617</v>
      </c>
      <c r="I457" s="30" t="s">
        <v>872</v>
      </c>
      <c r="J457" s="31"/>
      <c r="K457" s="31"/>
      <c r="L457" s="31" t="s">
        <v>841</v>
      </c>
      <c r="M457" s="30" t="s">
        <v>1617</v>
      </c>
    </row>
    <row r="458" spans="1:13" x14ac:dyDescent="0.3">
      <c r="A458" s="32" t="s">
        <v>80</v>
      </c>
      <c r="B458" s="32" t="s">
        <v>884</v>
      </c>
      <c r="C458" s="30" t="s">
        <v>682</v>
      </c>
      <c r="D458" s="31"/>
      <c r="E458" s="31"/>
      <c r="F458" s="31" t="s">
        <v>841</v>
      </c>
      <c r="G458" s="29" t="s">
        <v>750</v>
      </c>
      <c r="H458" s="30"/>
      <c r="I458" s="30" t="s">
        <v>884</v>
      </c>
      <c r="J458" s="31"/>
      <c r="K458" s="31"/>
      <c r="L458" s="31" t="s">
        <v>841</v>
      </c>
      <c r="M458" s="30"/>
    </row>
    <row r="459" spans="1:13" x14ac:dyDescent="0.3">
      <c r="A459" s="32" t="s">
        <v>81</v>
      </c>
      <c r="B459" s="32"/>
      <c r="C459" s="30" t="s">
        <v>445</v>
      </c>
      <c r="D459" s="31"/>
      <c r="E459" s="31"/>
      <c r="F459" s="31" t="s">
        <v>841</v>
      </c>
      <c r="G459" s="29" t="s">
        <v>750</v>
      </c>
      <c r="H459" s="30"/>
      <c r="I459" s="30"/>
      <c r="J459" s="31"/>
      <c r="K459" s="31"/>
      <c r="L459" s="31" t="s">
        <v>841</v>
      </c>
      <c r="M459" s="30"/>
    </row>
    <row r="460" spans="1:13" x14ac:dyDescent="0.3">
      <c r="A460" s="32" t="s">
        <v>82</v>
      </c>
      <c r="B460" s="32" t="s">
        <v>83</v>
      </c>
      <c r="C460" s="30" t="s">
        <v>703</v>
      </c>
      <c r="D460" s="31"/>
      <c r="E460" s="31"/>
      <c r="F460" s="31">
        <v>100</v>
      </c>
      <c r="G460" s="29" t="s">
        <v>94</v>
      </c>
      <c r="H460" s="30" t="s">
        <v>93</v>
      </c>
      <c r="I460" s="30" t="s">
        <v>83</v>
      </c>
      <c r="J460" s="31"/>
      <c r="K460" s="31"/>
      <c r="L460" s="31">
        <v>100</v>
      </c>
      <c r="M460" s="30" t="s">
        <v>93</v>
      </c>
    </row>
    <row r="461" spans="1:13" x14ac:dyDescent="0.3">
      <c r="A461" s="32" t="s">
        <v>84</v>
      </c>
      <c r="B461" s="32"/>
      <c r="C461" s="30" t="s">
        <v>707</v>
      </c>
      <c r="D461" s="31"/>
      <c r="E461" s="31"/>
      <c r="F461" s="31" t="s">
        <v>474</v>
      </c>
      <c r="G461" s="29" t="s">
        <v>750</v>
      </c>
      <c r="H461" s="30" t="s">
        <v>102</v>
      </c>
      <c r="I461" s="30"/>
      <c r="J461" s="31"/>
      <c r="K461" s="31"/>
      <c r="L461" s="31" t="s">
        <v>474</v>
      </c>
      <c r="M461" s="30" t="s">
        <v>102</v>
      </c>
    </row>
    <row r="462" spans="1:13" x14ac:dyDescent="0.3">
      <c r="A462" s="32" t="s">
        <v>85</v>
      </c>
      <c r="B462" s="32" t="s">
        <v>897</v>
      </c>
      <c r="C462" s="30" t="s">
        <v>713</v>
      </c>
      <c r="D462" s="31"/>
      <c r="E462" s="31"/>
      <c r="F462" s="31" t="s">
        <v>1041</v>
      </c>
      <c r="G462" s="29" t="s">
        <v>752</v>
      </c>
      <c r="H462" s="30"/>
      <c r="I462" s="30" t="s">
        <v>897</v>
      </c>
      <c r="J462" s="31"/>
      <c r="K462" s="31"/>
      <c r="L462" s="31" t="s">
        <v>1041</v>
      </c>
      <c r="M462" s="30"/>
    </row>
    <row r="463" spans="1:13" x14ac:dyDescent="0.3">
      <c r="A463" s="32" t="s">
        <v>98</v>
      </c>
      <c r="B463" s="32" t="s">
        <v>909</v>
      </c>
      <c r="C463" s="30" t="s">
        <v>727</v>
      </c>
      <c r="D463" s="31"/>
      <c r="E463" s="31"/>
      <c r="F463" s="31" t="s">
        <v>841</v>
      </c>
      <c r="G463" s="29" t="s">
        <v>750</v>
      </c>
      <c r="H463" s="30" t="s">
        <v>103</v>
      </c>
      <c r="I463" s="30" t="s">
        <v>909</v>
      </c>
      <c r="J463" s="31"/>
      <c r="K463" s="31"/>
      <c r="L463" s="31" t="s">
        <v>841</v>
      </c>
      <c r="M463" s="30" t="s">
        <v>103</v>
      </c>
    </row>
    <row r="464" spans="1:13" x14ac:dyDescent="0.3">
      <c r="A464" s="32" t="s">
        <v>89</v>
      </c>
      <c r="B464" s="32"/>
      <c r="C464" s="30" t="s">
        <v>731</v>
      </c>
      <c r="D464" s="31"/>
      <c r="E464" s="31"/>
      <c r="F464" s="31"/>
      <c r="G464" s="29" t="s">
        <v>99</v>
      </c>
      <c r="H464" s="30"/>
      <c r="I464" s="30"/>
      <c r="J464" s="31"/>
      <c r="K464" s="31"/>
      <c r="L464" s="31"/>
      <c r="M464" s="30"/>
    </row>
    <row r="465" spans="1:13" x14ac:dyDescent="0.3">
      <c r="A465" s="32"/>
      <c r="B465" s="32"/>
      <c r="C465" s="30" t="s">
        <v>567</v>
      </c>
      <c r="D465" s="31" t="s">
        <v>841</v>
      </c>
      <c r="E465" s="31"/>
      <c r="F465" s="31"/>
      <c r="G465" s="29" t="s">
        <v>750</v>
      </c>
      <c r="H465" s="30" t="s">
        <v>1618</v>
      </c>
      <c r="I465" s="30"/>
      <c r="J465" s="31" t="s">
        <v>841</v>
      </c>
      <c r="K465" s="31"/>
      <c r="L465" s="31"/>
      <c r="M465" s="30" t="s">
        <v>1618</v>
      </c>
    </row>
    <row r="466" spans="1:13" x14ac:dyDescent="0.3">
      <c r="A466" s="32"/>
      <c r="B466" s="32"/>
      <c r="C466" s="30" t="s">
        <v>570</v>
      </c>
      <c r="D466" s="31"/>
      <c r="E466" s="31"/>
      <c r="F466" s="31"/>
      <c r="G466" s="29" t="s">
        <v>750</v>
      </c>
      <c r="H466" s="30" t="s">
        <v>429</v>
      </c>
      <c r="I466" s="30"/>
      <c r="J466" s="31"/>
      <c r="K466" s="31"/>
      <c r="L466" s="31"/>
      <c r="M466" s="30" t="s">
        <v>429</v>
      </c>
    </row>
    <row r="467" spans="1:13" x14ac:dyDescent="0.3">
      <c r="A467" s="32" t="s">
        <v>92</v>
      </c>
      <c r="B467" s="32" t="s">
        <v>1014</v>
      </c>
      <c r="C467" s="30" t="s">
        <v>437</v>
      </c>
      <c r="D467" s="31"/>
      <c r="E467" s="31"/>
      <c r="F467" s="31">
        <v>1000</v>
      </c>
      <c r="G467" s="29" t="s">
        <v>1015</v>
      </c>
      <c r="H467" s="30" t="s">
        <v>1016</v>
      </c>
      <c r="I467" s="30" t="s">
        <v>1014</v>
      </c>
      <c r="J467" s="31"/>
      <c r="K467" s="31"/>
      <c r="L467" s="31">
        <v>1000</v>
      </c>
      <c r="M467" s="30" t="s">
        <v>1016</v>
      </c>
    </row>
    <row r="468" spans="1:13" x14ac:dyDescent="0.3">
      <c r="A468" s="32"/>
      <c r="B468" s="32"/>
      <c r="C468" s="30"/>
      <c r="D468" s="31"/>
      <c r="E468" s="31"/>
      <c r="F468" s="31"/>
      <c r="G468" s="29"/>
      <c r="H468" s="30"/>
      <c r="I468" s="30"/>
      <c r="J468" s="31"/>
      <c r="K468" s="31"/>
      <c r="L468" s="31"/>
      <c r="M468" s="30"/>
    </row>
    <row r="469" spans="1:13" x14ac:dyDescent="0.3">
      <c r="A469" s="32"/>
      <c r="B469" s="32"/>
      <c r="C469" s="30"/>
      <c r="D469" s="31"/>
      <c r="E469" s="31"/>
      <c r="F469" s="31"/>
      <c r="G469" s="29"/>
      <c r="H469" s="30"/>
      <c r="I469" s="30"/>
      <c r="J469" s="31"/>
      <c r="K469" s="31"/>
      <c r="L469" s="31"/>
      <c r="M469" s="30"/>
    </row>
    <row r="470" spans="1:13" x14ac:dyDescent="0.3">
      <c r="A470" s="32"/>
      <c r="B470" s="32"/>
      <c r="C470" s="30"/>
      <c r="D470" s="31"/>
      <c r="E470" s="31"/>
      <c r="F470" s="31"/>
      <c r="G470" s="29"/>
      <c r="H470" s="30"/>
      <c r="I470" s="30"/>
      <c r="J470" s="31"/>
      <c r="K470" s="31"/>
      <c r="L470" s="31"/>
      <c r="M470" s="30"/>
    </row>
    <row r="471" spans="1:13" x14ac:dyDescent="0.3">
      <c r="A471" s="32"/>
      <c r="B471" s="32"/>
      <c r="C471" s="30"/>
      <c r="D471" s="31"/>
      <c r="E471" s="31"/>
      <c r="F471" s="31"/>
      <c r="G471" s="29"/>
      <c r="H471" s="30"/>
      <c r="I471" s="30"/>
      <c r="J471" s="31"/>
      <c r="K471" s="31"/>
      <c r="L471" s="31"/>
      <c r="M471" s="30"/>
    </row>
    <row r="472" spans="1:13" x14ac:dyDescent="0.3">
      <c r="A472" s="32"/>
      <c r="B472" s="32"/>
      <c r="C472" s="30"/>
      <c r="D472" s="31"/>
      <c r="E472" s="31"/>
      <c r="F472" s="31"/>
      <c r="G472" s="29"/>
      <c r="H472" s="30"/>
      <c r="I472" s="30"/>
      <c r="J472" s="31"/>
      <c r="K472" s="31"/>
      <c r="L472" s="31"/>
      <c r="M472" s="30"/>
    </row>
    <row r="473" spans="1:13" x14ac:dyDescent="0.3">
      <c r="A473" s="32"/>
      <c r="B473" s="32"/>
      <c r="C473" s="30"/>
      <c r="D473" s="31"/>
      <c r="E473" s="31"/>
      <c r="F473" s="31"/>
      <c r="G473" s="29"/>
      <c r="H473" s="30"/>
      <c r="I473" s="30"/>
      <c r="J473" s="31"/>
      <c r="K473" s="31"/>
      <c r="L473" s="31"/>
      <c r="M473" s="30"/>
    </row>
    <row r="474" spans="1:13" x14ac:dyDescent="0.3">
      <c r="A474" s="32"/>
      <c r="B474" s="32"/>
      <c r="C474" s="30"/>
      <c r="D474" s="31"/>
      <c r="E474" s="31"/>
      <c r="F474" s="31"/>
      <c r="G474" s="29"/>
      <c r="H474" s="30"/>
      <c r="I474" s="30"/>
      <c r="J474" s="31"/>
      <c r="K474" s="31"/>
      <c r="L474" s="31"/>
      <c r="M474" s="30"/>
    </row>
    <row r="475" spans="1:13" x14ac:dyDescent="0.3">
      <c r="A475" s="32"/>
      <c r="B475" s="32"/>
      <c r="C475" s="30"/>
      <c r="D475" s="31"/>
      <c r="E475" s="31"/>
      <c r="F475" s="31"/>
      <c r="G475" s="29"/>
      <c r="H475" s="30"/>
      <c r="I475" s="30"/>
      <c r="J475" s="31"/>
      <c r="K475" s="31"/>
      <c r="L475" s="31"/>
      <c r="M475" s="30"/>
    </row>
    <row r="476" spans="1:13" x14ac:dyDescent="0.3">
      <c r="A476" s="32"/>
      <c r="B476" s="32"/>
      <c r="C476" s="30"/>
      <c r="D476" s="31"/>
      <c r="E476" s="31"/>
      <c r="F476" s="31"/>
      <c r="G476" s="29"/>
      <c r="H476" s="30"/>
      <c r="I476" s="30"/>
      <c r="J476" s="31"/>
      <c r="K476" s="31"/>
      <c r="L476" s="31"/>
      <c r="M476" s="30"/>
    </row>
    <row r="477" spans="1:13" x14ac:dyDescent="0.3">
      <c r="A477" s="32"/>
      <c r="B477" s="32"/>
      <c r="C477" s="30"/>
      <c r="D477" s="31"/>
      <c r="E477" s="31"/>
      <c r="F477" s="31"/>
      <c r="G477" s="29"/>
      <c r="H477" s="30"/>
      <c r="I477" s="30"/>
      <c r="J477" s="31"/>
      <c r="K477" s="31"/>
      <c r="L477" s="31"/>
      <c r="M477" s="30"/>
    </row>
    <row r="478" spans="1:13" x14ac:dyDescent="0.3">
      <c r="A478" s="32"/>
      <c r="B478" s="32"/>
      <c r="C478" s="30"/>
      <c r="D478" s="31"/>
      <c r="E478" s="31"/>
      <c r="F478" s="31"/>
      <c r="G478" s="29"/>
      <c r="H478" s="30"/>
      <c r="I478" s="30"/>
      <c r="J478" s="31"/>
      <c r="K478" s="31"/>
      <c r="L478" s="31"/>
      <c r="M478" s="30"/>
    </row>
    <row r="479" spans="1:13" x14ac:dyDescent="0.3">
      <c r="A479" s="32"/>
      <c r="B479" s="32"/>
      <c r="C479" s="30"/>
      <c r="D479" s="31"/>
      <c r="E479" s="31"/>
      <c r="F479" s="31"/>
      <c r="G479" s="29"/>
      <c r="H479" s="30"/>
      <c r="I479" s="30"/>
      <c r="J479" s="31"/>
      <c r="K479" s="31"/>
      <c r="L479" s="31"/>
      <c r="M479" s="30"/>
    </row>
    <row r="480" spans="1:13" x14ac:dyDescent="0.3">
      <c r="A480" s="32"/>
      <c r="B480" s="32"/>
      <c r="C480" s="30"/>
      <c r="D480" s="31"/>
      <c r="E480" s="31"/>
      <c r="F480" s="31"/>
      <c r="G480" s="29"/>
      <c r="H480" s="30"/>
      <c r="I480" s="30"/>
      <c r="J480" s="31"/>
      <c r="K480" s="31"/>
      <c r="L480" s="31"/>
      <c r="M480" s="30"/>
    </row>
    <row r="481" spans="1:13" x14ac:dyDescent="0.3">
      <c r="A481" s="32"/>
      <c r="B481" s="32"/>
      <c r="C481" s="30"/>
      <c r="D481" s="31"/>
      <c r="E481" s="31"/>
      <c r="F481" s="31"/>
      <c r="G481" s="29"/>
      <c r="H481" s="30"/>
      <c r="I481" s="30"/>
      <c r="J481" s="31"/>
      <c r="K481" s="31"/>
      <c r="L481" s="31"/>
      <c r="M481" s="30"/>
    </row>
    <row r="482" spans="1:13" x14ac:dyDescent="0.3">
      <c r="A482" s="32"/>
      <c r="B482" s="32"/>
      <c r="C482" s="30"/>
      <c r="D482" s="31"/>
      <c r="E482" s="31"/>
      <c r="F482" s="31"/>
      <c r="G482" s="29"/>
      <c r="H482" s="30"/>
      <c r="I482" s="30"/>
      <c r="J482" s="31"/>
      <c r="K482" s="31"/>
      <c r="L482" s="31"/>
      <c r="M482" s="30"/>
    </row>
    <row r="483" spans="1:13" x14ac:dyDescent="0.3">
      <c r="A483" s="32"/>
      <c r="B483" s="32"/>
      <c r="C483" s="30"/>
      <c r="D483" s="31"/>
      <c r="E483" s="31"/>
      <c r="F483" s="31"/>
      <c r="G483" s="29"/>
      <c r="H483" s="30"/>
      <c r="I483" s="30"/>
      <c r="J483" s="31"/>
      <c r="K483" s="31"/>
      <c r="L483" s="31"/>
      <c r="M483" s="30"/>
    </row>
    <row r="484" spans="1:13" x14ac:dyDescent="0.3">
      <c r="A484" s="32"/>
      <c r="B484" s="32"/>
      <c r="C484" s="30"/>
      <c r="D484" s="31"/>
      <c r="E484" s="31"/>
      <c r="F484" s="31"/>
      <c r="G484" s="29"/>
      <c r="H484" s="30"/>
      <c r="I484" s="30"/>
      <c r="J484" s="31"/>
      <c r="K484" s="31"/>
      <c r="L484" s="31"/>
      <c r="M484" s="30"/>
    </row>
    <row r="485" spans="1:13" x14ac:dyDescent="0.3">
      <c r="A485" s="32"/>
      <c r="B485" s="32"/>
      <c r="C485" s="30"/>
      <c r="D485" s="31"/>
      <c r="E485" s="31"/>
      <c r="F485" s="31"/>
      <c r="G485" s="29"/>
      <c r="H485" s="30"/>
      <c r="I485" s="30"/>
      <c r="J485" s="31"/>
      <c r="K485" s="31"/>
      <c r="L485" s="31"/>
      <c r="M485" s="30"/>
    </row>
    <row r="486" spans="1:13" x14ac:dyDescent="0.3">
      <c r="A486" s="32"/>
      <c r="B486" s="32"/>
      <c r="C486" s="30"/>
      <c r="D486" s="31"/>
      <c r="E486" s="31"/>
      <c r="F486" s="31"/>
      <c r="G486" s="29"/>
      <c r="H486" s="30"/>
      <c r="I486" s="30"/>
      <c r="J486" s="31"/>
      <c r="K486" s="31"/>
      <c r="L486" s="31"/>
      <c r="M486" s="30"/>
    </row>
    <row r="487" spans="1:13" x14ac:dyDescent="0.3">
      <c r="A487" s="32"/>
      <c r="B487" s="32"/>
      <c r="C487" s="30"/>
      <c r="D487" s="31"/>
      <c r="E487" s="31"/>
      <c r="F487" s="31"/>
      <c r="G487" s="29"/>
      <c r="H487" s="30"/>
      <c r="I487" s="30"/>
      <c r="J487" s="31"/>
      <c r="K487" s="31"/>
      <c r="L487" s="31"/>
      <c r="M487" s="30"/>
    </row>
    <row r="488" spans="1:13" x14ac:dyDescent="0.3">
      <c r="A488" s="32"/>
      <c r="B488" s="32"/>
      <c r="C488" s="30"/>
      <c r="D488" s="31"/>
      <c r="E488" s="31"/>
      <c r="F488" s="31"/>
      <c r="G488" s="29"/>
      <c r="H488" s="30"/>
      <c r="I488" s="30"/>
      <c r="J488" s="31"/>
      <c r="K488" s="31"/>
      <c r="L488" s="31"/>
      <c r="M488" s="30"/>
    </row>
    <row r="489" spans="1:13" x14ac:dyDescent="0.3">
      <c r="A489" s="32"/>
      <c r="B489" s="32"/>
      <c r="C489" s="30"/>
      <c r="D489" s="31"/>
      <c r="E489" s="31"/>
      <c r="F489" s="31"/>
      <c r="G489" s="29"/>
      <c r="H489" s="30"/>
      <c r="I489" s="30"/>
      <c r="J489" s="31"/>
      <c r="K489" s="31"/>
      <c r="L489" s="31"/>
      <c r="M489" s="30"/>
    </row>
    <row r="490" spans="1:13" x14ac:dyDescent="0.3">
      <c r="A490" s="32"/>
      <c r="B490" s="32"/>
      <c r="C490" s="30"/>
      <c r="D490" s="31"/>
      <c r="E490" s="31"/>
      <c r="F490" s="31"/>
      <c r="G490" s="29"/>
      <c r="H490" s="30"/>
      <c r="I490" s="30"/>
      <c r="J490" s="31"/>
      <c r="K490" s="31"/>
      <c r="L490" s="31"/>
      <c r="M490" s="30"/>
    </row>
    <row r="491" spans="1:13" x14ac:dyDescent="0.3">
      <c r="A491" s="32"/>
      <c r="B491" s="32"/>
      <c r="C491" s="30"/>
      <c r="D491" s="31"/>
      <c r="E491" s="31"/>
      <c r="F491" s="31"/>
      <c r="G491" s="29"/>
      <c r="H491" s="30"/>
      <c r="I491" s="30"/>
      <c r="J491" s="31"/>
      <c r="K491" s="31"/>
      <c r="L491" s="31"/>
      <c r="M491" s="30"/>
    </row>
    <row r="492" spans="1:13" x14ac:dyDescent="0.3">
      <c r="A492" s="32"/>
      <c r="B492" s="32"/>
      <c r="C492" s="30"/>
      <c r="D492" s="31"/>
      <c r="E492" s="31"/>
      <c r="F492" s="31"/>
      <c r="G492" s="29"/>
      <c r="H492" s="30"/>
      <c r="I492" s="30"/>
      <c r="J492" s="31"/>
      <c r="K492" s="31"/>
      <c r="L492" s="31"/>
      <c r="M492" s="30"/>
    </row>
    <row r="493" spans="1:13" x14ac:dyDescent="0.3">
      <c r="A493" s="32"/>
      <c r="B493" s="32"/>
      <c r="C493" s="30"/>
      <c r="D493" s="31"/>
      <c r="E493" s="31"/>
      <c r="F493" s="31"/>
      <c r="G493" s="29"/>
      <c r="H493" s="30"/>
      <c r="I493" s="30"/>
      <c r="J493" s="31"/>
      <c r="K493" s="31"/>
      <c r="L493" s="31"/>
      <c r="M493" s="30"/>
    </row>
    <row r="494" spans="1:13" x14ac:dyDescent="0.3">
      <c r="A494" s="32"/>
      <c r="B494" s="32"/>
      <c r="C494" s="30"/>
      <c r="D494" s="31"/>
      <c r="E494" s="31"/>
      <c r="F494" s="31"/>
      <c r="G494" s="29"/>
      <c r="H494" s="30"/>
      <c r="I494" s="30"/>
      <c r="J494" s="31"/>
      <c r="K494" s="31"/>
      <c r="L494" s="31"/>
      <c r="M494" s="30"/>
    </row>
    <row r="495" spans="1:13" x14ac:dyDescent="0.3">
      <c r="A495" s="32"/>
      <c r="B495" s="32"/>
      <c r="C495" s="30"/>
      <c r="D495" s="31"/>
      <c r="E495" s="31"/>
      <c r="F495" s="31"/>
      <c r="G495" s="29"/>
      <c r="H495" s="30"/>
      <c r="I495" s="30"/>
      <c r="J495" s="31"/>
      <c r="K495" s="31"/>
      <c r="L495" s="31"/>
      <c r="M495" s="30"/>
    </row>
    <row r="496" spans="1:13" x14ac:dyDescent="0.3">
      <c r="A496" s="32"/>
      <c r="B496" s="32"/>
      <c r="C496" s="30"/>
      <c r="D496" s="31"/>
      <c r="E496" s="31"/>
      <c r="F496" s="31"/>
      <c r="G496" s="29"/>
      <c r="H496" s="30"/>
      <c r="I496" s="30"/>
      <c r="J496" s="31"/>
      <c r="K496" s="31"/>
      <c r="L496" s="31"/>
      <c r="M496" s="30"/>
    </row>
    <row r="497" spans="1:13" x14ac:dyDescent="0.3">
      <c r="A497" s="32"/>
      <c r="B497" s="32"/>
      <c r="C497" s="30"/>
      <c r="D497" s="31"/>
      <c r="E497" s="31"/>
      <c r="F497" s="31"/>
      <c r="G497" s="29"/>
      <c r="H497" s="30"/>
      <c r="I497" s="30"/>
      <c r="J497" s="31"/>
      <c r="K497" s="31"/>
      <c r="L497" s="31"/>
      <c r="M497" s="30"/>
    </row>
    <row r="498" spans="1:13" x14ac:dyDescent="0.3">
      <c r="A498" s="32"/>
      <c r="B498" s="32"/>
      <c r="C498" s="30"/>
      <c r="D498" s="31"/>
      <c r="E498" s="31"/>
      <c r="F498" s="31"/>
      <c r="G498" s="29"/>
      <c r="H498" s="30"/>
      <c r="I498" s="30"/>
      <c r="J498" s="31"/>
      <c r="K498" s="31"/>
      <c r="L498" s="31"/>
      <c r="M498" s="30"/>
    </row>
    <row r="499" spans="1:13" x14ac:dyDescent="0.3">
      <c r="A499" s="32"/>
      <c r="B499" s="32"/>
      <c r="C499" s="30"/>
      <c r="D499" s="31"/>
      <c r="E499" s="31"/>
      <c r="F499" s="31"/>
      <c r="G499" s="29"/>
      <c r="H499" s="30"/>
      <c r="I499" s="30"/>
      <c r="J499" s="31"/>
      <c r="K499" s="31"/>
      <c r="L499" s="31"/>
      <c r="M499" s="30"/>
    </row>
    <row r="500" spans="1:13" x14ac:dyDescent="0.3">
      <c r="A500" s="32"/>
      <c r="B500" s="32"/>
      <c r="C500" s="30"/>
      <c r="D500" s="31"/>
      <c r="E500" s="31"/>
      <c r="F500" s="31"/>
      <c r="G500" s="29"/>
      <c r="H500" s="30"/>
      <c r="I500" s="30"/>
      <c r="J500" s="31"/>
      <c r="K500" s="31"/>
      <c r="L500" s="31"/>
      <c r="M500" s="30"/>
    </row>
    <row r="501" spans="1:13" x14ac:dyDescent="0.3">
      <c r="A501" s="32"/>
      <c r="B501" s="32"/>
      <c r="C501" s="30"/>
      <c r="D501" s="31"/>
      <c r="E501" s="31"/>
      <c r="F501" s="31"/>
      <c r="G501" s="29"/>
      <c r="H501" s="30"/>
      <c r="I501" s="30"/>
      <c r="J501" s="31"/>
      <c r="K501" s="31"/>
      <c r="L501" s="31"/>
      <c r="M501" s="30"/>
    </row>
    <row r="502" spans="1:13" x14ac:dyDescent="0.3">
      <c r="A502" s="32"/>
      <c r="B502" s="32"/>
      <c r="C502" s="30"/>
      <c r="D502" s="31"/>
      <c r="E502" s="31"/>
      <c r="F502" s="31"/>
      <c r="G502" s="29"/>
      <c r="H502" s="30"/>
      <c r="I502" s="30"/>
      <c r="J502" s="31"/>
      <c r="K502" s="31"/>
      <c r="L502" s="31"/>
      <c r="M502" s="30"/>
    </row>
    <row r="503" spans="1:13" x14ac:dyDescent="0.3">
      <c r="A503" s="32"/>
      <c r="B503" s="32"/>
      <c r="C503" s="30"/>
      <c r="D503" s="31"/>
      <c r="E503" s="31"/>
      <c r="F503" s="31"/>
      <c r="G503" s="29"/>
      <c r="H503" s="30"/>
      <c r="I503" s="30"/>
      <c r="J503" s="31"/>
      <c r="K503" s="31"/>
      <c r="L503" s="31"/>
      <c r="M503" s="30"/>
    </row>
    <row r="504" spans="1:13" x14ac:dyDescent="0.3">
      <c r="A504" s="32"/>
      <c r="B504" s="32"/>
      <c r="C504" s="30"/>
      <c r="D504" s="31"/>
      <c r="E504" s="31"/>
      <c r="F504" s="31"/>
      <c r="G504" s="29"/>
      <c r="H504" s="30"/>
      <c r="I504" s="30"/>
      <c r="J504" s="31"/>
      <c r="K504" s="31"/>
      <c r="L504" s="31"/>
      <c r="M504" s="30"/>
    </row>
    <row r="505" spans="1:13" x14ac:dyDescent="0.3">
      <c r="A505" s="32"/>
      <c r="B505" s="32"/>
      <c r="C505" s="30"/>
      <c r="D505" s="31"/>
      <c r="E505" s="31"/>
      <c r="F505" s="31"/>
      <c r="G505" s="29"/>
      <c r="H505" s="30"/>
      <c r="I505" s="30"/>
      <c r="J505" s="31"/>
      <c r="K505" s="31"/>
      <c r="L505" s="31"/>
      <c r="M505" s="30"/>
    </row>
    <row r="506" spans="1:13" x14ac:dyDescent="0.3">
      <c r="A506" s="32"/>
      <c r="B506" s="32"/>
      <c r="C506" s="30"/>
      <c r="D506" s="31"/>
      <c r="E506" s="31"/>
      <c r="F506" s="31"/>
      <c r="G506" s="29"/>
      <c r="H506" s="30"/>
      <c r="I506" s="30"/>
      <c r="J506" s="31"/>
      <c r="K506" s="31"/>
      <c r="L506" s="31"/>
      <c r="M506" s="30"/>
    </row>
    <row r="507" spans="1:13" x14ac:dyDescent="0.3">
      <c r="A507" s="32"/>
      <c r="B507" s="32"/>
      <c r="C507" s="30"/>
      <c r="D507" s="31"/>
      <c r="E507" s="31"/>
      <c r="F507" s="31"/>
      <c r="G507" s="29"/>
      <c r="H507" s="30"/>
      <c r="I507" s="30"/>
      <c r="J507" s="31"/>
      <c r="K507" s="31"/>
      <c r="L507" s="31"/>
      <c r="M507" s="30"/>
    </row>
    <row r="508" spans="1:13" x14ac:dyDescent="0.3">
      <c r="A508" s="32"/>
      <c r="B508" s="32"/>
      <c r="C508" s="30"/>
      <c r="D508" s="31"/>
      <c r="E508" s="31"/>
      <c r="F508" s="31"/>
      <c r="G508" s="29"/>
      <c r="H508" s="30"/>
      <c r="I508" s="30"/>
      <c r="J508" s="31"/>
      <c r="K508" s="31"/>
      <c r="L508" s="31"/>
      <c r="M508" s="30"/>
    </row>
    <row r="509" spans="1:13" x14ac:dyDescent="0.3">
      <c r="A509" s="32"/>
      <c r="B509" s="32"/>
      <c r="C509" s="30"/>
      <c r="D509" s="31"/>
      <c r="E509" s="31"/>
      <c r="F509" s="31"/>
      <c r="G509" s="29"/>
      <c r="H509" s="30"/>
      <c r="I509" s="30"/>
      <c r="J509" s="31"/>
      <c r="K509" s="31"/>
      <c r="L509" s="31"/>
      <c r="M509" s="30"/>
    </row>
    <row r="510" spans="1:13" x14ac:dyDescent="0.3">
      <c r="A510" s="32"/>
      <c r="B510" s="32"/>
      <c r="C510" s="30"/>
      <c r="D510" s="31"/>
      <c r="E510" s="31"/>
      <c r="F510" s="31"/>
      <c r="G510" s="29"/>
      <c r="H510" s="30"/>
      <c r="I510" s="30"/>
      <c r="J510" s="31"/>
      <c r="K510" s="31"/>
      <c r="L510" s="31"/>
      <c r="M510" s="30"/>
    </row>
    <row r="511" spans="1:13" x14ac:dyDescent="0.3">
      <c r="A511" s="32"/>
      <c r="B511" s="32"/>
      <c r="C511" s="30"/>
      <c r="D511" s="31"/>
      <c r="E511" s="31"/>
      <c r="F511" s="31"/>
      <c r="G511" s="29"/>
      <c r="H511" s="30"/>
      <c r="I511" s="30"/>
      <c r="J511" s="31"/>
      <c r="K511" s="31"/>
      <c r="L511" s="31"/>
      <c r="M511" s="30"/>
    </row>
    <row r="512" spans="1:13" x14ac:dyDescent="0.3">
      <c r="A512" s="32"/>
      <c r="B512" s="32"/>
      <c r="C512" s="30"/>
      <c r="D512" s="31"/>
      <c r="E512" s="31"/>
      <c r="F512" s="31"/>
      <c r="G512" s="29"/>
      <c r="H512" s="30"/>
      <c r="I512" s="30"/>
      <c r="J512" s="31"/>
      <c r="K512" s="31"/>
      <c r="L512" s="31"/>
      <c r="M512" s="30"/>
    </row>
    <row r="513" spans="1:13" x14ac:dyDescent="0.3">
      <c r="A513" s="32"/>
      <c r="B513" s="32"/>
      <c r="C513" s="30"/>
      <c r="D513" s="31"/>
      <c r="E513" s="31"/>
      <c r="F513" s="31"/>
      <c r="G513" s="29"/>
      <c r="H513" s="30"/>
      <c r="I513" s="30"/>
      <c r="J513" s="31"/>
      <c r="K513" s="31"/>
      <c r="L513" s="31"/>
      <c r="M513" s="30"/>
    </row>
    <row r="514" spans="1:13" x14ac:dyDescent="0.3">
      <c r="A514" s="32"/>
      <c r="B514" s="32"/>
      <c r="C514" s="30"/>
      <c r="D514" s="31"/>
      <c r="E514" s="31"/>
      <c r="F514" s="31"/>
      <c r="G514" s="29"/>
      <c r="H514" s="30"/>
      <c r="I514" s="30"/>
      <c r="J514" s="31"/>
      <c r="K514" s="31"/>
      <c r="L514" s="31"/>
      <c r="M514" s="30"/>
    </row>
    <row r="515" spans="1:13" x14ac:dyDescent="0.3">
      <c r="A515" s="32"/>
      <c r="B515" s="32"/>
      <c r="C515" s="30"/>
      <c r="D515" s="31"/>
      <c r="E515" s="31"/>
      <c r="F515" s="31"/>
      <c r="G515" s="29"/>
      <c r="H515" s="30"/>
      <c r="I515" s="30"/>
      <c r="J515" s="31"/>
      <c r="K515" s="31"/>
      <c r="L515" s="31"/>
      <c r="M515" s="30"/>
    </row>
    <row r="516" spans="1:13" x14ac:dyDescent="0.3">
      <c r="A516" s="32"/>
      <c r="B516" s="32"/>
      <c r="C516" s="30"/>
      <c r="D516" s="31"/>
      <c r="E516" s="31"/>
      <c r="F516" s="31"/>
      <c r="G516" s="29"/>
      <c r="H516" s="30"/>
      <c r="I516" s="30"/>
      <c r="J516" s="31"/>
      <c r="K516" s="31"/>
      <c r="L516" s="31"/>
      <c r="M516" s="30"/>
    </row>
    <row r="517" spans="1:13" x14ac:dyDescent="0.3">
      <c r="A517" s="32"/>
      <c r="B517" s="32"/>
      <c r="C517" s="30"/>
      <c r="D517" s="31"/>
      <c r="E517" s="31"/>
      <c r="F517" s="31"/>
      <c r="G517" s="29"/>
      <c r="H517" s="30"/>
      <c r="I517" s="30"/>
      <c r="J517" s="31"/>
      <c r="K517" s="31"/>
      <c r="L517" s="31"/>
      <c r="M517" s="30"/>
    </row>
    <row r="518" spans="1:13" x14ac:dyDescent="0.3">
      <c r="A518" s="32"/>
      <c r="B518" s="32"/>
      <c r="C518" s="30"/>
      <c r="D518" s="31"/>
      <c r="E518" s="31"/>
      <c r="F518" s="31"/>
      <c r="G518" s="29"/>
      <c r="H518" s="30"/>
      <c r="I518" s="30"/>
      <c r="J518" s="31"/>
      <c r="K518" s="31"/>
      <c r="L518" s="31"/>
      <c r="M518" s="30"/>
    </row>
    <row r="519" spans="1:13" x14ac:dyDescent="0.3">
      <c r="A519" s="32"/>
      <c r="B519" s="32"/>
      <c r="C519" s="30"/>
      <c r="D519" s="31"/>
      <c r="E519" s="31"/>
      <c r="F519" s="31"/>
      <c r="G519" s="29"/>
      <c r="H519" s="30"/>
      <c r="I519" s="30"/>
      <c r="J519" s="31"/>
      <c r="K519" s="31"/>
      <c r="L519" s="31"/>
      <c r="M519" s="30"/>
    </row>
    <row r="520" spans="1:13" x14ac:dyDescent="0.3">
      <c r="A520" s="32"/>
      <c r="B520" s="32"/>
      <c r="C520" s="30"/>
      <c r="D520" s="31"/>
      <c r="E520" s="31"/>
      <c r="F520" s="31"/>
      <c r="G520" s="29"/>
      <c r="H520" s="30"/>
      <c r="I520" s="30"/>
      <c r="J520" s="31"/>
      <c r="K520" s="31"/>
      <c r="L520" s="31"/>
      <c r="M520" s="30"/>
    </row>
    <row r="521" spans="1:13" x14ac:dyDescent="0.3">
      <c r="A521" s="32"/>
      <c r="B521" s="32"/>
      <c r="C521" s="30"/>
      <c r="D521" s="31"/>
      <c r="E521" s="31"/>
      <c r="F521" s="31"/>
      <c r="G521" s="29"/>
      <c r="H521" s="30"/>
      <c r="I521" s="30"/>
      <c r="J521" s="31"/>
      <c r="K521" s="31"/>
      <c r="L521" s="31"/>
      <c r="M521" s="30"/>
    </row>
    <row r="522" spans="1:13" x14ac:dyDescent="0.3">
      <c r="A522" s="32"/>
      <c r="B522" s="32"/>
      <c r="C522" s="30"/>
      <c r="D522" s="31"/>
      <c r="E522" s="31"/>
      <c r="F522" s="31"/>
      <c r="G522" s="29"/>
      <c r="H522" s="30"/>
      <c r="I522" s="30"/>
      <c r="J522" s="31"/>
      <c r="K522" s="31"/>
      <c r="L522" s="31"/>
      <c r="M522" s="30"/>
    </row>
    <row r="523" spans="1:13" x14ac:dyDescent="0.3">
      <c r="A523" s="32"/>
      <c r="B523" s="32"/>
      <c r="C523" s="30"/>
      <c r="D523" s="31"/>
      <c r="E523" s="31"/>
      <c r="F523" s="31"/>
      <c r="G523" s="29"/>
      <c r="H523" s="30"/>
      <c r="I523" s="30"/>
      <c r="J523" s="31"/>
      <c r="K523" s="31"/>
      <c r="L523" s="31"/>
      <c r="M523" s="30"/>
    </row>
    <row r="524" spans="1:13" x14ac:dyDescent="0.3">
      <c r="A524" s="32"/>
      <c r="B524" s="32"/>
      <c r="C524" s="30"/>
      <c r="D524" s="31"/>
      <c r="E524" s="31"/>
      <c r="F524" s="31"/>
      <c r="G524" s="29"/>
      <c r="H524" s="30"/>
      <c r="I524" s="30"/>
      <c r="J524" s="31"/>
      <c r="K524" s="31"/>
      <c r="L524" s="31"/>
      <c r="M524" s="30"/>
    </row>
    <row r="525" spans="1:13" x14ac:dyDescent="0.3">
      <c r="A525" s="32"/>
      <c r="B525" s="32"/>
      <c r="C525" s="30"/>
      <c r="D525" s="31"/>
      <c r="E525" s="31"/>
      <c r="F525" s="31"/>
      <c r="G525" s="29"/>
      <c r="H525" s="30"/>
      <c r="I525" s="30"/>
      <c r="J525" s="31"/>
      <c r="K525" s="31"/>
      <c r="L525" s="31"/>
      <c r="M525" s="30"/>
    </row>
    <row r="526" spans="1:13" x14ac:dyDescent="0.3">
      <c r="A526" s="32"/>
      <c r="B526" s="32"/>
      <c r="C526" s="30"/>
      <c r="D526" s="31"/>
      <c r="E526" s="31"/>
      <c r="F526" s="31"/>
      <c r="G526" s="29"/>
      <c r="H526" s="30"/>
      <c r="I526" s="30"/>
      <c r="J526" s="31"/>
      <c r="K526" s="31"/>
      <c r="L526" s="31"/>
      <c r="M526" s="30"/>
    </row>
    <row r="527" spans="1:13" x14ac:dyDescent="0.3">
      <c r="A527" s="32"/>
      <c r="B527" s="32"/>
      <c r="C527" s="30"/>
      <c r="D527" s="31"/>
      <c r="E527" s="31"/>
      <c r="F527" s="31"/>
      <c r="G527" s="29"/>
      <c r="H527" s="30"/>
      <c r="I527" s="30"/>
      <c r="J527" s="31"/>
      <c r="K527" s="31"/>
      <c r="L527" s="31"/>
      <c r="M527" s="30"/>
    </row>
    <row r="528" spans="1:13" x14ac:dyDescent="0.3">
      <c r="A528" s="32"/>
      <c r="B528" s="32"/>
      <c r="C528" s="30"/>
      <c r="D528" s="31"/>
      <c r="E528" s="31"/>
      <c r="F528" s="31"/>
      <c r="G528" s="29"/>
      <c r="H528" s="30"/>
      <c r="I528" s="30"/>
      <c r="J528" s="31"/>
      <c r="K528" s="31"/>
      <c r="L528" s="31"/>
      <c r="M528" s="30"/>
    </row>
    <row r="529" spans="1:13" x14ac:dyDescent="0.3">
      <c r="A529" s="32"/>
      <c r="B529" s="32"/>
      <c r="C529" s="30"/>
      <c r="D529" s="31"/>
      <c r="E529" s="31"/>
      <c r="F529" s="31"/>
      <c r="G529" s="29"/>
      <c r="H529" s="30"/>
      <c r="I529" s="30"/>
      <c r="J529" s="31"/>
      <c r="K529" s="31"/>
      <c r="L529" s="31"/>
      <c r="M529" s="30"/>
    </row>
    <row r="530" spans="1:13" x14ac:dyDescent="0.3">
      <c r="A530" s="32"/>
      <c r="B530" s="32"/>
      <c r="C530" s="30"/>
      <c r="D530" s="31"/>
      <c r="E530" s="31"/>
      <c r="F530" s="31"/>
      <c r="G530" s="29"/>
      <c r="H530" s="30"/>
      <c r="I530" s="30"/>
      <c r="J530" s="31"/>
      <c r="K530" s="31"/>
      <c r="L530" s="31"/>
      <c r="M530" s="30"/>
    </row>
    <row r="531" spans="1:13" x14ac:dyDescent="0.3">
      <c r="A531" s="32"/>
      <c r="B531" s="32"/>
      <c r="C531" s="30"/>
      <c r="D531" s="31"/>
      <c r="E531" s="31"/>
      <c r="F531" s="31"/>
      <c r="G531" s="29"/>
      <c r="H531" s="30"/>
      <c r="I531" s="30"/>
      <c r="J531" s="31"/>
      <c r="K531" s="31"/>
      <c r="L531" s="31"/>
      <c r="M531" s="30"/>
    </row>
    <row r="532" spans="1:13" x14ac:dyDescent="0.3">
      <c r="A532" s="32"/>
      <c r="B532" s="32"/>
      <c r="C532" s="30"/>
      <c r="D532" s="31"/>
      <c r="E532" s="31"/>
      <c r="F532" s="31"/>
      <c r="G532" s="29"/>
      <c r="H532" s="30"/>
      <c r="I532" s="30"/>
      <c r="J532" s="31"/>
      <c r="K532" s="31"/>
      <c r="L532" s="31"/>
      <c r="M532" s="30"/>
    </row>
    <row r="533" spans="1:13" x14ac:dyDescent="0.3">
      <c r="A533" s="32"/>
      <c r="B533" s="32"/>
      <c r="C533" s="30"/>
      <c r="D533" s="31"/>
      <c r="E533" s="31"/>
      <c r="F533" s="31"/>
      <c r="G533" s="29"/>
      <c r="H533" s="30"/>
      <c r="I533" s="30"/>
      <c r="J533" s="31"/>
      <c r="K533" s="31"/>
      <c r="L533" s="31"/>
      <c r="M533" s="30"/>
    </row>
    <row r="534" spans="1:13" x14ac:dyDescent="0.3">
      <c r="A534" s="32"/>
      <c r="B534" s="32"/>
      <c r="C534" s="30"/>
      <c r="D534" s="31"/>
      <c r="E534" s="31"/>
      <c r="F534" s="31"/>
      <c r="G534" s="29"/>
      <c r="H534" s="30"/>
      <c r="I534" s="30"/>
      <c r="J534" s="31"/>
      <c r="K534" s="31"/>
      <c r="L534" s="31"/>
      <c r="M534" s="30"/>
    </row>
    <row r="535" spans="1:13" x14ac:dyDescent="0.3">
      <c r="A535" s="32"/>
      <c r="B535" s="32"/>
      <c r="C535" s="30"/>
      <c r="D535" s="31"/>
      <c r="E535" s="31"/>
      <c r="F535" s="31"/>
      <c r="G535" s="29"/>
      <c r="H535" s="30"/>
      <c r="I535" s="30"/>
      <c r="J535" s="31"/>
      <c r="K535" s="31"/>
      <c r="L535" s="31"/>
      <c r="M535" s="30"/>
    </row>
    <row r="536" spans="1:13" x14ac:dyDescent="0.3">
      <c r="A536" s="32"/>
      <c r="B536" s="32"/>
      <c r="C536" s="30"/>
      <c r="D536" s="31"/>
      <c r="E536" s="31"/>
      <c r="F536" s="31"/>
      <c r="G536" s="29"/>
      <c r="H536" s="30"/>
      <c r="I536" s="30"/>
      <c r="J536" s="31"/>
      <c r="K536" s="31"/>
      <c r="L536" s="31"/>
      <c r="M536" s="30"/>
    </row>
    <row r="537" spans="1:13" x14ac:dyDescent="0.3">
      <c r="A537" s="32"/>
      <c r="B537" s="32"/>
      <c r="C537" s="30"/>
      <c r="D537" s="31"/>
      <c r="E537" s="31"/>
      <c r="F537" s="31"/>
      <c r="G537" s="29"/>
      <c r="H537" s="30"/>
      <c r="I537" s="30"/>
      <c r="J537" s="31"/>
      <c r="K537" s="31"/>
      <c r="L537" s="31"/>
      <c r="M537" s="30"/>
    </row>
    <row r="538" spans="1:13" x14ac:dyDescent="0.3">
      <c r="A538" s="32"/>
      <c r="B538" s="32"/>
      <c r="C538" s="30"/>
      <c r="D538" s="31"/>
      <c r="E538" s="31"/>
      <c r="F538" s="31"/>
      <c r="G538" s="29"/>
      <c r="H538" s="30"/>
      <c r="I538" s="30"/>
      <c r="J538" s="31"/>
      <c r="K538" s="31"/>
      <c r="L538" s="31"/>
      <c r="M538" s="30"/>
    </row>
    <row r="539" spans="1:13" x14ac:dyDescent="0.3">
      <c r="A539" s="32"/>
      <c r="B539" s="32"/>
      <c r="C539" s="30"/>
      <c r="D539" s="31"/>
      <c r="E539" s="31"/>
      <c r="F539" s="31"/>
      <c r="G539" s="29"/>
      <c r="H539" s="30"/>
      <c r="I539" s="30"/>
      <c r="J539" s="31"/>
      <c r="K539" s="31"/>
      <c r="L539" s="31"/>
      <c r="M539" s="30"/>
    </row>
    <row r="540" spans="1:13" x14ac:dyDescent="0.3">
      <c r="A540" s="32"/>
      <c r="B540" s="32"/>
      <c r="C540" s="30"/>
      <c r="D540" s="31"/>
      <c r="E540" s="31"/>
      <c r="F540" s="31"/>
      <c r="G540" s="29"/>
      <c r="H540" s="30"/>
      <c r="I540" s="30"/>
      <c r="J540" s="31"/>
      <c r="K540" s="31"/>
      <c r="L540" s="31"/>
      <c r="M540" s="30"/>
    </row>
    <row r="541" spans="1:13" x14ac:dyDescent="0.3">
      <c r="A541" s="32"/>
      <c r="B541" s="32"/>
      <c r="C541" s="30"/>
      <c r="D541" s="31"/>
      <c r="E541" s="31"/>
      <c r="F541" s="31"/>
      <c r="G541" s="29"/>
      <c r="H541" s="30"/>
      <c r="I541" s="30"/>
      <c r="J541" s="31"/>
      <c r="K541" s="31"/>
      <c r="L541" s="31"/>
      <c r="M541" s="30"/>
    </row>
    <row r="542" spans="1:13" x14ac:dyDescent="0.3">
      <c r="A542" s="32"/>
      <c r="B542" s="32"/>
      <c r="C542" s="30"/>
      <c r="D542" s="31"/>
      <c r="E542" s="31"/>
      <c r="F542" s="31"/>
      <c r="G542" s="29"/>
      <c r="H542" s="30"/>
      <c r="I542" s="30"/>
      <c r="J542" s="31"/>
      <c r="K542" s="31"/>
      <c r="L542" s="31"/>
      <c r="M542" s="30"/>
    </row>
    <row r="543" spans="1:13" x14ac:dyDescent="0.3">
      <c r="A543" s="32"/>
      <c r="B543" s="32"/>
      <c r="C543" s="30"/>
      <c r="D543" s="31"/>
      <c r="E543" s="31"/>
      <c r="F543" s="31"/>
      <c r="G543" s="29"/>
      <c r="H543" s="30"/>
      <c r="I543" s="30"/>
      <c r="J543" s="31"/>
      <c r="K543" s="31"/>
      <c r="L543" s="31"/>
      <c r="M543" s="30"/>
    </row>
    <row r="544" spans="1:13" x14ac:dyDescent="0.3">
      <c r="A544" s="32"/>
      <c r="B544" s="32"/>
      <c r="C544" s="30"/>
      <c r="D544" s="31"/>
      <c r="E544" s="31"/>
      <c r="F544" s="31"/>
      <c r="G544" s="29"/>
      <c r="H544" s="30"/>
      <c r="I544" s="30"/>
      <c r="J544" s="31"/>
      <c r="K544" s="31"/>
      <c r="L544" s="31"/>
      <c r="M544" s="30"/>
    </row>
    <row r="545" spans="1:13" x14ac:dyDescent="0.3">
      <c r="A545" s="32"/>
      <c r="B545" s="32"/>
      <c r="C545" s="30"/>
      <c r="D545" s="31"/>
      <c r="E545" s="31"/>
      <c r="F545" s="31"/>
      <c r="G545" s="29"/>
      <c r="H545" s="30"/>
      <c r="I545" s="30"/>
      <c r="J545" s="31"/>
      <c r="K545" s="31"/>
      <c r="L545" s="31"/>
      <c r="M545" s="30"/>
    </row>
    <row r="546" spans="1:13" x14ac:dyDescent="0.3">
      <c r="A546" s="32"/>
      <c r="B546" s="32"/>
      <c r="C546" s="30"/>
      <c r="D546" s="31"/>
      <c r="E546" s="31"/>
      <c r="F546" s="31"/>
      <c r="G546" s="29"/>
      <c r="H546" s="30"/>
      <c r="I546" s="30"/>
      <c r="J546" s="31"/>
      <c r="K546" s="31"/>
      <c r="L546" s="31"/>
      <c r="M546" s="30"/>
    </row>
    <row r="547" spans="1:13" x14ac:dyDescent="0.3">
      <c r="A547" s="32"/>
      <c r="B547" s="32"/>
      <c r="C547" s="30"/>
      <c r="D547" s="31"/>
      <c r="E547" s="31"/>
      <c r="F547" s="31"/>
      <c r="G547" s="29"/>
      <c r="H547" s="30"/>
      <c r="I547" s="30"/>
      <c r="J547" s="31"/>
      <c r="K547" s="31"/>
      <c r="L547" s="31"/>
      <c r="M547" s="30"/>
    </row>
    <row r="548" spans="1:13" x14ac:dyDescent="0.3">
      <c r="A548" s="32"/>
      <c r="B548" s="32"/>
      <c r="C548" s="30"/>
      <c r="D548" s="31"/>
      <c r="E548" s="31"/>
      <c r="F548" s="31"/>
      <c r="G548" s="29"/>
      <c r="H548" s="30"/>
      <c r="I548" s="30"/>
      <c r="J548" s="31"/>
      <c r="K548" s="31"/>
      <c r="L548" s="31"/>
      <c r="M548" s="30"/>
    </row>
    <row r="549" spans="1:13" x14ac:dyDescent="0.3">
      <c r="A549" s="32"/>
      <c r="B549" s="32"/>
      <c r="C549" s="30"/>
      <c r="D549" s="31"/>
      <c r="E549" s="31"/>
      <c r="F549" s="31"/>
      <c r="G549" s="29"/>
      <c r="H549" s="30"/>
      <c r="I549" s="30"/>
      <c r="J549" s="31"/>
      <c r="K549" s="31"/>
      <c r="L549" s="31"/>
      <c r="M549" s="30"/>
    </row>
    <row r="550" spans="1:13" x14ac:dyDescent="0.3">
      <c r="A550" s="32"/>
      <c r="B550" s="32"/>
      <c r="C550" s="30"/>
      <c r="D550" s="31"/>
      <c r="E550" s="31"/>
      <c r="F550" s="31"/>
      <c r="G550" s="29"/>
      <c r="H550" s="30"/>
      <c r="I550" s="30"/>
      <c r="J550" s="31"/>
      <c r="K550" s="31"/>
      <c r="L550" s="31"/>
      <c r="M550" s="30"/>
    </row>
    <row r="551" spans="1:13" x14ac:dyDescent="0.3">
      <c r="A551" s="32"/>
      <c r="B551" s="32"/>
      <c r="C551" s="30"/>
      <c r="D551" s="31"/>
      <c r="E551" s="31"/>
      <c r="F551" s="31"/>
      <c r="G551" s="29"/>
      <c r="H551" s="30"/>
      <c r="I551" s="30"/>
      <c r="J551" s="31"/>
      <c r="K551" s="31"/>
      <c r="L551" s="31"/>
      <c r="M551" s="30"/>
    </row>
    <row r="552" spans="1:13" x14ac:dyDescent="0.3">
      <c r="A552" s="32"/>
      <c r="B552" s="32"/>
      <c r="C552" s="30"/>
      <c r="D552" s="31"/>
      <c r="E552" s="31"/>
      <c r="F552" s="31"/>
      <c r="G552" s="29"/>
      <c r="H552" s="30"/>
      <c r="I552" s="30"/>
      <c r="J552" s="31"/>
      <c r="K552" s="31"/>
      <c r="L552" s="31"/>
      <c r="M552" s="30"/>
    </row>
    <row r="553" spans="1:13" x14ac:dyDescent="0.3">
      <c r="A553" s="32"/>
      <c r="B553" s="32"/>
      <c r="C553" s="30"/>
      <c r="D553" s="31"/>
      <c r="E553" s="31"/>
      <c r="F553" s="31"/>
      <c r="G553" s="29"/>
      <c r="H553" s="30"/>
      <c r="I553" s="30"/>
      <c r="J553" s="31"/>
      <c r="K553" s="31"/>
      <c r="L553" s="31"/>
      <c r="M553" s="30"/>
    </row>
    <row r="554" spans="1:13" x14ac:dyDescent="0.3">
      <c r="A554" s="32"/>
      <c r="B554" s="32"/>
      <c r="C554" s="30"/>
      <c r="D554" s="31"/>
      <c r="E554" s="31"/>
      <c r="F554" s="31"/>
      <c r="G554" s="29"/>
      <c r="H554" s="30"/>
      <c r="I554" s="30"/>
      <c r="J554" s="31"/>
      <c r="K554" s="31"/>
      <c r="L554" s="31"/>
      <c r="M554" s="30"/>
    </row>
    <row r="555" spans="1:13" x14ac:dyDescent="0.3">
      <c r="A555" s="32"/>
      <c r="B555" s="32"/>
      <c r="C555" s="30"/>
      <c r="D555" s="31"/>
      <c r="E555" s="31"/>
      <c r="F555" s="31"/>
      <c r="G555" s="29"/>
      <c r="H555" s="30"/>
      <c r="I555" s="30"/>
      <c r="J555" s="31"/>
      <c r="K555" s="31"/>
      <c r="L555" s="31"/>
      <c r="M555" s="30"/>
    </row>
    <row r="556" spans="1:13" x14ac:dyDescent="0.3">
      <c r="A556" s="32"/>
      <c r="B556" s="32"/>
      <c r="C556" s="30"/>
      <c r="D556" s="31"/>
      <c r="E556" s="31"/>
      <c r="F556" s="31"/>
      <c r="G556" s="29"/>
      <c r="H556" s="30"/>
      <c r="I556" s="30"/>
      <c r="J556" s="31"/>
      <c r="K556" s="31"/>
      <c r="L556" s="31"/>
      <c r="M556" s="30"/>
    </row>
    <row r="557" spans="1:13" x14ac:dyDescent="0.3">
      <c r="A557" s="32"/>
      <c r="B557" s="32"/>
      <c r="C557" s="30"/>
      <c r="D557" s="31"/>
      <c r="E557" s="31"/>
      <c r="F557" s="31"/>
      <c r="G557" s="29"/>
      <c r="H557" s="30"/>
      <c r="I557" s="30"/>
      <c r="J557" s="31"/>
      <c r="K557" s="31"/>
      <c r="L557" s="31"/>
      <c r="M557" s="30"/>
    </row>
    <row r="558" spans="1:13" x14ac:dyDescent="0.3">
      <c r="A558" s="32"/>
      <c r="B558" s="32"/>
      <c r="C558" s="30"/>
      <c r="D558" s="31"/>
      <c r="E558" s="31"/>
      <c r="F558" s="31"/>
      <c r="G558" s="29"/>
      <c r="H558" s="30"/>
      <c r="I558" s="30"/>
      <c r="J558" s="31"/>
      <c r="K558" s="31"/>
      <c r="L558" s="31"/>
      <c r="M558" s="30"/>
    </row>
    <row r="559" spans="1:13" x14ac:dyDescent="0.3">
      <c r="A559" s="32"/>
      <c r="B559" s="32"/>
      <c r="C559" s="30"/>
      <c r="D559" s="31"/>
      <c r="E559" s="31"/>
      <c r="F559" s="31"/>
      <c r="G559" s="29"/>
      <c r="H559" s="30"/>
      <c r="I559" s="30"/>
      <c r="J559" s="31"/>
      <c r="K559" s="31"/>
      <c r="L559" s="31"/>
      <c r="M559" s="30"/>
    </row>
    <row r="560" spans="1:13" x14ac:dyDescent="0.3">
      <c r="A560" s="32"/>
      <c r="B560" s="32"/>
      <c r="C560" s="30"/>
      <c r="D560" s="31"/>
      <c r="E560" s="31"/>
      <c r="F560" s="31"/>
      <c r="G560" s="29"/>
      <c r="H560" s="30"/>
      <c r="I560" s="30"/>
      <c r="J560" s="31"/>
      <c r="K560" s="31"/>
      <c r="L560" s="31"/>
      <c r="M560" s="30"/>
    </row>
    <row r="561" spans="1:13" x14ac:dyDescent="0.3">
      <c r="A561" s="32"/>
      <c r="B561" s="32"/>
      <c r="C561" s="30"/>
      <c r="D561" s="31"/>
      <c r="E561" s="31"/>
      <c r="F561" s="31"/>
      <c r="G561" s="29"/>
      <c r="H561" s="30"/>
      <c r="I561" s="30"/>
      <c r="J561" s="31"/>
      <c r="K561" s="31"/>
      <c r="L561" s="31"/>
      <c r="M561" s="30"/>
    </row>
    <row r="562" spans="1:13" x14ac:dyDescent="0.3">
      <c r="A562" s="32"/>
      <c r="B562" s="32"/>
      <c r="C562" s="30"/>
      <c r="D562" s="31"/>
      <c r="E562" s="31"/>
      <c r="F562" s="31"/>
      <c r="G562" s="29"/>
      <c r="H562" s="30"/>
      <c r="I562" s="30"/>
      <c r="J562" s="31"/>
      <c r="K562" s="31"/>
      <c r="L562" s="31"/>
      <c r="M562" s="30"/>
    </row>
    <row r="563" spans="1:13" x14ac:dyDescent="0.3">
      <c r="A563" s="32"/>
      <c r="B563" s="32"/>
      <c r="C563" s="30"/>
      <c r="D563" s="31"/>
      <c r="E563" s="31"/>
      <c r="F563" s="31"/>
      <c r="G563" s="29"/>
      <c r="H563" s="30"/>
      <c r="I563" s="30"/>
      <c r="J563" s="31"/>
      <c r="K563" s="31"/>
      <c r="L563" s="31"/>
      <c r="M563" s="30"/>
    </row>
    <row r="564" spans="1:13" x14ac:dyDescent="0.3">
      <c r="A564" s="32"/>
      <c r="B564" s="32"/>
      <c r="C564" s="30"/>
      <c r="D564" s="31"/>
      <c r="E564" s="31"/>
      <c r="F564" s="31"/>
      <c r="G564" s="29"/>
      <c r="H564" s="30"/>
      <c r="I564" s="30"/>
      <c r="J564" s="31"/>
      <c r="K564" s="31"/>
      <c r="L564" s="31"/>
      <c r="M564" s="30"/>
    </row>
    <row r="565" spans="1:13" x14ac:dyDescent="0.3">
      <c r="A565" s="32"/>
      <c r="B565" s="32"/>
      <c r="C565" s="30"/>
      <c r="D565" s="31"/>
      <c r="E565" s="31"/>
      <c r="F565" s="31"/>
      <c r="G565" s="29"/>
      <c r="H565" s="30"/>
      <c r="I565" s="30"/>
      <c r="J565" s="31"/>
      <c r="K565" s="31"/>
      <c r="L565" s="31"/>
      <c r="M565" s="30"/>
    </row>
    <row r="566" spans="1:13" x14ac:dyDescent="0.3">
      <c r="A566" s="32"/>
      <c r="B566" s="32"/>
      <c r="C566" s="30"/>
      <c r="D566" s="31"/>
      <c r="E566" s="31"/>
      <c r="F566" s="31"/>
      <c r="G566" s="29"/>
      <c r="H566" s="30"/>
      <c r="I566" s="30"/>
      <c r="J566" s="31"/>
      <c r="K566" s="31"/>
      <c r="L566" s="31"/>
      <c r="M566" s="30"/>
    </row>
    <row r="567" spans="1:13" x14ac:dyDescent="0.3">
      <c r="A567" s="32"/>
      <c r="B567" s="32"/>
      <c r="C567" s="30"/>
      <c r="D567" s="31"/>
      <c r="E567" s="31"/>
      <c r="F567" s="31"/>
      <c r="G567" s="29"/>
      <c r="H567" s="30"/>
      <c r="I567" s="30"/>
      <c r="J567" s="31"/>
      <c r="K567" s="31"/>
      <c r="L567" s="31"/>
      <c r="M567" s="30"/>
    </row>
    <row r="568" spans="1:13" x14ac:dyDescent="0.3">
      <c r="A568" s="32"/>
      <c r="B568" s="32"/>
      <c r="C568" s="30"/>
      <c r="D568" s="31"/>
      <c r="E568" s="31"/>
      <c r="F568" s="31"/>
      <c r="G568" s="29"/>
      <c r="H568" s="30"/>
      <c r="I568" s="30"/>
      <c r="J568" s="31"/>
      <c r="K568" s="31"/>
      <c r="L568" s="31"/>
      <c r="M568" s="30"/>
    </row>
    <row r="569" spans="1:13" x14ac:dyDescent="0.3">
      <c r="A569" s="32"/>
      <c r="B569" s="32"/>
      <c r="C569" s="30"/>
      <c r="D569" s="31"/>
      <c r="E569" s="31"/>
      <c r="F569" s="31"/>
      <c r="G569" s="29"/>
      <c r="H569" s="30"/>
      <c r="I569" s="30"/>
      <c r="J569" s="31"/>
      <c r="K569" s="31"/>
      <c r="L569" s="31"/>
      <c r="M569" s="30"/>
    </row>
    <row r="570" spans="1:13" x14ac:dyDescent="0.3">
      <c r="A570" s="32"/>
      <c r="B570" s="32"/>
      <c r="C570" s="30"/>
      <c r="D570" s="31"/>
      <c r="E570" s="31"/>
      <c r="F570" s="31"/>
      <c r="G570" s="29"/>
      <c r="H570" s="30"/>
      <c r="I570" s="30"/>
      <c r="J570" s="31"/>
      <c r="K570" s="31"/>
      <c r="L570" s="31"/>
      <c r="M570" s="30"/>
    </row>
    <row r="571" spans="1:13" x14ac:dyDescent="0.3">
      <c r="A571" s="32"/>
      <c r="B571" s="32"/>
      <c r="C571" s="30"/>
      <c r="D571" s="31"/>
      <c r="E571" s="31"/>
      <c r="F571" s="31"/>
      <c r="G571" s="29"/>
      <c r="H571" s="30"/>
      <c r="I571" s="30"/>
      <c r="J571" s="31"/>
      <c r="K571" s="31"/>
      <c r="L571" s="31"/>
      <c r="M571" s="30"/>
    </row>
    <row r="572" spans="1:13" x14ac:dyDescent="0.3">
      <c r="A572" s="32"/>
      <c r="B572" s="32"/>
      <c r="C572" s="30"/>
      <c r="D572" s="31"/>
      <c r="E572" s="31"/>
      <c r="F572" s="31"/>
      <c r="G572" s="29"/>
      <c r="H572" s="30"/>
      <c r="I572" s="30"/>
      <c r="J572" s="31"/>
      <c r="K572" s="31"/>
      <c r="L572" s="31"/>
      <c r="M572" s="30"/>
    </row>
    <row r="573" spans="1:13" x14ac:dyDescent="0.3">
      <c r="A573" s="32"/>
      <c r="B573" s="32"/>
      <c r="C573" s="30"/>
      <c r="D573" s="31"/>
      <c r="E573" s="31"/>
      <c r="F573" s="31"/>
      <c r="G573" s="29"/>
      <c r="H573" s="30"/>
      <c r="I573" s="30"/>
      <c r="J573" s="31"/>
      <c r="K573" s="31"/>
      <c r="L573" s="31"/>
      <c r="M573" s="30"/>
    </row>
    <row r="574" spans="1:13" x14ac:dyDescent="0.3">
      <c r="A574" s="32"/>
      <c r="B574" s="32"/>
      <c r="C574" s="30"/>
      <c r="D574" s="31"/>
      <c r="E574" s="31"/>
      <c r="F574" s="31"/>
      <c r="G574" s="29"/>
      <c r="H574" s="30"/>
      <c r="I574" s="30"/>
      <c r="J574" s="31"/>
      <c r="K574" s="31"/>
      <c r="L574" s="31"/>
      <c r="M574" s="30"/>
    </row>
    <row r="575" spans="1:13" x14ac:dyDescent="0.3">
      <c r="A575" s="32"/>
      <c r="B575" s="32"/>
      <c r="C575" s="30"/>
      <c r="D575" s="31"/>
      <c r="E575" s="31"/>
      <c r="F575" s="31"/>
      <c r="G575" s="29"/>
      <c r="H575" s="30"/>
      <c r="I575" s="30"/>
      <c r="J575" s="31"/>
      <c r="K575" s="31"/>
      <c r="L575" s="31"/>
      <c r="M575" s="30"/>
    </row>
    <row r="576" spans="1:13" x14ac:dyDescent="0.3">
      <c r="A576" s="32"/>
      <c r="B576" s="32"/>
      <c r="C576" s="30"/>
      <c r="D576" s="31"/>
      <c r="E576" s="31"/>
      <c r="F576" s="31"/>
      <c r="G576" s="29"/>
      <c r="H576" s="30"/>
      <c r="I576" s="30"/>
      <c r="J576" s="31"/>
      <c r="K576" s="31"/>
      <c r="L576" s="31"/>
      <c r="M576" s="30"/>
    </row>
    <row r="577" spans="1:13" x14ac:dyDescent="0.3">
      <c r="A577" s="32"/>
      <c r="B577" s="32"/>
      <c r="C577" s="30"/>
      <c r="D577" s="31"/>
      <c r="E577" s="31"/>
      <c r="F577" s="31"/>
      <c r="G577" s="29"/>
      <c r="H577" s="30"/>
      <c r="I577" s="30"/>
      <c r="J577" s="31"/>
      <c r="K577" s="31"/>
      <c r="L577" s="31"/>
      <c r="M577" s="30"/>
    </row>
    <row r="578" spans="1:13" x14ac:dyDescent="0.3">
      <c r="A578" s="32"/>
      <c r="B578" s="32"/>
      <c r="C578" s="30"/>
      <c r="D578" s="31"/>
      <c r="E578" s="31"/>
      <c r="F578" s="31"/>
      <c r="G578" s="29"/>
      <c r="H578" s="30"/>
      <c r="I578" s="30"/>
      <c r="J578" s="31"/>
      <c r="K578" s="31"/>
      <c r="L578" s="31"/>
      <c r="M578" s="30"/>
    </row>
    <row r="579" spans="1:13" x14ac:dyDescent="0.3">
      <c r="A579" s="32"/>
      <c r="B579" s="32"/>
      <c r="C579" s="30"/>
      <c r="D579" s="31"/>
      <c r="E579" s="31"/>
      <c r="F579" s="31"/>
      <c r="G579" s="29"/>
      <c r="H579" s="30"/>
      <c r="I579" s="30"/>
      <c r="J579" s="31"/>
      <c r="K579" s="31"/>
      <c r="L579" s="31"/>
      <c r="M579" s="30"/>
    </row>
    <row r="580" spans="1:13" x14ac:dyDescent="0.3">
      <c r="A580" s="32"/>
      <c r="B580" s="32"/>
      <c r="C580" s="30"/>
      <c r="D580" s="31"/>
      <c r="E580" s="31"/>
      <c r="F580" s="31"/>
      <c r="G580" s="29"/>
      <c r="H580" s="30"/>
      <c r="I580" s="30"/>
      <c r="J580" s="31"/>
      <c r="K580" s="31"/>
      <c r="L580" s="31"/>
      <c r="M580" s="30"/>
    </row>
    <row r="581" spans="1:13" x14ac:dyDescent="0.3">
      <c r="A581" s="32"/>
      <c r="B581" s="32"/>
      <c r="C581" s="30"/>
      <c r="D581" s="31"/>
      <c r="E581" s="31"/>
      <c r="F581" s="31"/>
      <c r="G581" s="29"/>
      <c r="H581" s="30"/>
      <c r="I581" s="30"/>
      <c r="J581" s="31"/>
      <c r="K581" s="31"/>
      <c r="L581" s="31"/>
      <c r="M581" s="30"/>
    </row>
    <row r="582" spans="1:13" x14ac:dyDescent="0.3">
      <c r="A582" s="32"/>
      <c r="B582" s="32"/>
      <c r="C582" s="30"/>
      <c r="D582" s="31"/>
      <c r="E582" s="31"/>
      <c r="F582" s="31"/>
      <c r="G582" s="29"/>
      <c r="H582" s="30"/>
      <c r="I582" s="30"/>
      <c r="J582" s="31"/>
      <c r="K582" s="31"/>
      <c r="L582" s="31"/>
      <c r="M582" s="30"/>
    </row>
    <row r="583" spans="1:13" x14ac:dyDescent="0.3">
      <c r="A583" s="32"/>
      <c r="B583" s="32"/>
      <c r="C583" s="30"/>
      <c r="D583" s="31"/>
      <c r="E583" s="31"/>
      <c r="F583" s="31"/>
      <c r="G583" s="29"/>
      <c r="H583" s="30"/>
      <c r="I583" s="30"/>
      <c r="J583" s="31"/>
      <c r="K583" s="31"/>
      <c r="L583" s="31"/>
      <c r="M583" s="30"/>
    </row>
    <row r="584" spans="1:13" x14ac:dyDescent="0.3">
      <c r="A584" s="32"/>
      <c r="B584" s="32"/>
      <c r="C584" s="30"/>
      <c r="D584" s="31"/>
      <c r="E584" s="31"/>
      <c r="F584" s="31"/>
      <c r="G584" s="29"/>
      <c r="H584" s="30"/>
      <c r="I584" s="30"/>
      <c r="J584" s="31"/>
      <c r="K584" s="31"/>
      <c r="L584" s="31"/>
      <c r="M584" s="30"/>
    </row>
    <row r="585" spans="1:13" x14ac:dyDescent="0.3">
      <c r="A585" s="32"/>
      <c r="B585" s="32"/>
      <c r="C585" s="30"/>
      <c r="D585" s="31"/>
      <c r="E585" s="31"/>
      <c r="F585" s="31"/>
      <c r="G585" s="29"/>
      <c r="H585" s="30"/>
      <c r="I585" s="30"/>
      <c r="J585" s="31"/>
      <c r="K585" s="31"/>
      <c r="L585" s="31"/>
      <c r="M585" s="30"/>
    </row>
    <row r="586" spans="1:13" x14ac:dyDescent="0.3">
      <c r="A586" s="32"/>
      <c r="B586" s="32"/>
      <c r="C586" s="30"/>
      <c r="D586" s="31"/>
      <c r="E586" s="31"/>
      <c r="F586" s="31"/>
      <c r="G586" s="29"/>
      <c r="H586" s="30"/>
      <c r="I586" s="30"/>
      <c r="J586" s="31"/>
      <c r="K586" s="31"/>
      <c r="L586" s="31"/>
      <c r="M586" s="30"/>
    </row>
    <row r="587" spans="1:13" x14ac:dyDescent="0.3">
      <c r="A587" s="32"/>
      <c r="B587" s="32"/>
      <c r="C587" s="30"/>
      <c r="D587" s="31"/>
      <c r="E587" s="31"/>
      <c r="F587" s="31"/>
      <c r="G587" s="29"/>
      <c r="H587" s="30"/>
      <c r="I587" s="30"/>
      <c r="J587" s="31"/>
      <c r="K587" s="31"/>
      <c r="L587" s="31"/>
      <c r="M587" s="30"/>
    </row>
    <row r="588" spans="1:13" x14ac:dyDescent="0.3">
      <c r="A588" s="32"/>
      <c r="B588" s="32"/>
      <c r="C588" s="30"/>
      <c r="D588" s="31"/>
      <c r="E588" s="31"/>
      <c r="F588" s="31"/>
      <c r="G588" s="29"/>
      <c r="H588" s="30"/>
      <c r="I588" s="30"/>
      <c r="J588" s="31"/>
      <c r="K588" s="31"/>
      <c r="L588" s="31"/>
      <c r="M588" s="30"/>
    </row>
    <row r="589" spans="1:13" x14ac:dyDescent="0.3">
      <c r="A589" s="32"/>
      <c r="B589" s="32"/>
      <c r="C589" s="30"/>
      <c r="D589" s="31"/>
      <c r="E589" s="31"/>
      <c r="F589" s="31"/>
      <c r="G589" s="29"/>
      <c r="H589" s="30"/>
      <c r="I589" s="30"/>
      <c r="J589" s="31"/>
      <c r="K589" s="31"/>
      <c r="L589" s="31"/>
      <c r="M589" s="30"/>
    </row>
    <row r="590" spans="1:13" x14ac:dyDescent="0.3">
      <c r="A590" s="32"/>
      <c r="B590" s="32"/>
      <c r="C590" s="30"/>
      <c r="D590" s="31"/>
      <c r="E590" s="31"/>
      <c r="F590" s="31"/>
      <c r="G590" s="29"/>
      <c r="H590" s="30"/>
      <c r="I590" s="30"/>
      <c r="J590" s="31"/>
      <c r="K590" s="31"/>
      <c r="L590" s="31"/>
      <c r="M590" s="30"/>
    </row>
    <row r="591" spans="1:13" x14ac:dyDescent="0.3">
      <c r="A591" s="32"/>
      <c r="B591" s="32"/>
      <c r="C591" s="30"/>
      <c r="D591" s="31"/>
      <c r="E591" s="31"/>
      <c r="F591" s="31"/>
      <c r="G591" s="29"/>
      <c r="H591" s="30"/>
      <c r="I591" s="30"/>
      <c r="J591" s="31"/>
      <c r="K591" s="31"/>
      <c r="L591" s="31"/>
      <c r="M591" s="30"/>
    </row>
    <row r="592" spans="1:13" x14ac:dyDescent="0.3">
      <c r="A592" s="32"/>
      <c r="B592" s="32"/>
      <c r="C592" s="30"/>
      <c r="D592" s="31"/>
      <c r="E592" s="31"/>
      <c r="F592" s="31"/>
      <c r="G592" s="29"/>
      <c r="H592" s="30"/>
      <c r="I592" s="30"/>
      <c r="J592" s="31"/>
      <c r="K592" s="31"/>
      <c r="L592" s="31"/>
      <c r="M592" s="30"/>
    </row>
    <row r="593" spans="1:13" x14ac:dyDescent="0.3">
      <c r="A593" s="32"/>
      <c r="B593" s="32"/>
      <c r="C593" s="30"/>
      <c r="D593" s="31"/>
      <c r="E593" s="31"/>
      <c r="F593" s="31"/>
      <c r="G593" s="29"/>
      <c r="H593" s="30"/>
      <c r="I593" s="30"/>
      <c r="J593" s="31"/>
      <c r="K593" s="31"/>
      <c r="L593" s="31"/>
      <c r="M593" s="30"/>
    </row>
    <row r="594" spans="1:13" x14ac:dyDescent="0.3">
      <c r="A594" s="32"/>
      <c r="B594" s="32"/>
      <c r="C594" s="30"/>
      <c r="D594" s="31"/>
      <c r="E594" s="31"/>
      <c r="F594" s="31"/>
      <c r="G594" s="29"/>
      <c r="H594" s="30"/>
      <c r="I594" s="30"/>
      <c r="J594" s="31"/>
      <c r="K594" s="31"/>
      <c r="L594" s="31"/>
      <c r="M594" s="30"/>
    </row>
    <row r="595" spans="1:13" x14ac:dyDescent="0.3">
      <c r="A595" s="32"/>
      <c r="B595" s="32"/>
      <c r="C595" s="30"/>
      <c r="D595" s="31"/>
      <c r="E595" s="31"/>
      <c r="F595" s="31"/>
      <c r="G595" s="29"/>
      <c r="H595" s="30"/>
      <c r="I595" s="30"/>
      <c r="J595" s="31"/>
      <c r="K595" s="31"/>
      <c r="L595" s="31"/>
      <c r="M595" s="30"/>
    </row>
    <row r="596" spans="1:13" x14ac:dyDescent="0.3">
      <c r="A596" s="32"/>
      <c r="B596" s="32"/>
      <c r="C596" s="30"/>
      <c r="D596" s="31"/>
      <c r="E596" s="31"/>
      <c r="F596" s="31"/>
      <c r="G596" s="29"/>
      <c r="H596" s="30"/>
      <c r="I596" s="30"/>
      <c r="J596" s="31"/>
      <c r="K596" s="31"/>
      <c r="L596" s="31"/>
      <c r="M596" s="30"/>
    </row>
    <row r="597" spans="1:13" x14ac:dyDescent="0.3">
      <c r="A597" s="32"/>
      <c r="B597" s="32"/>
      <c r="C597" s="30"/>
      <c r="D597" s="31"/>
      <c r="E597" s="31"/>
      <c r="F597" s="31"/>
      <c r="G597" s="29"/>
      <c r="H597" s="30"/>
      <c r="I597" s="30"/>
      <c r="J597" s="31"/>
      <c r="K597" s="31"/>
      <c r="L597" s="31"/>
      <c r="M597" s="30"/>
    </row>
    <row r="598" spans="1:13" x14ac:dyDescent="0.3">
      <c r="A598" s="32"/>
      <c r="B598" s="32"/>
      <c r="C598" s="30"/>
      <c r="D598" s="31"/>
      <c r="E598" s="31"/>
      <c r="F598" s="31"/>
      <c r="G598" s="29"/>
      <c r="H598" s="30"/>
      <c r="I598" s="30"/>
      <c r="J598" s="31"/>
      <c r="K598" s="31"/>
      <c r="L598" s="31"/>
      <c r="M598" s="30"/>
    </row>
    <row r="599" spans="1:13" x14ac:dyDescent="0.3">
      <c r="A599" s="32"/>
      <c r="B599" s="32"/>
      <c r="C599" s="30"/>
      <c r="D599" s="31"/>
      <c r="E599" s="31"/>
      <c r="F599" s="31"/>
      <c r="G599" s="29"/>
      <c r="H599" s="30"/>
      <c r="I599" s="30"/>
      <c r="J599" s="31"/>
      <c r="K599" s="31"/>
      <c r="L599" s="31"/>
      <c r="M599" s="30"/>
    </row>
    <row r="600" spans="1:13" x14ac:dyDescent="0.3">
      <c r="A600" s="32"/>
      <c r="B600" s="32"/>
      <c r="C600" s="30"/>
      <c r="D600" s="31"/>
      <c r="E600" s="31"/>
      <c r="F600" s="31"/>
      <c r="G600" s="29"/>
      <c r="H600" s="30"/>
      <c r="I600" s="30"/>
      <c r="J600" s="31"/>
      <c r="K600" s="31"/>
      <c r="L600" s="31"/>
      <c r="M600" s="30"/>
    </row>
    <row r="601" spans="1:13" x14ac:dyDescent="0.3">
      <c r="A601" s="32"/>
      <c r="B601" s="32"/>
      <c r="C601" s="30"/>
      <c r="D601" s="31"/>
      <c r="E601" s="31"/>
      <c r="F601" s="31"/>
      <c r="G601" s="29"/>
      <c r="H601" s="30"/>
      <c r="I601" s="30"/>
      <c r="J601" s="31"/>
      <c r="K601" s="31"/>
      <c r="L601" s="31"/>
      <c r="M601" s="30"/>
    </row>
    <row r="602" spans="1:13" x14ac:dyDescent="0.3">
      <c r="A602" s="32"/>
      <c r="B602" s="32"/>
      <c r="C602" s="30"/>
      <c r="D602" s="31"/>
      <c r="E602" s="31"/>
      <c r="F602" s="31"/>
      <c r="G602" s="29"/>
      <c r="H602" s="30"/>
      <c r="I602" s="30"/>
      <c r="J602" s="31"/>
      <c r="K602" s="31"/>
      <c r="L602" s="31"/>
      <c r="M602" s="30"/>
    </row>
    <row r="603" spans="1:13" x14ac:dyDescent="0.3">
      <c r="A603" s="32"/>
      <c r="B603" s="32"/>
      <c r="C603" s="30"/>
      <c r="D603" s="31"/>
      <c r="E603" s="31"/>
      <c r="F603" s="31"/>
      <c r="G603" s="29"/>
      <c r="H603" s="30"/>
      <c r="I603" s="30"/>
      <c r="J603" s="31"/>
      <c r="K603" s="31"/>
      <c r="L603" s="31"/>
      <c r="M603" s="30"/>
    </row>
    <row r="604" spans="1:13" x14ac:dyDescent="0.3">
      <c r="A604" s="32"/>
      <c r="B604" s="32"/>
      <c r="C604" s="30"/>
      <c r="D604" s="31"/>
      <c r="E604" s="31"/>
      <c r="F604" s="31"/>
      <c r="G604" s="29"/>
      <c r="H604" s="30"/>
      <c r="I604" s="30"/>
      <c r="J604" s="31"/>
      <c r="K604" s="31"/>
      <c r="L604" s="31"/>
      <c r="M604" s="30"/>
    </row>
    <row r="605" spans="1:13" x14ac:dyDescent="0.3">
      <c r="A605" s="32"/>
      <c r="B605" s="32"/>
      <c r="C605" s="30"/>
      <c r="D605" s="31"/>
      <c r="E605" s="31"/>
      <c r="F605" s="31"/>
      <c r="G605" s="29"/>
      <c r="H605" s="30"/>
      <c r="I605" s="30"/>
      <c r="J605" s="31"/>
      <c r="K605" s="31"/>
      <c r="L605" s="31"/>
      <c r="M605" s="30"/>
    </row>
    <row r="606" spans="1:13" x14ac:dyDescent="0.3">
      <c r="A606" s="32"/>
      <c r="B606" s="32"/>
      <c r="C606" s="30"/>
      <c r="D606" s="31"/>
      <c r="E606" s="31"/>
      <c r="F606" s="31"/>
      <c r="G606" s="29"/>
      <c r="H606" s="30"/>
      <c r="I606" s="30"/>
      <c r="J606" s="31"/>
      <c r="K606" s="31"/>
      <c r="L606" s="31"/>
      <c r="M606" s="30"/>
    </row>
    <row r="607" spans="1:13" x14ac:dyDescent="0.3">
      <c r="A607" s="32"/>
      <c r="B607" s="32"/>
      <c r="C607" s="30"/>
      <c r="D607" s="31"/>
      <c r="E607" s="31"/>
      <c r="F607" s="31"/>
      <c r="G607" s="29"/>
      <c r="H607" s="30"/>
      <c r="I607" s="30"/>
      <c r="J607" s="31"/>
      <c r="K607" s="31"/>
      <c r="L607" s="31"/>
      <c r="M607" s="30"/>
    </row>
    <row r="608" spans="1:13" x14ac:dyDescent="0.3">
      <c r="A608" s="32"/>
      <c r="B608" s="32"/>
      <c r="C608" s="30"/>
      <c r="D608" s="31"/>
      <c r="E608" s="31"/>
      <c r="F608" s="31"/>
      <c r="G608" s="29"/>
      <c r="H608" s="30"/>
      <c r="I608" s="30"/>
      <c r="J608" s="31"/>
      <c r="K608" s="31"/>
      <c r="L608" s="31"/>
      <c r="M608" s="30"/>
    </row>
    <row r="609" spans="1:13" x14ac:dyDescent="0.3">
      <c r="A609" s="32"/>
      <c r="B609" s="32"/>
      <c r="C609" s="30"/>
      <c r="D609" s="31"/>
      <c r="E609" s="31"/>
      <c r="F609" s="31"/>
      <c r="G609" s="29"/>
      <c r="H609" s="30"/>
      <c r="I609" s="30"/>
      <c r="J609" s="31"/>
      <c r="K609" s="31"/>
      <c r="L609" s="31"/>
      <c r="M609" s="30"/>
    </row>
    <row r="610" spans="1:13" x14ac:dyDescent="0.3">
      <c r="A610" s="32"/>
      <c r="B610" s="32"/>
      <c r="C610" s="30"/>
      <c r="D610" s="31"/>
      <c r="E610" s="31"/>
      <c r="F610" s="31"/>
      <c r="G610" s="29"/>
      <c r="H610" s="30"/>
      <c r="I610" s="30"/>
      <c r="J610" s="31"/>
      <c r="K610" s="31"/>
      <c r="L610" s="31"/>
      <c r="M610" s="30"/>
    </row>
    <row r="611" spans="1:13" x14ac:dyDescent="0.3">
      <c r="A611" s="32"/>
      <c r="B611" s="32"/>
      <c r="C611" s="30"/>
      <c r="D611" s="31"/>
      <c r="E611" s="31"/>
      <c r="F611" s="31"/>
      <c r="G611" s="29"/>
      <c r="H611" s="30"/>
      <c r="I611" s="30"/>
      <c r="J611" s="31"/>
      <c r="K611" s="31"/>
      <c r="L611" s="31"/>
      <c r="M611" s="30"/>
    </row>
    <row r="612" spans="1:13" x14ac:dyDescent="0.3">
      <c r="A612" s="32"/>
      <c r="B612" s="32"/>
      <c r="C612" s="30"/>
      <c r="D612" s="31"/>
      <c r="E612" s="31"/>
      <c r="F612" s="31"/>
      <c r="G612" s="29"/>
      <c r="H612" s="30"/>
      <c r="I612" s="30"/>
      <c r="J612" s="31"/>
      <c r="K612" s="31"/>
      <c r="L612" s="31"/>
      <c r="M612" s="30"/>
    </row>
    <row r="613" spans="1:13" x14ac:dyDescent="0.3">
      <c r="A613" s="32"/>
      <c r="B613" s="32"/>
      <c r="C613" s="30"/>
      <c r="D613" s="31"/>
      <c r="E613" s="31"/>
      <c r="F613" s="31"/>
      <c r="G613" s="29"/>
      <c r="H613" s="30"/>
      <c r="I613" s="30"/>
      <c r="J613" s="31"/>
      <c r="K613" s="31"/>
      <c r="L613" s="31"/>
      <c r="M613" s="30"/>
    </row>
    <row r="614" spans="1:13" x14ac:dyDescent="0.3">
      <c r="A614" s="32"/>
      <c r="B614" s="32"/>
      <c r="C614" s="30"/>
      <c r="D614" s="31"/>
      <c r="E614" s="31"/>
      <c r="F614" s="31"/>
      <c r="G614" s="29"/>
      <c r="H614" s="30"/>
      <c r="I614" s="30"/>
      <c r="J614" s="31"/>
      <c r="K614" s="31"/>
      <c r="L614" s="31"/>
      <c r="M614" s="30"/>
    </row>
    <row r="615" spans="1:13" x14ac:dyDescent="0.3">
      <c r="A615" s="32"/>
      <c r="B615" s="32"/>
      <c r="C615" s="30"/>
      <c r="D615" s="31"/>
      <c r="E615" s="31"/>
      <c r="F615" s="31"/>
      <c r="G615" s="29"/>
      <c r="H615" s="30"/>
      <c r="I615" s="30"/>
      <c r="J615" s="31"/>
      <c r="K615" s="31"/>
      <c r="L615" s="31"/>
      <c r="M615" s="30"/>
    </row>
    <row r="616" spans="1:13" x14ac:dyDescent="0.3">
      <c r="A616" s="32"/>
      <c r="B616" s="32"/>
      <c r="C616" s="30"/>
      <c r="D616" s="31"/>
      <c r="E616" s="31"/>
      <c r="F616" s="31"/>
      <c r="G616" s="29"/>
      <c r="H616" s="30"/>
      <c r="I616" s="30"/>
      <c r="J616" s="31"/>
      <c r="K616" s="31"/>
      <c r="L616" s="31"/>
      <c r="M616" s="30"/>
    </row>
    <row r="617" spans="1:13" x14ac:dyDescent="0.3">
      <c r="A617" s="32"/>
      <c r="B617" s="32"/>
      <c r="C617" s="30"/>
      <c r="D617" s="31"/>
      <c r="E617" s="31"/>
      <c r="F617" s="31"/>
      <c r="G617" s="29"/>
      <c r="H617" s="30"/>
      <c r="I617" s="30"/>
      <c r="J617" s="31"/>
      <c r="K617" s="31"/>
      <c r="L617" s="31"/>
      <c r="M617" s="30"/>
    </row>
    <row r="618" spans="1:13" x14ac:dyDescent="0.3">
      <c r="A618" s="32"/>
      <c r="B618" s="32"/>
      <c r="C618" s="30"/>
      <c r="D618" s="31"/>
      <c r="E618" s="31"/>
      <c r="F618" s="31"/>
      <c r="G618" s="29"/>
      <c r="H618" s="30"/>
      <c r="I618" s="30"/>
      <c r="J618" s="31"/>
      <c r="K618" s="31"/>
      <c r="L618" s="31"/>
      <c r="M618" s="30"/>
    </row>
    <row r="619" spans="1:13" x14ac:dyDescent="0.3">
      <c r="A619" s="32"/>
      <c r="B619" s="32"/>
      <c r="C619" s="30"/>
      <c r="D619" s="31"/>
      <c r="E619" s="31"/>
      <c r="F619" s="31"/>
      <c r="G619" s="29"/>
      <c r="H619" s="30"/>
      <c r="I619" s="30"/>
      <c r="J619" s="31"/>
      <c r="K619" s="31"/>
      <c r="L619" s="31"/>
      <c r="M619" s="30"/>
    </row>
    <row r="620" spans="1:13" x14ac:dyDescent="0.3">
      <c r="A620" s="32"/>
      <c r="B620" s="32"/>
      <c r="C620" s="30"/>
      <c r="D620" s="31"/>
      <c r="E620" s="31"/>
      <c r="F620" s="31"/>
      <c r="G620" s="29"/>
      <c r="H620" s="30"/>
      <c r="I620" s="30"/>
      <c r="J620" s="31"/>
      <c r="K620" s="31"/>
      <c r="L620" s="31"/>
      <c r="M620" s="30"/>
    </row>
    <row r="621" spans="1:13" x14ac:dyDescent="0.3">
      <c r="A621" s="32"/>
      <c r="B621" s="32"/>
      <c r="C621" s="30"/>
      <c r="D621" s="31"/>
      <c r="E621" s="31"/>
      <c r="F621" s="31"/>
      <c r="G621" s="29"/>
      <c r="H621" s="30"/>
      <c r="I621" s="30"/>
      <c r="J621" s="31"/>
      <c r="K621" s="31"/>
      <c r="L621" s="31"/>
      <c r="M621" s="30"/>
    </row>
    <row r="622" spans="1:13" x14ac:dyDescent="0.3">
      <c r="A622" s="32"/>
      <c r="B622" s="32"/>
      <c r="C622" s="30"/>
      <c r="D622" s="31"/>
      <c r="E622" s="31"/>
      <c r="F622" s="31"/>
      <c r="G622" s="29"/>
      <c r="H622" s="30"/>
      <c r="I622" s="30"/>
      <c r="J622" s="31"/>
      <c r="K622" s="31"/>
      <c r="L622" s="31"/>
      <c r="M622" s="30"/>
    </row>
    <row r="623" spans="1:13" x14ac:dyDescent="0.3">
      <c r="A623" s="32"/>
      <c r="B623" s="32"/>
      <c r="C623" s="30"/>
      <c r="D623" s="31"/>
      <c r="E623" s="31"/>
      <c r="F623" s="31"/>
      <c r="G623" s="29"/>
      <c r="H623" s="30"/>
      <c r="I623" s="30"/>
      <c r="J623" s="31"/>
      <c r="K623" s="31"/>
      <c r="L623" s="31"/>
      <c r="M623" s="30"/>
    </row>
    <row r="624" spans="1:13" x14ac:dyDescent="0.3">
      <c r="A624" s="32"/>
      <c r="B624" s="32"/>
      <c r="C624" s="30"/>
      <c r="D624" s="31"/>
      <c r="E624" s="31"/>
      <c r="F624" s="31"/>
      <c r="G624" s="30"/>
      <c r="H624" s="30"/>
      <c r="I624" s="30"/>
      <c r="J624" s="113"/>
      <c r="K624" s="113"/>
      <c r="L624" s="113"/>
      <c r="M624" s="113"/>
    </row>
    <row r="625" spans="1:13" x14ac:dyDescent="0.3">
      <c r="A625" s="32"/>
      <c r="B625" s="32"/>
      <c r="C625" s="30"/>
      <c r="D625" s="31"/>
      <c r="E625" s="31"/>
      <c r="F625" s="31"/>
      <c r="G625" s="30"/>
      <c r="H625" s="30"/>
      <c r="I625" s="30"/>
      <c r="J625" s="113"/>
      <c r="K625" s="113"/>
      <c r="L625" s="113"/>
      <c r="M625" s="113"/>
    </row>
    <row r="626" spans="1:13" x14ac:dyDescent="0.3">
      <c r="A626" s="32"/>
      <c r="B626" s="32"/>
      <c r="C626" s="30"/>
      <c r="D626" s="31"/>
      <c r="E626" s="31"/>
      <c r="F626" s="31"/>
      <c r="G626" s="30"/>
      <c r="H626" s="30"/>
      <c r="I626" s="30"/>
      <c r="J626" s="113"/>
      <c r="K626" s="113"/>
      <c r="L626" s="113"/>
      <c r="M626" s="113"/>
    </row>
    <row r="627" spans="1:13" x14ac:dyDescent="0.3">
      <c r="A627" s="32"/>
      <c r="B627" s="32"/>
      <c r="C627" s="30"/>
      <c r="D627" s="31"/>
      <c r="E627" s="31"/>
      <c r="F627" s="31"/>
      <c r="G627" s="30"/>
      <c r="H627" s="30"/>
      <c r="I627" s="30"/>
      <c r="J627" s="113"/>
      <c r="K627" s="113"/>
      <c r="L627" s="113"/>
      <c r="M627" s="113"/>
    </row>
    <row r="628" spans="1:13" x14ac:dyDescent="0.3">
      <c r="A628" s="32"/>
      <c r="B628" s="32"/>
      <c r="C628" s="30"/>
      <c r="D628" s="31"/>
      <c r="E628" s="31"/>
      <c r="F628" s="31"/>
      <c r="G628" s="30"/>
      <c r="H628" s="30"/>
      <c r="I628" s="30"/>
      <c r="J628" s="113"/>
      <c r="K628" s="113"/>
      <c r="L628" s="113"/>
      <c r="M628" s="113"/>
    </row>
    <row r="629" spans="1:13" x14ac:dyDescent="0.3">
      <c r="A629" s="32"/>
      <c r="B629" s="32"/>
      <c r="C629" s="30"/>
      <c r="D629" s="31"/>
      <c r="E629" s="31"/>
      <c r="F629" s="31"/>
      <c r="G629" s="30"/>
      <c r="H629" s="30"/>
      <c r="I629" s="30"/>
      <c r="J629" s="113"/>
      <c r="K629" s="113"/>
      <c r="L629" s="113"/>
      <c r="M629" s="113"/>
    </row>
    <row r="630" spans="1:13" x14ac:dyDescent="0.3">
      <c r="A630" s="32"/>
      <c r="B630" s="32"/>
      <c r="C630" s="30"/>
      <c r="D630" s="31"/>
      <c r="E630" s="31"/>
      <c r="F630" s="31"/>
      <c r="G630" s="30"/>
      <c r="H630" s="30"/>
      <c r="I630" s="30"/>
      <c r="J630" s="113"/>
      <c r="K630" s="113"/>
      <c r="L630" s="113"/>
      <c r="M630" s="113"/>
    </row>
    <row r="631" spans="1:13" x14ac:dyDescent="0.3">
      <c r="A631" s="32"/>
      <c r="B631" s="32"/>
      <c r="C631" s="30"/>
      <c r="D631" s="31"/>
      <c r="E631" s="31"/>
      <c r="F631" s="31"/>
      <c r="G631" s="30"/>
      <c r="H631" s="30"/>
      <c r="I631" s="30"/>
      <c r="J631" s="113"/>
      <c r="K631" s="113"/>
      <c r="L631" s="113"/>
      <c r="M631" s="113"/>
    </row>
    <row r="632" spans="1:13" x14ac:dyDescent="0.3">
      <c r="A632" s="32"/>
      <c r="B632" s="32"/>
      <c r="C632" s="30"/>
      <c r="D632" s="31"/>
      <c r="E632" s="31"/>
      <c r="F632" s="31"/>
      <c r="G632" s="30"/>
      <c r="H632" s="30"/>
      <c r="I632" s="30"/>
      <c r="J632" s="113"/>
      <c r="K632" s="113"/>
      <c r="L632" s="113"/>
      <c r="M632" s="113"/>
    </row>
    <row r="633" spans="1:13" x14ac:dyDescent="0.3">
      <c r="A633" s="32"/>
      <c r="B633" s="32"/>
      <c r="C633" s="30"/>
      <c r="D633" s="31"/>
      <c r="E633" s="31"/>
      <c r="F633" s="31"/>
      <c r="G633" s="30"/>
      <c r="H633" s="30"/>
      <c r="I633" s="30"/>
      <c r="J633" s="113"/>
      <c r="K633" s="113"/>
      <c r="L633" s="113"/>
      <c r="M633" s="113"/>
    </row>
    <row r="634" spans="1:13" x14ac:dyDescent="0.3">
      <c r="A634" s="32"/>
      <c r="B634" s="32"/>
      <c r="C634" s="30"/>
      <c r="D634" s="31"/>
      <c r="E634" s="31"/>
      <c r="F634" s="31"/>
      <c r="G634" s="30"/>
      <c r="H634" s="30"/>
      <c r="I634" s="30"/>
      <c r="J634" s="113"/>
      <c r="K634" s="113"/>
      <c r="L634" s="113"/>
      <c r="M634" s="113"/>
    </row>
    <row r="635" spans="1:13" x14ac:dyDescent="0.3">
      <c r="A635" s="32"/>
      <c r="B635" s="32"/>
      <c r="C635" s="30"/>
      <c r="D635" s="31"/>
      <c r="E635" s="31"/>
      <c r="F635" s="31"/>
      <c r="G635" s="30"/>
      <c r="H635" s="30"/>
      <c r="I635" s="30"/>
      <c r="J635" s="113"/>
      <c r="K635" s="113"/>
      <c r="L635" s="113"/>
      <c r="M635" s="113"/>
    </row>
    <row r="636" spans="1:13" x14ac:dyDescent="0.3">
      <c r="A636" s="32"/>
      <c r="B636" s="32"/>
      <c r="C636" s="30"/>
      <c r="D636" s="31"/>
      <c r="E636" s="31"/>
      <c r="F636" s="31"/>
      <c r="G636" s="30"/>
      <c r="H636" s="30"/>
      <c r="I636" s="30"/>
      <c r="J636" s="113"/>
      <c r="K636" s="113"/>
      <c r="L636" s="113"/>
      <c r="M636" s="113"/>
    </row>
    <row r="637" spans="1:13" x14ac:dyDescent="0.3">
      <c r="A637" s="32"/>
      <c r="B637" s="32"/>
      <c r="C637" s="30"/>
      <c r="D637" s="31"/>
      <c r="E637" s="31"/>
      <c r="F637" s="31"/>
      <c r="G637" s="30"/>
      <c r="H637" s="30"/>
      <c r="I637" s="30"/>
      <c r="J637" s="113"/>
      <c r="K637" s="113"/>
      <c r="L637" s="113"/>
      <c r="M637" s="113"/>
    </row>
    <row r="638" spans="1:13" x14ac:dyDescent="0.3">
      <c r="A638" s="32"/>
      <c r="B638" s="32"/>
      <c r="C638" s="30"/>
      <c r="D638" s="31"/>
      <c r="E638" s="31"/>
      <c r="F638" s="31"/>
      <c r="G638" s="30"/>
      <c r="H638" s="30"/>
      <c r="I638" s="30"/>
      <c r="J638" s="113"/>
      <c r="K638" s="113"/>
      <c r="L638" s="113"/>
      <c r="M638" s="113"/>
    </row>
    <row r="639" spans="1:13" x14ac:dyDescent="0.3">
      <c r="A639" s="32"/>
      <c r="B639" s="32"/>
      <c r="C639" s="30"/>
      <c r="D639" s="31"/>
      <c r="E639" s="31"/>
      <c r="F639" s="31"/>
      <c r="G639" s="30"/>
      <c r="H639" s="30"/>
      <c r="I639" s="30"/>
      <c r="J639" s="113"/>
      <c r="K639" s="113"/>
      <c r="L639" s="113"/>
      <c r="M639" s="113"/>
    </row>
    <row r="640" spans="1:13" x14ac:dyDescent="0.3">
      <c r="A640" s="32"/>
      <c r="B640" s="32"/>
      <c r="C640" s="30"/>
      <c r="D640" s="31"/>
      <c r="E640" s="31"/>
      <c r="F640" s="31"/>
      <c r="G640" s="30"/>
      <c r="H640" s="30"/>
      <c r="I640" s="30"/>
      <c r="J640" s="113"/>
      <c r="K640" s="113"/>
      <c r="L640" s="113"/>
      <c r="M640" s="113"/>
    </row>
    <row r="641" spans="1:13" x14ac:dyDescent="0.3">
      <c r="A641" s="32"/>
      <c r="B641" s="32"/>
      <c r="C641" s="30"/>
      <c r="D641" s="31"/>
      <c r="E641" s="31"/>
      <c r="F641" s="31"/>
      <c r="G641" s="30"/>
      <c r="H641" s="30"/>
      <c r="I641" s="30"/>
      <c r="J641" s="113"/>
      <c r="K641" s="113"/>
      <c r="L641" s="113"/>
      <c r="M641" s="113"/>
    </row>
    <row r="642" spans="1:13" x14ac:dyDescent="0.3">
      <c r="A642" s="32"/>
      <c r="B642" s="32"/>
      <c r="C642" s="30"/>
      <c r="D642" s="31"/>
      <c r="E642" s="31"/>
      <c r="F642" s="31"/>
      <c r="G642" s="30"/>
      <c r="H642" s="30"/>
      <c r="I642" s="30"/>
      <c r="J642" s="113"/>
      <c r="K642" s="113"/>
      <c r="L642" s="113"/>
      <c r="M642" s="113"/>
    </row>
    <row r="643" spans="1:13" x14ac:dyDescent="0.3">
      <c r="A643" s="32"/>
      <c r="B643" s="32"/>
      <c r="C643" s="30"/>
      <c r="D643" s="31"/>
      <c r="E643" s="31"/>
      <c r="F643" s="31"/>
      <c r="G643" s="30"/>
      <c r="H643" s="30"/>
      <c r="I643" s="30"/>
      <c r="J643" s="113"/>
      <c r="K643" s="113"/>
      <c r="L643" s="113"/>
      <c r="M643" s="113"/>
    </row>
    <row r="644" spans="1:13" x14ac:dyDescent="0.3">
      <c r="A644" s="32"/>
      <c r="B644" s="32"/>
      <c r="C644" s="30"/>
      <c r="D644" s="31"/>
      <c r="E644" s="31"/>
      <c r="F644" s="31"/>
      <c r="G644" s="30"/>
      <c r="H644" s="30"/>
      <c r="I644" s="30"/>
      <c r="J644" s="113"/>
      <c r="K644" s="113"/>
      <c r="L644" s="113"/>
      <c r="M644" s="113"/>
    </row>
    <row r="645" spans="1:13" x14ac:dyDescent="0.3">
      <c r="A645" s="32"/>
      <c r="B645" s="32"/>
      <c r="C645" s="30"/>
      <c r="D645" s="31"/>
      <c r="E645" s="31"/>
      <c r="F645" s="31"/>
      <c r="G645" s="30"/>
      <c r="H645" s="30"/>
      <c r="I645" s="30"/>
      <c r="J645" s="113"/>
      <c r="K645" s="113"/>
      <c r="L645" s="113"/>
      <c r="M645" s="113"/>
    </row>
    <row r="646" spans="1:13" x14ac:dyDescent="0.3">
      <c r="A646" s="32"/>
      <c r="B646" s="32"/>
      <c r="C646" s="30"/>
      <c r="D646" s="31"/>
      <c r="E646" s="31"/>
      <c r="F646" s="31"/>
      <c r="G646" s="30"/>
      <c r="H646" s="30"/>
      <c r="I646" s="30"/>
      <c r="J646" s="113"/>
      <c r="K646" s="113"/>
      <c r="L646" s="113"/>
      <c r="M646" s="113"/>
    </row>
    <row r="647" spans="1:13" x14ac:dyDescent="0.3">
      <c r="A647" s="32"/>
      <c r="B647" s="32"/>
      <c r="C647" s="30"/>
      <c r="D647" s="31"/>
      <c r="E647" s="31"/>
      <c r="F647" s="31"/>
      <c r="G647" s="30"/>
      <c r="H647" s="30"/>
      <c r="I647" s="30"/>
      <c r="J647" s="113"/>
      <c r="K647" s="113"/>
      <c r="L647" s="113"/>
      <c r="M647" s="113"/>
    </row>
    <row r="648" spans="1:13" x14ac:dyDescent="0.3">
      <c r="A648" s="32"/>
      <c r="B648" s="32"/>
      <c r="C648" s="30"/>
      <c r="D648" s="31"/>
      <c r="E648" s="31"/>
      <c r="F648" s="31"/>
      <c r="G648" s="30"/>
      <c r="H648" s="30"/>
      <c r="I648" s="30"/>
      <c r="J648" s="113"/>
      <c r="K648" s="113"/>
      <c r="L648" s="113"/>
      <c r="M648" s="113"/>
    </row>
    <row r="649" spans="1:13" x14ac:dyDescent="0.3">
      <c r="A649" s="32"/>
      <c r="B649" s="32"/>
      <c r="C649" s="30"/>
      <c r="D649" s="31"/>
      <c r="E649" s="31"/>
      <c r="F649" s="31"/>
      <c r="G649" s="30"/>
      <c r="H649" s="30"/>
      <c r="I649" s="30"/>
      <c r="J649" s="113"/>
      <c r="K649" s="113"/>
      <c r="L649" s="113"/>
      <c r="M649" s="113"/>
    </row>
    <row r="650" spans="1:13" x14ac:dyDescent="0.3">
      <c r="A650" s="32"/>
      <c r="B650" s="32"/>
      <c r="C650" s="30"/>
      <c r="D650" s="31"/>
      <c r="E650" s="31"/>
      <c r="F650" s="31"/>
      <c r="G650" s="30"/>
      <c r="H650" s="30"/>
      <c r="I650" s="30"/>
      <c r="J650" s="113"/>
      <c r="K650" s="113"/>
      <c r="L650" s="113"/>
      <c r="M650" s="113"/>
    </row>
    <row r="651" spans="1:13" x14ac:dyDescent="0.3">
      <c r="A651" s="32"/>
      <c r="B651" s="32"/>
      <c r="C651" s="30"/>
      <c r="D651" s="31"/>
      <c r="E651" s="31"/>
      <c r="F651" s="31"/>
      <c r="G651" s="30"/>
      <c r="H651" s="30"/>
      <c r="I651" s="30"/>
      <c r="J651" s="113"/>
      <c r="K651" s="113"/>
      <c r="L651" s="113"/>
      <c r="M651" s="113"/>
    </row>
    <row r="652" spans="1:13" x14ac:dyDescent="0.3">
      <c r="A652" s="32"/>
      <c r="B652" s="32"/>
      <c r="C652" s="30"/>
      <c r="D652" s="31"/>
      <c r="E652" s="31"/>
      <c r="F652" s="31"/>
      <c r="G652" s="30"/>
      <c r="H652" s="30"/>
      <c r="I652" s="30"/>
      <c r="J652" s="113"/>
      <c r="K652" s="113"/>
      <c r="L652" s="113"/>
      <c r="M652" s="113"/>
    </row>
    <row r="653" spans="1:13" x14ac:dyDescent="0.3">
      <c r="A653" s="32"/>
      <c r="B653" s="32"/>
      <c r="C653" s="30"/>
      <c r="D653" s="31"/>
      <c r="E653" s="31"/>
      <c r="F653" s="31"/>
      <c r="G653" s="30"/>
      <c r="H653" s="30"/>
      <c r="I653" s="30"/>
      <c r="J653" s="113"/>
      <c r="K653" s="113"/>
      <c r="L653" s="113"/>
      <c r="M653" s="113"/>
    </row>
    <row r="654" spans="1:13" x14ac:dyDescent="0.3">
      <c r="A654" s="32"/>
      <c r="B654" s="32"/>
      <c r="C654" s="30"/>
      <c r="D654" s="31"/>
      <c r="E654" s="31"/>
      <c r="F654" s="31"/>
      <c r="G654" s="30"/>
      <c r="H654" s="30"/>
      <c r="I654" s="30"/>
      <c r="J654" s="113"/>
      <c r="K654" s="113"/>
      <c r="L654" s="113"/>
      <c r="M654" s="113"/>
    </row>
    <row r="655" spans="1:13" x14ac:dyDescent="0.3">
      <c r="A655" s="32"/>
      <c r="B655" s="32"/>
      <c r="C655" s="30"/>
      <c r="D655" s="31"/>
      <c r="E655" s="31"/>
      <c r="F655" s="31"/>
      <c r="G655" s="30"/>
      <c r="H655" s="30"/>
      <c r="I655" s="30"/>
      <c r="J655" s="113"/>
      <c r="K655" s="113"/>
      <c r="L655" s="113"/>
      <c r="M655" s="113"/>
    </row>
    <row r="656" spans="1:13" x14ac:dyDescent="0.3">
      <c r="A656" s="32"/>
      <c r="B656" s="32"/>
      <c r="C656" s="30"/>
      <c r="D656" s="31"/>
      <c r="E656" s="31"/>
      <c r="F656" s="31"/>
      <c r="G656" s="30"/>
      <c r="H656" s="30"/>
      <c r="I656" s="30"/>
      <c r="J656" s="113"/>
      <c r="K656" s="113"/>
      <c r="L656" s="113"/>
      <c r="M656" s="113"/>
    </row>
    <row r="657" spans="1:13" x14ac:dyDescent="0.3">
      <c r="A657" s="32"/>
      <c r="B657" s="32"/>
      <c r="C657" s="30"/>
      <c r="D657" s="31"/>
      <c r="E657" s="31"/>
      <c r="F657" s="31"/>
      <c r="G657" s="30"/>
      <c r="H657" s="30"/>
      <c r="I657" s="30"/>
      <c r="J657" s="113"/>
      <c r="K657" s="113"/>
      <c r="L657" s="113"/>
      <c r="M657" s="113"/>
    </row>
    <row r="658" spans="1:13" x14ac:dyDescent="0.3">
      <c r="A658" s="32"/>
      <c r="B658" s="32"/>
      <c r="C658" s="30"/>
      <c r="D658" s="31"/>
      <c r="E658" s="31"/>
      <c r="F658" s="31"/>
      <c r="G658" s="30"/>
      <c r="H658" s="30"/>
      <c r="I658" s="30"/>
      <c r="J658" s="113"/>
      <c r="K658" s="113"/>
      <c r="L658" s="113"/>
      <c r="M658" s="113"/>
    </row>
    <row r="659" spans="1:13" x14ac:dyDescent="0.3">
      <c r="A659" s="32"/>
      <c r="B659" s="32"/>
      <c r="C659" s="30"/>
      <c r="D659" s="31"/>
      <c r="E659" s="31"/>
      <c r="F659" s="31"/>
      <c r="G659" s="30"/>
      <c r="H659" s="30"/>
      <c r="I659" s="30"/>
      <c r="J659" s="113"/>
      <c r="K659" s="113"/>
      <c r="L659" s="113"/>
      <c r="M659" s="113"/>
    </row>
    <row r="660" spans="1:13" x14ac:dyDescent="0.3">
      <c r="A660" s="32"/>
      <c r="B660" s="32"/>
      <c r="C660" s="30"/>
      <c r="D660" s="31"/>
      <c r="E660" s="31"/>
      <c r="F660" s="31"/>
      <c r="G660" s="30"/>
      <c r="H660" s="30"/>
      <c r="I660" s="30"/>
      <c r="J660" s="113"/>
      <c r="K660" s="113"/>
      <c r="L660" s="113"/>
      <c r="M660" s="113"/>
    </row>
    <row r="661" spans="1:13" x14ac:dyDescent="0.3">
      <c r="A661" s="32"/>
      <c r="B661" s="32"/>
      <c r="C661" s="30"/>
      <c r="D661" s="31"/>
      <c r="E661" s="31"/>
      <c r="F661" s="31"/>
      <c r="G661" s="30"/>
      <c r="H661" s="30"/>
      <c r="I661" s="30"/>
      <c r="J661" s="113"/>
      <c r="K661" s="113"/>
      <c r="L661" s="113"/>
      <c r="M661" s="113"/>
    </row>
    <row r="662" spans="1:13" x14ac:dyDescent="0.3">
      <c r="A662" s="32"/>
      <c r="B662" s="32"/>
      <c r="C662" s="30"/>
      <c r="D662" s="31"/>
      <c r="E662" s="31"/>
      <c r="F662" s="31"/>
      <c r="G662" s="30"/>
      <c r="H662" s="30"/>
      <c r="I662" s="30"/>
      <c r="J662" s="113"/>
      <c r="K662" s="113"/>
      <c r="L662" s="113"/>
      <c r="M662" s="113"/>
    </row>
    <row r="663" spans="1:13" x14ac:dyDescent="0.3">
      <c r="A663" s="32"/>
      <c r="B663" s="32"/>
      <c r="C663" s="30"/>
      <c r="D663" s="31"/>
      <c r="E663" s="31"/>
      <c r="F663" s="31"/>
      <c r="G663" s="30"/>
      <c r="H663" s="30"/>
      <c r="I663" s="30"/>
      <c r="J663" s="113"/>
      <c r="K663" s="113"/>
      <c r="L663" s="113"/>
      <c r="M663" s="113"/>
    </row>
    <row r="664" spans="1:13" x14ac:dyDescent="0.3">
      <c r="A664" s="32"/>
      <c r="B664" s="32"/>
      <c r="C664" s="30"/>
      <c r="D664" s="31"/>
      <c r="E664" s="31"/>
      <c r="F664" s="31"/>
      <c r="G664" s="30"/>
      <c r="H664" s="30"/>
      <c r="I664" s="30"/>
      <c r="J664" s="113"/>
      <c r="K664" s="113"/>
      <c r="L664" s="113"/>
      <c r="M664" s="113"/>
    </row>
    <row r="665" spans="1:13" x14ac:dyDescent="0.3">
      <c r="A665" s="32"/>
      <c r="B665" s="32"/>
      <c r="C665" s="30"/>
      <c r="D665" s="31"/>
      <c r="E665" s="31"/>
      <c r="F665" s="31"/>
      <c r="G665" s="30"/>
      <c r="H665" s="30"/>
      <c r="I665" s="30"/>
      <c r="J665" s="113"/>
      <c r="K665" s="113"/>
      <c r="L665" s="113"/>
      <c r="M665" s="113"/>
    </row>
    <row r="666" spans="1:13" x14ac:dyDescent="0.3">
      <c r="A666" s="32"/>
      <c r="B666" s="32"/>
      <c r="C666" s="30"/>
      <c r="D666" s="31"/>
      <c r="E666" s="31"/>
      <c r="F666" s="31"/>
      <c r="G666" s="30"/>
      <c r="H666" s="30"/>
      <c r="I666" s="30"/>
      <c r="J666" s="113"/>
      <c r="K666" s="113"/>
      <c r="L666" s="113"/>
      <c r="M666" s="113"/>
    </row>
    <row r="667" spans="1:13" x14ac:dyDescent="0.3">
      <c r="A667" s="32"/>
      <c r="B667" s="32"/>
      <c r="C667" s="30"/>
      <c r="D667" s="31"/>
      <c r="E667" s="31"/>
      <c r="F667" s="31"/>
      <c r="G667" s="30"/>
      <c r="H667" s="30"/>
      <c r="I667" s="30"/>
      <c r="J667" s="113"/>
      <c r="K667" s="113"/>
      <c r="L667" s="113"/>
      <c r="M667" s="113"/>
    </row>
    <row r="668" spans="1:13" x14ac:dyDescent="0.3">
      <c r="A668" s="32"/>
      <c r="B668" s="32"/>
      <c r="C668" s="30"/>
      <c r="D668" s="31"/>
      <c r="E668" s="31"/>
      <c r="F668" s="31"/>
      <c r="G668" s="30"/>
      <c r="H668" s="30"/>
      <c r="I668" s="30"/>
      <c r="J668" s="113"/>
      <c r="K668" s="113"/>
      <c r="L668" s="113"/>
      <c r="M668" s="113"/>
    </row>
    <row r="669" spans="1:13" x14ac:dyDescent="0.3">
      <c r="A669" s="32"/>
      <c r="B669" s="32"/>
      <c r="C669" s="30"/>
      <c r="D669" s="31"/>
      <c r="E669" s="31"/>
      <c r="F669" s="31"/>
      <c r="G669" s="30"/>
      <c r="H669" s="30"/>
      <c r="I669" s="30"/>
      <c r="J669" s="113"/>
      <c r="K669" s="113"/>
      <c r="L669" s="113"/>
      <c r="M669" s="113"/>
    </row>
    <row r="670" spans="1:13" x14ac:dyDescent="0.3">
      <c r="A670" s="32"/>
      <c r="B670" s="32"/>
      <c r="C670" s="30"/>
      <c r="D670" s="31"/>
      <c r="E670" s="31"/>
      <c r="F670" s="31"/>
      <c r="G670" s="30"/>
      <c r="H670" s="30"/>
      <c r="I670" s="30"/>
      <c r="J670" s="113"/>
      <c r="K670" s="113"/>
      <c r="L670" s="113"/>
      <c r="M670" s="113"/>
    </row>
    <row r="671" spans="1:13" x14ac:dyDescent="0.3">
      <c r="A671" s="32"/>
      <c r="B671" s="32"/>
      <c r="C671" s="30"/>
      <c r="D671" s="31"/>
      <c r="E671" s="31"/>
      <c r="F671" s="31"/>
      <c r="G671" s="30"/>
      <c r="H671" s="30"/>
      <c r="I671" s="30"/>
      <c r="J671" s="113"/>
      <c r="K671" s="113"/>
      <c r="L671" s="113"/>
      <c r="M671" s="113"/>
    </row>
    <row r="672" spans="1:13" x14ac:dyDescent="0.3">
      <c r="A672" s="32"/>
      <c r="B672" s="32"/>
      <c r="C672" s="30"/>
      <c r="D672" s="31"/>
      <c r="E672" s="31"/>
      <c r="F672" s="31"/>
      <c r="G672" s="30"/>
      <c r="H672" s="30"/>
      <c r="I672" s="30"/>
      <c r="J672" s="113"/>
      <c r="K672" s="113"/>
      <c r="L672" s="113"/>
      <c r="M672" s="113"/>
    </row>
    <row r="673" spans="1:13" x14ac:dyDescent="0.3">
      <c r="A673" s="32"/>
      <c r="B673" s="32"/>
      <c r="C673" s="30"/>
      <c r="D673" s="31"/>
      <c r="E673" s="31"/>
      <c r="F673" s="31"/>
      <c r="G673" s="30"/>
      <c r="H673" s="30"/>
      <c r="I673" s="30"/>
      <c r="J673" s="113"/>
      <c r="K673" s="113"/>
      <c r="L673" s="113"/>
      <c r="M673" s="113"/>
    </row>
    <row r="674" spans="1:13" x14ac:dyDescent="0.3">
      <c r="A674" s="32"/>
      <c r="B674" s="32"/>
      <c r="C674" s="30"/>
      <c r="D674" s="31"/>
      <c r="E674" s="31"/>
      <c r="F674" s="31"/>
      <c r="G674" s="30"/>
      <c r="H674" s="30"/>
      <c r="I674" s="30"/>
      <c r="J674" s="113"/>
      <c r="K674" s="113"/>
      <c r="L674" s="113"/>
      <c r="M674" s="113"/>
    </row>
    <row r="675" spans="1:13" x14ac:dyDescent="0.3">
      <c r="A675" s="32"/>
      <c r="B675" s="32"/>
      <c r="C675" s="30"/>
      <c r="D675" s="31"/>
      <c r="E675" s="31"/>
      <c r="F675" s="31"/>
      <c r="G675" s="30"/>
      <c r="H675" s="30"/>
      <c r="I675" s="30"/>
      <c r="J675" s="113"/>
      <c r="K675" s="113"/>
      <c r="L675" s="113"/>
      <c r="M675" s="113"/>
    </row>
    <row r="676" spans="1:13" x14ac:dyDescent="0.3">
      <c r="A676" s="32"/>
      <c r="B676" s="32"/>
      <c r="C676" s="30"/>
      <c r="D676" s="31"/>
      <c r="E676" s="31"/>
      <c r="F676" s="31"/>
      <c r="G676" s="30"/>
      <c r="H676" s="30"/>
      <c r="I676" s="30"/>
      <c r="J676" s="113"/>
      <c r="K676" s="113"/>
      <c r="L676" s="113"/>
      <c r="M676" s="113"/>
    </row>
    <row r="677" spans="1:13" x14ac:dyDescent="0.3">
      <c r="A677" s="32"/>
      <c r="B677" s="32"/>
      <c r="C677" s="30"/>
      <c r="D677" s="31"/>
      <c r="E677" s="31"/>
      <c r="F677" s="31"/>
      <c r="G677" s="30"/>
      <c r="H677" s="30"/>
      <c r="I677" s="30"/>
      <c r="J677" s="113"/>
      <c r="K677" s="113"/>
      <c r="L677" s="113"/>
      <c r="M677" s="113"/>
    </row>
    <row r="678" spans="1:13" x14ac:dyDescent="0.3">
      <c r="A678" s="32"/>
      <c r="B678" s="32"/>
      <c r="C678" s="30"/>
      <c r="D678" s="31"/>
      <c r="E678" s="31"/>
      <c r="F678" s="31"/>
      <c r="G678" s="30"/>
      <c r="H678" s="30"/>
      <c r="I678" s="30"/>
      <c r="J678" s="113"/>
      <c r="K678" s="113"/>
      <c r="L678" s="113"/>
      <c r="M678" s="113"/>
    </row>
    <row r="679" spans="1:13" x14ac:dyDescent="0.3">
      <c r="A679" s="32"/>
      <c r="B679" s="32"/>
      <c r="C679" s="30"/>
      <c r="D679" s="31"/>
      <c r="E679" s="31"/>
      <c r="F679" s="31"/>
      <c r="G679" s="30"/>
      <c r="H679" s="30"/>
      <c r="I679" s="30"/>
      <c r="J679" s="113"/>
      <c r="K679" s="113"/>
      <c r="L679" s="113"/>
      <c r="M679" s="113"/>
    </row>
    <row r="680" spans="1:13" x14ac:dyDescent="0.3">
      <c r="A680" s="32"/>
      <c r="B680" s="32"/>
      <c r="C680" s="30"/>
      <c r="D680" s="31"/>
      <c r="E680" s="31"/>
      <c r="F680" s="31"/>
      <c r="G680" s="30"/>
      <c r="H680" s="30"/>
      <c r="I680" s="30"/>
      <c r="J680" s="113"/>
      <c r="K680" s="113"/>
      <c r="L680" s="113"/>
      <c r="M680" s="113"/>
    </row>
    <row r="681" spans="1:13" x14ac:dyDescent="0.3">
      <c r="A681" s="32"/>
      <c r="B681" s="32"/>
      <c r="C681" s="30"/>
      <c r="D681" s="31"/>
      <c r="E681" s="31"/>
      <c r="F681" s="31"/>
      <c r="G681" s="30"/>
      <c r="H681" s="30"/>
      <c r="I681" s="30"/>
      <c r="J681" s="113"/>
      <c r="K681" s="113"/>
      <c r="L681" s="113"/>
      <c r="M681" s="113"/>
    </row>
    <row r="682" spans="1:13" x14ac:dyDescent="0.3">
      <c r="A682" s="32"/>
      <c r="B682" s="32"/>
      <c r="C682" s="30"/>
      <c r="D682" s="31"/>
      <c r="E682" s="31"/>
      <c r="F682" s="31"/>
      <c r="G682" s="30"/>
      <c r="H682" s="30"/>
      <c r="I682" s="30"/>
      <c r="J682" s="113"/>
      <c r="K682" s="113"/>
      <c r="L682" s="113"/>
      <c r="M682" s="113"/>
    </row>
    <row r="683" spans="1:13" x14ac:dyDescent="0.3">
      <c r="A683" s="32"/>
      <c r="B683" s="32"/>
      <c r="C683" s="30"/>
      <c r="D683" s="31"/>
      <c r="E683" s="31"/>
      <c r="F683" s="31"/>
      <c r="G683" s="30"/>
      <c r="H683" s="30"/>
      <c r="I683" s="30"/>
      <c r="J683" s="113"/>
      <c r="K683" s="113"/>
      <c r="L683" s="113"/>
      <c r="M683" s="113"/>
    </row>
    <row r="684" spans="1:13" x14ac:dyDescent="0.3">
      <c r="A684" s="32"/>
      <c r="B684" s="32"/>
      <c r="C684" s="30"/>
      <c r="D684" s="31"/>
      <c r="E684" s="31"/>
      <c r="F684" s="31"/>
      <c r="G684" s="30"/>
      <c r="H684" s="30"/>
      <c r="I684" s="30"/>
      <c r="J684" s="113"/>
      <c r="K684" s="113"/>
      <c r="L684" s="113"/>
      <c r="M684" s="113"/>
    </row>
    <row r="685" spans="1:13" x14ac:dyDescent="0.3">
      <c r="A685" s="32"/>
      <c r="B685" s="32"/>
      <c r="C685" s="30"/>
      <c r="D685" s="31"/>
      <c r="E685" s="31"/>
      <c r="F685" s="31"/>
      <c r="G685" s="30"/>
      <c r="H685" s="30"/>
      <c r="I685" s="30"/>
      <c r="J685" s="113"/>
      <c r="K685" s="113"/>
      <c r="L685" s="113"/>
      <c r="M685" s="113"/>
    </row>
    <row r="686" spans="1:13" x14ac:dyDescent="0.3">
      <c r="A686" s="32"/>
      <c r="B686" s="32"/>
      <c r="C686" s="30"/>
      <c r="D686" s="31"/>
      <c r="E686" s="31"/>
      <c r="F686" s="31"/>
      <c r="G686" s="30"/>
      <c r="H686" s="30"/>
      <c r="I686" s="30"/>
      <c r="J686" s="113"/>
      <c r="K686" s="113"/>
      <c r="L686" s="113"/>
      <c r="M686" s="113"/>
    </row>
    <row r="687" spans="1:13" x14ac:dyDescent="0.3">
      <c r="A687" s="32"/>
      <c r="B687" s="32"/>
      <c r="C687" s="30"/>
      <c r="D687" s="31"/>
      <c r="E687" s="31"/>
      <c r="F687" s="31"/>
      <c r="G687" s="30"/>
      <c r="H687" s="30"/>
      <c r="I687" s="30"/>
      <c r="J687" s="113"/>
      <c r="K687" s="113"/>
      <c r="L687" s="113"/>
      <c r="M687" s="113"/>
    </row>
    <row r="688" spans="1:13" x14ac:dyDescent="0.3">
      <c r="A688" s="32"/>
      <c r="B688" s="32"/>
      <c r="C688" s="30"/>
      <c r="D688" s="31"/>
      <c r="E688" s="31"/>
      <c r="F688" s="31"/>
      <c r="G688" s="30"/>
      <c r="H688" s="30"/>
      <c r="I688" s="30"/>
      <c r="J688" s="113"/>
      <c r="K688" s="113"/>
      <c r="L688" s="113"/>
      <c r="M688" s="113"/>
    </row>
    <row r="689" spans="1:13" x14ac:dyDescent="0.3">
      <c r="A689" s="32"/>
      <c r="B689" s="32"/>
      <c r="C689" s="30"/>
      <c r="D689" s="31"/>
      <c r="E689" s="31"/>
      <c r="F689" s="31"/>
      <c r="G689" s="30"/>
      <c r="H689" s="30"/>
      <c r="I689" s="30"/>
      <c r="J689" s="113"/>
      <c r="K689" s="113"/>
      <c r="L689" s="113"/>
      <c r="M689" s="113"/>
    </row>
    <row r="690" spans="1:13" x14ac:dyDescent="0.3">
      <c r="A690" s="32"/>
      <c r="B690" s="32"/>
      <c r="C690" s="30"/>
      <c r="D690" s="31"/>
      <c r="E690" s="31"/>
      <c r="F690" s="31"/>
      <c r="G690" s="30"/>
      <c r="H690" s="30"/>
      <c r="I690" s="30"/>
      <c r="J690" s="113"/>
      <c r="K690" s="113"/>
      <c r="L690" s="113"/>
      <c r="M690" s="113"/>
    </row>
    <row r="691" spans="1:13" x14ac:dyDescent="0.3">
      <c r="A691" s="32"/>
      <c r="B691" s="32"/>
      <c r="C691" s="30"/>
      <c r="D691" s="31"/>
      <c r="E691" s="31"/>
      <c r="F691" s="31"/>
      <c r="G691" s="30"/>
      <c r="H691" s="30"/>
      <c r="I691" s="30"/>
      <c r="J691" s="113"/>
      <c r="K691" s="113"/>
      <c r="L691" s="113"/>
      <c r="M691" s="113"/>
    </row>
    <row r="692" spans="1:13" x14ac:dyDescent="0.3">
      <c r="A692" s="32"/>
      <c r="B692" s="32"/>
      <c r="C692" s="30"/>
      <c r="D692" s="31"/>
      <c r="E692" s="31"/>
      <c r="F692" s="31"/>
      <c r="G692" s="30"/>
      <c r="H692" s="30"/>
      <c r="I692" s="30"/>
      <c r="J692" s="113"/>
      <c r="K692" s="113"/>
      <c r="L692" s="113"/>
      <c r="M692" s="113"/>
    </row>
    <row r="693" spans="1:13" x14ac:dyDescent="0.3">
      <c r="A693" s="32"/>
      <c r="B693" s="32"/>
      <c r="C693" s="30"/>
      <c r="D693" s="31"/>
      <c r="E693" s="31"/>
      <c r="F693" s="31"/>
      <c r="G693" s="30"/>
      <c r="H693" s="30"/>
      <c r="I693" s="30"/>
      <c r="J693" s="113"/>
      <c r="K693" s="113"/>
      <c r="L693" s="113"/>
      <c r="M693" s="113"/>
    </row>
    <row r="694" spans="1:13" x14ac:dyDescent="0.3">
      <c r="A694" s="32"/>
      <c r="B694" s="32"/>
      <c r="C694" s="30"/>
      <c r="D694" s="31"/>
      <c r="E694" s="31"/>
      <c r="F694" s="31"/>
      <c r="G694" s="30"/>
      <c r="H694" s="30"/>
      <c r="I694" s="30"/>
      <c r="J694" s="113"/>
      <c r="K694" s="113"/>
      <c r="L694" s="113"/>
      <c r="M694" s="113"/>
    </row>
    <row r="695" spans="1:13" x14ac:dyDescent="0.3">
      <c r="A695" s="32"/>
      <c r="B695" s="32"/>
      <c r="C695" s="30"/>
      <c r="D695" s="31"/>
      <c r="E695" s="31"/>
      <c r="F695" s="31"/>
      <c r="G695" s="30"/>
      <c r="H695" s="30"/>
      <c r="I695" s="30"/>
      <c r="J695" s="113"/>
      <c r="K695" s="113"/>
      <c r="L695" s="113"/>
      <c r="M695" s="113"/>
    </row>
    <row r="696" spans="1:13" x14ac:dyDescent="0.3">
      <c r="A696" s="32"/>
      <c r="B696" s="32"/>
      <c r="C696" s="30"/>
      <c r="D696" s="31"/>
      <c r="E696" s="31"/>
      <c r="F696" s="31"/>
      <c r="G696" s="30"/>
      <c r="H696" s="30"/>
      <c r="I696" s="30"/>
      <c r="J696" s="113"/>
      <c r="K696" s="113"/>
      <c r="L696" s="113"/>
      <c r="M696" s="113"/>
    </row>
    <row r="697" spans="1:13" x14ac:dyDescent="0.3">
      <c r="A697" s="32"/>
      <c r="B697" s="32"/>
      <c r="C697" s="30"/>
      <c r="D697" s="31"/>
      <c r="E697" s="31"/>
      <c r="F697" s="31"/>
      <c r="G697" s="30"/>
      <c r="H697" s="30"/>
      <c r="I697" s="30"/>
      <c r="J697" s="113"/>
      <c r="K697" s="113"/>
      <c r="L697" s="113"/>
      <c r="M697" s="113"/>
    </row>
    <row r="698" spans="1:13" x14ac:dyDescent="0.3">
      <c r="A698" s="32"/>
      <c r="B698" s="32"/>
      <c r="C698" s="30"/>
      <c r="D698" s="31"/>
      <c r="E698" s="31"/>
      <c r="F698" s="31"/>
      <c r="G698" s="30"/>
      <c r="H698" s="30"/>
      <c r="I698" s="30"/>
      <c r="J698" s="113"/>
      <c r="K698" s="113"/>
      <c r="L698" s="113"/>
      <c r="M698" s="113"/>
    </row>
    <row r="699" spans="1:13" x14ac:dyDescent="0.3">
      <c r="A699" s="32"/>
      <c r="B699" s="32"/>
      <c r="C699" s="30"/>
      <c r="D699" s="31"/>
      <c r="E699" s="31"/>
      <c r="F699" s="31"/>
      <c r="G699" s="30"/>
      <c r="H699" s="30"/>
      <c r="I699" s="30"/>
      <c r="J699" s="113"/>
      <c r="K699" s="113"/>
      <c r="L699" s="113"/>
      <c r="M699" s="113"/>
    </row>
    <row r="700" spans="1:13" x14ac:dyDescent="0.3">
      <c r="A700" s="32"/>
      <c r="B700" s="32"/>
      <c r="C700" s="30"/>
      <c r="D700" s="31"/>
      <c r="E700" s="31"/>
      <c r="F700" s="31"/>
      <c r="G700" s="30"/>
      <c r="H700" s="30"/>
      <c r="I700" s="30"/>
      <c r="J700" s="113"/>
      <c r="K700" s="113"/>
      <c r="L700" s="113"/>
      <c r="M700" s="113"/>
    </row>
    <row r="701" spans="1:13" x14ac:dyDescent="0.3">
      <c r="A701" s="32"/>
      <c r="B701" s="32"/>
      <c r="C701" s="30"/>
      <c r="D701" s="31"/>
      <c r="E701" s="31"/>
      <c r="F701" s="31"/>
      <c r="G701" s="30"/>
      <c r="H701" s="30"/>
      <c r="I701" s="30"/>
      <c r="J701" s="113"/>
      <c r="K701" s="113"/>
      <c r="L701" s="113"/>
      <c r="M701" s="113"/>
    </row>
    <row r="702" spans="1:13" x14ac:dyDescent="0.3">
      <c r="A702" s="32"/>
      <c r="B702" s="32"/>
      <c r="C702" s="30"/>
      <c r="D702" s="31"/>
      <c r="E702" s="31"/>
      <c r="F702" s="31"/>
      <c r="G702" s="30"/>
      <c r="H702" s="30"/>
      <c r="I702" s="30"/>
      <c r="J702" s="113"/>
      <c r="K702" s="113"/>
      <c r="L702" s="113"/>
      <c r="M702" s="113"/>
    </row>
    <row r="703" spans="1:13" x14ac:dyDescent="0.3">
      <c r="A703" s="32"/>
      <c r="B703" s="32"/>
      <c r="C703" s="30"/>
      <c r="D703" s="31"/>
      <c r="E703" s="31"/>
      <c r="F703" s="31"/>
      <c r="G703" s="30"/>
      <c r="H703" s="30"/>
      <c r="I703" s="30"/>
      <c r="J703" s="113"/>
      <c r="K703" s="113"/>
      <c r="L703" s="113"/>
      <c r="M703" s="113"/>
    </row>
    <row r="704" spans="1:13" x14ac:dyDescent="0.3">
      <c r="A704" s="32"/>
      <c r="B704" s="32"/>
      <c r="C704" s="30"/>
      <c r="D704" s="31"/>
      <c r="E704" s="31"/>
      <c r="F704" s="31"/>
      <c r="G704" s="30"/>
      <c r="H704" s="30"/>
      <c r="I704" s="30"/>
      <c r="J704" s="113"/>
      <c r="K704" s="113"/>
      <c r="L704" s="113"/>
      <c r="M704" s="113"/>
    </row>
    <row r="705" spans="1:13" x14ac:dyDescent="0.3">
      <c r="A705" s="32"/>
      <c r="B705" s="32"/>
      <c r="C705" s="30"/>
      <c r="D705" s="31"/>
      <c r="E705" s="31"/>
      <c r="F705" s="31"/>
      <c r="G705" s="30"/>
      <c r="H705" s="30"/>
      <c r="I705" s="30"/>
      <c r="J705" s="113"/>
      <c r="K705" s="113"/>
      <c r="L705" s="113"/>
      <c r="M705" s="113"/>
    </row>
    <row r="706" spans="1:13" x14ac:dyDescent="0.3">
      <c r="A706" s="32"/>
      <c r="B706" s="32"/>
      <c r="C706" s="30"/>
      <c r="D706" s="31"/>
      <c r="E706" s="31"/>
      <c r="F706" s="31"/>
      <c r="G706" s="30"/>
      <c r="H706" s="30"/>
      <c r="I706" s="30"/>
      <c r="J706" s="113"/>
      <c r="K706" s="113"/>
      <c r="L706" s="113"/>
      <c r="M706" s="113"/>
    </row>
    <row r="707" spans="1:13" x14ac:dyDescent="0.3">
      <c r="A707" s="32"/>
      <c r="B707" s="32"/>
      <c r="C707" s="30"/>
      <c r="D707" s="31"/>
      <c r="E707" s="31"/>
      <c r="F707" s="31"/>
      <c r="G707" s="30"/>
      <c r="H707" s="30"/>
      <c r="I707" s="30"/>
      <c r="J707" s="113"/>
      <c r="K707" s="113"/>
      <c r="L707" s="113"/>
      <c r="M707" s="113"/>
    </row>
    <row r="708" spans="1:13" x14ac:dyDescent="0.3">
      <c r="A708" s="32"/>
      <c r="B708" s="32"/>
      <c r="C708" s="30"/>
      <c r="D708" s="31"/>
      <c r="E708" s="31"/>
      <c r="F708" s="31"/>
      <c r="G708" s="30"/>
      <c r="H708" s="30"/>
      <c r="I708" s="30"/>
      <c r="J708" s="113"/>
      <c r="K708" s="113"/>
      <c r="L708" s="113"/>
      <c r="M708" s="113"/>
    </row>
    <row r="709" spans="1:13" x14ac:dyDescent="0.3">
      <c r="A709" s="32"/>
      <c r="B709" s="32"/>
      <c r="C709" s="30"/>
      <c r="D709" s="31"/>
      <c r="E709" s="31"/>
      <c r="F709" s="31"/>
      <c r="G709" s="30"/>
      <c r="H709" s="30"/>
      <c r="I709" s="30"/>
      <c r="J709" s="113"/>
      <c r="K709" s="113"/>
      <c r="L709" s="113"/>
      <c r="M709" s="113"/>
    </row>
    <row r="710" spans="1:13" x14ac:dyDescent="0.3">
      <c r="A710" s="32"/>
      <c r="B710" s="32"/>
      <c r="C710" s="30"/>
      <c r="D710" s="31"/>
      <c r="E710" s="31"/>
      <c r="F710" s="31"/>
      <c r="G710" s="30"/>
      <c r="H710" s="30"/>
      <c r="I710" s="30"/>
      <c r="J710" s="113"/>
      <c r="K710" s="113"/>
      <c r="L710" s="113"/>
      <c r="M710" s="113"/>
    </row>
    <row r="711" spans="1:13" x14ac:dyDescent="0.3">
      <c r="A711" s="32"/>
      <c r="B711" s="32"/>
      <c r="C711" s="30"/>
      <c r="D711" s="31"/>
      <c r="E711" s="31"/>
      <c r="F711" s="31"/>
      <c r="G711" s="30"/>
      <c r="H711" s="30"/>
      <c r="I711" s="30"/>
      <c r="J711" s="113"/>
      <c r="K711" s="113"/>
      <c r="L711" s="113"/>
      <c r="M711" s="113"/>
    </row>
    <row r="712" spans="1:13" x14ac:dyDescent="0.3">
      <c r="A712" s="32"/>
      <c r="B712" s="32"/>
      <c r="C712" s="30"/>
      <c r="D712" s="31"/>
      <c r="E712" s="31"/>
      <c r="F712" s="31"/>
      <c r="G712" s="30"/>
      <c r="H712" s="30"/>
      <c r="I712" s="30"/>
      <c r="J712" s="113"/>
      <c r="K712" s="113"/>
      <c r="L712" s="113"/>
      <c r="M712" s="113"/>
    </row>
    <row r="713" spans="1:13" x14ac:dyDescent="0.3">
      <c r="A713" s="32"/>
      <c r="B713" s="32"/>
      <c r="C713" s="30"/>
      <c r="D713" s="31"/>
      <c r="E713" s="31"/>
      <c r="F713" s="31"/>
      <c r="G713" s="30"/>
      <c r="H713" s="30"/>
      <c r="I713" s="30"/>
      <c r="J713" s="113"/>
      <c r="K713" s="113"/>
      <c r="L713" s="113"/>
      <c r="M713" s="113"/>
    </row>
    <row r="714" spans="1:13" x14ac:dyDescent="0.3">
      <c r="A714" s="32"/>
      <c r="B714" s="32"/>
      <c r="C714" s="30"/>
      <c r="D714" s="31"/>
      <c r="E714" s="31"/>
      <c r="F714" s="31"/>
      <c r="G714" s="30"/>
      <c r="H714" s="30"/>
      <c r="I714" s="30"/>
      <c r="J714" s="113"/>
      <c r="K714" s="113"/>
      <c r="L714" s="113"/>
      <c r="M714" s="113"/>
    </row>
    <row r="715" spans="1:13" x14ac:dyDescent="0.3">
      <c r="A715" s="32"/>
      <c r="B715" s="32"/>
      <c r="C715" s="30"/>
      <c r="D715" s="31"/>
      <c r="E715" s="31"/>
      <c r="F715" s="31"/>
      <c r="G715" s="30"/>
      <c r="H715" s="30"/>
      <c r="I715" s="30"/>
      <c r="J715" s="113"/>
      <c r="K715" s="113"/>
      <c r="L715" s="113"/>
      <c r="M715" s="113"/>
    </row>
    <row r="716" spans="1:13" x14ac:dyDescent="0.3">
      <c r="A716" s="32"/>
      <c r="B716" s="32"/>
      <c r="C716" s="30"/>
      <c r="D716" s="31"/>
      <c r="E716" s="31"/>
      <c r="F716" s="31"/>
      <c r="G716" s="30"/>
      <c r="H716" s="30"/>
      <c r="I716" s="30"/>
      <c r="J716" s="113"/>
      <c r="K716" s="113"/>
      <c r="L716" s="113"/>
      <c r="M716" s="113"/>
    </row>
    <row r="717" spans="1:13" x14ac:dyDescent="0.3">
      <c r="A717" s="32"/>
      <c r="B717" s="32"/>
      <c r="C717" s="30"/>
      <c r="D717" s="31"/>
      <c r="E717" s="31"/>
      <c r="F717" s="31"/>
      <c r="G717" s="30"/>
      <c r="H717" s="30"/>
      <c r="I717" s="30"/>
      <c r="J717" s="113"/>
      <c r="K717" s="113"/>
      <c r="L717" s="113"/>
      <c r="M717" s="113"/>
    </row>
    <row r="718" spans="1:13" x14ac:dyDescent="0.3">
      <c r="A718" s="32"/>
      <c r="B718" s="32"/>
      <c r="C718" s="30"/>
      <c r="D718" s="31"/>
      <c r="E718" s="31"/>
      <c r="F718" s="31"/>
      <c r="G718" s="30"/>
      <c r="H718" s="30"/>
      <c r="I718" s="30"/>
      <c r="J718" s="113"/>
      <c r="K718" s="113"/>
      <c r="L718" s="113"/>
      <c r="M718" s="113"/>
    </row>
    <row r="719" spans="1:13" x14ac:dyDescent="0.3">
      <c r="A719" s="32"/>
      <c r="B719" s="32"/>
      <c r="C719" s="30"/>
      <c r="D719" s="31"/>
      <c r="E719" s="31"/>
      <c r="F719" s="31"/>
      <c r="G719" s="30"/>
      <c r="H719" s="30"/>
      <c r="I719" s="30"/>
      <c r="J719" s="113"/>
      <c r="K719" s="113"/>
      <c r="L719" s="113"/>
      <c r="M719" s="113"/>
    </row>
    <row r="720" spans="1:13" x14ac:dyDescent="0.3">
      <c r="A720" s="32"/>
      <c r="B720" s="32"/>
      <c r="C720" s="30"/>
      <c r="D720" s="31"/>
      <c r="E720" s="31"/>
      <c r="F720" s="31"/>
      <c r="G720" s="30"/>
      <c r="H720" s="30"/>
      <c r="I720" s="30"/>
      <c r="J720" s="113"/>
      <c r="K720" s="113"/>
      <c r="L720" s="113"/>
      <c r="M720" s="113"/>
    </row>
    <row r="721" spans="1:13" x14ac:dyDescent="0.3">
      <c r="A721" s="32"/>
      <c r="B721" s="32"/>
      <c r="C721" s="30"/>
      <c r="D721" s="31"/>
      <c r="E721" s="31"/>
      <c r="F721" s="31"/>
      <c r="G721" s="30"/>
      <c r="H721" s="30"/>
      <c r="I721" s="30"/>
      <c r="J721" s="113"/>
      <c r="K721" s="113"/>
      <c r="L721" s="113"/>
      <c r="M721" s="113"/>
    </row>
    <row r="722" spans="1:13" x14ac:dyDescent="0.3">
      <c r="A722" s="32"/>
      <c r="B722" s="32"/>
      <c r="C722" s="30"/>
      <c r="D722" s="31"/>
      <c r="E722" s="31"/>
      <c r="F722" s="31"/>
      <c r="G722" s="30"/>
      <c r="H722" s="30"/>
      <c r="I722" s="30"/>
      <c r="J722" s="113"/>
      <c r="K722" s="113"/>
      <c r="L722" s="113"/>
      <c r="M722" s="113"/>
    </row>
    <row r="723" spans="1:13" x14ac:dyDescent="0.3">
      <c r="A723" s="32"/>
      <c r="B723" s="32"/>
      <c r="C723" s="30"/>
      <c r="D723" s="31"/>
      <c r="E723" s="31"/>
      <c r="F723" s="31"/>
      <c r="G723" s="30"/>
      <c r="H723" s="30"/>
      <c r="I723" s="30"/>
      <c r="J723" s="113"/>
      <c r="K723" s="113"/>
      <c r="L723" s="113"/>
      <c r="M723" s="113"/>
    </row>
    <row r="724" spans="1:13" x14ac:dyDescent="0.3">
      <c r="A724" s="32"/>
      <c r="B724" s="32"/>
      <c r="C724" s="30"/>
      <c r="D724" s="31"/>
      <c r="E724" s="31"/>
      <c r="F724" s="31"/>
      <c r="G724" s="30"/>
      <c r="H724" s="30"/>
      <c r="I724" s="30"/>
      <c r="J724" s="113"/>
      <c r="K724" s="113"/>
      <c r="L724" s="113"/>
      <c r="M724" s="113"/>
    </row>
    <row r="725" spans="1:13" x14ac:dyDescent="0.3">
      <c r="A725" s="32"/>
      <c r="B725" s="32"/>
      <c r="C725" s="30"/>
      <c r="D725" s="31"/>
      <c r="E725" s="31"/>
      <c r="F725" s="31"/>
      <c r="G725" s="30"/>
      <c r="H725" s="30"/>
      <c r="I725" s="30"/>
      <c r="J725" s="113"/>
      <c r="K725" s="113"/>
      <c r="L725" s="113"/>
      <c r="M725" s="113"/>
    </row>
    <row r="726" spans="1:13" x14ac:dyDescent="0.3">
      <c r="A726" s="32"/>
      <c r="B726" s="32"/>
      <c r="C726" s="30"/>
      <c r="D726" s="31"/>
      <c r="E726" s="31"/>
      <c r="F726" s="31"/>
      <c r="G726" s="30"/>
      <c r="H726" s="30"/>
      <c r="I726" s="30"/>
      <c r="J726" s="113"/>
      <c r="K726" s="113"/>
      <c r="L726" s="113"/>
      <c r="M726" s="113"/>
    </row>
    <row r="727" spans="1:13" x14ac:dyDescent="0.3">
      <c r="A727" s="32"/>
      <c r="B727" s="32"/>
      <c r="C727" s="30"/>
      <c r="D727" s="31"/>
      <c r="E727" s="31"/>
      <c r="F727" s="31"/>
      <c r="G727" s="30"/>
      <c r="H727" s="30"/>
      <c r="I727" s="30"/>
      <c r="J727" s="113"/>
      <c r="K727" s="113"/>
      <c r="L727" s="113"/>
      <c r="M727" s="113"/>
    </row>
    <row r="728" spans="1:13" x14ac:dyDescent="0.3">
      <c r="A728" s="32"/>
      <c r="B728" s="32"/>
      <c r="C728" s="30"/>
      <c r="D728" s="31"/>
      <c r="E728" s="31"/>
      <c r="F728" s="31"/>
      <c r="G728" s="30"/>
      <c r="H728" s="30"/>
      <c r="I728" s="30"/>
      <c r="J728" s="113"/>
      <c r="K728" s="113"/>
      <c r="L728" s="113"/>
      <c r="M728" s="113"/>
    </row>
    <row r="729" spans="1:13" x14ac:dyDescent="0.3">
      <c r="A729" s="32"/>
      <c r="B729" s="32"/>
      <c r="C729" s="30"/>
      <c r="D729" s="31"/>
      <c r="E729" s="31"/>
      <c r="F729" s="31"/>
      <c r="G729" s="30"/>
      <c r="H729" s="30"/>
      <c r="I729" s="30"/>
      <c r="J729" s="113"/>
      <c r="K729" s="113"/>
      <c r="L729" s="113"/>
      <c r="M729" s="113"/>
    </row>
    <row r="730" spans="1:13" x14ac:dyDescent="0.3">
      <c r="A730" s="32"/>
      <c r="B730" s="32"/>
      <c r="C730" s="30"/>
      <c r="D730" s="31"/>
      <c r="E730" s="31"/>
      <c r="F730" s="31"/>
      <c r="G730" s="30"/>
      <c r="H730" s="30"/>
      <c r="I730" s="30"/>
      <c r="J730" s="113"/>
      <c r="K730" s="113"/>
      <c r="L730" s="113"/>
      <c r="M730" s="113"/>
    </row>
    <row r="731" spans="1:13" x14ac:dyDescent="0.3">
      <c r="A731" s="32"/>
      <c r="B731" s="32"/>
      <c r="C731" s="30"/>
      <c r="D731" s="31"/>
      <c r="E731" s="31"/>
      <c r="F731" s="31"/>
      <c r="G731" s="30"/>
      <c r="H731" s="30"/>
      <c r="I731" s="30"/>
      <c r="J731" s="113"/>
      <c r="K731" s="113"/>
      <c r="L731" s="113"/>
      <c r="M731" s="113"/>
    </row>
    <row r="732" spans="1:13" x14ac:dyDescent="0.3">
      <c r="A732" s="32"/>
      <c r="B732" s="32"/>
      <c r="C732" s="30"/>
      <c r="D732" s="31"/>
      <c r="E732" s="31"/>
      <c r="F732" s="31"/>
      <c r="G732" s="30"/>
      <c r="H732" s="30"/>
      <c r="I732" s="30"/>
      <c r="J732" s="113"/>
      <c r="K732" s="113"/>
      <c r="L732" s="113"/>
      <c r="M732" s="113"/>
    </row>
    <row r="733" spans="1:13" x14ac:dyDescent="0.3">
      <c r="A733" s="32"/>
      <c r="B733" s="32"/>
      <c r="C733" s="30"/>
      <c r="D733" s="31"/>
      <c r="E733" s="31"/>
      <c r="F733" s="31"/>
      <c r="G733" s="30"/>
      <c r="H733" s="30"/>
      <c r="I733" s="30"/>
      <c r="J733" s="113"/>
      <c r="K733" s="113"/>
      <c r="L733" s="113"/>
      <c r="M733" s="113"/>
    </row>
    <row r="734" spans="1:13" x14ac:dyDescent="0.3">
      <c r="A734" s="32"/>
      <c r="B734" s="32"/>
      <c r="C734" s="30"/>
      <c r="D734" s="31"/>
      <c r="E734" s="31"/>
      <c r="F734" s="31"/>
      <c r="G734" s="30"/>
      <c r="H734" s="30"/>
      <c r="I734" s="30"/>
      <c r="J734" s="113"/>
      <c r="K734" s="113"/>
      <c r="L734" s="113"/>
      <c r="M734" s="113"/>
    </row>
    <row r="735" spans="1:13" x14ac:dyDescent="0.3">
      <c r="A735" s="32"/>
      <c r="B735" s="32"/>
      <c r="C735" s="30"/>
      <c r="D735" s="31"/>
      <c r="E735" s="31"/>
      <c r="F735" s="31"/>
      <c r="G735" s="30"/>
      <c r="H735" s="30"/>
      <c r="I735" s="30"/>
      <c r="J735" s="113"/>
      <c r="K735" s="113"/>
      <c r="L735" s="113"/>
      <c r="M735" s="113"/>
    </row>
    <row r="736" spans="1:13" x14ac:dyDescent="0.3">
      <c r="A736" s="32"/>
      <c r="B736" s="32"/>
      <c r="C736" s="30"/>
      <c r="D736" s="31"/>
      <c r="E736" s="31"/>
      <c r="F736" s="31"/>
      <c r="G736" s="30"/>
      <c r="H736" s="30"/>
      <c r="I736" s="30"/>
      <c r="J736" s="113"/>
      <c r="K736" s="113"/>
      <c r="L736" s="113"/>
      <c r="M736" s="113"/>
    </row>
    <row r="737" spans="1:13" x14ac:dyDescent="0.3">
      <c r="A737" s="32"/>
      <c r="B737" s="32"/>
      <c r="C737" s="30"/>
      <c r="D737" s="31"/>
      <c r="E737" s="31"/>
      <c r="F737" s="31"/>
      <c r="G737" s="30"/>
      <c r="H737" s="30"/>
      <c r="I737" s="30"/>
      <c r="J737" s="113"/>
      <c r="K737" s="113"/>
      <c r="L737" s="113"/>
      <c r="M737" s="113"/>
    </row>
    <row r="738" spans="1:13" x14ac:dyDescent="0.3">
      <c r="A738" s="32"/>
      <c r="B738" s="32"/>
      <c r="C738" s="30"/>
      <c r="D738" s="31"/>
      <c r="E738" s="31"/>
      <c r="F738" s="31"/>
      <c r="G738" s="30"/>
      <c r="H738" s="30"/>
      <c r="I738" s="30"/>
      <c r="J738" s="113"/>
      <c r="K738" s="113"/>
      <c r="L738" s="113"/>
      <c r="M738" s="113"/>
    </row>
    <row r="739" spans="1:13" x14ac:dyDescent="0.3">
      <c r="A739" s="32"/>
      <c r="B739" s="32"/>
      <c r="C739" s="30"/>
      <c r="D739" s="31"/>
      <c r="E739" s="31"/>
      <c r="F739" s="31"/>
      <c r="G739" s="30"/>
      <c r="H739" s="30"/>
      <c r="I739" s="30"/>
      <c r="J739" s="113"/>
      <c r="K739" s="113"/>
      <c r="L739" s="113"/>
      <c r="M739" s="113"/>
    </row>
    <row r="740" spans="1:13" x14ac:dyDescent="0.3">
      <c r="A740" s="32"/>
      <c r="B740" s="32"/>
      <c r="C740" s="30"/>
      <c r="D740" s="31"/>
      <c r="E740" s="31"/>
      <c r="F740" s="31"/>
      <c r="G740" s="30"/>
      <c r="H740" s="30"/>
      <c r="I740" s="30"/>
      <c r="J740" s="113"/>
      <c r="K740" s="113"/>
      <c r="L740" s="113"/>
      <c r="M740" s="113"/>
    </row>
    <row r="741" spans="1:13" x14ac:dyDescent="0.3">
      <c r="A741" s="32"/>
      <c r="B741" s="32"/>
      <c r="C741" s="30"/>
      <c r="D741" s="31"/>
      <c r="E741" s="31"/>
      <c r="F741" s="31"/>
      <c r="G741" s="30"/>
      <c r="H741" s="30"/>
      <c r="I741" s="30"/>
      <c r="J741" s="113"/>
      <c r="K741" s="113"/>
      <c r="L741" s="113"/>
      <c r="M741" s="113"/>
    </row>
    <row r="742" spans="1:13" x14ac:dyDescent="0.3">
      <c r="A742" s="32"/>
      <c r="B742" s="32"/>
      <c r="C742" s="30"/>
      <c r="D742" s="31"/>
      <c r="E742" s="31"/>
      <c r="F742" s="31"/>
      <c r="G742" s="30"/>
      <c r="H742" s="30"/>
      <c r="I742" s="30"/>
      <c r="J742" s="113"/>
      <c r="K742" s="113"/>
      <c r="L742" s="113"/>
      <c r="M742" s="113"/>
    </row>
    <row r="743" spans="1:13" x14ac:dyDescent="0.3">
      <c r="A743" s="32"/>
      <c r="B743" s="32"/>
      <c r="C743" s="30"/>
      <c r="D743" s="31"/>
      <c r="E743" s="31"/>
      <c r="F743" s="31"/>
      <c r="G743" s="30"/>
      <c r="H743" s="30"/>
      <c r="I743" s="30"/>
      <c r="J743" s="113"/>
      <c r="K743" s="113"/>
      <c r="L743" s="113"/>
      <c r="M743" s="113"/>
    </row>
    <row r="744" spans="1:13" x14ac:dyDescent="0.3">
      <c r="A744" s="32"/>
      <c r="B744" s="32"/>
      <c r="C744" s="30"/>
      <c r="D744" s="31"/>
      <c r="E744" s="31"/>
      <c r="F744" s="31"/>
      <c r="G744" s="30"/>
      <c r="H744" s="30"/>
      <c r="I744" s="30"/>
      <c r="J744" s="113"/>
      <c r="K744" s="113"/>
      <c r="L744" s="113"/>
      <c r="M744" s="113"/>
    </row>
    <row r="745" spans="1:13" x14ac:dyDescent="0.3">
      <c r="A745" s="32"/>
      <c r="B745" s="32"/>
      <c r="C745" s="30"/>
      <c r="D745" s="31"/>
      <c r="E745" s="31"/>
      <c r="F745" s="31"/>
      <c r="G745" s="30"/>
      <c r="H745" s="30"/>
      <c r="I745" s="30"/>
      <c r="J745" s="113"/>
      <c r="K745" s="113"/>
      <c r="L745" s="113"/>
      <c r="M745" s="113"/>
    </row>
    <row r="746" spans="1:13" x14ac:dyDescent="0.3">
      <c r="A746" s="32"/>
      <c r="B746" s="32"/>
      <c r="C746" s="30"/>
      <c r="D746" s="31"/>
      <c r="E746" s="31"/>
      <c r="F746" s="31"/>
      <c r="G746" s="30"/>
      <c r="H746" s="30"/>
      <c r="I746" s="30"/>
      <c r="J746" s="113"/>
      <c r="K746" s="113"/>
      <c r="L746" s="113"/>
      <c r="M746" s="113"/>
    </row>
    <row r="747" spans="1:13" x14ac:dyDescent="0.3">
      <c r="A747" s="32"/>
      <c r="B747" s="32"/>
      <c r="C747" s="30"/>
      <c r="D747" s="31"/>
      <c r="E747" s="31"/>
      <c r="F747" s="31"/>
      <c r="G747" s="30"/>
      <c r="H747" s="30"/>
      <c r="I747" s="30"/>
      <c r="J747" s="113"/>
      <c r="K747" s="113"/>
      <c r="L747" s="113"/>
      <c r="M747" s="113"/>
    </row>
    <row r="748" spans="1:13" x14ac:dyDescent="0.3">
      <c r="A748" s="32"/>
      <c r="B748" s="32"/>
      <c r="C748" s="30"/>
      <c r="D748" s="31"/>
      <c r="E748" s="31"/>
      <c r="F748" s="31"/>
      <c r="G748" s="30"/>
      <c r="H748" s="30"/>
      <c r="I748" s="30"/>
      <c r="J748" s="113"/>
      <c r="K748" s="113"/>
      <c r="L748" s="113"/>
      <c r="M748" s="113"/>
    </row>
    <row r="749" spans="1:13" x14ac:dyDescent="0.3">
      <c r="A749" s="32"/>
      <c r="B749" s="32"/>
      <c r="C749" s="30"/>
      <c r="D749" s="31"/>
      <c r="E749" s="31"/>
      <c r="F749" s="31"/>
      <c r="G749" s="30"/>
      <c r="H749" s="30"/>
      <c r="I749" s="30"/>
      <c r="J749" s="113"/>
      <c r="K749" s="113"/>
      <c r="L749" s="113"/>
      <c r="M749" s="113"/>
    </row>
    <row r="750" spans="1:13" x14ac:dyDescent="0.3">
      <c r="A750" s="32"/>
      <c r="B750" s="32"/>
      <c r="C750" s="30"/>
      <c r="D750" s="31"/>
      <c r="E750" s="31"/>
      <c r="F750" s="31"/>
      <c r="G750" s="30"/>
      <c r="H750" s="30"/>
      <c r="I750" s="30"/>
      <c r="J750" s="113"/>
      <c r="K750" s="113"/>
      <c r="L750" s="113"/>
      <c r="M750" s="113"/>
    </row>
    <row r="751" spans="1:13" x14ac:dyDescent="0.3">
      <c r="A751" s="32"/>
      <c r="B751" s="32"/>
      <c r="C751" s="30"/>
      <c r="D751" s="31"/>
      <c r="E751" s="31"/>
      <c r="F751" s="31"/>
      <c r="G751" s="30"/>
      <c r="H751" s="30"/>
      <c r="I751" s="30"/>
      <c r="J751" s="113"/>
      <c r="K751" s="113"/>
      <c r="L751" s="113"/>
      <c r="M751" s="113"/>
    </row>
    <row r="752" spans="1:13" x14ac:dyDescent="0.3">
      <c r="A752" s="32"/>
      <c r="B752" s="32"/>
      <c r="C752" s="30"/>
      <c r="D752" s="31"/>
      <c r="E752" s="31"/>
      <c r="F752" s="31"/>
      <c r="G752" s="30"/>
      <c r="H752" s="30"/>
      <c r="I752" s="30"/>
      <c r="J752" s="113"/>
      <c r="K752" s="113"/>
      <c r="L752" s="113"/>
      <c r="M752" s="113"/>
    </row>
    <row r="753" spans="1:13" x14ac:dyDescent="0.3">
      <c r="A753" s="32"/>
      <c r="B753" s="32"/>
      <c r="C753" s="30"/>
      <c r="D753" s="31"/>
      <c r="E753" s="31"/>
      <c r="F753" s="31"/>
      <c r="G753" s="30"/>
      <c r="H753" s="30"/>
      <c r="I753" s="30"/>
      <c r="J753" s="113"/>
      <c r="K753" s="113"/>
      <c r="L753" s="113"/>
      <c r="M753" s="113"/>
    </row>
    <row r="754" spans="1:13" x14ac:dyDescent="0.3">
      <c r="A754" s="32"/>
      <c r="B754" s="32"/>
      <c r="C754" s="30"/>
      <c r="D754" s="31"/>
      <c r="E754" s="31"/>
      <c r="F754" s="31"/>
      <c r="G754" s="30"/>
      <c r="H754" s="30"/>
      <c r="I754" s="30"/>
      <c r="J754" s="113"/>
      <c r="K754" s="113"/>
      <c r="L754" s="113"/>
      <c r="M754" s="113"/>
    </row>
    <row r="755" spans="1:13" x14ac:dyDescent="0.3">
      <c r="A755" s="32"/>
      <c r="B755" s="32"/>
      <c r="C755" s="30"/>
      <c r="D755" s="31"/>
      <c r="E755" s="31"/>
      <c r="F755" s="31"/>
      <c r="G755" s="30"/>
      <c r="H755" s="30"/>
      <c r="I755" s="30"/>
      <c r="J755" s="113"/>
      <c r="K755" s="113"/>
      <c r="L755" s="113"/>
      <c r="M755" s="113"/>
    </row>
    <row r="756" spans="1:13" x14ac:dyDescent="0.3">
      <c r="A756" s="32"/>
      <c r="B756" s="32"/>
      <c r="C756" s="30"/>
      <c r="D756" s="31"/>
      <c r="E756" s="31"/>
      <c r="F756" s="31"/>
      <c r="G756" s="30"/>
      <c r="H756" s="30"/>
      <c r="I756" s="30"/>
      <c r="J756" s="113"/>
      <c r="K756" s="113"/>
      <c r="L756" s="113"/>
      <c r="M756" s="113"/>
    </row>
    <row r="757" spans="1:13" x14ac:dyDescent="0.3">
      <c r="A757" s="32"/>
      <c r="B757" s="32"/>
      <c r="C757" s="30"/>
      <c r="D757" s="31"/>
      <c r="E757" s="31"/>
      <c r="F757" s="31"/>
      <c r="G757" s="30"/>
      <c r="H757" s="30"/>
      <c r="I757" s="30"/>
      <c r="J757" s="113"/>
      <c r="K757" s="113"/>
      <c r="L757" s="113"/>
      <c r="M757" s="113"/>
    </row>
    <row r="758" spans="1:13" x14ac:dyDescent="0.3">
      <c r="A758" s="32"/>
      <c r="B758" s="32"/>
      <c r="C758" s="30"/>
      <c r="D758" s="31"/>
      <c r="E758" s="31"/>
      <c r="F758" s="31"/>
      <c r="G758" s="30"/>
      <c r="H758" s="30"/>
      <c r="I758" s="30"/>
      <c r="J758" s="113"/>
      <c r="K758" s="113"/>
      <c r="L758" s="113"/>
      <c r="M758" s="113"/>
    </row>
    <row r="759" spans="1:13" x14ac:dyDescent="0.3">
      <c r="A759" s="32"/>
      <c r="B759" s="32"/>
      <c r="C759" s="30"/>
      <c r="D759" s="31"/>
      <c r="E759" s="31"/>
      <c r="F759" s="31"/>
      <c r="G759" s="30"/>
      <c r="H759" s="30"/>
      <c r="I759" s="30"/>
      <c r="J759" s="113"/>
      <c r="K759" s="113"/>
      <c r="L759" s="113"/>
      <c r="M759" s="113"/>
    </row>
    <row r="760" spans="1:13" x14ac:dyDescent="0.3">
      <c r="A760" s="32"/>
      <c r="B760" s="32"/>
      <c r="C760" s="30"/>
      <c r="D760" s="31"/>
      <c r="E760" s="31"/>
      <c r="F760" s="31"/>
      <c r="G760" s="30"/>
      <c r="H760" s="30"/>
      <c r="I760" s="30"/>
      <c r="J760" s="113"/>
      <c r="K760" s="113"/>
      <c r="L760" s="113"/>
      <c r="M760" s="113"/>
    </row>
    <row r="761" spans="1:13" x14ac:dyDescent="0.3">
      <c r="A761" s="32"/>
      <c r="B761" s="32"/>
      <c r="C761" s="30"/>
      <c r="D761" s="31"/>
      <c r="E761" s="31"/>
      <c r="F761" s="31"/>
      <c r="G761" s="30"/>
      <c r="H761" s="30"/>
      <c r="I761" s="30"/>
      <c r="J761" s="113"/>
      <c r="K761" s="113"/>
      <c r="L761" s="113"/>
      <c r="M761" s="113"/>
    </row>
    <row r="762" spans="1:13" x14ac:dyDescent="0.3">
      <c r="A762" s="32"/>
      <c r="B762" s="32"/>
      <c r="C762" s="30"/>
      <c r="D762" s="31"/>
      <c r="E762" s="31"/>
      <c r="F762" s="31"/>
      <c r="G762" s="30"/>
      <c r="H762" s="30"/>
      <c r="I762" s="30"/>
      <c r="J762" s="113"/>
      <c r="K762" s="113"/>
      <c r="L762" s="113"/>
      <c r="M762" s="113"/>
    </row>
    <row r="763" spans="1:13" x14ac:dyDescent="0.3">
      <c r="A763" s="32"/>
      <c r="B763" s="32"/>
      <c r="C763" s="30"/>
      <c r="D763" s="31"/>
      <c r="E763" s="31"/>
      <c r="F763" s="31"/>
      <c r="G763" s="30"/>
      <c r="H763" s="30"/>
      <c r="I763" s="30"/>
      <c r="J763" s="113"/>
      <c r="K763" s="113"/>
      <c r="L763" s="113"/>
      <c r="M763" s="113"/>
    </row>
    <row r="764" spans="1:13" x14ac:dyDescent="0.3">
      <c r="A764" s="32"/>
      <c r="B764" s="32"/>
      <c r="C764" s="30"/>
      <c r="D764" s="31"/>
      <c r="E764" s="31"/>
      <c r="F764" s="31"/>
      <c r="G764" s="30"/>
      <c r="H764" s="30"/>
      <c r="I764" s="30"/>
      <c r="J764" s="113"/>
      <c r="K764" s="113"/>
      <c r="L764" s="113"/>
      <c r="M764" s="113"/>
    </row>
    <row r="765" spans="1:13" x14ac:dyDescent="0.3">
      <c r="A765" s="32"/>
      <c r="B765" s="32"/>
      <c r="C765" s="30"/>
      <c r="D765" s="31"/>
      <c r="E765" s="31"/>
      <c r="F765" s="31"/>
      <c r="G765" s="30"/>
      <c r="H765" s="30"/>
      <c r="I765" s="30"/>
      <c r="J765" s="113"/>
      <c r="K765" s="113"/>
      <c r="L765" s="113"/>
      <c r="M765" s="113"/>
    </row>
    <row r="766" spans="1:13" x14ac:dyDescent="0.3">
      <c r="A766" s="32"/>
      <c r="B766" s="32"/>
      <c r="C766" s="30"/>
      <c r="D766" s="31"/>
      <c r="E766" s="31"/>
      <c r="F766" s="31"/>
      <c r="G766" s="30"/>
      <c r="H766" s="30"/>
      <c r="I766" s="30"/>
      <c r="J766" s="113"/>
      <c r="K766" s="113"/>
      <c r="L766" s="113"/>
      <c r="M766" s="113"/>
    </row>
    <row r="767" spans="1:13" x14ac:dyDescent="0.3">
      <c r="A767" s="32"/>
      <c r="B767" s="32"/>
      <c r="C767" s="30"/>
      <c r="D767" s="31"/>
      <c r="E767" s="31"/>
      <c r="F767" s="31"/>
      <c r="G767" s="30"/>
      <c r="H767" s="30"/>
      <c r="I767" s="30"/>
      <c r="J767" s="113"/>
      <c r="K767" s="113"/>
      <c r="L767" s="113"/>
      <c r="M767" s="113"/>
    </row>
    <row r="768" spans="1:13" x14ac:dyDescent="0.3">
      <c r="A768" s="32"/>
      <c r="B768" s="32"/>
      <c r="C768" s="30"/>
      <c r="D768" s="31"/>
      <c r="E768" s="31"/>
      <c r="F768" s="31"/>
      <c r="G768" s="30"/>
      <c r="H768" s="30"/>
      <c r="I768" s="30"/>
      <c r="J768" s="113"/>
      <c r="K768" s="113"/>
      <c r="L768" s="113"/>
      <c r="M768" s="113"/>
    </row>
    <row r="769" spans="1:13" x14ac:dyDescent="0.3">
      <c r="A769" s="32"/>
      <c r="B769" s="32"/>
      <c r="C769" s="30"/>
      <c r="D769" s="31"/>
      <c r="E769" s="31"/>
      <c r="F769" s="31"/>
      <c r="G769" s="30"/>
      <c r="H769" s="30"/>
      <c r="I769" s="30"/>
      <c r="J769" s="113"/>
      <c r="K769" s="113"/>
      <c r="L769" s="113"/>
      <c r="M769" s="113"/>
    </row>
    <row r="770" spans="1:13" x14ac:dyDescent="0.3">
      <c r="A770" s="32"/>
      <c r="B770" s="32"/>
      <c r="C770" s="30"/>
      <c r="D770" s="31"/>
      <c r="E770" s="31"/>
      <c r="F770" s="31"/>
      <c r="G770" s="30"/>
      <c r="H770" s="30"/>
      <c r="I770" s="30"/>
      <c r="J770" s="113"/>
      <c r="K770" s="113"/>
      <c r="L770" s="113"/>
      <c r="M770" s="113"/>
    </row>
    <row r="771" spans="1:13" x14ac:dyDescent="0.3">
      <c r="A771" s="32"/>
      <c r="B771" s="32"/>
      <c r="C771" s="30"/>
      <c r="D771" s="31"/>
      <c r="E771" s="31"/>
      <c r="F771" s="31"/>
      <c r="G771" s="30"/>
      <c r="H771" s="30"/>
      <c r="I771" s="30"/>
      <c r="J771" s="113"/>
      <c r="K771" s="113"/>
      <c r="L771" s="113"/>
      <c r="M771" s="113"/>
    </row>
    <row r="772" spans="1:13" x14ac:dyDescent="0.3">
      <c r="A772" s="32"/>
      <c r="B772" s="32"/>
      <c r="C772" s="30"/>
      <c r="D772" s="31"/>
      <c r="E772" s="31"/>
      <c r="F772" s="31"/>
      <c r="G772" s="30"/>
      <c r="H772" s="30"/>
      <c r="I772" s="30"/>
      <c r="J772" s="113"/>
      <c r="K772" s="113"/>
      <c r="L772" s="113"/>
      <c r="M772" s="113"/>
    </row>
    <row r="773" spans="1:13" x14ac:dyDescent="0.3">
      <c r="A773" s="32"/>
      <c r="B773" s="32"/>
      <c r="C773" s="30"/>
      <c r="D773" s="31"/>
      <c r="E773" s="31"/>
      <c r="F773" s="31"/>
      <c r="G773" s="30"/>
      <c r="H773" s="30"/>
      <c r="I773" s="30"/>
      <c r="J773" s="113"/>
      <c r="K773" s="113"/>
      <c r="L773" s="113"/>
      <c r="M773" s="113"/>
    </row>
    <row r="774" spans="1:13" x14ac:dyDescent="0.3">
      <c r="A774" s="32"/>
      <c r="B774" s="32"/>
      <c r="C774" s="30"/>
      <c r="D774" s="31"/>
      <c r="E774" s="31"/>
      <c r="F774" s="31"/>
      <c r="G774" s="30"/>
      <c r="H774" s="30"/>
      <c r="I774" s="30"/>
      <c r="J774" s="113"/>
      <c r="K774" s="113"/>
      <c r="L774" s="113"/>
      <c r="M774" s="113"/>
    </row>
    <row r="775" spans="1:13" x14ac:dyDescent="0.3">
      <c r="A775" s="32"/>
      <c r="B775" s="32"/>
      <c r="C775" s="30"/>
      <c r="D775" s="31"/>
      <c r="E775" s="31"/>
      <c r="F775" s="31"/>
      <c r="G775" s="30"/>
      <c r="H775" s="30"/>
      <c r="I775" s="30"/>
      <c r="J775" s="113"/>
      <c r="K775" s="113"/>
      <c r="L775" s="113"/>
      <c r="M775" s="113"/>
    </row>
    <row r="776" spans="1:13" x14ac:dyDescent="0.3">
      <c r="A776" s="32"/>
      <c r="B776" s="32"/>
      <c r="C776" s="30"/>
      <c r="D776" s="31"/>
      <c r="E776" s="31"/>
      <c r="F776" s="31"/>
      <c r="G776" s="30"/>
      <c r="H776" s="30"/>
      <c r="I776" s="30"/>
      <c r="J776" s="113"/>
      <c r="K776" s="113"/>
      <c r="L776" s="113"/>
      <c r="M776" s="113"/>
    </row>
    <row r="777" spans="1:13" x14ac:dyDescent="0.3">
      <c r="A777" s="32"/>
      <c r="B777" s="32"/>
      <c r="C777" s="30"/>
      <c r="D777" s="31"/>
      <c r="E777" s="31"/>
      <c r="F777" s="31"/>
      <c r="G777" s="30"/>
      <c r="H777" s="30"/>
      <c r="I777" s="30"/>
      <c r="J777" s="113"/>
      <c r="K777" s="113"/>
      <c r="L777" s="113"/>
      <c r="M777" s="113"/>
    </row>
    <row r="778" spans="1:13" x14ac:dyDescent="0.3">
      <c r="A778" s="32"/>
      <c r="B778" s="32"/>
      <c r="C778" s="30"/>
      <c r="D778" s="31"/>
      <c r="E778" s="31"/>
      <c r="F778" s="31"/>
      <c r="G778" s="30"/>
      <c r="H778" s="30"/>
      <c r="I778" s="30"/>
      <c r="J778" s="113"/>
      <c r="K778" s="113"/>
      <c r="L778" s="113"/>
      <c r="M778" s="113"/>
    </row>
    <row r="779" spans="1:13" x14ac:dyDescent="0.3">
      <c r="A779" s="32"/>
      <c r="B779" s="32"/>
      <c r="C779" s="30"/>
      <c r="D779" s="31"/>
      <c r="E779" s="31"/>
      <c r="F779" s="31"/>
      <c r="G779" s="30"/>
      <c r="H779" s="30"/>
      <c r="I779" s="30"/>
      <c r="J779" s="113"/>
      <c r="K779" s="113"/>
      <c r="L779" s="113"/>
      <c r="M779" s="113"/>
    </row>
    <row r="780" spans="1:13" x14ac:dyDescent="0.3">
      <c r="A780" s="32"/>
      <c r="B780" s="32"/>
      <c r="C780" s="30"/>
      <c r="D780" s="31"/>
      <c r="E780" s="31"/>
      <c r="F780" s="31"/>
      <c r="G780" s="30"/>
      <c r="H780" s="30"/>
      <c r="I780" s="30"/>
      <c r="J780" s="113"/>
      <c r="K780" s="113"/>
      <c r="L780" s="113"/>
      <c r="M780" s="113"/>
    </row>
    <row r="781" spans="1:13" x14ac:dyDescent="0.3">
      <c r="A781" s="32"/>
      <c r="B781" s="32"/>
      <c r="C781" s="30"/>
      <c r="D781" s="31"/>
      <c r="E781" s="31"/>
      <c r="F781" s="31"/>
      <c r="G781" s="30"/>
      <c r="H781" s="30"/>
      <c r="I781" s="30"/>
      <c r="J781" s="113"/>
      <c r="K781" s="113"/>
      <c r="L781" s="113"/>
      <c r="M781" s="113"/>
    </row>
    <row r="782" spans="1:13" x14ac:dyDescent="0.3">
      <c r="A782" s="32"/>
      <c r="B782" s="32"/>
      <c r="C782" s="30"/>
      <c r="D782" s="31"/>
      <c r="E782" s="31"/>
      <c r="F782" s="31"/>
      <c r="G782" s="30"/>
      <c r="H782" s="30"/>
      <c r="I782" s="30"/>
      <c r="J782" s="113"/>
      <c r="K782" s="113"/>
      <c r="L782" s="113"/>
      <c r="M782" s="113"/>
    </row>
    <row r="783" spans="1:13" x14ac:dyDescent="0.3">
      <c r="A783" s="32"/>
      <c r="B783" s="32"/>
      <c r="C783" s="30"/>
      <c r="D783" s="31"/>
      <c r="E783" s="31"/>
      <c r="F783" s="31"/>
      <c r="G783" s="30"/>
      <c r="H783" s="30"/>
      <c r="I783" s="30"/>
      <c r="J783" s="113"/>
      <c r="K783" s="113"/>
      <c r="L783" s="113"/>
      <c r="M783" s="113"/>
    </row>
    <row r="784" spans="1:13" x14ac:dyDescent="0.3">
      <c r="A784" s="32"/>
      <c r="B784" s="32"/>
      <c r="C784" s="30"/>
      <c r="D784" s="31"/>
      <c r="E784" s="31"/>
      <c r="F784" s="31"/>
      <c r="G784" s="30"/>
      <c r="H784" s="30"/>
      <c r="I784" s="30"/>
      <c r="J784" s="113"/>
      <c r="K784" s="113"/>
      <c r="L784" s="113"/>
      <c r="M784" s="113"/>
    </row>
    <row r="785" spans="1:13" x14ac:dyDescent="0.3">
      <c r="A785" s="32"/>
      <c r="B785" s="32"/>
      <c r="C785" s="30"/>
      <c r="D785" s="31"/>
      <c r="E785" s="31"/>
      <c r="F785" s="31"/>
      <c r="G785" s="30"/>
      <c r="H785" s="30"/>
      <c r="I785" s="30"/>
      <c r="J785" s="113"/>
      <c r="K785" s="113"/>
      <c r="L785" s="113"/>
      <c r="M785" s="113"/>
    </row>
    <row r="786" spans="1:13" x14ac:dyDescent="0.3">
      <c r="A786" s="32"/>
      <c r="B786" s="32"/>
      <c r="C786" s="30"/>
      <c r="D786" s="31"/>
      <c r="E786" s="31"/>
      <c r="F786" s="31"/>
      <c r="G786" s="30"/>
      <c r="H786" s="30"/>
      <c r="I786" s="30"/>
      <c r="J786" s="113"/>
      <c r="K786" s="113"/>
      <c r="L786" s="113"/>
      <c r="M786" s="113"/>
    </row>
    <row r="787" spans="1:13" x14ac:dyDescent="0.3">
      <c r="A787" s="32"/>
      <c r="B787" s="32"/>
      <c r="C787" s="30"/>
      <c r="D787" s="31"/>
      <c r="E787" s="31"/>
      <c r="F787" s="31"/>
      <c r="G787" s="30"/>
      <c r="H787" s="30"/>
      <c r="I787" s="30"/>
      <c r="J787" s="113"/>
      <c r="K787" s="113"/>
      <c r="L787" s="113"/>
      <c r="M787" s="113"/>
    </row>
    <row r="788" spans="1:13" x14ac:dyDescent="0.3">
      <c r="A788" s="32"/>
      <c r="B788" s="32"/>
      <c r="C788" s="30"/>
      <c r="D788" s="31"/>
      <c r="E788" s="31"/>
      <c r="F788" s="31"/>
      <c r="G788" s="30"/>
      <c r="H788" s="30"/>
      <c r="I788" s="30"/>
      <c r="J788" s="113"/>
      <c r="K788" s="113"/>
      <c r="L788" s="113"/>
      <c r="M788" s="113"/>
    </row>
    <row r="789" spans="1:13" x14ac:dyDescent="0.3">
      <c r="A789" s="32"/>
      <c r="B789" s="32"/>
      <c r="C789" s="30"/>
      <c r="D789" s="31"/>
      <c r="E789" s="31"/>
      <c r="F789" s="31"/>
      <c r="G789" s="30"/>
      <c r="H789" s="30"/>
      <c r="I789" s="30"/>
      <c r="J789" s="113"/>
      <c r="K789" s="113"/>
      <c r="L789" s="113"/>
      <c r="M789" s="113"/>
    </row>
    <row r="790" spans="1:13" x14ac:dyDescent="0.3">
      <c r="A790" s="32"/>
      <c r="B790" s="32"/>
      <c r="C790" s="30"/>
      <c r="D790" s="31"/>
      <c r="E790" s="31"/>
      <c r="F790" s="31"/>
      <c r="G790" s="30"/>
      <c r="H790" s="30"/>
      <c r="I790" s="30"/>
      <c r="J790" s="113"/>
      <c r="K790" s="113"/>
      <c r="L790" s="113"/>
      <c r="M790" s="113"/>
    </row>
    <row r="791" spans="1:13" x14ac:dyDescent="0.3">
      <c r="A791" s="32"/>
      <c r="B791" s="32"/>
      <c r="C791" s="30"/>
      <c r="D791" s="31"/>
      <c r="E791" s="31"/>
      <c r="F791" s="31"/>
      <c r="G791" s="30"/>
      <c r="H791" s="30"/>
      <c r="I791" s="30"/>
      <c r="J791" s="113"/>
      <c r="K791" s="113"/>
      <c r="L791" s="113"/>
      <c r="M791" s="113"/>
    </row>
    <row r="792" spans="1:13" x14ac:dyDescent="0.3">
      <c r="A792" s="32"/>
      <c r="B792" s="32"/>
      <c r="C792" s="30"/>
      <c r="D792" s="31"/>
      <c r="E792" s="31"/>
      <c r="F792" s="31"/>
      <c r="G792" s="30"/>
      <c r="H792" s="30"/>
      <c r="I792" s="30"/>
      <c r="J792" s="113"/>
      <c r="K792" s="113"/>
      <c r="L792" s="113"/>
      <c r="M792" s="113"/>
    </row>
    <row r="793" spans="1:13" x14ac:dyDescent="0.3">
      <c r="A793" s="32"/>
      <c r="B793" s="32"/>
      <c r="C793" s="30"/>
      <c r="D793" s="31"/>
      <c r="E793" s="31"/>
      <c r="F793" s="31"/>
      <c r="G793" s="30"/>
      <c r="H793" s="30"/>
      <c r="I793" s="30"/>
      <c r="J793" s="113"/>
      <c r="K793" s="113"/>
      <c r="L793" s="113"/>
      <c r="M793" s="113"/>
    </row>
    <row r="794" spans="1:13" x14ac:dyDescent="0.3">
      <c r="A794" s="32"/>
      <c r="B794" s="32"/>
      <c r="C794" s="30"/>
      <c r="D794" s="31"/>
      <c r="E794" s="31"/>
      <c r="F794" s="31"/>
      <c r="G794" s="30"/>
      <c r="H794" s="30"/>
      <c r="I794" s="30"/>
      <c r="J794" s="113"/>
      <c r="K794" s="113"/>
      <c r="L794" s="113"/>
      <c r="M794" s="113"/>
    </row>
    <row r="795" spans="1:13" x14ac:dyDescent="0.3">
      <c r="A795" s="32"/>
      <c r="B795" s="32"/>
      <c r="C795" s="30"/>
      <c r="D795" s="31"/>
      <c r="E795" s="31"/>
      <c r="F795" s="31"/>
      <c r="G795" s="30"/>
      <c r="H795" s="30"/>
      <c r="I795" s="30"/>
      <c r="J795" s="113"/>
      <c r="K795" s="113"/>
      <c r="L795" s="113"/>
      <c r="M795" s="113"/>
    </row>
    <row r="796" spans="1:13" x14ac:dyDescent="0.3">
      <c r="A796" s="32"/>
      <c r="B796" s="32"/>
      <c r="C796" s="30"/>
      <c r="D796" s="31"/>
      <c r="E796" s="31"/>
      <c r="F796" s="31"/>
      <c r="G796" s="30"/>
      <c r="H796" s="30"/>
      <c r="I796" s="30"/>
      <c r="J796" s="113"/>
      <c r="K796" s="113"/>
      <c r="L796" s="113"/>
      <c r="M796" s="113"/>
    </row>
    <row r="797" spans="1:13" x14ac:dyDescent="0.3">
      <c r="A797" s="32"/>
      <c r="B797" s="32"/>
      <c r="C797" s="30"/>
      <c r="D797" s="31"/>
      <c r="E797" s="31"/>
      <c r="F797" s="31"/>
      <c r="G797" s="30"/>
      <c r="H797" s="30"/>
      <c r="I797" s="30"/>
      <c r="J797" s="113"/>
      <c r="K797" s="113"/>
      <c r="L797" s="113"/>
      <c r="M797" s="113"/>
    </row>
    <row r="798" spans="1:13" x14ac:dyDescent="0.3">
      <c r="A798" s="32"/>
      <c r="B798" s="32"/>
      <c r="C798" s="30"/>
      <c r="D798" s="31"/>
      <c r="E798" s="31"/>
      <c r="F798" s="31"/>
      <c r="G798" s="30"/>
      <c r="H798" s="30"/>
      <c r="I798" s="30"/>
      <c r="J798" s="113"/>
      <c r="K798" s="113"/>
      <c r="L798" s="113"/>
      <c r="M798" s="113"/>
    </row>
    <row r="799" spans="1:13" x14ac:dyDescent="0.3">
      <c r="A799" s="32"/>
      <c r="B799" s="32"/>
      <c r="C799" s="30"/>
      <c r="D799" s="31"/>
      <c r="E799" s="31"/>
      <c r="F799" s="31"/>
      <c r="G799" s="30"/>
      <c r="H799" s="30"/>
      <c r="I799" s="30"/>
      <c r="J799" s="113"/>
      <c r="K799" s="113"/>
      <c r="L799" s="113"/>
      <c r="M799" s="113"/>
    </row>
    <row r="800" spans="1:13" x14ac:dyDescent="0.3">
      <c r="A800" s="32"/>
      <c r="B800" s="32"/>
      <c r="C800" s="30"/>
      <c r="D800" s="31"/>
      <c r="E800" s="31"/>
      <c r="F800" s="31"/>
      <c r="G800" s="30"/>
      <c r="H800" s="30"/>
      <c r="I800" s="30"/>
      <c r="J800" s="113"/>
      <c r="K800" s="113"/>
      <c r="L800" s="113"/>
      <c r="M800" s="113"/>
    </row>
    <row r="801" spans="1:13" x14ac:dyDescent="0.3">
      <c r="A801" s="32"/>
      <c r="B801" s="32"/>
      <c r="C801" s="30"/>
      <c r="D801" s="31"/>
      <c r="E801" s="31"/>
      <c r="F801" s="31"/>
      <c r="G801" s="30"/>
      <c r="H801" s="30"/>
      <c r="I801" s="30"/>
      <c r="J801" s="113"/>
      <c r="K801" s="113"/>
      <c r="L801" s="113"/>
      <c r="M801" s="113"/>
    </row>
    <row r="802" spans="1:13" x14ac:dyDescent="0.3">
      <c r="A802" s="32"/>
      <c r="B802" s="32"/>
      <c r="C802" s="30"/>
      <c r="D802" s="31"/>
      <c r="E802" s="31"/>
      <c r="F802" s="31"/>
      <c r="G802" s="30"/>
      <c r="H802" s="30"/>
      <c r="I802" s="30"/>
      <c r="J802" s="113"/>
      <c r="K802" s="113"/>
      <c r="L802" s="113"/>
      <c r="M802" s="113"/>
    </row>
    <row r="803" spans="1:13" x14ac:dyDescent="0.3">
      <c r="A803" s="32"/>
      <c r="B803" s="32"/>
      <c r="C803" s="30"/>
      <c r="D803" s="31"/>
      <c r="E803" s="31"/>
      <c r="F803" s="31"/>
      <c r="G803" s="30"/>
      <c r="H803" s="30"/>
      <c r="I803" s="30"/>
      <c r="J803" s="113"/>
      <c r="K803" s="113"/>
      <c r="L803" s="113"/>
      <c r="M803" s="113"/>
    </row>
    <row r="804" spans="1:13" x14ac:dyDescent="0.3">
      <c r="A804" s="32"/>
      <c r="B804" s="32"/>
      <c r="C804" s="30"/>
      <c r="D804" s="31"/>
      <c r="E804" s="31"/>
      <c r="F804" s="31"/>
      <c r="G804" s="30"/>
      <c r="H804" s="30"/>
      <c r="I804" s="30"/>
      <c r="J804" s="113"/>
      <c r="K804" s="113"/>
      <c r="L804" s="113"/>
      <c r="M804" s="113"/>
    </row>
    <row r="805" spans="1:13" x14ac:dyDescent="0.3">
      <c r="A805" s="32"/>
      <c r="B805" s="32"/>
      <c r="C805" s="30"/>
      <c r="D805" s="31"/>
      <c r="E805" s="31"/>
      <c r="F805" s="31"/>
      <c r="G805" s="30"/>
      <c r="H805" s="30"/>
      <c r="I805" s="30"/>
      <c r="J805" s="113"/>
      <c r="K805" s="113"/>
      <c r="L805" s="113"/>
      <c r="M805" s="113"/>
    </row>
    <row r="806" spans="1:13" x14ac:dyDescent="0.3">
      <c r="A806" s="32"/>
      <c r="B806" s="32"/>
      <c r="C806" s="30"/>
      <c r="D806" s="31"/>
      <c r="E806" s="31"/>
      <c r="F806" s="31"/>
      <c r="G806" s="30"/>
      <c r="H806" s="30"/>
      <c r="I806" s="30"/>
      <c r="J806" s="113"/>
      <c r="K806" s="113"/>
      <c r="L806" s="113"/>
      <c r="M806" s="113"/>
    </row>
    <row r="807" spans="1:13" x14ac:dyDescent="0.3">
      <c r="A807" s="32"/>
      <c r="B807" s="32"/>
      <c r="C807" s="30"/>
      <c r="D807" s="31"/>
      <c r="E807" s="31"/>
      <c r="F807" s="31"/>
      <c r="G807" s="30"/>
      <c r="H807" s="30"/>
      <c r="I807" s="30"/>
      <c r="J807" s="113"/>
      <c r="K807" s="113"/>
      <c r="L807" s="113"/>
      <c r="M807" s="113"/>
    </row>
    <row r="808" spans="1:13" x14ac:dyDescent="0.3">
      <c r="A808" s="32"/>
      <c r="B808" s="32"/>
      <c r="C808" s="30"/>
      <c r="D808" s="31"/>
      <c r="E808" s="31"/>
      <c r="F808" s="31"/>
      <c r="G808" s="30"/>
      <c r="H808" s="30"/>
      <c r="I808" s="30"/>
      <c r="J808" s="113"/>
      <c r="K808" s="113"/>
      <c r="L808" s="113"/>
      <c r="M808" s="113"/>
    </row>
    <row r="809" spans="1:13" x14ac:dyDescent="0.3">
      <c r="A809" s="32"/>
      <c r="B809" s="32"/>
      <c r="C809" s="30"/>
      <c r="D809" s="31"/>
      <c r="E809" s="31"/>
      <c r="F809" s="31"/>
      <c r="G809" s="30"/>
      <c r="H809" s="30"/>
      <c r="I809" s="30"/>
      <c r="J809" s="113"/>
      <c r="K809" s="113"/>
      <c r="L809" s="113"/>
      <c r="M809" s="113"/>
    </row>
    <row r="810" spans="1:13" x14ac:dyDescent="0.3">
      <c r="A810" s="32"/>
      <c r="B810" s="32"/>
      <c r="C810" s="30"/>
      <c r="D810" s="31"/>
      <c r="E810" s="31"/>
      <c r="F810" s="31"/>
      <c r="G810" s="30"/>
      <c r="H810" s="30"/>
      <c r="I810" s="30"/>
      <c r="J810" s="113"/>
      <c r="K810" s="113"/>
      <c r="L810" s="113"/>
      <c r="M810" s="113"/>
    </row>
    <row r="811" spans="1:13" x14ac:dyDescent="0.3">
      <c r="A811" s="32"/>
      <c r="B811" s="32"/>
      <c r="C811" s="30"/>
      <c r="D811" s="31"/>
      <c r="E811" s="31"/>
      <c r="F811" s="31"/>
      <c r="G811" s="30"/>
      <c r="H811" s="30"/>
      <c r="I811" s="30"/>
      <c r="J811" s="113"/>
      <c r="K811" s="113"/>
      <c r="L811" s="113"/>
      <c r="M811" s="113"/>
    </row>
    <row r="812" spans="1:13" x14ac:dyDescent="0.3">
      <c r="A812" s="32"/>
      <c r="B812" s="32"/>
      <c r="C812" s="30"/>
      <c r="D812" s="31"/>
      <c r="E812" s="31"/>
      <c r="F812" s="31"/>
      <c r="G812" s="30"/>
      <c r="H812" s="30"/>
      <c r="I812" s="30"/>
      <c r="J812" s="113"/>
      <c r="K812" s="113"/>
      <c r="L812" s="113"/>
      <c r="M812" s="113"/>
    </row>
    <row r="813" spans="1:13" x14ac:dyDescent="0.3">
      <c r="A813" s="32"/>
      <c r="B813" s="32"/>
      <c r="C813" s="30"/>
      <c r="D813" s="31"/>
      <c r="E813" s="31"/>
      <c r="F813" s="31"/>
      <c r="G813" s="30"/>
      <c r="H813" s="30"/>
      <c r="I813" s="30"/>
      <c r="J813" s="113"/>
      <c r="K813" s="113"/>
      <c r="L813" s="113"/>
      <c r="M813" s="113"/>
    </row>
    <row r="814" spans="1:13" x14ac:dyDescent="0.3">
      <c r="A814" s="32"/>
      <c r="B814" s="32"/>
      <c r="C814" s="30"/>
      <c r="D814" s="31"/>
      <c r="E814" s="31"/>
      <c r="F814" s="31"/>
      <c r="G814" s="30"/>
      <c r="H814" s="30"/>
      <c r="I814" s="30"/>
      <c r="J814" s="113"/>
      <c r="K814" s="113"/>
      <c r="L814" s="113"/>
      <c r="M814" s="113"/>
    </row>
    <row r="815" spans="1:13" x14ac:dyDescent="0.3">
      <c r="A815" s="32"/>
      <c r="B815" s="32"/>
      <c r="C815" s="30"/>
      <c r="D815" s="31"/>
      <c r="E815" s="31"/>
      <c r="F815" s="31"/>
      <c r="G815" s="30"/>
      <c r="H815" s="30"/>
      <c r="I815" s="30"/>
      <c r="J815" s="113"/>
      <c r="K815" s="113"/>
      <c r="L815" s="113"/>
      <c r="M815" s="113"/>
    </row>
    <row r="816" spans="1:13" x14ac:dyDescent="0.3">
      <c r="A816" s="32"/>
      <c r="B816" s="32"/>
      <c r="C816" s="30"/>
      <c r="D816" s="31"/>
      <c r="E816" s="31"/>
      <c r="F816" s="31"/>
      <c r="G816" s="30"/>
      <c r="H816" s="30"/>
      <c r="I816" s="30"/>
      <c r="J816" s="113"/>
      <c r="K816" s="113"/>
      <c r="L816" s="113"/>
      <c r="M816" s="113"/>
    </row>
    <row r="817" spans="1:13" x14ac:dyDescent="0.3">
      <c r="A817" s="32"/>
      <c r="B817" s="32"/>
      <c r="C817" s="30"/>
      <c r="D817" s="31"/>
      <c r="E817" s="31"/>
      <c r="F817" s="31"/>
      <c r="G817" s="30"/>
      <c r="H817" s="30"/>
      <c r="I817" s="30"/>
      <c r="J817" s="113"/>
      <c r="K817" s="113"/>
      <c r="L817" s="113"/>
      <c r="M817" s="113"/>
    </row>
    <row r="818" spans="1:13" x14ac:dyDescent="0.3">
      <c r="A818" s="32"/>
      <c r="B818" s="32"/>
      <c r="C818" s="30"/>
      <c r="D818" s="31"/>
      <c r="E818" s="31"/>
      <c r="F818" s="31"/>
      <c r="G818" s="30"/>
      <c r="H818" s="30"/>
      <c r="I818" s="30"/>
      <c r="J818" s="113"/>
      <c r="K818" s="113"/>
      <c r="L818" s="113"/>
      <c r="M818" s="113"/>
    </row>
    <row r="819" spans="1:13" x14ac:dyDescent="0.3">
      <c r="A819" s="32"/>
      <c r="B819" s="32"/>
      <c r="C819" s="30"/>
      <c r="D819" s="31"/>
      <c r="E819" s="31"/>
      <c r="F819" s="31"/>
      <c r="G819" s="30"/>
      <c r="H819" s="30"/>
      <c r="I819" s="30"/>
      <c r="J819" s="113"/>
      <c r="K819" s="113"/>
      <c r="L819" s="113"/>
      <c r="M819" s="113"/>
    </row>
    <row r="820" spans="1:13" x14ac:dyDescent="0.3">
      <c r="A820" s="32"/>
      <c r="B820" s="32"/>
      <c r="C820" s="30"/>
      <c r="D820" s="31"/>
      <c r="E820" s="31"/>
      <c r="F820" s="31"/>
      <c r="G820" s="30"/>
      <c r="H820" s="30"/>
      <c r="I820" s="30"/>
      <c r="J820" s="113"/>
      <c r="K820" s="113"/>
      <c r="L820" s="113"/>
      <c r="M820" s="113"/>
    </row>
    <row r="821" spans="1:13" x14ac:dyDescent="0.3">
      <c r="A821" s="32"/>
      <c r="B821" s="32"/>
      <c r="C821" s="30"/>
      <c r="D821" s="31"/>
      <c r="E821" s="31"/>
      <c r="F821" s="31"/>
      <c r="G821" s="30"/>
      <c r="H821" s="30"/>
      <c r="I821" s="30"/>
      <c r="J821" s="113"/>
      <c r="K821" s="113"/>
      <c r="L821" s="113"/>
      <c r="M821" s="113"/>
    </row>
    <row r="822" spans="1:13" x14ac:dyDescent="0.3">
      <c r="A822" s="32"/>
      <c r="B822" s="32"/>
      <c r="C822" s="30"/>
      <c r="D822" s="31"/>
      <c r="E822" s="31"/>
      <c r="F822" s="31"/>
      <c r="G822" s="30"/>
      <c r="H822" s="30"/>
      <c r="I822" s="30"/>
      <c r="J822" s="113"/>
      <c r="K822" s="113"/>
      <c r="L822" s="113"/>
      <c r="M822" s="113"/>
    </row>
    <row r="823" spans="1:13" x14ac:dyDescent="0.3">
      <c r="A823" s="32"/>
      <c r="B823" s="32"/>
      <c r="C823" s="30"/>
      <c r="D823" s="31"/>
      <c r="E823" s="31"/>
      <c r="F823" s="31"/>
      <c r="G823" s="30"/>
      <c r="H823" s="30"/>
      <c r="I823" s="30"/>
      <c r="J823" s="113"/>
      <c r="K823" s="113"/>
      <c r="L823" s="113"/>
      <c r="M823" s="113"/>
    </row>
    <row r="824" spans="1:13" x14ac:dyDescent="0.3">
      <c r="A824" s="32"/>
      <c r="B824" s="32"/>
      <c r="C824" s="30"/>
      <c r="D824" s="31"/>
      <c r="E824" s="31"/>
      <c r="F824" s="31"/>
      <c r="G824" s="30"/>
      <c r="H824" s="30"/>
      <c r="I824" s="30"/>
      <c r="J824" s="113"/>
      <c r="K824" s="113"/>
      <c r="L824" s="113"/>
      <c r="M824" s="113"/>
    </row>
    <row r="825" spans="1:13" x14ac:dyDescent="0.3">
      <c r="A825" s="32"/>
      <c r="B825" s="32"/>
      <c r="C825" s="30"/>
      <c r="D825" s="31"/>
      <c r="E825" s="31"/>
      <c r="F825" s="31"/>
      <c r="G825" s="30"/>
      <c r="H825" s="30"/>
      <c r="I825" s="30"/>
      <c r="J825" s="113"/>
      <c r="K825" s="113"/>
      <c r="L825" s="113"/>
      <c r="M825" s="113"/>
    </row>
    <row r="826" spans="1:13" x14ac:dyDescent="0.3">
      <c r="A826" s="32"/>
      <c r="B826" s="32"/>
      <c r="C826" s="30"/>
      <c r="D826" s="31"/>
      <c r="E826" s="31"/>
      <c r="F826" s="31"/>
      <c r="G826" s="30"/>
      <c r="H826" s="30"/>
      <c r="I826" s="30"/>
      <c r="J826" s="113"/>
      <c r="K826" s="113"/>
      <c r="L826" s="113"/>
      <c r="M826" s="113"/>
    </row>
    <row r="827" spans="1:13" x14ac:dyDescent="0.3">
      <c r="A827" s="32"/>
      <c r="B827" s="32"/>
      <c r="C827" s="30"/>
      <c r="D827" s="31"/>
      <c r="E827" s="31"/>
      <c r="F827" s="31"/>
      <c r="G827" s="30"/>
      <c r="H827" s="30"/>
      <c r="I827" s="30"/>
      <c r="J827" s="113"/>
      <c r="K827" s="113"/>
      <c r="L827" s="113"/>
      <c r="M827" s="113"/>
    </row>
    <row r="828" spans="1:13" x14ac:dyDescent="0.3">
      <c r="A828" s="32"/>
      <c r="B828" s="32"/>
      <c r="C828" s="30"/>
      <c r="D828" s="31"/>
      <c r="E828" s="31"/>
      <c r="F828" s="31"/>
      <c r="G828" s="30"/>
      <c r="H828" s="30"/>
      <c r="I828" s="30"/>
      <c r="J828" s="113"/>
      <c r="K828" s="113"/>
      <c r="L828" s="113"/>
      <c r="M828" s="113"/>
    </row>
    <row r="829" spans="1:13" x14ac:dyDescent="0.3">
      <c r="A829" s="32"/>
      <c r="B829" s="32"/>
      <c r="C829" s="30"/>
      <c r="D829" s="31"/>
      <c r="E829" s="31"/>
      <c r="F829" s="31"/>
      <c r="G829" s="30"/>
      <c r="H829" s="30"/>
      <c r="I829" s="30"/>
      <c r="J829" s="113"/>
      <c r="K829" s="113"/>
      <c r="L829" s="113"/>
      <c r="M829" s="113"/>
    </row>
    <row r="830" spans="1:13" x14ac:dyDescent="0.3">
      <c r="A830" s="32"/>
      <c r="B830" s="32"/>
      <c r="C830" s="30"/>
      <c r="D830" s="31"/>
      <c r="E830" s="31"/>
      <c r="F830" s="31"/>
      <c r="G830" s="30"/>
      <c r="H830" s="30"/>
      <c r="I830" s="30"/>
      <c r="J830" s="113"/>
      <c r="K830" s="113"/>
      <c r="L830" s="113"/>
      <c r="M830" s="113"/>
    </row>
    <row r="831" spans="1:13" x14ac:dyDescent="0.3">
      <c r="A831" s="32"/>
      <c r="B831" s="32"/>
      <c r="C831" s="30"/>
      <c r="D831" s="31"/>
      <c r="E831" s="31"/>
      <c r="F831" s="31"/>
      <c r="G831" s="30"/>
      <c r="H831" s="30"/>
      <c r="I831" s="30"/>
      <c r="J831" s="113"/>
      <c r="K831" s="113"/>
      <c r="L831" s="113"/>
      <c r="M831" s="113"/>
    </row>
    <row r="832" spans="1:13" x14ac:dyDescent="0.3">
      <c r="A832" s="32"/>
      <c r="B832" s="32"/>
      <c r="C832" s="30"/>
      <c r="D832" s="31"/>
      <c r="E832" s="31"/>
      <c r="F832" s="31"/>
      <c r="G832" s="30"/>
      <c r="H832" s="30"/>
      <c r="I832" s="30"/>
      <c r="J832" s="113"/>
      <c r="K832" s="113"/>
      <c r="L832" s="113"/>
      <c r="M832" s="113"/>
    </row>
    <row r="833" spans="1:13" x14ac:dyDescent="0.3">
      <c r="A833" s="32"/>
      <c r="B833" s="32"/>
      <c r="C833" s="30"/>
      <c r="D833" s="31"/>
      <c r="E833" s="31"/>
      <c r="F833" s="31"/>
      <c r="G833" s="30"/>
      <c r="H833" s="30"/>
      <c r="I833" s="30"/>
      <c r="J833" s="113"/>
      <c r="K833" s="113"/>
      <c r="L833" s="113"/>
      <c r="M833" s="113"/>
    </row>
    <row r="834" spans="1:13" x14ac:dyDescent="0.3">
      <c r="A834" s="32"/>
      <c r="B834" s="32"/>
      <c r="C834" s="30"/>
      <c r="D834" s="31"/>
      <c r="E834" s="31"/>
      <c r="F834" s="31"/>
      <c r="G834" s="30"/>
      <c r="H834" s="30"/>
      <c r="I834" s="30"/>
      <c r="J834" s="113"/>
      <c r="K834" s="113"/>
      <c r="L834" s="113"/>
      <c r="M834" s="113"/>
    </row>
    <row r="835" spans="1:13" x14ac:dyDescent="0.3">
      <c r="A835" s="32"/>
      <c r="B835" s="32"/>
      <c r="C835" s="30"/>
      <c r="D835" s="31"/>
      <c r="E835" s="31"/>
      <c r="F835" s="31"/>
      <c r="G835" s="30"/>
      <c r="H835" s="30"/>
      <c r="I835" s="30"/>
      <c r="J835" s="113"/>
      <c r="K835" s="113"/>
      <c r="L835" s="113"/>
      <c r="M835" s="113"/>
    </row>
    <row r="836" spans="1:13" x14ac:dyDescent="0.3">
      <c r="A836" s="32"/>
      <c r="B836" s="32"/>
      <c r="C836" s="30"/>
      <c r="D836" s="31"/>
      <c r="E836" s="31"/>
      <c r="F836" s="31"/>
      <c r="G836" s="30"/>
      <c r="H836" s="30"/>
      <c r="I836" s="30"/>
      <c r="J836" s="113"/>
      <c r="K836" s="113"/>
      <c r="L836" s="113"/>
      <c r="M836" s="113"/>
    </row>
    <row r="837" spans="1:13" x14ac:dyDescent="0.3">
      <c r="A837" s="32"/>
      <c r="B837" s="32"/>
      <c r="C837" s="30"/>
      <c r="D837" s="31"/>
      <c r="E837" s="31"/>
      <c r="F837" s="31"/>
      <c r="G837" s="30"/>
      <c r="H837" s="30"/>
      <c r="I837" s="30"/>
      <c r="J837" s="113"/>
      <c r="K837" s="113"/>
      <c r="L837" s="113"/>
      <c r="M837" s="113"/>
    </row>
    <row r="838" spans="1:13" x14ac:dyDescent="0.3">
      <c r="A838" s="32"/>
      <c r="B838" s="32"/>
      <c r="C838" s="30"/>
      <c r="D838" s="31"/>
      <c r="E838" s="31"/>
      <c r="F838" s="31"/>
      <c r="G838" s="30"/>
      <c r="H838" s="30"/>
      <c r="I838" s="30"/>
      <c r="J838" s="113"/>
      <c r="K838" s="113"/>
      <c r="L838" s="113"/>
      <c r="M838" s="113"/>
    </row>
    <row r="839" spans="1:13" x14ac:dyDescent="0.3">
      <c r="A839" s="32"/>
      <c r="B839" s="32"/>
      <c r="C839" s="30"/>
      <c r="D839" s="31"/>
      <c r="E839" s="31"/>
      <c r="F839" s="31"/>
      <c r="G839" s="30"/>
      <c r="H839" s="30"/>
      <c r="I839" s="30"/>
      <c r="J839" s="113"/>
      <c r="K839" s="113"/>
      <c r="L839" s="113"/>
      <c r="M839" s="113"/>
    </row>
    <row r="840" spans="1:13" x14ac:dyDescent="0.3">
      <c r="A840" s="32"/>
      <c r="B840" s="32"/>
      <c r="C840" s="30"/>
      <c r="D840" s="31"/>
      <c r="E840" s="31"/>
      <c r="F840" s="31"/>
      <c r="G840" s="30"/>
      <c r="H840" s="30"/>
      <c r="I840" s="30"/>
      <c r="J840" s="113"/>
      <c r="K840" s="113"/>
      <c r="L840" s="113"/>
      <c r="M840" s="113"/>
    </row>
    <row r="841" spans="1:13" x14ac:dyDescent="0.3">
      <c r="A841" s="32"/>
      <c r="B841" s="32"/>
      <c r="C841" s="30"/>
      <c r="D841" s="31"/>
      <c r="E841" s="31"/>
      <c r="F841" s="31"/>
      <c r="G841" s="30"/>
      <c r="H841" s="30"/>
      <c r="I841" s="30"/>
      <c r="J841" s="113"/>
      <c r="K841" s="113"/>
      <c r="L841" s="113"/>
      <c r="M841" s="113"/>
    </row>
    <row r="842" spans="1:13" x14ac:dyDescent="0.3">
      <c r="A842" s="32"/>
      <c r="B842" s="32"/>
      <c r="C842" s="30"/>
      <c r="D842" s="31"/>
      <c r="E842" s="31"/>
      <c r="F842" s="31"/>
      <c r="G842" s="30"/>
      <c r="H842" s="30"/>
      <c r="I842" s="30"/>
      <c r="J842" s="113"/>
      <c r="K842" s="113"/>
      <c r="L842" s="113"/>
      <c r="M842" s="113"/>
    </row>
    <row r="843" spans="1:13" x14ac:dyDescent="0.3">
      <c r="A843" s="32"/>
      <c r="B843" s="32"/>
      <c r="C843" s="30"/>
      <c r="D843" s="31"/>
      <c r="E843" s="31"/>
      <c r="F843" s="31"/>
      <c r="G843" s="30"/>
      <c r="H843" s="30"/>
      <c r="I843" s="30"/>
      <c r="J843" s="113"/>
      <c r="K843" s="113"/>
      <c r="L843" s="113"/>
      <c r="M843" s="113"/>
    </row>
    <row r="844" spans="1:13" x14ac:dyDescent="0.3">
      <c r="A844" s="32"/>
      <c r="B844" s="32"/>
      <c r="C844" s="30"/>
      <c r="D844" s="31"/>
      <c r="E844" s="31"/>
      <c r="F844" s="31"/>
      <c r="G844" s="30"/>
      <c r="H844" s="30"/>
      <c r="I844" s="30"/>
      <c r="J844" s="113"/>
      <c r="K844" s="113"/>
      <c r="L844" s="113"/>
      <c r="M844" s="113"/>
    </row>
    <row r="845" spans="1:13" x14ac:dyDescent="0.3">
      <c r="A845" s="32"/>
      <c r="B845" s="32"/>
      <c r="C845" s="30"/>
      <c r="D845" s="31"/>
      <c r="E845" s="31"/>
      <c r="F845" s="31"/>
      <c r="G845" s="30"/>
      <c r="H845" s="30"/>
      <c r="I845" s="30"/>
      <c r="J845" s="113"/>
      <c r="K845" s="113"/>
      <c r="L845" s="113"/>
      <c r="M845" s="113"/>
    </row>
    <row r="846" spans="1:13" x14ac:dyDescent="0.3">
      <c r="A846" s="32"/>
      <c r="B846" s="32"/>
      <c r="C846" s="30"/>
      <c r="D846" s="31"/>
      <c r="E846" s="31"/>
      <c r="F846" s="31"/>
      <c r="G846" s="30"/>
      <c r="H846" s="30"/>
      <c r="I846" s="30"/>
      <c r="J846" s="113"/>
      <c r="K846" s="113"/>
      <c r="L846" s="113"/>
      <c r="M846" s="113"/>
    </row>
    <row r="847" spans="1:13" x14ac:dyDescent="0.3">
      <c r="A847" s="32"/>
      <c r="B847" s="32"/>
      <c r="C847" s="30"/>
      <c r="D847" s="31"/>
      <c r="E847" s="31"/>
      <c r="F847" s="31"/>
      <c r="G847" s="30"/>
      <c r="H847" s="30"/>
      <c r="I847" s="30"/>
      <c r="J847" s="113"/>
      <c r="K847" s="113"/>
      <c r="L847" s="113"/>
      <c r="M847" s="113"/>
    </row>
    <row r="848" spans="1:13" x14ac:dyDescent="0.3">
      <c r="A848" s="32"/>
      <c r="B848" s="32"/>
      <c r="C848" s="30"/>
      <c r="D848" s="31"/>
      <c r="E848" s="31"/>
      <c r="F848" s="31"/>
      <c r="G848" s="30"/>
      <c r="H848" s="30"/>
      <c r="I848" s="30"/>
      <c r="J848" s="113"/>
      <c r="K848" s="113"/>
      <c r="L848" s="113"/>
      <c r="M848" s="113"/>
    </row>
    <row r="849" spans="1:13" x14ac:dyDescent="0.3">
      <c r="A849" s="32"/>
      <c r="B849" s="32"/>
      <c r="C849" s="30"/>
      <c r="D849" s="31"/>
      <c r="E849" s="31"/>
      <c r="F849" s="31"/>
      <c r="G849" s="30"/>
      <c r="H849" s="30"/>
      <c r="I849" s="30"/>
      <c r="J849" s="113"/>
      <c r="K849" s="113"/>
      <c r="L849" s="113"/>
      <c r="M849" s="113"/>
    </row>
    <row r="850" spans="1:13" x14ac:dyDescent="0.3">
      <c r="A850" s="32"/>
      <c r="B850" s="32"/>
      <c r="C850" s="30"/>
      <c r="D850" s="31"/>
      <c r="E850" s="31"/>
      <c r="F850" s="31"/>
      <c r="G850" s="30"/>
      <c r="H850" s="30"/>
      <c r="I850" s="30"/>
      <c r="J850" s="113"/>
      <c r="K850" s="113"/>
      <c r="L850" s="113"/>
      <c r="M850" s="113"/>
    </row>
    <row r="851" spans="1:13" x14ac:dyDescent="0.3">
      <c r="A851" s="32"/>
      <c r="B851" s="32"/>
      <c r="C851" s="30"/>
      <c r="D851" s="31"/>
      <c r="E851" s="31"/>
      <c r="F851" s="31"/>
      <c r="G851" s="30"/>
      <c r="H851" s="30"/>
      <c r="I851" s="30"/>
      <c r="J851" s="113"/>
      <c r="K851" s="113"/>
      <c r="L851" s="113"/>
      <c r="M851" s="113"/>
    </row>
    <row r="852" spans="1:13" x14ac:dyDescent="0.3">
      <c r="A852" s="32"/>
      <c r="B852" s="32"/>
      <c r="C852" s="30"/>
      <c r="D852" s="31"/>
      <c r="E852" s="31"/>
      <c r="F852" s="31"/>
      <c r="G852" s="30"/>
      <c r="H852" s="30"/>
      <c r="I852" s="30"/>
      <c r="J852" s="113"/>
      <c r="K852" s="113"/>
      <c r="L852" s="113"/>
      <c r="M852" s="113"/>
    </row>
    <row r="853" spans="1:13" x14ac:dyDescent="0.3">
      <c r="A853" s="32"/>
      <c r="B853" s="32"/>
      <c r="C853" s="30"/>
      <c r="D853" s="31"/>
      <c r="E853" s="31"/>
      <c r="F853" s="31"/>
      <c r="G853" s="30"/>
      <c r="H853" s="30"/>
      <c r="I853" s="30"/>
      <c r="J853" s="113"/>
      <c r="K853" s="113"/>
      <c r="L853" s="113"/>
      <c r="M853" s="113"/>
    </row>
    <row r="854" spans="1:13" x14ac:dyDescent="0.3">
      <c r="A854" s="32"/>
      <c r="B854" s="32"/>
      <c r="C854" s="30"/>
      <c r="D854" s="31"/>
      <c r="E854" s="31"/>
      <c r="F854" s="31"/>
      <c r="G854" s="30"/>
      <c r="H854" s="30"/>
      <c r="I854" s="30"/>
      <c r="J854" s="113"/>
      <c r="K854" s="113"/>
      <c r="L854" s="113"/>
      <c r="M854" s="113"/>
    </row>
    <row r="855" spans="1:13" x14ac:dyDescent="0.3">
      <c r="A855" s="32"/>
      <c r="B855" s="32"/>
      <c r="C855" s="30"/>
      <c r="D855" s="31"/>
      <c r="E855" s="31"/>
      <c r="F855" s="31"/>
      <c r="G855" s="30"/>
      <c r="H855" s="30"/>
      <c r="I855" s="30"/>
      <c r="J855" s="113"/>
      <c r="K855" s="113"/>
      <c r="L855" s="113"/>
      <c r="M855" s="113"/>
    </row>
    <row r="856" spans="1:13" x14ac:dyDescent="0.3">
      <c r="A856" s="32"/>
      <c r="B856" s="32"/>
      <c r="C856" s="30"/>
      <c r="D856" s="31"/>
      <c r="E856" s="31"/>
      <c r="F856" s="31"/>
      <c r="G856" s="30"/>
      <c r="H856" s="30"/>
      <c r="I856" s="30"/>
      <c r="J856" s="113"/>
      <c r="K856" s="113"/>
      <c r="L856" s="113"/>
      <c r="M856" s="113"/>
    </row>
    <row r="857" spans="1:13" x14ac:dyDescent="0.3">
      <c r="A857" s="32"/>
      <c r="B857" s="32"/>
      <c r="C857" s="30"/>
      <c r="D857" s="31"/>
      <c r="E857" s="31"/>
      <c r="F857" s="31"/>
      <c r="G857" s="30"/>
      <c r="H857" s="30"/>
      <c r="I857" s="30"/>
      <c r="J857" s="113"/>
      <c r="K857" s="113"/>
      <c r="L857" s="113"/>
      <c r="M857" s="113"/>
    </row>
    <row r="858" spans="1:13" x14ac:dyDescent="0.3">
      <c r="A858" s="32"/>
      <c r="B858" s="32"/>
      <c r="C858" s="30"/>
      <c r="D858" s="31"/>
      <c r="E858" s="31"/>
      <c r="F858" s="31"/>
      <c r="G858" s="30"/>
      <c r="H858" s="30"/>
      <c r="I858" s="30"/>
      <c r="J858" s="113"/>
      <c r="K858" s="113"/>
      <c r="L858" s="113"/>
      <c r="M858" s="113"/>
    </row>
    <row r="859" spans="1:13" x14ac:dyDescent="0.3">
      <c r="A859" s="32"/>
      <c r="B859" s="32"/>
      <c r="C859" s="30"/>
      <c r="D859" s="31"/>
      <c r="E859" s="31"/>
      <c r="F859" s="31"/>
      <c r="G859" s="30"/>
      <c r="H859" s="30"/>
      <c r="I859" s="30"/>
      <c r="J859" s="113"/>
      <c r="K859" s="113"/>
      <c r="L859" s="113"/>
      <c r="M859" s="113"/>
    </row>
    <row r="860" spans="1:13" x14ac:dyDescent="0.3">
      <c r="A860" s="32"/>
      <c r="B860" s="32"/>
      <c r="C860" s="30"/>
      <c r="D860" s="31"/>
      <c r="E860" s="31"/>
      <c r="F860" s="31"/>
      <c r="G860" s="30"/>
      <c r="H860" s="30"/>
      <c r="I860" s="30"/>
      <c r="J860" s="113"/>
      <c r="K860" s="113"/>
      <c r="L860" s="113"/>
      <c r="M860" s="113"/>
    </row>
    <row r="861" spans="1:13" x14ac:dyDescent="0.3">
      <c r="A861" s="32"/>
      <c r="B861" s="32"/>
      <c r="C861" s="30"/>
      <c r="D861" s="31"/>
      <c r="E861" s="31"/>
      <c r="F861" s="31"/>
      <c r="G861" s="30"/>
      <c r="H861" s="30"/>
      <c r="I861" s="30"/>
      <c r="J861" s="113"/>
      <c r="K861" s="113"/>
      <c r="L861" s="113"/>
      <c r="M861" s="113"/>
    </row>
    <row r="862" spans="1:13" x14ac:dyDescent="0.3">
      <c r="A862" s="32"/>
      <c r="B862" s="32"/>
      <c r="C862" s="30"/>
      <c r="D862" s="31"/>
      <c r="E862" s="31"/>
      <c r="F862" s="31"/>
      <c r="G862" s="30"/>
      <c r="H862" s="30"/>
      <c r="I862" s="30"/>
      <c r="J862" s="113"/>
      <c r="K862" s="113"/>
      <c r="L862" s="113"/>
      <c r="M862" s="113"/>
    </row>
    <row r="863" spans="1:13" x14ac:dyDescent="0.3">
      <c r="A863" s="32"/>
      <c r="B863" s="32"/>
      <c r="C863" s="30"/>
      <c r="D863" s="31"/>
      <c r="E863" s="31"/>
      <c r="F863" s="31"/>
      <c r="G863" s="30"/>
      <c r="H863" s="30"/>
      <c r="I863" s="30"/>
      <c r="J863" s="113"/>
      <c r="K863" s="113"/>
      <c r="L863" s="113"/>
      <c r="M863" s="113"/>
    </row>
    <row r="864" spans="1:13" x14ac:dyDescent="0.3">
      <c r="A864" s="32"/>
      <c r="B864" s="32"/>
      <c r="C864" s="30"/>
      <c r="D864" s="31"/>
      <c r="E864" s="31"/>
      <c r="F864" s="31"/>
      <c r="G864" s="30"/>
      <c r="H864" s="30"/>
      <c r="I864" s="30"/>
      <c r="J864" s="113"/>
      <c r="K864" s="113"/>
      <c r="L864" s="113"/>
      <c r="M864" s="113"/>
    </row>
    <row r="865" spans="1:13" x14ac:dyDescent="0.3">
      <c r="A865" s="32"/>
      <c r="B865" s="32"/>
      <c r="C865" s="30"/>
      <c r="D865" s="31"/>
      <c r="E865" s="31"/>
      <c r="F865" s="31"/>
      <c r="G865" s="30"/>
      <c r="H865" s="30"/>
      <c r="I865" s="30"/>
      <c r="J865" s="113"/>
      <c r="K865" s="113"/>
      <c r="L865" s="113"/>
      <c r="M865" s="113"/>
    </row>
    <row r="866" spans="1:13" x14ac:dyDescent="0.3">
      <c r="A866" s="32"/>
      <c r="B866" s="32"/>
      <c r="C866" s="30"/>
      <c r="D866" s="31"/>
      <c r="E866" s="31"/>
      <c r="F866" s="31"/>
      <c r="G866" s="30"/>
      <c r="H866" s="30"/>
      <c r="I866" s="30"/>
      <c r="J866" s="113"/>
      <c r="K866" s="113"/>
      <c r="L866" s="113"/>
      <c r="M866" s="113"/>
    </row>
    <row r="867" spans="1:13" x14ac:dyDescent="0.3">
      <c r="A867" s="32"/>
      <c r="B867" s="32"/>
      <c r="C867" s="30"/>
      <c r="D867" s="31"/>
      <c r="E867" s="31"/>
      <c r="F867" s="31"/>
      <c r="G867" s="30"/>
      <c r="H867" s="30"/>
      <c r="I867" s="30"/>
      <c r="J867" s="113"/>
      <c r="K867" s="113"/>
      <c r="L867" s="113"/>
      <c r="M867" s="113"/>
    </row>
    <row r="868" spans="1:13" x14ac:dyDescent="0.3">
      <c r="A868" s="32"/>
      <c r="B868" s="32"/>
      <c r="C868" s="30"/>
      <c r="D868" s="31"/>
      <c r="E868" s="31"/>
      <c r="F868" s="31"/>
      <c r="G868" s="30"/>
      <c r="H868" s="30"/>
      <c r="I868" s="30"/>
      <c r="J868" s="113"/>
      <c r="K868" s="113"/>
      <c r="L868" s="113"/>
      <c r="M868" s="113"/>
    </row>
    <row r="869" spans="1:13" x14ac:dyDescent="0.3">
      <c r="A869" s="32"/>
      <c r="B869" s="32"/>
      <c r="C869" s="30"/>
      <c r="D869" s="31"/>
      <c r="E869" s="31"/>
      <c r="F869" s="31"/>
      <c r="G869" s="30"/>
      <c r="H869" s="30"/>
      <c r="I869" s="30"/>
      <c r="J869" s="113"/>
      <c r="K869" s="113"/>
      <c r="L869" s="113"/>
      <c r="M869" s="113"/>
    </row>
    <row r="870" spans="1:13" x14ac:dyDescent="0.3">
      <c r="A870" s="32"/>
      <c r="B870" s="32"/>
      <c r="C870" s="30"/>
      <c r="D870" s="31"/>
      <c r="E870" s="31"/>
      <c r="F870" s="31"/>
      <c r="G870" s="30"/>
      <c r="H870" s="30"/>
      <c r="I870" s="30"/>
      <c r="J870" s="113"/>
      <c r="K870" s="113"/>
      <c r="L870" s="113"/>
      <c r="M870" s="113"/>
    </row>
    <row r="871" spans="1:13" x14ac:dyDescent="0.3">
      <c r="A871" s="32"/>
      <c r="B871" s="32"/>
      <c r="C871" s="30"/>
      <c r="D871" s="31"/>
      <c r="E871" s="31"/>
      <c r="F871" s="31"/>
      <c r="G871" s="30"/>
      <c r="H871" s="30"/>
      <c r="I871" s="30"/>
      <c r="J871" s="113"/>
      <c r="K871" s="113"/>
      <c r="L871" s="113"/>
      <c r="M871" s="113"/>
    </row>
    <row r="872" spans="1:13" x14ac:dyDescent="0.3">
      <c r="A872" s="32"/>
      <c r="B872" s="32"/>
      <c r="C872" s="30"/>
      <c r="D872" s="31"/>
      <c r="E872" s="31"/>
      <c r="F872" s="31"/>
      <c r="G872" s="30"/>
      <c r="H872" s="30"/>
      <c r="I872" s="30"/>
      <c r="J872" s="113"/>
      <c r="K872" s="113"/>
      <c r="L872" s="113"/>
      <c r="M872" s="113"/>
    </row>
    <row r="873" spans="1:13" x14ac:dyDescent="0.3">
      <c r="A873" s="32"/>
      <c r="B873" s="32"/>
      <c r="C873" s="30"/>
      <c r="D873" s="31"/>
      <c r="E873" s="31"/>
      <c r="F873" s="31"/>
      <c r="G873" s="30"/>
      <c r="H873" s="30"/>
      <c r="I873" s="30"/>
      <c r="J873" s="113"/>
      <c r="K873" s="113"/>
      <c r="L873" s="113"/>
      <c r="M873" s="113"/>
    </row>
    <row r="874" spans="1:13" x14ac:dyDescent="0.3">
      <c r="A874" s="32"/>
      <c r="B874" s="32"/>
      <c r="C874" s="30"/>
      <c r="D874" s="31"/>
      <c r="E874" s="31"/>
      <c r="F874" s="31"/>
      <c r="G874" s="30"/>
      <c r="H874" s="30"/>
      <c r="I874" s="30"/>
      <c r="J874" s="113"/>
      <c r="K874" s="113"/>
      <c r="L874" s="113"/>
      <c r="M874" s="113"/>
    </row>
    <row r="875" spans="1:13" x14ac:dyDescent="0.3">
      <c r="A875" s="32"/>
      <c r="B875" s="32"/>
      <c r="C875" s="30"/>
      <c r="D875" s="31"/>
      <c r="E875" s="31"/>
      <c r="F875" s="31"/>
      <c r="G875" s="30"/>
      <c r="H875" s="30"/>
      <c r="I875" s="30"/>
      <c r="J875" s="113"/>
      <c r="K875" s="113"/>
      <c r="L875" s="113"/>
      <c r="M875" s="113"/>
    </row>
    <row r="876" spans="1:13" x14ac:dyDescent="0.3">
      <c r="A876" s="32"/>
      <c r="B876" s="32"/>
      <c r="C876" s="30"/>
      <c r="D876" s="31"/>
      <c r="E876" s="31"/>
      <c r="F876" s="31"/>
      <c r="G876" s="30"/>
      <c r="H876" s="30"/>
      <c r="I876" s="30"/>
      <c r="J876" s="113"/>
      <c r="K876" s="113"/>
      <c r="L876" s="113"/>
      <c r="M876" s="113"/>
    </row>
    <row r="877" spans="1:13" x14ac:dyDescent="0.3">
      <c r="A877" s="32"/>
      <c r="B877" s="32"/>
      <c r="C877" s="30"/>
      <c r="D877" s="31"/>
      <c r="E877" s="31"/>
      <c r="F877" s="31"/>
      <c r="G877" s="30"/>
      <c r="H877" s="30"/>
      <c r="I877" s="30"/>
      <c r="J877" s="113"/>
      <c r="K877" s="113"/>
      <c r="L877" s="113"/>
      <c r="M877" s="113"/>
    </row>
    <row r="878" spans="1:13" x14ac:dyDescent="0.3">
      <c r="A878" s="32"/>
      <c r="B878" s="32"/>
      <c r="C878" s="30"/>
      <c r="D878" s="31"/>
      <c r="E878" s="31"/>
      <c r="F878" s="31"/>
      <c r="G878" s="30"/>
      <c r="H878" s="30"/>
      <c r="I878" s="30"/>
      <c r="J878" s="113"/>
      <c r="K878" s="113"/>
      <c r="L878" s="113"/>
      <c r="M878" s="113"/>
    </row>
    <row r="879" spans="1:13" x14ac:dyDescent="0.3">
      <c r="A879" s="32"/>
      <c r="B879" s="32"/>
      <c r="C879" s="30"/>
      <c r="D879" s="31"/>
      <c r="E879" s="31"/>
      <c r="F879" s="31"/>
      <c r="G879" s="30"/>
      <c r="H879" s="30"/>
      <c r="I879" s="30"/>
      <c r="J879" s="113"/>
      <c r="K879" s="113"/>
      <c r="L879" s="113"/>
      <c r="M879" s="113"/>
    </row>
    <row r="880" spans="1:13" x14ac:dyDescent="0.3">
      <c r="A880" s="32"/>
      <c r="B880" s="32"/>
      <c r="C880" s="30"/>
      <c r="D880" s="31"/>
      <c r="E880" s="31"/>
      <c r="F880" s="31"/>
      <c r="G880" s="30"/>
      <c r="H880" s="30"/>
      <c r="I880" s="30"/>
      <c r="J880" s="113"/>
      <c r="K880" s="113"/>
      <c r="L880" s="113"/>
      <c r="M880" s="113"/>
    </row>
    <row r="881" spans="1:13" x14ac:dyDescent="0.3">
      <c r="A881" s="32"/>
      <c r="B881" s="32"/>
      <c r="C881" s="30"/>
      <c r="D881" s="31"/>
      <c r="E881" s="31"/>
      <c r="F881" s="31"/>
      <c r="G881" s="30"/>
      <c r="H881" s="30"/>
      <c r="I881" s="30"/>
      <c r="J881" s="113"/>
      <c r="K881" s="113"/>
      <c r="L881" s="113"/>
      <c r="M881" s="113"/>
    </row>
    <row r="882" spans="1:13" x14ac:dyDescent="0.3">
      <c r="A882" s="32"/>
      <c r="B882" s="32"/>
      <c r="C882" s="30"/>
      <c r="D882" s="31"/>
      <c r="E882" s="31"/>
      <c r="F882" s="31"/>
      <c r="G882" s="30"/>
      <c r="H882" s="30"/>
      <c r="I882" s="30"/>
      <c r="J882" s="113"/>
      <c r="K882" s="113"/>
      <c r="L882" s="113"/>
      <c r="M882" s="113"/>
    </row>
    <row r="883" spans="1:13" x14ac:dyDescent="0.3">
      <c r="A883" s="32"/>
      <c r="B883" s="32"/>
      <c r="C883" s="30"/>
      <c r="D883" s="31"/>
      <c r="E883" s="31"/>
      <c r="F883" s="31"/>
      <c r="G883" s="30"/>
      <c r="H883" s="30"/>
      <c r="I883" s="30"/>
      <c r="J883" s="113"/>
      <c r="K883" s="113"/>
      <c r="L883" s="113"/>
      <c r="M883" s="113"/>
    </row>
    <row r="884" spans="1:13" x14ac:dyDescent="0.3">
      <c r="A884" s="32"/>
      <c r="B884" s="32"/>
      <c r="C884" s="30"/>
      <c r="D884" s="31"/>
      <c r="E884" s="31"/>
      <c r="F884" s="31"/>
      <c r="G884" s="30"/>
      <c r="H884" s="30"/>
      <c r="I884" s="30"/>
      <c r="J884" s="113"/>
      <c r="K884" s="113"/>
      <c r="L884" s="113"/>
      <c r="M884" s="113"/>
    </row>
    <row r="885" spans="1:13" x14ac:dyDescent="0.3">
      <c r="A885" s="32"/>
      <c r="B885" s="32"/>
      <c r="C885" s="30"/>
      <c r="D885" s="31"/>
      <c r="E885" s="31"/>
      <c r="F885" s="31"/>
      <c r="G885" s="30"/>
      <c r="H885" s="30"/>
      <c r="I885" s="30"/>
      <c r="J885" s="113"/>
      <c r="K885" s="113"/>
      <c r="L885" s="113"/>
      <c r="M885" s="113"/>
    </row>
    <row r="886" spans="1:13" x14ac:dyDescent="0.3">
      <c r="A886" s="32"/>
      <c r="B886" s="32"/>
      <c r="C886" s="30"/>
      <c r="D886" s="31"/>
      <c r="E886" s="31"/>
      <c r="F886" s="31"/>
      <c r="G886" s="30"/>
      <c r="H886" s="30"/>
      <c r="I886" s="30"/>
      <c r="J886" s="113"/>
      <c r="K886" s="113"/>
      <c r="L886" s="113"/>
      <c r="M886" s="113"/>
    </row>
    <row r="887" spans="1:13" x14ac:dyDescent="0.3">
      <c r="A887" s="32"/>
      <c r="B887" s="32"/>
      <c r="C887" s="30"/>
      <c r="D887" s="31"/>
      <c r="E887" s="31"/>
      <c r="F887" s="31"/>
      <c r="G887" s="30"/>
      <c r="H887" s="30"/>
      <c r="I887" s="30"/>
      <c r="J887" s="113"/>
      <c r="K887" s="113"/>
      <c r="L887" s="113"/>
      <c r="M887" s="113"/>
    </row>
    <row r="888" spans="1:13" x14ac:dyDescent="0.3">
      <c r="A888" s="32"/>
      <c r="B888" s="32"/>
      <c r="C888" s="30"/>
      <c r="D888" s="31"/>
      <c r="E888" s="31"/>
      <c r="F888" s="31"/>
      <c r="G888" s="30"/>
      <c r="H888" s="30"/>
      <c r="I888" s="30"/>
      <c r="J888" s="113"/>
      <c r="K888" s="113"/>
      <c r="L888" s="113"/>
      <c r="M888" s="113"/>
    </row>
    <row r="889" spans="1:13" x14ac:dyDescent="0.3">
      <c r="A889" s="32"/>
      <c r="B889" s="32"/>
      <c r="C889" s="30"/>
      <c r="D889" s="31"/>
      <c r="E889" s="31"/>
      <c r="F889" s="31"/>
      <c r="G889" s="30"/>
      <c r="H889" s="30"/>
      <c r="I889" s="30"/>
      <c r="J889" s="113"/>
      <c r="K889" s="113"/>
      <c r="L889" s="113"/>
      <c r="M889" s="113"/>
    </row>
    <row r="890" spans="1:13" x14ac:dyDescent="0.3">
      <c r="A890" s="32"/>
      <c r="B890" s="32"/>
      <c r="C890" s="30"/>
      <c r="D890" s="31"/>
      <c r="E890" s="31"/>
      <c r="F890" s="31"/>
      <c r="G890" s="30"/>
      <c r="H890" s="30"/>
      <c r="I890" s="30"/>
      <c r="J890" s="113"/>
      <c r="K890" s="113"/>
      <c r="L890" s="113"/>
      <c r="M890" s="113"/>
    </row>
    <row r="891" spans="1:13" x14ac:dyDescent="0.3">
      <c r="A891" s="32"/>
      <c r="B891" s="32"/>
      <c r="C891" s="30"/>
      <c r="D891" s="31"/>
      <c r="E891" s="31"/>
      <c r="F891" s="31"/>
      <c r="G891" s="30"/>
      <c r="H891" s="30"/>
      <c r="I891" s="30"/>
      <c r="J891" s="113"/>
      <c r="K891" s="113"/>
      <c r="L891" s="113"/>
      <c r="M891" s="113"/>
    </row>
    <row r="892" spans="1:13" x14ac:dyDescent="0.3">
      <c r="A892" s="32"/>
      <c r="B892" s="32"/>
      <c r="C892" s="30"/>
      <c r="D892" s="31"/>
      <c r="E892" s="31"/>
      <c r="F892" s="31"/>
      <c r="G892" s="30"/>
      <c r="H892" s="30"/>
      <c r="I892" s="30"/>
      <c r="J892" s="113"/>
      <c r="K892" s="113"/>
      <c r="L892" s="113"/>
      <c r="M892" s="113"/>
    </row>
    <row r="893" spans="1:13" x14ac:dyDescent="0.3">
      <c r="A893" s="32"/>
      <c r="B893" s="32"/>
      <c r="C893" s="30"/>
      <c r="D893" s="31"/>
      <c r="E893" s="31"/>
      <c r="F893" s="31"/>
      <c r="G893" s="30"/>
      <c r="H893" s="30"/>
      <c r="I893" s="30"/>
      <c r="J893" s="113"/>
      <c r="K893" s="113"/>
      <c r="L893" s="113"/>
      <c r="M893" s="113"/>
    </row>
    <row r="894" spans="1:13" x14ac:dyDescent="0.3">
      <c r="A894" s="32"/>
      <c r="B894" s="32"/>
      <c r="C894" s="30"/>
      <c r="D894" s="31"/>
      <c r="E894" s="31"/>
      <c r="F894" s="31"/>
      <c r="G894" s="30"/>
      <c r="H894" s="30"/>
      <c r="I894" s="30"/>
      <c r="J894" s="113"/>
      <c r="K894" s="113"/>
      <c r="L894" s="113"/>
      <c r="M894" s="113"/>
    </row>
    <row r="895" spans="1:13" x14ac:dyDescent="0.3">
      <c r="A895" s="32"/>
      <c r="B895" s="32"/>
      <c r="C895" s="30"/>
      <c r="D895" s="31"/>
      <c r="E895" s="31"/>
      <c r="F895" s="31"/>
      <c r="G895" s="30"/>
      <c r="H895" s="30"/>
      <c r="I895" s="30"/>
      <c r="J895" s="113"/>
      <c r="K895" s="113"/>
      <c r="L895" s="113"/>
      <c r="M895" s="113"/>
    </row>
    <row r="896" spans="1:13" x14ac:dyDescent="0.3">
      <c r="A896" s="32"/>
      <c r="B896" s="32"/>
      <c r="C896" s="30"/>
      <c r="D896" s="31"/>
      <c r="E896" s="31"/>
      <c r="F896" s="31"/>
      <c r="G896" s="30"/>
      <c r="H896" s="30"/>
      <c r="I896" s="30"/>
      <c r="J896" s="113"/>
      <c r="K896" s="113"/>
      <c r="L896" s="113"/>
      <c r="M896" s="113"/>
    </row>
    <row r="897" spans="1:13" x14ac:dyDescent="0.3">
      <c r="A897" s="32"/>
      <c r="B897" s="32"/>
      <c r="C897" s="30"/>
      <c r="D897" s="31"/>
      <c r="E897" s="31"/>
      <c r="F897" s="31"/>
      <c r="G897" s="30"/>
      <c r="H897" s="30"/>
      <c r="I897" s="30"/>
      <c r="J897" s="113"/>
      <c r="K897" s="113"/>
      <c r="L897" s="113"/>
      <c r="M897" s="113"/>
    </row>
    <row r="898" spans="1:13" x14ac:dyDescent="0.3">
      <c r="A898" s="32"/>
      <c r="B898" s="32"/>
      <c r="C898" s="30"/>
      <c r="D898" s="31"/>
      <c r="E898" s="31"/>
      <c r="F898" s="31"/>
      <c r="G898" s="30"/>
      <c r="H898" s="30"/>
      <c r="I898" s="30"/>
      <c r="J898" s="113"/>
      <c r="K898" s="113"/>
      <c r="L898" s="113"/>
      <c r="M898" s="113"/>
    </row>
    <row r="899" spans="1:13" x14ac:dyDescent="0.3">
      <c r="A899" s="32"/>
      <c r="B899" s="32"/>
      <c r="C899" s="30"/>
      <c r="D899" s="31"/>
      <c r="E899" s="31"/>
      <c r="F899" s="31"/>
      <c r="G899" s="30"/>
      <c r="H899" s="30"/>
      <c r="I899" s="30"/>
      <c r="J899" s="113"/>
      <c r="K899" s="113"/>
      <c r="L899" s="113"/>
      <c r="M899" s="113"/>
    </row>
    <row r="900" spans="1:13" x14ac:dyDescent="0.3">
      <c r="A900" s="32"/>
      <c r="B900" s="32"/>
      <c r="C900" s="30"/>
      <c r="D900" s="31"/>
      <c r="E900" s="31"/>
      <c r="F900" s="31"/>
      <c r="G900" s="30"/>
      <c r="H900" s="30"/>
      <c r="I900" s="30"/>
      <c r="J900" s="113"/>
      <c r="K900" s="113"/>
      <c r="L900" s="113"/>
      <c r="M900" s="113"/>
    </row>
    <row r="901" spans="1:13" x14ac:dyDescent="0.3">
      <c r="A901" s="32"/>
      <c r="B901" s="32"/>
      <c r="C901" s="30"/>
      <c r="D901" s="31"/>
      <c r="E901" s="31"/>
      <c r="F901" s="31"/>
      <c r="G901" s="30"/>
      <c r="H901" s="30"/>
      <c r="I901" s="30"/>
      <c r="J901" s="113"/>
      <c r="K901" s="113"/>
      <c r="L901" s="113"/>
      <c r="M901" s="113"/>
    </row>
    <row r="902" spans="1:13" x14ac:dyDescent="0.3">
      <c r="A902" s="32"/>
      <c r="B902" s="32"/>
      <c r="C902" s="30"/>
      <c r="D902" s="31"/>
      <c r="E902" s="31"/>
      <c r="F902" s="31"/>
      <c r="G902" s="30"/>
      <c r="H902" s="30"/>
      <c r="I902" s="30"/>
      <c r="J902" s="113"/>
      <c r="K902" s="113"/>
      <c r="L902" s="113"/>
      <c r="M902" s="113"/>
    </row>
    <row r="903" spans="1:13" x14ac:dyDescent="0.3">
      <c r="A903" s="32"/>
      <c r="B903" s="32"/>
      <c r="C903" s="30"/>
      <c r="D903" s="31"/>
      <c r="E903" s="31"/>
      <c r="F903" s="31"/>
      <c r="G903" s="30"/>
      <c r="H903" s="30"/>
      <c r="I903" s="30"/>
      <c r="J903" s="113"/>
      <c r="K903" s="113"/>
      <c r="L903" s="113"/>
      <c r="M903" s="113"/>
    </row>
    <row r="904" spans="1:13" x14ac:dyDescent="0.3">
      <c r="A904" s="32"/>
      <c r="B904" s="32"/>
      <c r="C904" s="30"/>
      <c r="D904" s="31"/>
      <c r="E904" s="31"/>
      <c r="F904" s="31"/>
      <c r="G904" s="30"/>
      <c r="H904" s="30"/>
      <c r="I904" s="30"/>
      <c r="J904" s="113"/>
      <c r="K904" s="113"/>
      <c r="L904" s="113"/>
      <c r="M904" s="113"/>
    </row>
    <row r="905" spans="1:13" x14ac:dyDescent="0.3">
      <c r="A905" s="32"/>
      <c r="B905" s="32"/>
      <c r="C905" s="30"/>
      <c r="D905" s="31"/>
      <c r="E905" s="31"/>
      <c r="F905" s="31"/>
      <c r="G905" s="30"/>
      <c r="H905" s="30"/>
      <c r="I905" s="30"/>
      <c r="J905" s="113"/>
      <c r="K905" s="113"/>
      <c r="L905" s="113"/>
      <c r="M905" s="113"/>
    </row>
    <row r="906" spans="1:13" x14ac:dyDescent="0.3">
      <c r="A906" s="32"/>
      <c r="B906" s="32"/>
      <c r="C906" s="30"/>
      <c r="D906" s="31"/>
      <c r="E906" s="31"/>
      <c r="F906" s="31"/>
      <c r="G906" s="30"/>
      <c r="H906" s="30"/>
      <c r="I906" s="30"/>
      <c r="J906" s="113"/>
      <c r="K906" s="113"/>
      <c r="L906" s="113"/>
      <c r="M906" s="113"/>
    </row>
    <row r="907" spans="1:13" x14ac:dyDescent="0.3">
      <c r="A907" s="32"/>
      <c r="B907" s="32"/>
      <c r="C907" s="30"/>
      <c r="D907" s="31"/>
      <c r="E907" s="31"/>
      <c r="F907" s="31"/>
      <c r="G907" s="30"/>
      <c r="H907" s="30"/>
      <c r="I907" s="30"/>
      <c r="J907" s="113"/>
      <c r="K907" s="113"/>
      <c r="L907" s="113"/>
      <c r="M907" s="113"/>
    </row>
    <row r="908" spans="1:13" x14ac:dyDescent="0.3">
      <c r="A908" s="32"/>
      <c r="B908" s="32"/>
      <c r="C908" s="30"/>
      <c r="D908" s="31"/>
      <c r="E908" s="31"/>
      <c r="F908" s="31"/>
      <c r="G908" s="30"/>
      <c r="H908" s="30"/>
      <c r="I908" s="30"/>
      <c r="J908" s="113"/>
      <c r="K908" s="113"/>
      <c r="L908" s="113"/>
      <c r="M908" s="113"/>
    </row>
    <row r="909" spans="1:13" x14ac:dyDescent="0.3">
      <c r="A909" s="32"/>
      <c r="B909" s="32"/>
      <c r="C909" s="30"/>
      <c r="D909" s="31"/>
      <c r="E909" s="31"/>
      <c r="F909" s="31"/>
      <c r="G909" s="30"/>
      <c r="H909" s="30"/>
      <c r="I909" s="30"/>
      <c r="J909" s="113"/>
      <c r="K909" s="113"/>
      <c r="L909" s="113"/>
      <c r="M909" s="113"/>
    </row>
    <row r="910" spans="1:13" x14ac:dyDescent="0.3">
      <c r="A910" s="32"/>
      <c r="B910" s="32"/>
      <c r="C910" s="30"/>
      <c r="D910" s="31"/>
      <c r="E910" s="31"/>
      <c r="F910" s="31"/>
      <c r="G910" s="30"/>
      <c r="H910" s="30"/>
      <c r="I910" s="30"/>
      <c r="J910" s="113"/>
      <c r="K910" s="113"/>
      <c r="L910" s="113"/>
      <c r="M910" s="113"/>
    </row>
    <row r="911" spans="1:13" x14ac:dyDescent="0.3">
      <c r="A911" s="32"/>
      <c r="B911" s="32"/>
      <c r="C911" s="30"/>
      <c r="D911" s="31"/>
      <c r="E911" s="31"/>
      <c r="F911" s="31"/>
      <c r="G911" s="30"/>
      <c r="H911" s="30"/>
      <c r="I911" s="30"/>
      <c r="J911" s="113"/>
      <c r="K911" s="113"/>
      <c r="L911" s="113"/>
      <c r="M911" s="113"/>
    </row>
    <row r="912" spans="1:13" x14ac:dyDescent="0.3">
      <c r="A912" s="32"/>
      <c r="B912" s="32"/>
      <c r="C912" s="30"/>
      <c r="D912" s="31"/>
      <c r="E912" s="31"/>
      <c r="F912" s="31"/>
      <c r="G912" s="30"/>
      <c r="H912" s="30"/>
      <c r="I912" s="30"/>
      <c r="J912" s="113"/>
      <c r="K912" s="113"/>
      <c r="L912" s="113"/>
      <c r="M912" s="113"/>
    </row>
    <row r="913" spans="1:13" x14ac:dyDescent="0.3">
      <c r="A913" s="32"/>
      <c r="B913" s="32"/>
      <c r="C913" s="30"/>
      <c r="D913" s="31"/>
      <c r="E913" s="31"/>
      <c r="F913" s="31"/>
      <c r="G913" s="30"/>
      <c r="H913" s="30"/>
      <c r="I913" s="30"/>
      <c r="J913" s="113"/>
      <c r="K913" s="113"/>
      <c r="L913" s="113"/>
      <c r="M913" s="113"/>
    </row>
    <row r="914" spans="1:13" x14ac:dyDescent="0.3">
      <c r="A914" s="32"/>
      <c r="B914" s="32"/>
      <c r="C914" s="30"/>
      <c r="D914" s="31"/>
      <c r="E914" s="31"/>
      <c r="F914" s="31"/>
      <c r="G914" s="30"/>
      <c r="H914" s="30"/>
      <c r="I914" s="30"/>
      <c r="J914" s="113"/>
      <c r="K914" s="113"/>
      <c r="L914" s="113"/>
      <c r="M914" s="113"/>
    </row>
    <row r="915" spans="1:13" x14ac:dyDescent="0.3">
      <c r="A915" s="32"/>
      <c r="B915" s="32"/>
      <c r="C915" s="30"/>
      <c r="D915" s="31"/>
      <c r="E915" s="31"/>
      <c r="F915" s="31"/>
      <c r="G915" s="30"/>
      <c r="H915" s="30"/>
      <c r="I915" s="30"/>
      <c r="J915" s="113"/>
      <c r="K915" s="113"/>
      <c r="L915" s="113"/>
      <c r="M915" s="113"/>
    </row>
    <row r="916" spans="1:13" x14ac:dyDescent="0.3">
      <c r="A916" s="32"/>
      <c r="B916" s="32"/>
      <c r="C916" s="30"/>
      <c r="D916" s="31"/>
      <c r="E916" s="31"/>
      <c r="F916" s="31"/>
      <c r="G916" s="30"/>
      <c r="H916" s="30"/>
      <c r="I916" s="30"/>
      <c r="J916" s="113"/>
      <c r="K916" s="113"/>
      <c r="L916" s="113"/>
      <c r="M916" s="113"/>
    </row>
    <row r="917" spans="1:13" x14ac:dyDescent="0.3">
      <c r="A917" s="32"/>
      <c r="B917" s="32"/>
      <c r="C917" s="30"/>
      <c r="D917" s="31"/>
      <c r="E917" s="31"/>
      <c r="F917" s="31"/>
      <c r="G917" s="30"/>
      <c r="H917" s="30"/>
      <c r="I917" s="30"/>
      <c r="J917" s="113"/>
      <c r="K917" s="113"/>
      <c r="L917" s="113"/>
      <c r="M917" s="113"/>
    </row>
    <row r="918" spans="1:13" x14ac:dyDescent="0.3">
      <c r="A918" s="32"/>
      <c r="B918" s="32"/>
      <c r="C918" s="30"/>
      <c r="D918" s="31"/>
      <c r="E918" s="31"/>
      <c r="F918" s="31"/>
      <c r="G918" s="30"/>
      <c r="H918" s="30"/>
      <c r="I918" s="30"/>
      <c r="J918" s="113"/>
      <c r="K918" s="113"/>
      <c r="L918" s="113"/>
      <c r="M918" s="113"/>
    </row>
    <row r="919" spans="1:13" x14ac:dyDescent="0.3">
      <c r="A919" s="32"/>
      <c r="B919" s="32"/>
      <c r="C919" s="30"/>
      <c r="D919" s="31"/>
      <c r="E919" s="31"/>
      <c r="F919" s="31"/>
      <c r="G919" s="30"/>
      <c r="H919" s="30"/>
      <c r="I919" s="30"/>
      <c r="J919" s="113"/>
      <c r="K919" s="113"/>
      <c r="L919" s="113"/>
      <c r="M919" s="113"/>
    </row>
    <row r="920" spans="1:13" x14ac:dyDescent="0.3">
      <c r="A920" s="32"/>
      <c r="B920" s="32"/>
      <c r="C920" s="30"/>
      <c r="D920" s="31"/>
      <c r="E920" s="31"/>
      <c r="F920" s="31"/>
      <c r="G920" s="30"/>
      <c r="H920" s="30"/>
      <c r="I920" s="30"/>
      <c r="J920" s="113"/>
      <c r="K920" s="113"/>
      <c r="L920" s="113"/>
      <c r="M920" s="113"/>
    </row>
    <row r="921" spans="1:13" x14ac:dyDescent="0.3">
      <c r="A921" s="32"/>
      <c r="B921" s="32"/>
      <c r="C921" s="30"/>
      <c r="D921" s="31"/>
      <c r="E921" s="31"/>
      <c r="F921" s="31"/>
      <c r="G921" s="30"/>
      <c r="H921" s="30"/>
      <c r="I921" s="30"/>
      <c r="J921" s="113"/>
      <c r="K921" s="113"/>
      <c r="L921" s="113"/>
      <c r="M921" s="113"/>
    </row>
    <row r="922" spans="1:13" x14ac:dyDescent="0.3">
      <c r="A922" s="32"/>
      <c r="B922" s="32"/>
      <c r="C922" s="30"/>
      <c r="D922" s="31"/>
      <c r="E922" s="31"/>
      <c r="F922" s="31"/>
      <c r="G922" s="30"/>
      <c r="H922" s="30"/>
      <c r="I922" s="30"/>
      <c r="J922" s="113"/>
      <c r="K922" s="113"/>
      <c r="L922" s="113"/>
      <c r="M922" s="113"/>
    </row>
    <row r="923" spans="1:13" x14ac:dyDescent="0.3">
      <c r="A923" s="32"/>
      <c r="B923" s="32"/>
      <c r="C923" s="30"/>
      <c r="D923" s="31"/>
      <c r="E923" s="31"/>
      <c r="F923" s="31"/>
      <c r="G923" s="30"/>
      <c r="H923" s="30"/>
      <c r="I923" s="30"/>
      <c r="J923" s="113"/>
      <c r="K923" s="113"/>
      <c r="L923" s="113"/>
      <c r="M923" s="113"/>
    </row>
    <row r="924" spans="1:13" x14ac:dyDescent="0.3">
      <c r="A924" s="32"/>
      <c r="B924" s="32"/>
      <c r="C924" s="30"/>
      <c r="D924" s="31"/>
      <c r="E924" s="31"/>
      <c r="F924" s="31"/>
      <c r="G924" s="30"/>
      <c r="H924" s="30"/>
      <c r="I924" s="30"/>
      <c r="J924" s="113"/>
      <c r="K924" s="113"/>
      <c r="L924" s="113"/>
      <c r="M924" s="113"/>
    </row>
    <row r="925" spans="1:13" x14ac:dyDescent="0.3">
      <c r="A925" s="32"/>
      <c r="B925" s="32"/>
      <c r="C925" s="30"/>
      <c r="D925" s="31"/>
      <c r="E925" s="31"/>
      <c r="F925" s="31"/>
      <c r="G925" s="30"/>
      <c r="H925" s="30"/>
      <c r="I925" s="30"/>
      <c r="J925" s="113"/>
      <c r="K925" s="113"/>
      <c r="L925" s="113"/>
      <c r="M925" s="113"/>
    </row>
    <row r="926" spans="1:13" x14ac:dyDescent="0.3">
      <c r="A926" s="32"/>
      <c r="B926" s="32"/>
      <c r="C926" s="30"/>
      <c r="D926" s="31"/>
      <c r="E926" s="31"/>
      <c r="F926" s="31"/>
      <c r="G926" s="30"/>
      <c r="H926" s="30"/>
      <c r="I926" s="30"/>
      <c r="J926" s="113"/>
      <c r="K926" s="113"/>
      <c r="L926" s="113"/>
      <c r="M926" s="113"/>
    </row>
    <row r="927" spans="1:13" x14ac:dyDescent="0.3">
      <c r="A927" s="32"/>
      <c r="B927" s="32"/>
      <c r="C927" s="30"/>
      <c r="D927" s="31"/>
      <c r="E927" s="31"/>
      <c r="F927" s="31"/>
      <c r="G927" s="30"/>
      <c r="H927" s="30"/>
      <c r="I927" s="30"/>
      <c r="J927" s="113"/>
      <c r="K927" s="113"/>
      <c r="L927" s="113"/>
      <c r="M927" s="113"/>
    </row>
    <row r="928" spans="1:13" x14ac:dyDescent="0.3">
      <c r="A928" s="32"/>
      <c r="B928" s="32"/>
      <c r="C928" s="30"/>
      <c r="D928" s="31"/>
      <c r="E928" s="31"/>
      <c r="F928" s="31"/>
      <c r="G928" s="30"/>
      <c r="H928" s="30"/>
      <c r="I928" s="30"/>
      <c r="J928" s="113"/>
      <c r="K928" s="113"/>
      <c r="L928" s="113"/>
      <c r="M928" s="113"/>
    </row>
    <row r="929" spans="1:13" x14ac:dyDescent="0.3">
      <c r="A929" s="32"/>
      <c r="B929" s="32"/>
      <c r="C929" s="30"/>
      <c r="D929" s="31"/>
      <c r="E929" s="31"/>
      <c r="F929" s="31"/>
      <c r="G929" s="30"/>
      <c r="H929" s="30"/>
      <c r="I929" s="30"/>
      <c r="J929" s="113"/>
      <c r="K929" s="113"/>
      <c r="L929" s="113"/>
      <c r="M929" s="113"/>
    </row>
    <row r="930" spans="1:13" x14ac:dyDescent="0.3">
      <c r="A930" s="32"/>
      <c r="B930" s="32"/>
      <c r="C930" s="30"/>
      <c r="D930" s="31"/>
      <c r="E930" s="31"/>
      <c r="F930" s="31"/>
      <c r="G930" s="30"/>
      <c r="H930" s="30"/>
      <c r="I930" s="30"/>
      <c r="J930" s="113"/>
      <c r="K930" s="113"/>
      <c r="L930" s="113"/>
      <c r="M930" s="113"/>
    </row>
    <row r="931" spans="1:13" x14ac:dyDescent="0.3">
      <c r="A931" s="32"/>
      <c r="B931" s="32"/>
      <c r="C931" s="30"/>
      <c r="D931" s="31"/>
      <c r="E931" s="31"/>
      <c r="F931" s="31"/>
      <c r="G931" s="30"/>
      <c r="H931" s="30"/>
      <c r="I931" s="30"/>
      <c r="J931" s="113"/>
      <c r="K931" s="113"/>
      <c r="L931" s="113"/>
      <c r="M931" s="113"/>
    </row>
    <row r="932" spans="1:13" x14ac:dyDescent="0.3">
      <c r="A932" s="32"/>
      <c r="B932" s="32"/>
      <c r="C932" s="30"/>
      <c r="D932" s="31"/>
      <c r="E932" s="31"/>
      <c r="F932" s="31"/>
      <c r="G932" s="30"/>
      <c r="H932" s="30"/>
      <c r="I932" s="30"/>
      <c r="J932" s="113"/>
      <c r="K932" s="113"/>
      <c r="L932" s="113"/>
      <c r="M932" s="113"/>
    </row>
    <row r="933" spans="1:13" x14ac:dyDescent="0.3">
      <c r="A933" s="32"/>
      <c r="B933" s="32"/>
      <c r="C933" s="30"/>
      <c r="D933" s="31"/>
      <c r="E933" s="31"/>
      <c r="F933" s="31"/>
      <c r="G933" s="30"/>
      <c r="H933" s="30"/>
      <c r="I933" s="30"/>
      <c r="J933" s="113"/>
      <c r="K933" s="113"/>
      <c r="L933" s="113"/>
      <c r="M933" s="113"/>
    </row>
    <row r="934" spans="1:13" x14ac:dyDescent="0.3">
      <c r="A934" s="32"/>
      <c r="B934" s="32"/>
      <c r="C934" s="30"/>
      <c r="D934" s="31"/>
      <c r="E934" s="31"/>
      <c r="F934" s="31"/>
      <c r="G934" s="30"/>
      <c r="H934" s="30"/>
      <c r="I934" s="30"/>
      <c r="J934" s="113"/>
      <c r="K934" s="113"/>
      <c r="L934" s="113"/>
      <c r="M934" s="113"/>
    </row>
    <row r="935" spans="1:13" x14ac:dyDescent="0.3">
      <c r="A935" s="32"/>
      <c r="B935" s="32"/>
      <c r="C935" s="30"/>
      <c r="D935" s="31"/>
      <c r="E935" s="31"/>
      <c r="F935" s="31"/>
      <c r="G935" s="30"/>
      <c r="H935" s="30"/>
      <c r="I935" s="30"/>
      <c r="J935" s="113"/>
      <c r="K935" s="113"/>
      <c r="L935" s="113"/>
      <c r="M935" s="113"/>
    </row>
    <row r="936" spans="1:13" x14ac:dyDescent="0.3">
      <c r="A936" s="32"/>
      <c r="B936" s="32"/>
      <c r="C936" s="30"/>
      <c r="D936" s="31"/>
      <c r="E936" s="31"/>
      <c r="F936" s="31"/>
      <c r="G936" s="30"/>
      <c r="H936" s="30"/>
      <c r="I936" s="30"/>
      <c r="J936" s="113"/>
      <c r="K936" s="113"/>
      <c r="L936" s="113"/>
      <c r="M936" s="113"/>
    </row>
    <row r="937" spans="1:13" x14ac:dyDescent="0.3">
      <c r="A937" s="32"/>
      <c r="B937" s="32"/>
      <c r="C937" s="30"/>
      <c r="D937" s="31"/>
      <c r="E937" s="31"/>
      <c r="F937" s="31"/>
      <c r="G937" s="30"/>
      <c r="H937" s="30"/>
      <c r="I937" s="30"/>
      <c r="J937" s="113"/>
      <c r="K937" s="113"/>
      <c r="L937" s="113"/>
      <c r="M937" s="113"/>
    </row>
    <row r="938" spans="1:13" x14ac:dyDescent="0.3">
      <c r="A938" s="32"/>
      <c r="B938" s="32"/>
      <c r="C938" s="30"/>
      <c r="D938" s="31"/>
      <c r="E938" s="31"/>
      <c r="F938" s="31"/>
      <c r="G938" s="30"/>
      <c r="H938" s="30"/>
      <c r="I938" s="30"/>
      <c r="J938" s="113"/>
      <c r="K938" s="113"/>
      <c r="L938" s="113"/>
      <c r="M938" s="113"/>
    </row>
    <row r="939" spans="1:13" x14ac:dyDescent="0.3">
      <c r="A939" s="32"/>
      <c r="B939" s="32"/>
      <c r="C939" s="30"/>
      <c r="D939" s="31"/>
      <c r="E939" s="31"/>
      <c r="F939" s="31"/>
      <c r="G939" s="30"/>
      <c r="H939" s="30"/>
      <c r="I939" s="30"/>
      <c r="J939" s="113"/>
      <c r="K939" s="113"/>
      <c r="L939" s="113"/>
      <c r="M939" s="113"/>
    </row>
    <row r="940" spans="1:13" x14ac:dyDescent="0.3">
      <c r="A940" s="32"/>
      <c r="B940" s="32"/>
      <c r="C940" s="30"/>
      <c r="D940" s="31"/>
      <c r="E940" s="31"/>
      <c r="F940" s="31"/>
      <c r="G940" s="30"/>
      <c r="H940" s="30"/>
      <c r="I940" s="30"/>
      <c r="J940" s="113"/>
      <c r="K940" s="113"/>
      <c r="L940" s="113"/>
      <c r="M940" s="113"/>
    </row>
    <row r="941" spans="1:13" x14ac:dyDescent="0.3">
      <c r="A941" s="32"/>
      <c r="B941" s="32"/>
      <c r="C941" s="30"/>
      <c r="D941" s="31"/>
      <c r="E941" s="31"/>
      <c r="F941" s="31"/>
      <c r="G941" s="30"/>
      <c r="H941" s="30"/>
      <c r="I941" s="30"/>
      <c r="J941" s="113"/>
      <c r="K941" s="113"/>
      <c r="L941" s="113"/>
      <c r="M941" s="113"/>
    </row>
    <row r="942" spans="1:13" x14ac:dyDescent="0.3">
      <c r="A942" s="32"/>
      <c r="B942" s="32"/>
      <c r="C942" s="30"/>
      <c r="D942" s="31"/>
      <c r="E942" s="31"/>
      <c r="F942" s="31"/>
      <c r="G942" s="30"/>
      <c r="H942" s="30"/>
      <c r="I942" s="30"/>
      <c r="J942" s="113"/>
      <c r="K942" s="113"/>
      <c r="L942" s="113"/>
      <c r="M942" s="113"/>
    </row>
    <row r="943" spans="1:13" x14ac:dyDescent="0.3">
      <c r="A943" s="32"/>
      <c r="B943" s="32"/>
      <c r="C943" s="30"/>
      <c r="D943" s="31"/>
      <c r="E943" s="31"/>
      <c r="F943" s="31"/>
      <c r="G943" s="30"/>
      <c r="H943" s="30"/>
      <c r="I943" s="30"/>
      <c r="J943" s="113"/>
      <c r="K943" s="113"/>
      <c r="L943" s="113"/>
      <c r="M943" s="113"/>
    </row>
    <row r="944" spans="1:13" x14ac:dyDescent="0.3">
      <c r="A944" s="32"/>
      <c r="B944" s="32"/>
      <c r="C944" s="30"/>
      <c r="D944" s="31"/>
      <c r="E944" s="31"/>
      <c r="F944" s="31"/>
      <c r="G944" s="30"/>
      <c r="H944" s="30"/>
      <c r="I944" s="30"/>
      <c r="J944" s="113"/>
      <c r="K944" s="113"/>
      <c r="L944" s="113"/>
      <c r="M944" s="113"/>
    </row>
    <row r="945" spans="1:13" x14ac:dyDescent="0.3">
      <c r="A945" s="32"/>
      <c r="B945" s="32"/>
      <c r="C945" s="30"/>
      <c r="D945" s="31"/>
      <c r="E945" s="31"/>
      <c r="F945" s="31"/>
      <c r="G945" s="30"/>
      <c r="H945" s="30"/>
      <c r="I945" s="30"/>
      <c r="J945" s="113"/>
      <c r="K945" s="113"/>
      <c r="L945" s="113"/>
      <c r="M945" s="113"/>
    </row>
    <row r="946" spans="1:13" x14ac:dyDescent="0.3">
      <c r="A946" s="32"/>
      <c r="B946" s="32"/>
      <c r="C946" s="30"/>
      <c r="D946" s="31"/>
      <c r="E946" s="31"/>
      <c r="F946" s="31"/>
      <c r="G946" s="30"/>
      <c r="H946" s="30"/>
      <c r="I946" s="30"/>
      <c r="J946" s="113"/>
      <c r="K946" s="113"/>
      <c r="L946" s="113"/>
      <c r="M946" s="113"/>
    </row>
    <row r="947" spans="1:13" x14ac:dyDescent="0.3">
      <c r="A947" s="32"/>
      <c r="B947" s="32"/>
      <c r="C947" s="30"/>
      <c r="D947" s="31"/>
      <c r="E947" s="31"/>
      <c r="F947" s="31"/>
      <c r="G947" s="30"/>
      <c r="H947" s="30"/>
      <c r="I947" s="30"/>
      <c r="J947" s="113"/>
      <c r="K947" s="113"/>
      <c r="L947" s="113"/>
      <c r="M947" s="113"/>
    </row>
    <row r="948" spans="1:13" x14ac:dyDescent="0.3">
      <c r="A948" s="32"/>
      <c r="B948" s="32"/>
      <c r="C948" s="30"/>
      <c r="D948" s="31"/>
      <c r="E948" s="31"/>
      <c r="F948" s="31"/>
      <c r="G948" s="30"/>
      <c r="H948" s="30"/>
      <c r="I948" s="30"/>
      <c r="J948" s="113"/>
      <c r="K948" s="113"/>
      <c r="L948" s="113"/>
      <c r="M948" s="113"/>
    </row>
    <row r="949" spans="1:13" x14ac:dyDescent="0.3">
      <c r="A949" s="32"/>
      <c r="B949" s="32"/>
      <c r="C949" s="30"/>
      <c r="D949" s="31"/>
      <c r="E949" s="31"/>
      <c r="F949" s="31"/>
      <c r="G949" s="30"/>
      <c r="H949" s="30"/>
      <c r="I949" s="30"/>
      <c r="J949" s="113"/>
      <c r="K949" s="113"/>
      <c r="L949" s="113"/>
      <c r="M949" s="113"/>
    </row>
    <row r="950" spans="1:13" x14ac:dyDescent="0.3">
      <c r="A950" s="32"/>
      <c r="B950" s="32"/>
      <c r="C950" s="30"/>
      <c r="D950" s="31"/>
      <c r="E950" s="31"/>
      <c r="F950" s="31"/>
      <c r="G950" s="30"/>
      <c r="H950" s="30"/>
      <c r="I950" s="30"/>
      <c r="J950" s="113"/>
      <c r="K950" s="113"/>
      <c r="L950" s="113"/>
      <c r="M950" s="113"/>
    </row>
    <row r="951" spans="1:13" x14ac:dyDescent="0.3">
      <c r="A951" s="32"/>
      <c r="B951" s="32"/>
      <c r="C951" s="30"/>
      <c r="D951" s="31"/>
      <c r="E951" s="31"/>
      <c r="F951" s="31"/>
      <c r="G951" s="30"/>
      <c r="H951" s="30"/>
      <c r="I951" s="30"/>
      <c r="J951" s="113"/>
      <c r="K951" s="113"/>
      <c r="L951" s="113"/>
      <c r="M951" s="113"/>
    </row>
    <row r="952" spans="1:13" x14ac:dyDescent="0.3">
      <c r="A952" s="32"/>
      <c r="B952" s="32"/>
      <c r="C952" s="30"/>
      <c r="D952" s="31"/>
      <c r="E952" s="31"/>
      <c r="F952" s="31"/>
      <c r="G952" s="30"/>
      <c r="H952" s="30"/>
      <c r="I952" s="30"/>
      <c r="J952" s="113"/>
      <c r="K952" s="113"/>
      <c r="L952" s="113"/>
      <c r="M952" s="113"/>
    </row>
    <row r="953" spans="1:13" x14ac:dyDescent="0.3">
      <c r="A953" s="32"/>
      <c r="B953" s="32"/>
      <c r="C953" s="30"/>
      <c r="D953" s="31"/>
      <c r="E953" s="31"/>
      <c r="F953" s="31"/>
      <c r="G953" s="30"/>
      <c r="H953" s="30"/>
      <c r="I953" s="30"/>
      <c r="J953" s="113"/>
      <c r="K953" s="113"/>
      <c r="L953" s="113"/>
      <c r="M953" s="113"/>
    </row>
    <row r="954" spans="1:13" x14ac:dyDescent="0.3">
      <c r="A954" s="32"/>
      <c r="B954" s="32"/>
      <c r="C954" s="30"/>
      <c r="D954" s="31"/>
      <c r="E954" s="31"/>
      <c r="F954" s="31"/>
      <c r="G954" s="30"/>
      <c r="H954" s="30"/>
      <c r="I954" s="30"/>
      <c r="J954" s="113"/>
      <c r="K954" s="113"/>
      <c r="L954" s="113"/>
      <c r="M954" s="113"/>
    </row>
    <row r="955" spans="1:13" x14ac:dyDescent="0.3">
      <c r="A955" s="32"/>
      <c r="B955" s="32"/>
      <c r="C955" s="30"/>
      <c r="D955" s="31"/>
      <c r="E955" s="31"/>
      <c r="F955" s="31"/>
      <c r="G955" s="30"/>
      <c r="H955" s="30"/>
      <c r="I955" s="30"/>
      <c r="J955" s="113"/>
      <c r="K955" s="113"/>
      <c r="L955" s="113"/>
      <c r="M955" s="113"/>
    </row>
    <row r="956" spans="1:13" x14ac:dyDescent="0.3">
      <c r="A956" s="32"/>
      <c r="B956" s="32"/>
      <c r="C956" s="30"/>
      <c r="D956" s="31"/>
      <c r="E956" s="31"/>
      <c r="F956" s="31"/>
      <c r="G956" s="30"/>
      <c r="H956" s="30"/>
      <c r="I956" s="30"/>
      <c r="J956" s="113"/>
      <c r="K956" s="113"/>
      <c r="L956" s="113"/>
      <c r="M956" s="113"/>
    </row>
    <row r="957" spans="1:13" x14ac:dyDescent="0.3">
      <c r="A957" s="32"/>
      <c r="B957" s="32"/>
      <c r="C957" s="30"/>
      <c r="D957" s="31"/>
      <c r="E957" s="31"/>
      <c r="F957" s="31"/>
      <c r="G957" s="30"/>
      <c r="H957" s="30"/>
      <c r="I957" s="30"/>
      <c r="J957" s="113"/>
      <c r="K957" s="113"/>
      <c r="L957" s="113"/>
      <c r="M957" s="113"/>
    </row>
    <row r="958" spans="1:13" x14ac:dyDescent="0.3">
      <c r="A958" s="32"/>
      <c r="B958" s="32"/>
      <c r="C958" s="30"/>
      <c r="D958" s="31"/>
      <c r="E958" s="31"/>
      <c r="F958" s="31"/>
      <c r="G958" s="30"/>
      <c r="H958" s="30"/>
      <c r="I958" s="30"/>
      <c r="J958" s="113"/>
      <c r="K958" s="113"/>
      <c r="L958" s="113"/>
      <c r="M958" s="113"/>
    </row>
    <row r="959" spans="1:13" x14ac:dyDescent="0.3">
      <c r="A959" s="32"/>
      <c r="B959" s="32"/>
      <c r="C959" s="30"/>
      <c r="D959" s="31"/>
      <c r="E959" s="31"/>
      <c r="F959" s="31"/>
      <c r="G959" s="30"/>
      <c r="H959" s="30"/>
      <c r="I959" s="30"/>
      <c r="J959" s="113"/>
      <c r="K959" s="113"/>
      <c r="L959" s="113"/>
      <c r="M959" s="113"/>
    </row>
    <row r="960" spans="1:13" x14ac:dyDescent="0.3">
      <c r="A960" s="32"/>
      <c r="B960" s="32"/>
      <c r="C960" s="30"/>
      <c r="D960" s="31"/>
      <c r="E960" s="31"/>
      <c r="F960" s="31"/>
      <c r="G960" s="30"/>
      <c r="H960" s="30"/>
      <c r="I960" s="30"/>
      <c r="J960" s="113"/>
      <c r="K960" s="113"/>
      <c r="L960" s="113"/>
      <c r="M960" s="113"/>
    </row>
    <row r="961" spans="1:13" x14ac:dyDescent="0.3">
      <c r="A961" s="32"/>
      <c r="B961" s="32"/>
      <c r="C961" s="30"/>
      <c r="D961" s="31"/>
      <c r="E961" s="31"/>
      <c r="F961" s="31"/>
      <c r="G961" s="30"/>
      <c r="H961" s="30"/>
      <c r="I961" s="30"/>
      <c r="J961" s="113"/>
      <c r="K961" s="113"/>
      <c r="L961" s="113"/>
      <c r="M961" s="113"/>
    </row>
    <row r="962" spans="1:13" x14ac:dyDescent="0.3">
      <c r="A962" s="32"/>
      <c r="B962" s="32"/>
      <c r="C962" s="30"/>
      <c r="D962" s="31"/>
      <c r="E962" s="31"/>
      <c r="F962" s="31"/>
      <c r="G962" s="30"/>
      <c r="H962" s="30"/>
      <c r="I962" s="30"/>
      <c r="J962" s="113"/>
      <c r="K962" s="113"/>
      <c r="L962" s="113"/>
      <c r="M962" s="113"/>
    </row>
    <row r="963" spans="1:13" x14ac:dyDescent="0.3">
      <c r="A963" s="32"/>
      <c r="B963" s="32"/>
      <c r="C963" s="30"/>
      <c r="D963" s="31"/>
      <c r="E963" s="31"/>
      <c r="F963" s="31"/>
      <c r="G963" s="30"/>
      <c r="H963" s="30"/>
      <c r="I963" s="30"/>
      <c r="J963" s="113"/>
      <c r="K963" s="113"/>
      <c r="L963" s="113"/>
      <c r="M963" s="113"/>
    </row>
    <row r="964" spans="1:13" x14ac:dyDescent="0.3">
      <c r="A964" s="32"/>
      <c r="B964" s="32"/>
      <c r="C964" s="30"/>
      <c r="D964" s="31"/>
      <c r="E964" s="31"/>
      <c r="F964" s="31"/>
      <c r="G964" s="30"/>
      <c r="H964" s="30"/>
      <c r="I964" s="30"/>
      <c r="J964" s="113"/>
      <c r="K964" s="113"/>
      <c r="L964" s="113"/>
      <c r="M964" s="113"/>
    </row>
    <row r="965" spans="1:13" x14ac:dyDescent="0.3">
      <c r="A965" s="32"/>
      <c r="B965" s="32"/>
      <c r="C965" s="30"/>
      <c r="D965" s="31"/>
      <c r="E965" s="31"/>
      <c r="F965" s="31"/>
      <c r="G965" s="30"/>
      <c r="H965" s="30"/>
      <c r="I965" s="30"/>
      <c r="J965" s="113"/>
      <c r="K965" s="113"/>
      <c r="L965" s="113"/>
      <c r="M965" s="113"/>
    </row>
    <row r="966" spans="1:13" x14ac:dyDescent="0.3">
      <c r="A966" s="32"/>
      <c r="B966" s="32"/>
      <c r="C966" s="30"/>
      <c r="D966" s="31"/>
      <c r="E966" s="31"/>
      <c r="F966" s="31"/>
      <c r="G966" s="30"/>
      <c r="H966" s="30"/>
      <c r="I966" s="30"/>
      <c r="J966" s="113"/>
      <c r="K966" s="113"/>
      <c r="L966" s="113"/>
      <c r="M966" s="113"/>
    </row>
    <row r="967" spans="1:13" x14ac:dyDescent="0.3">
      <c r="A967" s="32"/>
      <c r="B967" s="32"/>
      <c r="C967" s="30"/>
      <c r="D967" s="31"/>
      <c r="E967" s="31"/>
      <c r="F967" s="31"/>
      <c r="G967" s="30"/>
      <c r="H967" s="30"/>
      <c r="I967" s="30"/>
      <c r="J967" s="113"/>
      <c r="K967" s="113"/>
      <c r="L967" s="113"/>
      <c r="M967" s="113"/>
    </row>
    <row r="968" spans="1:13" x14ac:dyDescent="0.3">
      <c r="A968" s="32"/>
      <c r="B968" s="32"/>
      <c r="C968" s="30"/>
      <c r="D968" s="31"/>
      <c r="E968" s="31"/>
      <c r="F968" s="31"/>
      <c r="G968" s="30"/>
      <c r="H968" s="30"/>
      <c r="I968" s="30"/>
      <c r="J968" s="113"/>
      <c r="K968" s="113"/>
      <c r="L968" s="113"/>
      <c r="M968" s="113"/>
    </row>
    <row r="969" spans="1:13" x14ac:dyDescent="0.3">
      <c r="A969" s="32"/>
      <c r="B969" s="32"/>
      <c r="C969" s="30"/>
      <c r="D969" s="31"/>
      <c r="E969" s="31"/>
      <c r="F969" s="31"/>
      <c r="G969" s="30"/>
      <c r="H969" s="30"/>
      <c r="I969" s="30"/>
      <c r="J969" s="113"/>
      <c r="K969" s="113"/>
      <c r="L969" s="113"/>
      <c r="M969" s="113"/>
    </row>
    <row r="970" spans="1:13" x14ac:dyDescent="0.3">
      <c r="A970" s="32"/>
      <c r="B970" s="32"/>
      <c r="C970" s="30"/>
      <c r="D970" s="31"/>
      <c r="E970" s="31"/>
      <c r="F970" s="31"/>
      <c r="G970" s="30"/>
      <c r="H970" s="30"/>
      <c r="I970" s="30"/>
      <c r="J970" s="113"/>
      <c r="K970" s="113"/>
      <c r="L970" s="113"/>
      <c r="M970" s="113"/>
    </row>
    <row r="971" spans="1:13" x14ac:dyDescent="0.3">
      <c r="A971" s="32"/>
      <c r="B971" s="32"/>
      <c r="C971" s="30"/>
      <c r="D971" s="31"/>
      <c r="E971" s="31"/>
      <c r="F971" s="31"/>
      <c r="G971" s="30"/>
      <c r="H971" s="30"/>
      <c r="I971" s="30"/>
      <c r="J971" s="113"/>
      <c r="K971" s="113"/>
      <c r="L971" s="113"/>
      <c r="M971" s="113"/>
    </row>
    <row r="972" spans="1:13" x14ac:dyDescent="0.3">
      <c r="A972" s="32"/>
      <c r="B972" s="32"/>
      <c r="C972" s="30"/>
      <c r="D972" s="31"/>
      <c r="E972" s="31"/>
      <c r="F972" s="31"/>
      <c r="G972" s="30"/>
      <c r="H972" s="30"/>
      <c r="I972" s="30"/>
      <c r="J972" s="113"/>
      <c r="K972" s="113"/>
      <c r="L972" s="113"/>
      <c r="M972" s="113"/>
    </row>
    <row r="973" spans="1:13" x14ac:dyDescent="0.3">
      <c r="A973" s="32"/>
      <c r="B973" s="32"/>
      <c r="C973" s="30"/>
      <c r="D973" s="31"/>
      <c r="E973" s="31"/>
      <c r="F973" s="31"/>
      <c r="G973" s="30"/>
      <c r="H973" s="30"/>
      <c r="I973" s="30"/>
      <c r="J973" s="113"/>
      <c r="K973" s="113"/>
      <c r="L973" s="113"/>
      <c r="M973" s="113"/>
    </row>
    <row r="974" spans="1:13" x14ac:dyDescent="0.3">
      <c r="A974" s="32"/>
      <c r="B974" s="32"/>
      <c r="C974" s="30"/>
      <c r="D974" s="31"/>
      <c r="E974" s="31"/>
      <c r="F974" s="31"/>
      <c r="G974" s="30"/>
      <c r="H974" s="30"/>
      <c r="I974" s="30"/>
      <c r="J974" s="113"/>
      <c r="K974" s="113"/>
      <c r="L974" s="113"/>
      <c r="M974" s="113"/>
    </row>
    <row r="975" spans="1:13" x14ac:dyDescent="0.3">
      <c r="A975" s="32"/>
      <c r="B975" s="32"/>
      <c r="C975" s="30"/>
      <c r="D975" s="31"/>
      <c r="E975" s="31"/>
      <c r="F975" s="31"/>
      <c r="G975" s="30"/>
      <c r="H975" s="30"/>
      <c r="I975" s="30"/>
      <c r="J975" s="113"/>
      <c r="K975" s="113"/>
      <c r="L975" s="113"/>
      <c r="M975" s="113"/>
    </row>
    <row r="976" spans="1:13" x14ac:dyDescent="0.3">
      <c r="A976" s="32"/>
      <c r="B976" s="32"/>
      <c r="C976" s="30"/>
      <c r="D976" s="31"/>
      <c r="E976" s="31"/>
      <c r="F976" s="31"/>
      <c r="G976" s="30"/>
      <c r="H976" s="30"/>
      <c r="I976" s="30"/>
      <c r="J976" s="113"/>
      <c r="K976" s="113"/>
      <c r="L976" s="113"/>
      <c r="M976" s="113"/>
    </row>
    <row r="977" spans="1:13" x14ac:dyDescent="0.3">
      <c r="A977" s="32"/>
      <c r="B977" s="32"/>
      <c r="C977" s="30"/>
      <c r="D977" s="31"/>
      <c r="E977" s="31"/>
      <c r="F977" s="31"/>
      <c r="G977" s="30"/>
      <c r="H977" s="30"/>
      <c r="I977" s="30"/>
      <c r="J977" s="113"/>
      <c r="K977" s="113"/>
      <c r="L977" s="113"/>
      <c r="M977" s="113"/>
    </row>
    <row r="978" spans="1:13" x14ac:dyDescent="0.3">
      <c r="A978" s="32"/>
      <c r="B978" s="32"/>
      <c r="C978" s="30"/>
      <c r="D978" s="31"/>
      <c r="E978" s="31"/>
      <c r="F978" s="31"/>
      <c r="G978" s="30"/>
      <c r="H978" s="30"/>
      <c r="I978" s="30"/>
      <c r="J978" s="113"/>
      <c r="K978" s="113"/>
      <c r="L978" s="113"/>
      <c r="M978" s="113"/>
    </row>
    <row r="979" spans="1:13" x14ac:dyDescent="0.3">
      <c r="A979" s="32"/>
      <c r="B979" s="32"/>
      <c r="C979" s="30"/>
      <c r="D979" s="31"/>
      <c r="E979" s="31"/>
      <c r="F979" s="31"/>
      <c r="G979" s="30"/>
      <c r="H979" s="30"/>
      <c r="I979" s="30"/>
      <c r="J979" s="113"/>
      <c r="K979" s="113"/>
      <c r="L979" s="113"/>
      <c r="M979" s="113"/>
    </row>
    <row r="980" spans="1:13" x14ac:dyDescent="0.3">
      <c r="A980" s="32"/>
      <c r="B980" s="32"/>
      <c r="C980" s="30"/>
      <c r="D980" s="31"/>
      <c r="E980" s="31"/>
      <c r="F980" s="31"/>
      <c r="G980" s="30"/>
      <c r="H980" s="30"/>
      <c r="I980" s="30"/>
      <c r="J980" s="113"/>
      <c r="K980" s="113"/>
      <c r="L980" s="113"/>
      <c r="M980" s="113"/>
    </row>
    <row r="981" spans="1:13" x14ac:dyDescent="0.3">
      <c r="A981" s="32"/>
      <c r="B981" s="32"/>
      <c r="C981" s="30"/>
      <c r="D981" s="31"/>
      <c r="E981" s="31"/>
      <c r="F981" s="31"/>
      <c r="G981" s="30"/>
      <c r="H981" s="30"/>
      <c r="I981" s="30"/>
      <c r="J981" s="113"/>
      <c r="K981" s="113"/>
      <c r="L981" s="113"/>
      <c r="M981" s="113"/>
    </row>
    <row r="982" spans="1:13" x14ac:dyDescent="0.3">
      <c r="A982" s="32"/>
      <c r="B982" s="32"/>
      <c r="C982" s="30"/>
      <c r="D982" s="31"/>
      <c r="E982" s="31"/>
      <c r="F982" s="31"/>
      <c r="G982" s="30"/>
      <c r="H982" s="30"/>
      <c r="I982" s="30"/>
      <c r="J982" s="113"/>
      <c r="K982" s="113"/>
      <c r="L982" s="113"/>
      <c r="M982" s="113"/>
    </row>
    <row r="983" spans="1:13" x14ac:dyDescent="0.3">
      <c r="A983" s="32"/>
      <c r="B983" s="32"/>
      <c r="C983" s="30"/>
      <c r="D983" s="31"/>
      <c r="E983" s="31"/>
      <c r="F983" s="31"/>
      <c r="G983" s="30"/>
      <c r="H983" s="30"/>
      <c r="I983" s="30"/>
      <c r="J983" s="113"/>
      <c r="K983" s="113"/>
      <c r="L983" s="113"/>
      <c r="M983" s="113"/>
    </row>
    <row r="984" spans="1:13" x14ac:dyDescent="0.3">
      <c r="A984" s="32"/>
      <c r="B984" s="32"/>
      <c r="C984" s="30"/>
      <c r="D984" s="31"/>
      <c r="E984" s="31"/>
      <c r="F984" s="31"/>
      <c r="G984" s="30"/>
      <c r="H984" s="30"/>
      <c r="I984" s="30"/>
      <c r="J984" s="113"/>
      <c r="K984" s="113"/>
      <c r="L984" s="113"/>
      <c r="M984" s="113"/>
    </row>
    <row r="985" spans="1:13" x14ac:dyDescent="0.3">
      <c r="A985" s="32"/>
      <c r="B985" s="32"/>
      <c r="C985" s="30"/>
      <c r="D985" s="31"/>
      <c r="E985" s="31"/>
      <c r="F985" s="31"/>
      <c r="G985" s="30"/>
      <c r="H985" s="30"/>
      <c r="I985" s="30"/>
      <c r="J985" s="113"/>
      <c r="K985" s="113"/>
      <c r="L985" s="113"/>
      <c r="M985" s="113"/>
    </row>
    <row r="986" spans="1:13" x14ac:dyDescent="0.3">
      <c r="A986" s="32"/>
      <c r="B986" s="32"/>
      <c r="C986" s="30"/>
      <c r="D986" s="31"/>
      <c r="E986" s="31"/>
      <c r="F986" s="31"/>
      <c r="G986" s="30"/>
      <c r="H986" s="30"/>
      <c r="I986" s="30"/>
      <c r="J986" s="113"/>
      <c r="K986" s="113"/>
      <c r="L986" s="113"/>
      <c r="M986" s="113"/>
    </row>
    <row r="987" spans="1:13" x14ac:dyDescent="0.3">
      <c r="A987" s="32"/>
      <c r="B987" s="32"/>
      <c r="C987" s="30"/>
      <c r="D987" s="31"/>
      <c r="E987" s="31"/>
      <c r="F987" s="31"/>
      <c r="G987" s="30"/>
      <c r="H987" s="30"/>
      <c r="I987" s="30"/>
      <c r="J987" s="113"/>
      <c r="K987" s="113"/>
      <c r="L987" s="113"/>
      <c r="M987" s="113"/>
    </row>
    <row r="988" spans="1:13" x14ac:dyDescent="0.3">
      <c r="A988" s="32"/>
      <c r="B988" s="32"/>
      <c r="C988" s="30"/>
      <c r="D988" s="31"/>
      <c r="E988" s="31"/>
      <c r="F988" s="31"/>
      <c r="G988" s="30"/>
      <c r="H988" s="30"/>
      <c r="I988" s="30"/>
      <c r="J988" s="113"/>
      <c r="K988" s="113"/>
      <c r="L988" s="113"/>
      <c r="M988" s="113"/>
    </row>
    <row r="989" spans="1:13" x14ac:dyDescent="0.3">
      <c r="A989" s="32"/>
      <c r="B989" s="32"/>
      <c r="C989" s="30"/>
      <c r="D989" s="31"/>
      <c r="E989" s="31"/>
      <c r="F989" s="31"/>
      <c r="G989" s="30"/>
      <c r="H989" s="30"/>
      <c r="I989" s="30"/>
      <c r="J989" s="113"/>
      <c r="K989" s="113"/>
      <c r="L989" s="113"/>
      <c r="M989" s="113"/>
    </row>
    <row r="990" spans="1:13" x14ac:dyDescent="0.3">
      <c r="A990" s="32"/>
      <c r="B990" s="32"/>
      <c r="C990" s="30"/>
      <c r="D990" s="31"/>
      <c r="E990" s="31"/>
      <c r="F990" s="31"/>
      <c r="G990" s="30"/>
      <c r="H990" s="30"/>
      <c r="I990" s="30"/>
      <c r="J990" s="113"/>
      <c r="K990" s="113"/>
      <c r="L990" s="113"/>
      <c r="M990" s="113"/>
    </row>
    <row r="991" spans="1:13" x14ac:dyDescent="0.3">
      <c r="A991" s="32"/>
      <c r="B991" s="32"/>
      <c r="C991" s="30"/>
      <c r="D991" s="31"/>
      <c r="E991" s="31"/>
      <c r="F991" s="31"/>
      <c r="G991" s="30"/>
      <c r="H991" s="30"/>
      <c r="I991" s="30"/>
      <c r="J991" s="113"/>
      <c r="K991" s="113"/>
      <c r="L991" s="113"/>
      <c r="M991" s="113"/>
    </row>
    <row r="992" spans="1:13" x14ac:dyDescent="0.3">
      <c r="A992" s="32"/>
      <c r="B992" s="32"/>
      <c r="C992" s="30"/>
      <c r="D992" s="31"/>
      <c r="E992" s="31"/>
      <c r="F992" s="31"/>
      <c r="G992" s="30"/>
      <c r="H992" s="30"/>
      <c r="I992" s="30"/>
      <c r="J992" s="113"/>
      <c r="K992" s="113"/>
      <c r="L992" s="113"/>
      <c r="M992" s="113"/>
    </row>
    <row r="993" spans="1:13" x14ac:dyDescent="0.3">
      <c r="A993" s="32"/>
      <c r="B993" s="32"/>
      <c r="C993" s="30"/>
      <c r="D993" s="31"/>
      <c r="E993" s="31"/>
      <c r="F993" s="31"/>
      <c r="G993" s="30"/>
      <c r="H993" s="30"/>
      <c r="I993" s="30"/>
      <c r="J993" s="113"/>
      <c r="K993" s="113"/>
      <c r="L993" s="113"/>
      <c r="M993" s="113"/>
    </row>
    <row r="994" spans="1:13" x14ac:dyDescent="0.3">
      <c r="A994" s="32"/>
      <c r="B994" s="32"/>
      <c r="C994" s="30"/>
      <c r="D994" s="31"/>
      <c r="E994" s="31"/>
      <c r="F994" s="31"/>
      <c r="G994" s="30"/>
      <c r="H994" s="30"/>
      <c r="I994" s="30"/>
      <c r="J994" s="113"/>
      <c r="K994" s="113"/>
      <c r="L994" s="113"/>
      <c r="M994" s="113"/>
    </row>
    <row r="995" spans="1:13" x14ac:dyDescent="0.3">
      <c r="A995" s="32"/>
      <c r="B995" s="32"/>
      <c r="C995" s="30"/>
      <c r="D995" s="31"/>
      <c r="E995" s="31"/>
      <c r="F995" s="31"/>
      <c r="G995" s="30"/>
      <c r="H995" s="30"/>
      <c r="I995" s="30"/>
      <c r="J995" s="113"/>
      <c r="K995" s="113"/>
      <c r="L995" s="113"/>
      <c r="M995" s="113"/>
    </row>
    <row r="996" spans="1:13" x14ac:dyDescent="0.3">
      <c r="A996" s="32"/>
      <c r="B996" s="32"/>
      <c r="C996" s="30"/>
      <c r="D996" s="31"/>
      <c r="E996" s="31"/>
      <c r="F996" s="31"/>
      <c r="G996" s="30"/>
      <c r="H996" s="30"/>
      <c r="I996" s="30"/>
      <c r="J996" s="113"/>
      <c r="K996" s="113"/>
      <c r="L996" s="113"/>
      <c r="M996" s="113"/>
    </row>
    <row r="997" spans="1:13" x14ac:dyDescent="0.3">
      <c r="A997" s="32"/>
      <c r="B997" s="32"/>
      <c r="C997" s="30"/>
      <c r="D997" s="31"/>
      <c r="E997" s="31"/>
      <c r="F997" s="31"/>
      <c r="G997" s="30"/>
      <c r="H997" s="30"/>
      <c r="I997" s="30"/>
      <c r="J997" s="113"/>
      <c r="K997" s="113"/>
      <c r="L997" s="113"/>
      <c r="M997" s="113"/>
    </row>
    <row r="998" spans="1:13" x14ac:dyDescent="0.3">
      <c r="A998" s="32"/>
      <c r="B998" s="32"/>
      <c r="C998" s="30"/>
      <c r="D998" s="31"/>
      <c r="E998" s="31"/>
      <c r="F998" s="31"/>
      <c r="G998" s="30"/>
      <c r="H998" s="30"/>
      <c r="I998" s="30"/>
      <c r="J998" s="113"/>
      <c r="K998" s="113"/>
      <c r="L998" s="113"/>
      <c r="M998" s="113"/>
    </row>
    <row r="999" spans="1:13" x14ac:dyDescent="0.3">
      <c r="A999" s="32"/>
      <c r="B999" s="32"/>
      <c r="C999" s="30"/>
      <c r="D999" s="31"/>
      <c r="E999" s="31"/>
      <c r="F999" s="31"/>
      <c r="G999" s="30"/>
      <c r="H999" s="30"/>
      <c r="I999" s="30"/>
      <c r="J999" s="113"/>
      <c r="K999" s="113"/>
      <c r="L999" s="113"/>
      <c r="M999" s="113"/>
    </row>
    <row r="1000" spans="1:13" x14ac:dyDescent="0.3">
      <c r="A1000" s="32"/>
      <c r="B1000" s="32"/>
      <c r="C1000" s="30"/>
      <c r="D1000" s="31"/>
      <c r="E1000" s="31"/>
      <c r="F1000" s="31"/>
      <c r="G1000" s="30"/>
      <c r="H1000" s="30"/>
      <c r="I1000" s="30"/>
      <c r="J1000" s="113"/>
      <c r="K1000" s="113"/>
      <c r="L1000" s="113"/>
      <c r="M1000" s="113"/>
    </row>
    <row r="1001" spans="1:13" x14ac:dyDescent="0.3">
      <c r="A1001" s="170"/>
      <c r="B1001" s="170"/>
      <c r="C1001" s="171"/>
      <c r="D1001" s="172"/>
      <c r="E1001" s="172"/>
      <c r="F1001" s="172"/>
      <c r="G1001" s="171"/>
      <c r="H1001" s="171"/>
      <c r="I1001" s="171"/>
      <c r="J1001" s="173"/>
      <c r="K1001" s="173"/>
      <c r="L1001" s="173"/>
      <c r="M1001" s="173"/>
    </row>
    <row r="1002" spans="1:13" x14ac:dyDescent="0.3">
      <c r="A1002" s="32"/>
      <c r="B1002" s="32"/>
      <c r="C1002" s="30"/>
      <c r="D1002" s="31"/>
      <c r="E1002" s="31"/>
      <c r="F1002" s="31"/>
      <c r="G1002" s="30"/>
      <c r="H1002" s="30"/>
      <c r="I1002" s="30"/>
      <c r="J1002" s="113"/>
      <c r="K1002" s="113"/>
      <c r="L1002" s="113"/>
      <c r="M1002" s="113"/>
    </row>
    <row r="1003" spans="1:13" x14ac:dyDescent="0.3">
      <c r="A1003" s="32"/>
      <c r="B1003" s="32"/>
      <c r="C1003" s="30"/>
      <c r="D1003" s="31"/>
      <c r="E1003" s="31"/>
      <c r="F1003" s="31"/>
      <c r="G1003" s="30"/>
      <c r="H1003" s="30"/>
      <c r="I1003" s="30"/>
      <c r="J1003" s="113"/>
      <c r="K1003" s="113"/>
      <c r="L1003" s="113"/>
      <c r="M1003" s="113"/>
    </row>
    <row r="1004" spans="1:13" x14ac:dyDescent="0.3">
      <c r="A1004" s="32"/>
      <c r="B1004" s="32"/>
      <c r="C1004" s="30"/>
      <c r="D1004" s="31"/>
      <c r="E1004" s="31"/>
      <c r="F1004" s="31"/>
      <c r="G1004" s="30"/>
      <c r="H1004" s="30"/>
      <c r="I1004" s="30"/>
      <c r="J1004" s="113"/>
      <c r="K1004" s="113"/>
      <c r="L1004" s="113"/>
      <c r="M1004" s="113"/>
    </row>
    <row r="1005" spans="1:13" x14ac:dyDescent="0.3">
      <c r="A1005" s="32"/>
      <c r="B1005" s="32"/>
      <c r="C1005" s="30"/>
      <c r="D1005" s="31"/>
      <c r="E1005" s="31"/>
      <c r="F1005" s="31"/>
      <c r="G1005" s="30"/>
      <c r="H1005" s="30"/>
      <c r="I1005" s="30"/>
      <c r="J1005" s="113"/>
      <c r="K1005" s="113"/>
      <c r="L1005" s="113"/>
      <c r="M1005" s="113"/>
    </row>
    <row r="1006" spans="1:13" x14ac:dyDescent="0.3">
      <c r="A1006" s="32"/>
      <c r="B1006" s="32"/>
      <c r="C1006" s="30"/>
      <c r="D1006" s="31"/>
      <c r="E1006" s="31"/>
      <c r="F1006" s="31"/>
      <c r="G1006" s="30"/>
      <c r="H1006" s="30"/>
      <c r="I1006" s="30"/>
      <c r="J1006" s="113"/>
      <c r="K1006" s="113"/>
      <c r="L1006" s="113"/>
      <c r="M1006" s="113"/>
    </row>
    <row r="1007" spans="1:13" x14ac:dyDescent="0.3">
      <c r="A1007" s="32"/>
      <c r="B1007" s="32"/>
      <c r="C1007" s="30"/>
      <c r="D1007" s="31"/>
      <c r="E1007" s="31"/>
      <c r="F1007" s="31"/>
      <c r="G1007" s="30"/>
      <c r="H1007" s="30"/>
      <c r="I1007" s="30"/>
      <c r="J1007" s="113"/>
      <c r="K1007" s="113"/>
      <c r="L1007" s="113"/>
      <c r="M1007" s="113"/>
    </row>
    <row r="1008" spans="1:13" x14ac:dyDescent="0.3">
      <c r="A1008" s="32"/>
      <c r="B1008" s="32"/>
      <c r="C1008" s="30"/>
      <c r="D1008" s="31"/>
      <c r="E1008" s="31"/>
      <c r="F1008" s="31"/>
      <c r="G1008" s="30"/>
      <c r="H1008" s="30"/>
      <c r="I1008" s="30"/>
      <c r="J1008" s="113"/>
      <c r="K1008" s="113"/>
      <c r="L1008" s="113"/>
      <c r="M1008" s="113"/>
    </row>
    <row r="1009" spans="1:13" x14ac:dyDescent="0.3">
      <c r="A1009" s="32"/>
      <c r="B1009" s="32"/>
      <c r="C1009" s="30"/>
      <c r="D1009" s="31"/>
      <c r="E1009" s="31"/>
      <c r="F1009" s="31"/>
      <c r="G1009" s="30"/>
      <c r="H1009" s="30"/>
      <c r="I1009" s="30"/>
      <c r="J1009" s="113"/>
      <c r="K1009" s="113"/>
      <c r="L1009" s="113"/>
      <c r="M1009" s="113"/>
    </row>
    <row r="1010" spans="1:13" x14ac:dyDescent="0.3">
      <c r="A1010" s="32"/>
      <c r="B1010" s="32"/>
      <c r="C1010" s="30"/>
      <c r="D1010" s="31"/>
      <c r="E1010" s="31"/>
      <c r="F1010" s="31"/>
      <c r="G1010" s="30"/>
      <c r="H1010" s="30"/>
      <c r="I1010" s="30"/>
      <c r="J1010" s="113"/>
      <c r="K1010" s="113"/>
      <c r="L1010" s="113"/>
      <c r="M1010" s="113"/>
    </row>
    <row r="1011" spans="1:13" x14ac:dyDescent="0.3">
      <c r="A1011" s="32"/>
      <c r="B1011" s="32"/>
      <c r="C1011" s="30"/>
      <c r="D1011" s="31"/>
      <c r="E1011" s="31"/>
      <c r="F1011" s="31"/>
      <c r="G1011" s="30"/>
      <c r="H1011" s="30"/>
      <c r="I1011" s="30"/>
      <c r="J1011" s="113"/>
      <c r="K1011" s="113"/>
      <c r="L1011" s="113"/>
      <c r="M1011" s="113"/>
    </row>
    <row r="1012" spans="1:13" x14ac:dyDescent="0.3">
      <c r="A1012" s="32"/>
      <c r="B1012" s="32"/>
      <c r="C1012" s="30"/>
      <c r="D1012" s="31"/>
      <c r="E1012" s="31"/>
      <c r="F1012" s="31"/>
      <c r="G1012" s="30"/>
      <c r="H1012" s="30"/>
      <c r="I1012" s="30"/>
      <c r="J1012" s="113"/>
      <c r="K1012" s="113"/>
      <c r="L1012" s="113"/>
      <c r="M1012" s="113"/>
    </row>
  </sheetData>
  <customSheetViews>
    <customSheetView guid="{00D35A15-206C-4C0C-8347-C5B4FB706EF6}" showPageBreaks="1">
      <pane ySplit="2" topLeftCell="A3" activePane="bottomLeft" state="frozenSplit"/>
      <selection pane="bottomLeft" activeCell="C10" sqref="C10"/>
      <pageMargins left="0.7" right="0.7" top="0.75" bottom="0.75" header="0.3" footer="0.3"/>
      <pageSetup orientation="portrait" r:id="rId1"/>
    </customSheetView>
  </customSheetViews>
  <mergeCells count="1">
    <mergeCell ref="I1:M1"/>
  </mergeCells>
  <phoneticPr fontId="0" type="noConversion"/>
  <pageMargins left="0.7" right="0.7" top="0.75" bottom="0.75" header="0.3" footer="0.3"/>
  <pageSetup orientation="portrait"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A1:C971"/>
  <sheetViews>
    <sheetView zoomScaleNormal="100" workbookViewId="0">
      <pane ySplit="1" topLeftCell="A2" activePane="bottomLeft" state="frozenSplit"/>
      <selection pane="bottomLeft" activeCell="C10" sqref="C10"/>
    </sheetView>
  </sheetViews>
  <sheetFormatPr defaultColWidth="9.36328125" defaultRowHeight="14" x14ac:dyDescent="0.3"/>
  <cols>
    <col min="1" max="1" width="16.54296875" style="14" customWidth="1"/>
    <col min="2" max="2" width="18.54296875" style="80" customWidth="1"/>
    <col min="3" max="3" width="71.453125" style="14" customWidth="1"/>
    <col min="4" max="16384" width="9.36328125" style="14"/>
  </cols>
  <sheetData>
    <row r="1" spans="1:3" x14ac:dyDescent="0.3">
      <c r="A1" s="20" t="s">
        <v>430</v>
      </c>
      <c r="B1" s="79" t="s">
        <v>420</v>
      </c>
      <c r="C1" s="21" t="s">
        <v>421</v>
      </c>
    </row>
    <row r="2" spans="1:3" x14ac:dyDescent="0.3">
      <c r="A2" s="15"/>
      <c r="B2" s="76"/>
      <c r="C2" s="10"/>
    </row>
    <row r="3" spans="1:3" x14ac:dyDescent="0.3">
      <c r="A3" s="15"/>
      <c r="B3" s="76"/>
      <c r="C3" s="10"/>
    </row>
    <row r="4" spans="1:3" x14ac:dyDescent="0.3">
      <c r="A4" s="15"/>
      <c r="B4" s="76"/>
      <c r="C4" s="10"/>
    </row>
    <row r="5" spans="1:3" x14ac:dyDescent="0.3">
      <c r="A5" s="15"/>
      <c r="B5" s="76"/>
      <c r="C5" s="10"/>
    </row>
    <row r="6" spans="1:3" x14ac:dyDescent="0.3">
      <c r="A6" s="15"/>
      <c r="B6" s="76"/>
      <c r="C6" s="10"/>
    </row>
    <row r="7" spans="1:3" x14ac:dyDescent="0.3">
      <c r="A7" s="15"/>
      <c r="B7" s="76"/>
      <c r="C7" s="10"/>
    </row>
    <row r="8" spans="1:3" x14ac:dyDescent="0.3">
      <c r="A8" s="15"/>
      <c r="B8" s="76"/>
      <c r="C8" s="10"/>
    </row>
    <row r="9" spans="1:3" x14ac:dyDescent="0.3">
      <c r="A9" s="15"/>
      <c r="B9" s="76"/>
      <c r="C9" s="10"/>
    </row>
    <row r="10" spans="1:3" x14ac:dyDescent="0.3">
      <c r="A10" s="15"/>
      <c r="B10" s="76"/>
      <c r="C10" s="10"/>
    </row>
    <row r="11" spans="1:3" x14ac:dyDescent="0.3">
      <c r="A11" s="15"/>
      <c r="B11" s="76"/>
      <c r="C11" s="10"/>
    </row>
    <row r="12" spans="1:3" x14ac:dyDescent="0.3">
      <c r="A12" s="15"/>
      <c r="B12" s="76"/>
      <c r="C12" s="10"/>
    </row>
    <row r="13" spans="1:3" x14ac:dyDescent="0.3">
      <c r="A13" s="15"/>
      <c r="B13" s="76"/>
      <c r="C13" s="10"/>
    </row>
    <row r="14" spans="1:3" x14ac:dyDescent="0.3">
      <c r="A14" s="15"/>
      <c r="B14" s="76"/>
      <c r="C14" s="10"/>
    </row>
    <row r="15" spans="1:3" x14ac:dyDescent="0.3">
      <c r="A15" s="15"/>
      <c r="B15" s="76"/>
      <c r="C15" s="10"/>
    </row>
    <row r="16" spans="1:3" x14ac:dyDescent="0.3">
      <c r="A16" s="15"/>
      <c r="B16" s="76"/>
      <c r="C16" s="10"/>
    </row>
    <row r="17" spans="1:3" x14ac:dyDescent="0.3">
      <c r="A17" s="15"/>
      <c r="B17" s="76"/>
      <c r="C17" s="10"/>
    </row>
    <row r="18" spans="1:3" x14ac:dyDescent="0.3">
      <c r="A18" s="15"/>
      <c r="B18" s="76"/>
      <c r="C18" s="10"/>
    </row>
    <row r="19" spans="1:3" x14ac:dyDescent="0.3">
      <c r="A19" s="15"/>
      <c r="B19" s="76"/>
      <c r="C19" s="10"/>
    </row>
    <row r="20" spans="1:3" x14ac:dyDescent="0.3">
      <c r="A20" s="15"/>
      <c r="B20" s="76"/>
      <c r="C20" s="10"/>
    </row>
    <row r="21" spans="1:3" x14ac:dyDescent="0.3">
      <c r="A21" s="15"/>
      <c r="B21" s="76"/>
      <c r="C21" s="10"/>
    </row>
    <row r="22" spans="1:3" x14ac:dyDescent="0.3">
      <c r="A22" s="15"/>
      <c r="B22" s="76"/>
      <c r="C22" s="10"/>
    </row>
    <row r="23" spans="1:3" x14ac:dyDescent="0.3">
      <c r="A23" s="15"/>
      <c r="B23" s="76"/>
      <c r="C23" s="10"/>
    </row>
    <row r="24" spans="1:3" x14ac:dyDescent="0.3">
      <c r="A24" s="15"/>
      <c r="B24" s="76"/>
      <c r="C24" s="10"/>
    </row>
    <row r="25" spans="1:3" x14ac:dyDescent="0.3">
      <c r="A25" s="15"/>
      <c r="B25" s="76"/>
      <c r="C25" s="10"/>
    </row>
    <row r="26" spans="1:3" x14ac:dyDescent="0.3">
      <c r="A26" s="15"/>
      <c r="B26" s="76"/>
      <c r="C26" s="10"/>
    </row>
    <row r="27" spans="1:3" x14ac:dyDescent="0.3">
      <c r="A27" s="15"/>
      <c r="B27" s="76"/>
      <c r="C27" s="10"/>
    </row>
    <row r="28" spans="1:3" x14ac:dyDescent="0.3">
      <c r="A28" s="15"/>
      <c r="B28" s="76"/>
      <c r="C28" s="10"/>
    </row>
    <row r="29" spans="1:3" x14ac:dyDescent="0.3">
      <c r="A29" s="15"/>
      <c r="B29" s="76"/>
      <c r="C29" s="10"/>
    </row>
    <row r="30" spans="1:3" x14ac:dyDescent="0.3">
      <c r="A30" s="15"/>
      <c r="B30" s="76"/>
      <c r="C30" s="10"/>
    </row>
    <row r="31" spans="1:3" x14ac:dyDescent="0.3">
      <c r="A31" s="15"/>
      <c r="B31" s="76"/>
      <c r="C31" s="10"/>
    </row>
    <row r="32" spans="1:3" x14ac:dyDescent="0.3">
      <c r="A32" s="15"/>
      <c r="B32" s="76"/>
      <c r="C32" s="10"/>
    </row>
    <row r="33" spans="1:3" x14ac:dyDescent="0.3">
      <c r="A33" s="15"/>
      <c r="B33" s="76"/>
      <c r="C33" s="10"/>
    </row>
    <row r="34" spans="1:3" x14ac:dyDescent="0.3">
      <c r="A34" s="15"/>
      <c r="B34" s="76"/>
      <c r="C34" s="10"/>
    </row>
    <row r="35" spans="1:3" x14ac:dyDescent="0.3">
      <c r="A35" s="15"/>
      <c r="B35" s="76"/>
      <c r="C35" s="10"/>
    </row>
    <row r="36" spans="1:3" x14ac:dyDescent="0.3">
      <c r="A36" s="15"/>
      <c r="B36" s="76"/>
      <c r="C36" s="10"/>
    </row>
    <row r="37" spans="1:3" x14ac:dyDescent="0.3">
      <c r="A37" s="15"/>
      <c r="B37" s="76"/>
      <c r="C37" s="10"/>
    </row>
    <row r="38" spans="1:3" x14ac:dyDescent="0.3">
      <c r="A38" s="15"/>
      <c r="B38" s="76"/>
      <c r="C38" s="10"/>
    </row>
    <row r="39" spans="1:3" x14ac:dyDescent="0.3">
      <c r="A39" s="15"/>
      <c r="B39" s="76"/>
      <c r="C39" s="10"/>
    </row>
    <row r="40" spans="1:3" x14ac:dyDescent="0.3">
      <c r="A40" s="15"/>
      <c r="B40" s="76"/>
      <c r="C40" s="10"/>
    </row>
    <row r="41" spans="1:3" x14ac:dyDescent="0.3">
      <c r="A41" s="15"/>
      <c r="B41" s="76"/>
      <c r="C41" s="10"/>
    </row>
    <row r="42" spans="1:3" x14ac:dyDescent="0.3">
      <c r="A42" s="15"/>
      <c r="B42" s="76"/>
      <c r="C42" s="10"/>
    </row>
    <row r="43" spans="1:3" x14ac:dyDescent="0.3">
      <c r="A43" s="15"/>
      <c r="B43" s="76"/>
      <c r="C43" s="10"/>
    </row>
    <row r="44" spans="1:3" x14ac:dyDescent="0.3">
      <c r="A44" s="15"/>
      <c r="B44" s="76"/>
      <c r="C44" s="10"/>
    </row>
    <row r="45" spans="1:3" x14ac:dyDescent="0.3">
      <c r="A45" s="15"/>
      <c r="B45" s="76"/>
      <c r="C45" s="10"/>
    </row>
    <row r="46" spans="1:3" x14ac:dyDescent="0.3">
      <c r="A46" s="15"/>
      <c r="B46" s="76"/>
      <c r="C46" s="10"/>
    </row>
    <row r="47" spans="1:3" x14ac:dyDescent="0.3">
      <c r="A47" s="15"/>
      <c r="B47" s="76"/>
      <c r="C47" s="10"/>
    </row>
    <row r="48" spans="1:3" x14ac:dyDescent="0.3">
      <c r="A48" s="15"/>
      <c r="B48" s="76"/>
      <c r="C48" s="10"/>
    </row>
    <row r="49" spans="1:3" x14ac:dyDescent="0.3">
      <c r="A49" s="15"/>
      <c r="B49" s="76"/>
      <c r="C49" s="10"/>
    </row>
    <row r="50" spans="1:3" x14ac:dyDescent="0.3">
      <c r="A50" s="15"/>
      <c r="B50" s="76"/>
      <c r="C50" s="10"/>
    </row>
    <row r="51" spans="1:3" x14ac:dyDescent="0.3">
      <c r="A51" s="15"/>
      <c r="B51" s="76"/>
      <c r="C51" s="10"/>
    </row>
    <row r="52" spans="1:3" x14ac:dyDescent="0.3">
      <c r="A52" s="15"/>
      <c r="B52" s="76"/>
      <c r="C52" s="10"/>
    </row>
    <row r="53" spans="1:3" x14ac:dyDescent="0.3">
      <c r="A53" s="15"/>
      <c r="B53" s="76"/>
      <c r="C53" s="10"/>
    </row>
    <row r="54" spans="1:3" x14ac:dyDescent="0.3">
      <c r="A54" s="15"/>
      <c r="B54" s="76"/>
      <c r="C54" s="10"/>
    </row>
    <row r="55" spans="1:3" x14ac:dyDescent="0.3">
      <c r="A55" s="15"/>
      <c r="B55" s="76"/>
      <c r="C55" s="10"/>
    </row>
    <row r="56" spans="1:3" x14ac:dyDescent="0.3">
      <c r="A56" s="15"/>
      <c r="B56" s="76"/>
      <c r="C56" s="10"/>
    </row>
    <row r="57" spans="1:3" x14ac:dyDescent="0.3">
      <c r="A57" s="15"/>
      <c r="B57" s="76"/>
      <c r="C57" s="10"/>
    </row>
    <row r="58" spans="1:3" x14ac:dyDescent="0.3">
      <c r="A58" s="15"/>
      <c r="B58" s="76"/>
      <c r="C58" s="10"/>
    </row>
    <row r="59" spans="1:3" x14ac:dyDescent="0.3">
      <c r="A59" s="15"/>
      <c r="B59" s="76"/>
      <c r="C59" s="10"/>
    </row>
    <row r="60" spans="1:3" x14ac:dyDescent="0.3">
      <c r="A60" s="15"/>
      <c r="B60" s="76"/>
      <c r="C60" s="10"/>
    </row>
    <row r="61" spans="1:3" x14ac:dyDescent="0.3">
      <c r="A61" s="15"/>
      <c r="B61" s="76"/>
      <c r="C61" s="10"/>
    </row>
    <row r="62" spans="1:3" x14ac:dyDescent="0.3">
      <c r="A62" s="15"/>
      <c r="B62" s="76"/>
      <c r="C62" s="10"/>
    </row>
    <row r="63" spans="1:3" x14ac:dyDescent="0.3">
      <c r="A63" s="15"/>
      <c r="B63" s="76"/>
      <c r="C63" s="10"/>
    </row>
    <row r="64" spans="1:3" x14ac:dyDescent="0.3">
      <c r="A64" s="15"/>
      <c r="B64" s="76"/>
      <c r="C64" s="10"/>
    </row>
    <row r="65" spans="1:3" x14ac:dyDescent="0.3">
      <c r="A65" s="15"/>
      <c r="B65" s="76"/>
      <c r="C65" s="10"/>
    </row>
    <row r="66" spans="1:3" x14ac:dyDescent="0.3">
      <c r="A66" s="15"/>
      <c r="B66" s="76"/>
      <c r="C66" s="10"/>
    </row>
    <row r="67" spans="1:3" x14ac:dyDescent="0.3">
      <c r="A67" s="15"/>
      <c r="B67" s="76"/>
      <c r="C67" s="10"/>
    </row>
    <row r="68" spans="1:3" x14ac:dyDescent="0.3">
      <c r="A68" s="15"/>
      <c r="B68" s="76"/>
      <c r="C68" s="10"/>
    </row>
    <row r="69" spans="1:3" x14ac:dyDescent="0.3">
      <c r="A69" s="15"/>
      <c r="B69" s="76"/>
      <c r="C69" s="10"/>
    </row>
    <row r="70" spans="1:3" x14ac:dyDescent="0.3">
      <c r="A70" s="15"/>
      <c r="B70" s="76"/>
      <c r="C70" s="10"/>
    </row>
    <row r="71" spans="1:3" x14ac:dyDescent="0.3">
      <c r="A71" s="15"/>
      <c r="B71" s="76"/>
      <c r="C71" s="10"/>
    </row>
    <row r="72" spans="1:3" x14ac:dyDescent="0.3">
      <c r="A72" s="15"/>
      <c r="B72" s="76"/>
      <c r="C72" s="10"/>
    </row>
    <row r="73" spans="1:3" x14ac:dyDescent="0.3">
      <c r="A73" s="15"/>
      <c r="B73" s="76"/>
      <c r="C73" s="10"/>
    </row>
    <row r="74" spans="1:3" x14ac:dyDescent="0.3">
      <c r="A74" s="15"/>
      <c r="B74" s="76"/>
      <c r="C74" s="10"/>
    </row>
    <row r="75" spans="1:3" x14ac:dyDescent="0.3">
      <c r="A75" s="15"/>
      <c r="B75" s="76"/>
      <c r="C75" s="10"/>
    </row>
    <row r="76" spans="1:3" x14ac:dyDescent="0.3">
      <c r="A76" s="15"/>
      <c r="B76" s="76"/>
      <c r="C76" s="10"/>
    </row>
    <row r="77" spans="1:3" x14ac:dyDescent="0.3">
      <c r="A77" s="15"/>
      <c r="B77" s="76"/>
      <c r="C77" s="10"/>
    </row>
    <row r="78" spans="1:3" x14ac:dyDescent="0.3">
      <c r="A78" s="15"/>
      <c r="B78" s="76"/>
      <c r="C78" s="10"/>
    </row>
    <row r="79" spans="1:3" x14ac:dyDescent="0.3">
      <c r="A79" s="15"/>
      <c r="B79" s="76"/>
      <c r="C79" s="10"/>
    </row>
    <row r="80" spans="1:3" x14ac:dyDescent="0.3">
      <c r="A80" s="15"/>
      <c r="B80" s="76"/>
      <c r="C80" s="10"/>
    </row>
    <row r="81" spans="1:3" x14ac:dyDescent="0.3">
      <c r="A81" s="15"/>
      <c r="B81" s="76"/>
      <c r="C81" s="10"/>
    </row>
    <row r="82" spans="1:3" x14ac:dyDescent="0.3">
      <c r="A82" s="15"/>
      <c r="B82" s="76"/>
      <c r="C82" s="10"/>
    </row>
    <row r="83" spans="1:3" x14ac:dyDescent="0.3">
      <c r="A83" s="15"/>
      <c r="B83" s="76"/>
      <c r="C83" s="10"/>
    </row>
    <row r="84" spans="1:3" x14ac:dyDescent="0.3">
      <c r="A84" s="15"/>
      <c r="B84" s="76"/>
      <c r="C84" s="10"/>
    </row>
    <row r="85" spans="1:3" x14ac:dyDescent="0.3">
      <c r="A85" s="15"/>
      <c r="B85" s="76"/>
      <c r="C85" s="10"/>
    </row>
    <row r="86" spans="1:3" x14ac:dyDescent="0.3">
      <c r="A86" s="15"/>
      <c r="B86" s="76"/>
      <c r="C86" s="10"/>
    </row>
    <row r="87" spans="1:3" x14ac:dyDescent="0.3">
      <c r="A87" s="15"/>
      <c r="B87" s="76"/>
      <c r="C87" s="10"/>
    </row>
    <row r="88" spans="1:3" x14ac:dyDescent="0.3">
      <c r="A88" s="15"/>
      <c r="B88" s="76"/>
      <c r="C88" s="10"/>
    </row>
    <row r="89" spans="1:3" x14ac:dyDescent="0.3">
      <c r="A89" s="15"/>
      <c r="B89" s="76"/>
      <c r="C89" s="10"/>
    </row>
    <row r="90" spans="1:3" x14ac:dyDescent="0.3">
      <c r="A90" s="15"/>
      <c r="B90" s="76"/>
      <c r="C90" s="10"/>
    </row>
    <row r="91" spans="1:3" x14ac:dyDescent="0.3">
      <c r="A91" s="15"/>
      <c r="B91" s="76"/>
      <c r="C91" s="10"/>
    </row>
    <row r="92" spans="1:3" x14ac:dyDescent="0.3">
      <c r="A92" s="15"/>
      <c r="B92" s="76"/>
      <c r="C92" s="10"/>
    </row>
    <row r="93" spans="1:3" x14ac:dyDescent="0.3">
      <c r="A93" s="15"/>
      <c r="B93" s="76"/>
      <c r="C93" s="10"/>
    </row>
    <row r="94" spans="1:3" x14ac:dyDescent="0.3">
      <c r="A94" s="15"/>
      <c r="B94" s="76"/>
      <c r="C94" s="10"/>
    </row>
    <row r="95" spans="1:3" x14ac:dyDescent="0.3">
      <c r="A95" s="15"/>
      <c r="B95" s="76"/>
      <c r="C95" s="10"/>
    </row>
    <row r="96" spans="1:3" x14ac:dyDescent="0.3">
      <c r="A96" s="15"/>
      <c r="B96" s="76"/>
      <c r="C96" s="10"/>
    </row>
    <row r="97" spans="1:3" x14ac:dyDescent="0.3">
      <c r="A97" s="15"/>
      <c r="B97" s="76"/>
      <c r="C97" s="10"/>
    </row>
    <row r="98" spans="1:3" x14ac:dyDescent="0.3">
      <c r="A98" s="15"/>
      <c r="B98" s="76"/>
      <c r="C98" s="10"/>
    </row>
    <row r="99" spans="1:3" x14ac:dyDescent="0.3">
      <c r="A99" s="15"/>
      <c r="B99" s="76"/>
      <c r="C99" s="10"/>
    </row>
    <row r="100" spans="1:3" x14ac:dyDescent="0.3">
      <c r="A100" s="15"/>
      <c r="B100" s="76"/>
      <c r="C100" s="10"/>
    </row>
    <row r="101" spans="1:3" x14ac:dyDescent="0.3">
      <c r="A101" s="15"/>
      <c r="B101" s="76"/>
      <c r="C101" s="10"/>
    </row>
    <row r="102" spans="1:3" x14ac:dyDescent="0.3">
      <c r="A102" s="15"/>
      <c r="B102" s="76"/>
      <c r="C102" s="10"/>
    </row>
    <row r="103" spans="1:3" x14ac:dyDescent="0.3">
      <c r="A103" s="15"/>
      <c r="B103" s="76"/>
      <c r="C103" s="10"/>
    </row>
    <row r="104" spans="1:3" x14ac:dyDescent="0.3">
      <c r="A104" s="15"/>
      <c r="B104" s="76"/>
      <c r="C104" s="10"/>
    </row>
    <row r="105" spans="1:3" x14ac:dyDescent="0.3">
      <c r="A105" s="15"/>
      <c r="B105" s="76"/>
      <c r="C105" s="10"/>
    </row>
    <row r="106" spans="1:3" x14ac:dyDescent="0.3">
      <c r="A106" s="15"/>
      <c r="B106" s="76"/>
      <c r="C106" s="10"/>
    </row>
    <row r="107" spans="1:3" x14ac:dyDescent="0.3">
      <c r="A107" s="15"/>
      <c r="B107" s="76"/>
      <c r="C107" s="10"/>
    </row>
    <row r="108" spans="1:3" x14ac:dyDescent="0.3">
      <c r="A108" s="15"/>
      <c r="B108" s="76"/>
      <c r="C108" s="10"/>
    </row>
    <row r="109" spans="1:3" x14ac:dyDescent="0.3">
      <c r="A109" s="15"/>
      <c r="B109" s="76"/>
      <c r="C109" s="10"/>
    </row>
    <row r="110" spans="1:3" x14ac:dyDescent="0.3">
      <c r="A110" s="15"/>
      <c r="B110" s="76"/>
      <c r="C110" s="10"/>
    </row>
    <row r="111" spans="1:3" x14ac:dyDescent="0.3">
      <c r="A111" s="15"/>
      <c r="B111" s="76"/>
      <c r="C111" s="10"/>
    </row>
    <row r="112" spans="1:3" x14ac:dyDescent="0.3">
      <c r="A112" s="15"/>
      <c r="B112" s="76"/>
      <c r="C112" s="10"/>
    </row>
    <row r="113" spans="1:3" x14ac:dyDescent="0.3">
      <c r="A113" s="15"/>
      <c r="B113" s="76"/>
      <c r="C113" s="10"/>
    </row>
    <row r="114" spans="1:3" x14ac:dyDescent="0.3">
      <c r="A114" s="15"/>
      <c r="B114" s="76"/>
      <c r="C114" s="10"/>
    </row>
    <row r="115" spans="1:3" x14ac:dyDescent="0.3">
      <c r="A115" s="15"/>
      <c r="B115" s="76"/>
      <c r="C115" s="10"/>
    </row>
    <row r="116" spans="1:3" x14ac:dyDescent="0.3">
      <c r="A116" s="15"/>
      <c r="B116" s="76"/>
      <c r="C116" s="10"/>
    </row>
    <row r="117" spans="1:3" x14ac:dyDescent="0.3">
      <c r="A117" s="15"/>
      <c r="B117" s="76"/>
      <c r="C117" s="10"/>
    </row>
    <row r="118" spans="1:3" x14ac:dyDescent="0.3">
      <c r="A118" s="15"/>
      <c r="B118" s="76"/>
      <c r="C118" s="10"/>
    </row>
    <row r="119" spans="1:3" x14ac:dyDescent="0.3">
      <c r="A119" s="15"/>
      <c r="B119" s="76"/>
      <c r="C119" s="10"/>
    </row>
    <row r="120" spans="1:3" x14ac:dyDescent="0.3">
      <c r="A120" s="15"/>
      <c r="B120" s="76"/>
      <c r="C120" s="10"/>
    </row>
    <row r="121" spans="1:3" x14ac:dyDescent="0.3">
      <c r="A121" s="15"/>
      <c r="B121" s="76"/>
      <c r="C121" s="10"/>
    </row>
    <row r="122" spans="1:3" x14ac:dyDescent="0.3">
      <c r="A122" s="15"/>
      <c r="B122" s="76"/>
      <c r="C122" s="10"/>
    </row>
    <row r="123" spans="1:3" x14ac:dyDescent="0.3">
      <c r="A123" s="15"/>
      <c r="B123" s="76"/>
      <c r="C123" s="10"/>
    </row>
    <row r="124" spans="1:3" x14ac:dyDescent="0.3">
      <c r="A124" s="15"/>
      <c r="B124" s="76"/>
      <c r="C124" s="10"/>
    </row>
    <row r="125" spans="1:3" x14ac:dyDescent="0.3">
      <c r="A125" s="15"/>
      <c r="B125" s="76"/>
      <c r="C125" s="10"/>
    </row>
    <row r="126" spans="1:3" x14ac:dyDescent="0.3">
      <c r="A126" s="15"/>
      <c r="B126" s="76"/>
      <c r="C126" s="10"/>
    </row>
    <row r="127" spans="1:3" x14ac:dyDescent="0.3">
      <c r="A127" s="15"/>
      <c r="B127" s="76"/>
      <c r="C127" s="10"/>
    </row>
    <row r="128" spans="1:3" x14ac:dyDescent="0.3">
      <c r="A128" s="15"/>
      <c r="B128" s="76"/>
      <c r="C128" s="10"/>
    </row>
    <row r="129" spans="1:3" x14ac:dyDescent="0.3">
      <c r="A129" s="15"/>
      <c r="B129" s="76"/>
      <c r="C129" s="10"/>
    </row>
    <row r="130" spans="1:3" x14ac:dyDescent="0.3">
      <c r="A130" s="15"/>
      <c r="B130" s="76"/>
      <c r="C130" s="10"/>
    </row>
    <row r="131" spans="1:3" x14ac:dyDescent="0.3">
      <c r="A131" s="15"/>
      <c r="B131" s="76"/>
      <c r="C131" s="10"/>
    </row>
    <row r="132" spans="1:3" x14ac:dyDescent="0.3">
      <c r="A132" s="15"/>
      <c r="B132" s="76"/>
      <c r="C132" s="10"/>
    </row>
    <row r="133" spans="1:3" x14ac:dyDescent="0.3">
      <c r="A133" s="15"/>
      <c r="B133" s="76"/>
      <c r="C133" s="10"/>
    </row>
    <row r="134" spans="1:3" x14ac:dyDescent="0.3">
      <c r="A134" s="15"/>
      <c r="B134" s="76"/>
      <c r="C134" s="10"/>
    </row>
    <row r="135" spans="1:3" x14ac:dyDescent="0.3">
      <c r="A135" s="15"/>
      <c r="B135" s="76"/>
      <c r="C135" s="10"/>
    </row>
    <row r="136" spans="1:3" x14ac:dyDescent="0.3">
      <c r="A136" s="15"/>
      <c r="B136" s="76"/>
      <c r="C136" s="10"/>
    </row>
    <row r="137" spans="1:3" x14ac:dyDescent="0.3">
      <c r="A137" s="15"/>
      <c r="B137" s="76"/>
      <c r="C137" s="10"/>
    </row>
    <row r="138" spans="1:3" x14ac:dyDescent="0.3">
      <c r="A138" s="15"/>
      <c r="B138" s="76"/>
      <c r="C138" s="10"/>
    </row>
    <row r="139" spans="1:3" x14ac:dyDescent="0.3">
      <c r="A139" s="15"/>
      <c r="B139" s="76"/>
      <c r="C139" s="10"/>
    </row>
    <row r="140" spans="1:3" x14ac:dyDescent="0.3">
      <c r="A140" s="15"/>
      <c r="B140" s="76"/>
      <c r="C140" s="10"/>
    </row>
    <row r="141" spans="1:3" x14ac:dyDescent="0.3">
      <c r="A141" s="15"/>
      <c r="B141" s="76"/>
      <c r="C141" s="10"/>
    </row>
    <row r="142" spans="1:3" x14ac:dyDescent="0.3">
      <c r="A142" s="15"/>
      <c r="B142" s="76"/>
      <c r="C142" s="10"/>
    </row>
    <row r="143" spans="1:3" x14ac:dyDescent="0.3">
      <c r="A143" s="15"/>
      <c r="B143" s="76"/>
      <c r="C143" s="10"/>
    </row>
    <row r="144" spans="1:3" x14ac:dyDescent="0.3">
      <c r="A144" s="15"/>
      <c r="B144" s="76"/>
      <c r="C144" s="10"/>
    </row>
    <row r="145" spans="1:3" x14ac:dyDescent="0.3">
      <c r="A145" s="15"/>
      <c r="B145" s="76"/>
      <c r="C145" s="10"/>
    </row>
    <row r="146" spans="1:3" x14ac:dyDescent="0.3">
      <c r="A146" s="15"/>
      <c r="B146" s="76"/>
      <c r="C146" s="10"/>
    </row>
    <row r="147" spans="1:3" x14ac:dyDescent="0.3">
      <c r="A147" s="15"/>
      <c r="B147" s="76"/>
      <c r="C147" s="10"/>
    </row>
    <row r="148" spans="1:3" x14ac:dyDescent="0.3">
      <c r="A148" s="15"/>
      <c r="B148" s="76"/>
      <c r="C148" s="10"/>
    </row>
    <row r="149" spans="1:3" x14ac:dyDescent="0.3">
      <c r="A149" s="15"/>
      <c r="B149" s="76"/>
      <c r="C149" s="10"/>
    </row>
    <row r="150" spans="1:3" x14ac:dyDescent="0.3">
      <c r="A150" s="15"/>
      <c r="B150" s="76"/>
      <c r="C150" s="10"/>
    </row>
    <row r="151" spans="1:3" x14ac:dyDescent="0.3">
      <c r="A151" s="15"/>
      <c r="B151" s="76"/>
      <c r="C151" s="10"/>
    </row>
    <row r="152" spans="1:3" x14ac:dyDescent="0.3">
      <c r="A152" s="15"/>
      <c r="B152" s="76"/>
      <c r="C152" s="10"/>
    </row>
    <row r="153" spans="1:3" x14ac:dyDescent="0.3">
      <c r="A153" s="15"/>
      <c r="B153" s="76"/>
      <c r="C153" s="10"/>
    </row>
    <row r="154" spans="1:3" x14ac:dyDescent="0.3">
      <c r="A154" s="15"/>
      <c r="B154" s="76"/>
      <c r="C154" s="10"/>
    </row>
    <row r="155" spans="1:3" x14ac:dyDescent="0.3">
      <c r="A155" s="15"/>
      <c r="B155" s="76"/>
      <c r="C155" s="10"/>
    </row>
    <row r="156" spans="1:3" x14ac:dyDescent="0.3">
      <c r="A156" s="15"/>
      <c r="B156" s="76"/>
      <c r="C156" s="10"/>
    </row>
    <row r="157" spans="1:3" x14ac:dyDescent="0.3">
      <c r="A157" s="15"/>
      <c r="B157" s="76"/>
      <c r="C157" s="10"/>
    </row>
    <row r="158" spans="1:3" x14ac:dyDescent="0.3">
      <c r="A158" s="15"/>
      <c r="B158" s="76"/>
      <c r="C158" s="10"/>
    </row>
    <row r="159" spans="1:3" x14ac:dyDescent="0.3">
      <c r="A159" s="15"/>
      <c r="B159" s="76"/>
      <c r="C159" s="10"/>
    </row>
    <row r="160" spans="1:3" x14ac:dyDescent="0.3">
      <c r="A160" s="15"/>
      <c r="B160" s="76"/>
      <c r="C160" s="10"/>
    </row>
    <row r="161" spans="1:3" x14ac:dyDescent="0.3">
      <c r="A161" s="15"/>
      <c r="B161" s="76"/>
      <c r="C161" s="10"/>
    </row>
    <row r="162" spans="1:3" x14ac:dyDescent="0.3">
      <c r="A162" s="15"/>
      <c r="B162" s="76"/>
      <c r="C162" s="10"/>
    </row>
    <row r="163" spans="1:3" x14ac:dyDescent="0.3">
      <c r="A163" s="15"/>
      <c r="B163" s="76"/>
      <c r="C163" s="10"/>
    </row>
    <row r="164" spans="1:3" x14ac:dyDescent="0.3">
      <c r="A164" s="15"/>
      <c r="B164" s="76"/>
      <c r="C164" s="10"/>
    </row>
    <row r="165" spans="1:3" x14ac:dyDescent="0.3">
      <c r="A165" s="15"/>
      <c r="B165" s="76"/>
      <c r="C165" s="10"/>
    </row>
    <row r="166" spans="1:3" x14ac:dyDescent="0.3">
      <c r="A166" s="15"/>
      <c r="B166" s="76"/>
      <c r="C166" s="10"/>
    </row>
    <row r="167" spans="1:3" x14ac:dyDescent="0.3">
      <c r="A167" s="15"/>
      <c r="B167" s="76"/>
      <c r="C167" s="10"/>
    </row>
    <row r="168" spans="1:3" x14ac:dyDescent="0.3">
      <c r="A168" s="15"/>
      <c r="B168" s="76"/>
      <c r="C168" s="10"/>
    </row>
    <row r="169" spans="1:3" x14ac:dyDescent="0.3">
      <c r="A169" s="15"/>
      <c r="B169" s="76"/>
      <c r="C169" s="10"/>
    </row>
    <row r="170" spans="1:3" x14ac:dyDescent="0.3">
      <c r="A170" s="15"/>
      <c r="B170" s="76"/>
      <c r="C170" s="10"/>
    </row>
    <row r="171" spans="1:3" x14ac:dyDescent="0.3">
      <c r="A171" s="15"/>
      <c r="B171" s="76"/>
      <c r="C171" s="10"/>
    </row>
    <row r="172" spans="1:3" x14ac:dyDescent="0.3">
      <c r="A172" s="15"/>
      <c r="B172" s="76"/>
      <c r="C172" s="10"/>
    </row>
    <row r="173" spans="1:3" x14ac:dyDescent="0.3">
      <c r="A173" s="15"/>
      <c r="B173" s="76"/>
      <c r="C173" s="10"/>
    </row>
    <row r="174" spans="1:3" x14ac:dyDescent="0.3">
      <c r="A174" s="15"/>
      <c r="B174" s="76"/>
      <c r="C174" s="10"/>
    </row>
    <row r="175" spans="1:3" x14ac:dyDescent="0.3">
      <c r="A175" s="15"/>
      <c r="B175" s="76"/>
      <c r="C175" s="10"/>
    </row>
    <row r="176" spans="1:3" x14ac:dyDescent="0.3">
      <c r="A176" s="15"/>
      <c r="B176" s="76"/>
      <c r="C176" s="10"/>
    </row>
    <row r="177" spans="1:3" x14ac:dyDescent="0.3">
      <c r="A177" s="15"/>
      <c r="B177" s="76"/>
      <c r="C177" s="10"/>
    </row>
    <row r="178" spans="1:3" x14ac:dyDescent="0.3">
      <c r="A178" s="15"/>
      <c r="B178" s="76"/>
      <c r="C178" s="10"/>
    </row>
    <row r="179" spans="1:3" x14ac:dyDescent="0.3">
      <c r="A179" s="15"/>
      <c r="B179" s="76"/>
      <c r="C179" s="10"/>
    </row>
    <row r="180" spans="1:3" x14ac:dyDescent="0.3">
      <c r="A180" s="15"/>
      <c r="B180" s="76"/>
      <c r="C180" s="10"/>
    </row>
    <row r="181" spans="1:3" x14ac:dyDescent="0.3">
      <c r="A181" s="15"/>
      <c r="B181" s="76"/>
      <c r="C181" s="10"/>
    </row>
    <row r="182" spans="1:3" x14ac:dyDescent="0.3">
      <c r="A182" s="15"/>
      <c r="B182" s="76"/>
      <c r="C182" s="10"/>
    </row>
    <row r="183" spans="1:3" x14ac:dyDescent="0.3">
      <c r="A183" s="15"/>
      <c r="B183" s="76"/>
      <c r="C183" s="10"/>
    </row>
    <row r="184" spans="1:3" x14ac:dyDescent="0.3">
      <c r="A184" s="15"/>
      <c r="B184" s="76"/>
      <c r="C184" s="10"/>
    </row>
    <row r="185" spans="1:3" x14ac:dyDescent="0.3">
      <c r="A185" s="15"/>
      <c r="B185" s="76"/>
      <c r="C185" s="10"/>
    </row>
    <row r="186" spans="1:3" x14ac:dyDescent="0.3">
      <c r="A186" s="15"/>
      <c r="B186" s="76"/>
      <c r="C186" s="10"/>
    </row>
    <row r="187" spans="1:3" x14ac:dyDescent="0.3">
      <c r="A187" s="15"/>
      <c r="B187" s="76"/>
      <c r="C187" s="10"/>
    </row>
    <row r="188" spans="1:3" x14ac:dyDescent="0.3">
      <c r="A188" s="15"/>
      <c r="B188" s="76"/>
      <c r="C188" s="10"/>
    </row>
    <row r="189" spans="1:3" x14ac:dyDescent="0.3">
      <c r="A189" s="15"/>
      <c r="B189" s="76"/>
      <c r="C189" s="10"/>
    </row>
    <row r="190" spans="1:3" x14ac:dyDescent="0.3">
      <c r="A190" s="15"/>
      <c r="B190" s="76"/>
      <c r="C190" s="10"/>
    </row>
    <row r="191" spans="1:3" x14ac:dyDescent="0.3">
      <c r="A191" s="15"/>
      <c r="B191" s="76"/>
      <c r="C191" s="10"/>
    </row>
    <row r="192" spans="1:3" x14ac:dyDescent="0.3">
      <c r="A192" s="15"/>
      <c r="B192" s="76"/>
      <c r="C192" s="10"/>
    </row>
    <row r="193" spans="1:3" x14ac:dyDescent="0.3">
      <c r="A193" s="15"/>
      <c r="B193" s="76"/>
      <c r="C193" s="10"/>
    </row>
    <row r="194" spans="1:3" x14ac:dyDescent="0.3">
      <c r="A194" s="15"/>
      <c r="B194" s="76"/>
      <c r="C194" s="10"/>
    </row>
    <row r="195" spans="1:3" x14ac:dyDescent="0.3">
      <c r="A195" s="15"/>
      <c r="B195" s="76"/>
      <c r="C195" s="10"/>
    </row>
    <row r="196" spans="1:3" x14ac:dyDescent="0.3">
      <c r="A196" s="15"/>
      <c r="B196" s="76"/>
      <c r="C196" s="10"/>
    </row>
    <row r="197" spans="1:3" x14ac:dyDescent="0.3">
      <c r="A197" s="15"/>
      <c r="B197" s="76"/>
      <c r="C197" s="10"/>
    </row>
    <row r="198" spans="1:3" x14ac:dyDescent="0.3">
      <c r="A198" s="15"/>
      <c r="B198" s="76"/>
      <c r="C198" s="10"/>
    </row>
    <row r="199" spans="1:3" x14ac:dyDescent="0.3">
      <c r="A199" s="15"/>
      <c r="B199" s="76"/>
      <c r="C199" s="10"/>
    </row>
    <row r="200" spans="1:3" x14ac:dyDescent="0.3">
      <c r="A200" s="15"/>
      <c r="B200" s="76"/>
      <c r="C200" s="10"/>
    </row>
    <row r="201" spans="1:3" x14ac:dyDescent="0.3">
      <c r="A201" s="15"/>
      <c r="B201" s="76"/>
      <c r="C201" s="10"/>
    </row>
    <row r="202" spans="1:3" x14ac:dyDescent="0.3">
      <c r="A202" s="15"/>
      <c r="B202" s="76"/>
      <c r="C202" s="10"/>
    </row>
    <row r="203" spans="1:3" x14ac:dyDescent="0.3">
      <c r="A203" s="15"/>
      <c r="B203" s="76"/>
      <c r="C203" s="10"/>
    </row>
    <row r="204" spans="1:3" x14ac:dyDescent="0.3">
      <c r="A204" s="15"/>
      <c r="B204" s="76"/>
      <c r="C204" s="10"/>
    </row>
    <row r="205" spans="1:3" x14ac:dyDescent="0.3">
      <c r="A205" s="15"/>
      <c r="B205" s="76"/>
      <c r="C205" s="10"/>
    </row>
    <row r="206" spans="1:3" x14ac:dyDescent="0.3">
      <c r="A206" s="15"/>
      <c r="B206" s="76"/>
      <c r="C206" s="10"/>
    </row>
    <row r="207" spans="1:3" x14ac:dyDescent="0.3">
      <c r="A207" s="15"/>
      <c r="B207" s="76"/>
      <c r="C207" s="10"/>
    </row>
    <row r="208" spans="1:3" x14ac:dyDescent="0.3">
      <c r="A208" s="15"/>
      <c r="B208" s="76"/>
      <c r="C208" s="10"/>
    </row>
    <row r="209" spans="1:3" x14ac:dyDescent="0.3">
      <c r="A209" s="15"/>
      <c r="B209" s="76"/>
      <c r="C209" s="10"/>
    </row>
    <row r="210" spans="1:3" x14ac:dyDescent="0.3">
      <c r="A210" s="15"/>
      <c r="B210" s="76"/>
      <c r="C210" s="10"/>
    </row>
    <row r="211" spans="1:3" x14ac:dyDescent="0.3">
      <c r="A211" s="15"/>
      <c r="B211" s="76"/>
      <c r="C211" s="10"/>
    </row>
    <row r="212" spans="1:3" x14ac:dyDescent="0.3">
      <c r="A212" s="15"/>
      <c r="B212" s="76"/>
      <c r="C212" s="10"/>
    </row>
    <row r="213" spans="1:3" x14ac:dyDescent="0.3">
      <c r="A213" s="15"/>
      <c r="B213" s="76"/>
      <c r="C213" s="10"/>
    </row>
    <row r="214" spans="1:3" x14ac:dyDescent="0.3">
      <c r="A214" s="15"/>
      <c r="B214" s="76"/>
      <c r="C214" s="10"/>
    </row>
    <row r="215" spans="1:3" x14ac:dyDescent="0.3">
      <c r="A215" s="15"/>
      <c r="B215" s="76"/>
      <c r="C215" s="10"/>
    </row>
    <row r="216" spans="1:3" x14ac:dyDescent="0.3">
      <c r="A216" s="15"/>
      <c r="B216" s="76"/>
      <c r="C216" s="10"/>
    </row>
    <row r="217" spans="1:3" x14ac:dyDescent="0.3">
      <c r="A217" s="15"/>
      <c r="B217" s="76"/>
      <c r="C217" s="10"/>
    </row>
    <row r="218" spans="1:3" x14ac:dyDescent="0.3">
      <c r="A218" s="15"/>
      <c r="B218" s="76"/>
      <c r="C218" s="10"/>
    </row>
    <row r="219" spans="1:3" x14ac:dyDescent="0.3">
      <c r="A219" s="15"/>
      <c r="B219" s="76"/>
      <c r="C219" s="10"/>
    </row>
    <row r="220" spans="1:3" x14ac:dyDescent="0.3">
      <c r="A220" s="15"/>
      <c r="B220" s="76"/>
      <c r="C220" s="10"/>
    </row>
    <row r="221" spans="1:3" x14ac:dyDescent="0.3">
      <c r="A221" s="15"/>
      <c r="B221" s="76"/>
      <c r="C221" s="10"/>
    </row>
    <row r="222" spans="1:3" x14ac:dyDescent="0.3">
      <c r="A222" s="15"/>
      <c r="B222" s="76"/>
      <c r="C222" s="10"/>
    </row>
    <row r="223" spans="1:3" x14ac:dyDescent="0.3">
      <c r="A223" s="15"/>
      <c r="B223" s="76"/>
      <c r="C223" s="10"/>
    </row>
    <row r="224" spans="1:3" x14ac:dyDescent="0.3">
      <c r="A224" s="15"/>
      <c r="B224" s="76"/>
      <c r="C224" s="10"/>
    </row>
    <row r="225" spans="1:3" x14ac:dyDescent="0.3">
      <c r="A225" s="15"/>
      <c r="B225" s="76"/>
      <c r="C225" s="10"/>
    </row>
    <row r="226" spans="1:3" x14ac:dyDescent="0.3">
      <c r="A226" s="15"/>
      <c r="B226" s="76"/>
      <c r="C226" s="10"/>
    </row>
    <row r="227" spans="1:3" x14ac:dyDescent="0.3">
      <c r="A227" s="15"/>
      <c r="B227" s="76"/>
      <c r="C227" s="10"/>
    </row>
    <row r="228" spans="1:3" x14ac:dyDescent="0.3">
      <c r="A228" s="15"/>
      <c r="B228" s="76"/>
      <c r="C228" s="10"/>
    </row>
    <row r="229" spans="1:3" x14ac:dyDescent="0.3">
      <c r="A229" s="15"/>
      <c r="B229" s="76"/>
      <c r="C229" s="10"/>
    </row>
    <row r="230" spans="1:3" x14ac:dyDescent="0.3">
      <c r="A230" s="15"/>
      <c r="B230" s="76"/>
      <c r="C230" s="10"/>
    </row>
    <row r="231" spans="1:3" x14ac:dyDescent="0.3">
      <c r="A231" s="15"/>
      <c r="B231" s="76"/>
      <c r="C231" s="10"/>
    </row>
    <row r="232" spans="1:3" x14ac:dyDescent="0.3">
      <c r="A232" s="15"/>
      <c r="B232" s="76"/>
      <c r="C232" s="10"/>
    </row>
    <row r="233" spans="1:3" x14ac:dyDescent="0.3">
      <c r="A233" s="15"/>
      <c r="B233" s="76"/>
      <c r="C233" s="10"/>
    </row>
    <row r="234" spans="1:3" x14ac:dyDescent="0.3">
      <c r="A234" s="15"/>
      <c r="B234" s="76"/>
      <c r="C234" s="10"/>
    </row>
    <row r="235" spans="1:3" x14ac:dyDescent="0.3">
      <c r="A235" s="15"/>
      <c r="B235" s="76"/>
      <c r="C235" s="10"/>
    </row>
    <row r="236" spans="1:3" x14ac:dyDescent="0.3">
      <c r="A236" s="15"/>
      <c r="B236" s="76"/>
      <c r="C236" s="10"/>
    </row>
    <row r="237" spans="1:3" x14ac:dyDescent="0.3">
      <c r="A237" s="15"/>
      <c r="B237" s="76"/>
      <c r="C237" s="10"/>
    </row>
    <row r="238" spans="1:3" x14ac:dyDescent="0.3">
      <c r="A238" s="15"/>
      <c r="B238" s="76"/>
      <c r="C238" s="10"/>
    </row>
    <row r="239" spans="1:3" x14ac:dyDescent="0.3">
      <c r="A239" s="15"/>
      <c r="B239" s="76"/>
      <c r="C239" s="10"/>
    </row>
    <row r="240" spans="1:3" x14ac:dyDescent="0.3">
      <c r="A240" s="15"/>
      <c r="B240" s="76"/>
      <c r="C240" s="10"/>
    </row>
    <row r="241" spans="1:3" x14ac:dyDescent="0.3">
      <c r="A241" s="15"/>
      <c r="B241" s="76"/>
      <c r="C241" s="10"/>
    </row>
    <row r="242" spans="1:3" x14ac:dyDescent="0.3">
      <c r="A242" s="15"/>
      <c r="B242" s="76"/>
      <c r="C242" s="10"/>
    </row>
    <row r="243" spans="1:3" x14ac:dyDescent="0.3">
      <c r="A243" s="15"/>
      <c r="B243" s="76"/>
      <c r="C243" s="10"/>
    </row>
    <row r="244" spans="1:3" x14ac:dyDescent="0.3">
      <c r="A244" s="15"/>
      <c r="B244" s="76"/>
      <c r="C244" s="10"/>
    </row>
    <row r="245" spans="1:3" x14ac:dyDescent="0.3">
      <c r="A245" s="15"/>
      <c r="B245" s="76"/>
      <c r="C245" s="10"/>
    </row>
    <row r="246" spans="1:3" x14ac:dyDescent="0.3">
      <c r="A246" s="15"/>
      <c r="B246" s="76"/>
      <c r="C246" s="10"/>
    </row>
    <row r="247" spans="1:3" x14ac:dyDescent="0.3">
      <c r="A247" s="15"/>
      <c r="B247" s="76"/>
      <c r="C247" s="10"/>
    </row>
    <row r="248" spans="1:3" x14ac:dyDescent="0.3">
      <c r="A248" s="15"/>
      <c r="B248" s="76"/>
      <c r="C248" s="10"/>
    </row>
    <row r="249" spans="1:3" x14ac:dyDescent="0.3">
      <c r="A249" s="15"/>
      <c r="B249" s="76"/>
      <c r="C249" s="10"/>
    </row>
    <row r="250" spans="1:3" x14ac:dyDescent="0.3">
      <c r="A250" s="15"/>
      <c r="B250" s="76"/>
      <c r="C250" s="10"/>
    </row>
    <row r="251" spans="1:3" x14ac:dyDescent="0.3">
      <c r="A251" s="15"/>
      <c r="B251" s="76"/>
      <c r="C251" s="10"/>
    </row>
    <row r="252" spans="1:3" x14ac:dyDescent="0.3">
      <c r="A252" s="15"/>
      <c r="B252" s="76"/>
      <c r="C252" s="10"/>
    </row>
    <row r="253" spans="1:3" x14ac:dyDescent="0.3">
      <c r="A253" s="15"/>
      <c r="B253" s="76"/>
      <c r="C253" s="10"/>
    </row>
    <row r="254" spans="1:3" x14ac:dyDescent="0.3">
      <c r="A254" s="15"/>
      <c r="B254" s="76"/>
      <c r="C254" s="10"/>
    </row>
    <row r="255" spans="1:3" x14ac:dyDescent="0.3">
      <c r="A255" s="15"/>
      <c r="B255" s="76"/>
      <c r="C255" s="10"/>
    </row>
    <row r="256" spans="1:3" x14ac:dyDescent="0.3">
      <c r="A256" s="15"/>
      <c r="B256" s="76"/>
      <c r="C256" s="10"/>
    </row>
    <row r="257" spans="1:3" x14ac:dyDescent="0.3">
      <c r="A257" s="15"/>
      <c r="B257" s="76"/>
      <c r="C257" s="10"/>
    </row>
    <row r="258" spans="1:3" x14ac:dyDescent="0.3">
      <c r="A258" s="15"/>
      <c r="B258" s="76"/>
      <c r="C258" s="10"/>
    </row>
    <row r="259" spans="1:3" x14ac:dyDescent="0.3">
      <c r="A259" s="15"/>
      <c r="B259" s="76"/>
      <c r="C259" s="10"/>
    </row>
    <row r="260" spans="1:3" x14ac:dyDescent="0.3">
      <c r="A260" s="15"/>
      <c r="B260" s="76"/>
      <c r="C260" s="10"/>
    </row>
    <row r="261" spans="1:3" x14ac:dyDescent="0.3">
      <c r="A261" s="15"/>
      <c r="B261" s="76"/>
      <c r="C261" s="10"/>
    </row>
    <row r="262" spans="1:3" x14ac:dyDescent="0.3">
      <c r="A262" s="15"/>
      <c r="B262" s="76"/>
      <c r="C262" s="10"/>
    </row>
    <row r="263" spans="1:3" x14ac:dyDescent="0.3">
      <c r="A263" s="15"/>
      <c r="B263" s="76"/>
      <c r="C263" s="10"/>
    </row>
    <row r="264" spans="1:3" x14ac:dyDescent="0.3">
      <c r="A264" s="15"/>
      <c r="B264" s="76"/>
      <c r="C264" s="10"/>
    </row>
    <row r="265" spans="1:3" x14ac:dyDescent="0.3">
      <c r="A265" s="15"/>
      <c r="B265" s="76"/>
      <c r="C265" s="10"/>
    </row>
    <row r="266" spans="1:3" x14ac:dyDescent="0.3">
      <c r="A266" s="15"/>
      <c r="B266" s="76"/>
      <c r="C266" s="10"/>
    </row>
    <row r="267" spans="1:3" x14ac:dyDescent="0.3">
      <c r="A267" s="15"/>
      <c r="B267" s="76"/>
      <c r="C267" s="10"/>
    </row>
    <row r="268" spans="1:3" x14ac:dyDescent="0.3">
      <c r="A268" s="15"/>
      <c r="B268" s="76"/>
      <c r="C268" s="10"/>
    </row>
    <row r="269" spans="1:3" x14ac:dyDescent="0.3">
      <c r="A269" s="15"/>
      <c r="B269" s="76"/>
      <c r="C269" s="10"/>
    </row>
    <row r="270" spans="1:3" x14ac:dyDescent="0.3">
      <c r="A270" s="15"/>
      <c r="B270" s="76"/>
      <c r="C270" s="10"/>
    </row>
    <row r="271" spans="1:3" x14ac:dyDescent="0.3">
      <c r="A271" s="15"/>
      <c r="B271" s="76"/>
      <c r="C271" s="10"/>
    </row>
    <row r="272" spans="1:3" x14ac:dyDescent="0.3">
      <c r="A272" s="15"/>
      <c r="B272" s="76"/>
      <c r="C272" s="10"/>
    </row>
    <row r="273" spans="1:3" x14ac:dyDescent="0.3">
      <c r="A273" s="15"/>
      <c r="B273" s="76"/>
      <c r="C273" s="10"/>
    </row>
    <row r="274" spans="1:3" x14ac:dyDescent="0.3">
      <c r="A274" s="15"/>
      <c r="B274" s="76"/>
      <c r="C274" s="10"/>
    </row>
    <row r="275" spans="1:3" x14ac:dyDescent="0.3">
      <c r="A275" s="15"/>
      <c r="B275" s="76"/>
      <c r="C275" s="10"/>
    </row>
    <row r="276" spans="1:3" x14ac:dyDescent="0.3">
      <c r="A276" s="15"/>
      <c r="B276" s="76"/>
      <c r="C276" s="10"/>
    </row>
    <row r="277" spans="1:3" x14ac:dyDescent="0.3">
      <c r="A277" s="15"/>
      <c r="B277" s="76"/>
      <c r="C277" s="10"/>
    </row>
    <row r="278" spans="1:3" x14ac:dyDescent="0.3">
      <c r="A278" s="15"/>
      <c r="B278" s="76"/>
      <c r="C278" s="10"/>
    </row>
    <row r="279" spans="1:3" x14ac:dyDescent="0.3">
      <c r="A279" s="15"/>
      <c r="B279" s="76"/>
      <c r="C279" s="10"/>
    </row>
    <row r="280" spans="1:3" x14ac:dyDescent="0.3">
      <c r="A280" s="15"/>
      <c r="B280" s="76"/>
      <c r="C280" s="10"/>
    </row>
    <row r="281" spans="1:3" x14ac:dyDescent="0.3">
      <c r="A281" s="15"/>
      <c r="B281" s="76"/>
      <c r="C281" s="10"/>
    </row>
    <row r="282" spans="1:3" x14ac:dyDescent="0.3">
      <c r="A282" s="15"/>
      <c r="B282" s="76"/>
      <c r="C282" s="10"/>
    </row>
    <row r="283" spans="1:3" x14ac:dyDescent="0.3">
      <c r="A283" s="15"/>
      <c r="B283" s="76"/>
      <c r="C283" s="10"/>
    </row>
    <row r="284" spans="1:3" x14ac:dyDescent="0.3">
      <c r="A284" s="15"/>
      <c r="B284" s="76"/>
      <c r="C284" s="10"/>
    </row>
    <row r="285" spans="1:3" x14ac:dyDescent="0.3">
      <c r="A285" s="15"/>
      <c r="B285" s="76"/>
      <c r="C285" s="10"/>
    </row>
    <row r="286" spans="1:3" x14ac:dyDescent="0.3">
      <c r="A286" s="15"/>
      <c r="B286" s="76"/>
      <c r="C286" s="10"/>
    </row>
    <row r="287" spans="1:3" x14ac:dyDescent="0.3">
      <c r="A287" s="15"/>
      <c r="B287" s="76"/>
      <c r="C287" s="10"/>
    </row>
    <row r="288" spans="1:3" x14ac:dyDescent="0.3">
      <c r="A288" s="15"/>
      <c r="B288" s="76"/>
      <c r="C288" s="10"/>
    </row>
    <row r="289" spans="1:3" x14ac:dyDescent="0.3">
      <c r="A289" s="15"/>
      <c r="B289" s="76"/>
      <c r="C289" s="10"/>
    </row>
    <row r="290" spans="1:3" x14ac:dyDescent="0.3">
      <c r="A290" s="15"/>
      <c r="B290" s="76"/>
      <c r="C290" s="10"/>
    </row>
    <row r="291" spans="1:3" x14ac:dyDescent="0.3">
      <c r="A291" s="15"/>
      <c r="B291" s="76"/>
      <c r="C291" s="10"/>
    </row>
    <row r="292" spans="1:3" x14ac:dyDescent="0.3">
      <c r="A292" s="15"/>
      <c r="B292" s="76"/>
      <c r="C292" s="10"/>
    </row>
    <row r="293" spans="1:3" x14ac:dyDescent="0.3">
      <c r="A293" s="15"/>
      <c r="B293" s="76"/>
      <c r="C293" s="10"/>
    </row>
    <row r="294" spans="1:3" x14ac:dyDescent="0.3">
      <c r="A294" s="15"/>
      <c r="B294" s="76"/>
      <c r="C294" s="10"/>
    </row>
    <row r="295" spans="1:3" x14ac:dyDescent="0.3">
      <c r="A295" s="15"/>
      <c r="B295" s="76"/>
      <c r="C295" s="10"/>
    </row>
    <row r="296" spans="1:3" x14ac:dyDescent="0.3">
      <c r="A296" s="15"/>
      <c r="B296" s="76"/>
      <c r="C296" s="10"/>
    </row>
    <row r="297" spans="1:3" x14ac:dyDescent="0.3">
      <c r="A297" s="15"/>
      <c r="B297" s="76"/>
      <c r="C297" s="10"/>
    </row>
    <row r="298" spans="1:3" x14ac:dyDescent="0.3">
      <c r="A298" s="15"/>
      <c r="B298" s="76"/>
      <c r="C298" s="10"/>
    </row>
    <row r="299" spans="1:3" x14ac:dyDescent="0.3">
      <c r="A299" s="15"/>
      <c r="B299" s="76"/>
      <c r="C299" s="10"/>
    </row>
    <row r="300" spans="1:3" x14ac:dyDescent="0.3">
      <c r="A300" s="15"/>
      <c r="B300" s="76"/>
      <c r="C300" s="10"/>
    </row>
    <row r="301" spans="1:3" x14ac:dyDescent="0.3">
      <c r="A301" s="15"/>
      <c r="B301" s="76"/>
      <c r="C301" s="10"/>
    </row>
    <row r="302" spans="1:3" x14ac:dyDescent="0.3">
      <c r="A302" s="15"/>
      <c r="B302" s="76"/>
      <c r="C302" s="10"/>
    </row>
    <row r="303" spans="1:3" x14ac:dyDescent="0.3">
      <c r="A303" s="15"/>
      <c r="B303" s="76"/>
      <c r="C303" s="10"/>
    </row>
    <row r="304" spans="1:3" x14ac:dyDescent="0.3">
      <c r="A304" s="15"/>
      <c r="B304" s="76"/>
      <c r="C304" s="10"/>
    </row>
    <row r="305" spans="1:3" x14ac:dyDescent="0.3">
      <c r="A305" s="15"/>
      <c r="B305" s="76"/>
      <c r="C305" s="10"/>
    </row>
    <row r="306" spans="1:3" x14ac:dyDescent="0.3">
      <c r="A306" s="15"/>
      <c r="B306" s="76"/>
      <c r="C306" s="10"/>
    </row>
    <row r="307" spans="1:3" x14ac:dyDescent="0.3">
      <c r="A307" s="15"/>
      <c r="B307" s="76"/>
      <c r="C307" s="10"/>
    </row>
    <row r="308" spans="1:3" x14ac:dyDescent="0.3">
      <c r="A308" s="15"/>
      <c r="B308" s="76"/>
      <c r="C308" s="10"/>
    </row>
    <row r="309" spans="1:3" x14ac:dyDescent="0.3">
      <c r="A309" s="15"/>
      <c r="B309" s="76"/>
      <c r="C309" s="10"/>
    </row>
    <row r="310" spans="1:3" x14ac:dyDescent="0.3">
      <c r="A310" s="15"/>
      <c r="B310" s="76"/>
      <c r="C310" s="10"/>
    </row>
    <row r="311" spans="1:3" x14ac:dyDescent="0.3">
      <c r="A311" s="15"/>
      <c r="B311" s="76"/>
      <c r="C311" s="10"/>
    </row>
    <row r="312" spans="1:3" x14ac:dyDescent="0.3">
      <c r="A312" s="15"/>
      <c r="B312" s="76"/>
      <c r="C312" s="10"/>
    </row>
    <row r="313" spans="1:3" x14ac:dyDescent="0.3">
      <c r="A313" s="15"/>
      <c r="B313" s="76"/>
      <c r="C313" s="10"/>
    </row>
    <row r="314" spans="1:3" x14ac:dyDescent="0.3">
      <c r="A314" s="15"/>
      <c r="B314" s="76"/>
      <c r="C314" s="10"/>
    </row>
    <row r="315" spans="1:3" x14ac:dyDescent="0.3">
      <c r="A315" s="15"/>
      <c r="B315" s="76"/>
      <c r="C315" s="10"/>
    </row>
    <row r="316" spans="1:3" x14ac:dyDescent="0.3">
      <c r="A316" s="15"/>
      <c r="B316" s="76"/>
      <c r="C316" s="10"/>
    </row>
    <row r="317" spans="1:3" x14ac:dyDescent="0.3">
      <c r="A317" s="15"/>
      <c r="B317" s="76"/>
      <c r="C317" s="10"/>
    </row>
    <row r="318" spans="1:3" x14ac:dyDescent="0.3">
      <c r="A318" s="15"/>
      <c r="B318" s="76"/>
      <c r="C318" s="10"/>
    </row>
    <row r="319" spans="1:3" x14ac:dyDescent="0.3">
      <c r="A319" s="15"/>
      <c r="B319" s="76"/>
      <c r="C319" s="10"/>
    </row>
    <row r="320" spans="1:3" x14ac:dyDescent="0.3">
      <c r="A320" s="15"/>
      <c r="B320" s="76"/>
      <c r="C320" s="10"/>
    </row>
    <row r="321" spans="1:3" x14ac:dyDescent="0.3">
      <c r="A321" s="15"/>
      <c r="B321" s="76"/>
      <c r="C321" s="10"/>
    </row>
    <row r="322" spans="1:3" x14ac:dyDescent="0.3">
      <c r="A322" s="15"/>
      <c r="B322" s="76"/>
      <c r="C322" s="10"/>
    </row>
    <row r="323" spans="1:3" x14ac:dyDescent="0.3">
      <c r="A323" s="15"/>
      <c r="B323" s="76"/>
      <c r="C323" s="10"/>
    </row>
    <row r="324" spans="1:3" x14ac:dyDescent="0.3">
      <c r="A324" s="15"/>
      <c r="B324" s="76"/>
      <c r="C324" s="10"/>
    </row>
    <row r="325" spans="1:3" x14ac:dyDescent="0.3">
      <c r="A325" s="15"/>
      <c r="B325" s="76"/>
      <c r="C325" s="10"/>
    </row>
    <row r="326" spans="1:3" x14ac:dyDescent="0.3">
      <c r="A326" s="15"/>
      <c r="B326" s="76"/>
      <c r="C326" s="10"/>
    </row>
    <row r="327" spans="1:3" x14ac:dyDescent="0.3">
      <c r="A327" s="15"/>
      <c r="B327" s="76"/>
      <c r="C327" s="10"/>
    </row>
    <row r="328" spans="1:3" x14ac:dyDescent="0.3">
      <c r="A328" s="15"/>
      <c r="B328" s="76"/>
      <c r="C328" s="10"/>
    </row>
    <row r="329" spans="1:3" x14ac:dyDescent="0.3">
      <c r="A329" s="15"/>
      <c r="B329" s="76"/>
      <c r="C329" s="10"/>
    </row>
    <row r="330" spans="1:3" x14ac:dyDescent="0.3">
      <c r="A330" s="15"/>
      <c r="B330" s="76"/>
      <c r="C330" s="10"/>
    </row>
    <row r="331" spans="1:3" x14ac:dyDescent="0.3">
      <c r="A331" s="15"/>
      <c r="B331" s="76"/>
      <c r="C331" s="10"/>
    </row>
    <row r="332" spans="1:3" x14ac:dyDescent="0.3">
      <c r="A332" s="15"/>
      <c r="B332" s="76"/>
      <c r="C332" s="10"/>
    </row>
    <row r="333" spans="1:3" x14ac:dyDescent="0.3">
      <c r="A333" s="15"/>
      <c r="B333" s="76"/>
      <c r="C333" s="10"/>
    </row>
    <row r="334" spans="1:3" x14ac:dyDescent="0.3">
      <c r="A334" s="15"/>
      <c r="B334" s="76"/>
      <c r="C334" s="10"/>
    </row>
    <row r="335" spans="1:3" x14ac:dyDescent="0.3">
      <c r="A335" s="15"/>
      <c r="B335" s="76"/>
      <c r="C335" s="10"/>
    </row>
    <row r="336" spans="1:3" x14ac:dyDescent="0.3">
      <c r="A336" s="15"/>
      <c r="B336" s="76"/>
      <c r="C336" s="10"/>
    </row>
    <row r="337" spans="1:3" x14ac:dyDescent="0.3">
      <c r="A337" s="15"/>
      <c r="B337" s="76"/>
      <c r="C337" s="10"/>
    </row>
    <row r="338" spans="1:3" x14ac:dyDescent="0.3">
      <c r="A338" s="15"/>
      <c r="B338" s="76"/>
      <c r="C338" s="10"/>
    </row>
    <row r="339" spans="1:3" x14ac:dyDescent="0.3">
      <c r="A339" s="15"/>
      <c r="B339" s="76"/>
      <c r="C339" s="10"/>
    </row>
    <row r="340" spans="1:3" x14ac:dyDescent="0.3">
      <c r="A340" s="15"/>
      <c r="B340" s="76"/>
      <c r="C340" s="10"/>
    </row>
    <row r="341" spans="1:3" x14ac:dyDescent="0.3">
      <c r="A341" s="15"/>
      <c r="B341" s="76"/>
      <c r="C341" s="10"/>
    </row>
    <row r="342" spans="1:3" x14ac:dyDescent="0.3">
      <c r="A342" s="15"/>
      <c r="B342" s="76"/>
      <c r="C342" s="10"/>
    </row>
    <row r="343" spans="1:3" x14ac:dyDescent="0.3">
      <c r="A343" s="15"/>
      <c r="B343" s="76"/>
      <c r="C343" s="10"/>
    </row>
    <row r="344" spans="1:3" x14ac:dyDescent="0.3">
      <c r="A344" s="15"/>
      <c r="B344" s="76"/>
      <c r="C344" s="10"/>
    </row>
    <row r="345" spans="1:3" x14ac:dyDescent="0.3">
      <c r="A345" s="15"/>
      <c r="B345" s="76"/>
      <c r="C345" s="10"/>
    </row>
    <row r="346" spans="1:3" x14ac:dyDescent="0.3">
      <c r="A346" s="15"/>
      <c r="B346" s="76"/>
      <c r="C346" s="10"/>
    </row>
    <row r="347" spans="1:3" x14ac:dyDescent="0.3">
      <c r="A347" s="15"/>
      <c r="B347" s="76"/>
      <c r="C347" s="10"/>
    </row>
    <row r="348" spans="1:3" x14ac:dyDescent="0.3">
      <c r="A348" s="15"/>
      <c r="B348" s="76"/>
      <c r="C348" s="10"/>
    </row>
    <row r="349" spans="1:3" x14ac:dyDescent="0.3">
      <c r="A349" s="15"/>
      <c r="B349" s="76"/>
      <c r="C349" s="10"/>
    </row>
    <row r="350" spans="1:3" x14ac:dyDescent="0.3">
      <c r="A350" s="15"/>
      <c r="B350" s="76"/>
      <c r="C350" s="10"/>
    </row>
    <row r="351" spans="1:3" x14ac:dyDescent="0.3">
      <c r="A351" s="15"/>
      <c r="B351" s="76"/>
      <c r="C351" s="10"/>
    </row>
    <row r="352" spans="1:3" x14ac:dyDescent="0.3">
      <c r="A352" s="15"/>
      <c r="B352" s="76"/>
      <c r="C352" s="10"/>
    </row>
    <row r="353" spans="1:3" x14ac:dyDescent="0.3">
      <c r="A353" s="15"/>
      <c r="B353" s="76"/>
      <c r="C353" s="10"/>
    </row>
    <row r="354" spans="1:3" x14ac:dyDescent="0.3">
      <c r="A354" s="15"/>
      <c r="B354" s="76"/>
      <c r="C354" s="10"/>
    </row>
    <row r="355" spans="1:3" x14ac:dyDescent="0.3">
      <c r="A355" s="15"/>
      <c r="B355" s="76"/>
      <c r="C355" s="10"/>
    </row>
    <row r="356" spans="1:3" x14ac:dyDescent="0.3">
      <c r="A356" s="15"/>
      <c r="B356" s="76"/>
      <c r="C356" s="10"/>
    </row>
    <row r="357" spans="1:3" x14ac:dyDescent="0.3">
      <c r="A357" s="15"/>
      <c r="B357" s="76"/>
      <c r="C357" s="10"/>
    </row>
    <row r="358" spans="1:3" x14ac:dyDescent="0.3">
      <c r="A358" s="15"/>
      <c r="B358" s="76"/>
      <c r="C358" s="10"/>
    </row>
    <row r="359" spans="1:3" x14ac:dyDescent="0.3">
      <c r="A359" s="15"/>
      <c r="B359" s="76"/>
      <c r="C359" s="10"/>
    </row>
    <row r="360" spans="1:3" x14ac:dyDescent="0.3">
      <c r="A360" s="15"/>
      <c r="B360" s="76"/>
      <c r="C360" s="10"/>
    </row>
    <row r="361" spans="1:3" x14ac:dyDescent="0.3">
      <c r="A361" s="15"/>
      <c r="B361" s="76"/>
      <c r="C361" s="10"/>
    </row>
    <row r="362" spans="1:3" x14ac:dyDescent="0.3">
      <c r="A362" s="15"/>
      <c r="B362" s="76"/>
      <c r="C362" s="10"/>
    </row>
    <row r="363" spans="1:3" x14ac:dyDescent="0.3">
      <c r="A363" s="15"/>
      <c r="B363" s="76"/>
      <c r="C363" s="10"/>
    </row>
    <row r="364" spans="1:3" x14ac:dyDescent="0.3">
      <c r="A364" s="15"/>
      <c r="B364" s="76"/>
      <c r="C364" s="10"/>
    </row>
    <row r="365" spans="1:3" x14ac:dyDescent="0.3">
      <c r="A365" s="15"/>
      <c r="B365" s="76"/>
      <c r="C365" s="10"/>
    </row>
    <row r="366" spans="1:3" x14ac:dyDescent="0.3">
      <c r="A366" s="15"/>
      <c r="B366" s="76"/>
      <c r="C366" s="10"/>
    </row>
    <row r="367" spans="1:3" x14ac:dyDescent="0.3">
      <c r="A367" s="15"/>
      <c r="B367" s="76"/>
      <c r="C367" s="10"/>
    </row>
    <row r="368" spans="1:3" x14ac:dyDescent="0.3">
      <c r="A368" s="15"/>
      <c r="B368" s="76"/>
      <c r="C368" s="10"/>
    </row>
    <row r="369" spans="1:3" x14ac:dyDescent="0.3">
      <c r="A369" s="15"/>
      <c r="B369" s="76"/>
      <c r="C369" s="10"/>
    </row>
    <row r="370" spans="1:3" x14ac:dyDescent="0.3">
      <c r="A370" s="15"/>
      <c r="B370" s="76"/>
      <c r="C370" s="10"/>
    </row>
    <row r="371" spans="1:3" x14ac:dyDescent="0.3">
      <c r="A371" s="15"/>
      <c r="B371" s="76"/>
      <c r="C371" s="10"/>
    </row>
    <row r="372" spans="1:3" x14ac:dyDescent="0.3">
      <c r="A372" s="15"/>
      <c r="B372" s="76"/>
      <c r="C372" s="10"/>
    </row>
    <row r="373" spans="1:3" x14ac:dyDescent="0.3">
      <c r="A373" s="15"/>
      <c r="B373" s="76"/>
      <c r="C373" s="10"/>
    </row>
    <row r="374" spans="1:3" x14ac:dyDescent="0.3">
      <c r="A374" s="15"/>
      <c r="B374" s="76"/>
      <c r="C374" s="10"/>
    </row>
    <row r="375" spans="1:3" x14ac:dyDescent="0.3">
      <c r="A375" s="15"/>
      <c r="B375" s="76"/>
      <c r="C375" s="10"/>
    </row>
    <row r="376" spans="1:3" x14ac:dyDescent="0.3">
      <c r="A376" s="15"/>
      <c r="B376" s="76"/>
      <c r="C376" s="10"/>
    </row>
    <row r="377" spans="1:3" x14ac:dyDescent="0.3">
      <c r="A377" s="15"/>
      <c r="B377" s="76"/>
      <c r="C377" s="10"/>
    </row>
    <row r="378" spans="1:3" x14ac:dyDescent="0.3">
      <c r="A378" s="15"/>
      <c r="B378" s="76"/>
      <c r="C378" s="10"/>
    </row>
    <row r="379" spans="1:3" x14ac:dyDescent="0.3">
      <c r="A379" s="15"/>
      <c r="B379" s="76"/>
      <c r="C379" s="10"/>
    </row>
    <row r="380" spans="1:3" x14ac:dyDescent="0.3">
      <c r="A380" s="15"/>
      <c r="B380" s="76"/>
      <c r="C380" s="10"/>
    </row>
    <row r="381" spans="1:3" x14ac:dyDescent="0.3">
      <c r="A381" s="15"/>
      <c r="B381" s="76"/>
      <c r="C381" s="10"/>
    </row>
    <row r="382" spans="1:3" x14ac:dyDescent="0.3">
      <c r="A382" s="15"/>
      <c r="B382" s="76"/>
      <c r="C382" s="10"/>
    </row>
    <row r="383" spans="1:3" x14ac:dyDescent="0.3">
      <c r="A383" s="15"/>
      <c r="B383" s="76"/>
      <c r="C383" s="10"/>
    </row>
    <row r="384" spans="1:3" x14ac:dyDescent="0.3">
      <c r="A384" s="15"/>
      <c r="B384" s="76"/>
      <c r="C384" s="10"/>
    </row>
    <row r="385" spans="1:3" x14ac:dyDescent="0.3">
      <c r="A385" s="15"/>
      <c r="B385" s="76"/>
      <c r="C385" s="10"/>
    </row>
    <row r="386" spans="1:3" x14ac:dyDescent="0.3">
      <c r="A386" s="15"/>
      <c r="B386" s="76"/>
      <c r="C386" s="10"/>
    </row>
    <row r="387" spans="1:3" x14ac:dyDescent="0.3">
      <c r="A387" s="15"/>
      <c r="B387" s="76"/>
      <c r="C387" s="10"/>
    </row>
    <row r="388" spans="1:3" x14ac:dyDescent="0.3">
      <c r="A388" s="15"/>
      <c r="B388" s="76"/>
      <c r="C388" s="10"/>
    </row>
    <row r="389" spans="1:3" x14ac:dyDescent="0.3">
      <c r="A389" s="15"/>
      <c r="B389" s="76"/>
      <c r="C389" s="10"/>
    </row>
    <row r="390" spans="1:3" x14ac:dyDescent="0.3">
      <c r="A390" s="15"/>
      <c r="B390" s="76"/>
      <c r="C390" s="10"/>
    </row>
    <row r="391" spans="1:3" x14ac:dyDescent="0.3">
      <c r="A391" s="15"/>
      <c r="B391" s="76"/>
      <c r="C391" s="10"/>
    </row>
    <row r="392" spans="1:3" x14ac:dyDescent="0.3">
      <c r="A392" s="15"/>
      <c r="B392" s="76"/>
      <c r="C392" s="10"/>
    </row>
    <row r="393" spans="1:3" x14ac:dyDescent="0.3">
      <c r="A393" s="15"/>
      <c r="B393" s="76"/>
      <c r="C393" s="10"/>
    </row>
    <row r="394" spans="1:3" x14ac:dyDescent="0.3">
      <c r="A394" s="15"/>
      <c r="B394" s="76"/>
      <c r="C394" s="10"/>
    </row>
    <row r="395" spans="1:3" x14ac:dyDescent="0.3">
      <c r="A395" s="15"/>
      <c r="B395" s="76"/>
      <c r="C395" s="10"/>
    </row>
    <row r="396" spans="1:3" x14ac:dyDescent="0.3">
      <c r="A396" s="15"/>
      <c r="B396" s="76"/>
      <c r="C396" s="10"/>
    </row>
    <row r="397" spans="1:3" x14ac:dyDescent="0.3">
      <c r="A397" s="15"/>
      <c r="B397" s="76"/>
      <c r="C397" s="10"/>
    </row>
    <row r="398" spans="1:3" x14ac:dyDescent="0.3">
      <c r="A398" s="15"/>
      <c r="B398" s="76"/>
      <c r="C398" s="10"/>
    </row>
    <row r="399" spans="1:3" x14ac:dyDescent="0.3">
      <c r="A399" s="15"/>
      <c r="B399" s="76"/>
      <c r="C399" s="10"/>
    </row>
    <row r="400" spans="1:3" x14ac:dyDescent="0.3">
      <c r="A400" s="15"/>
      <c r="B400" s="76"/>
      <c r="C400" s="10"/>
    </row>
    <row r="401" spans="1:3" x14ac:dyDescent="0.3">
      <c r="A401" s="15"/>
      <c r="B401" s="76"/>
      <c r="C401" s="10"/>
    </row>
    <row r="402" spans="1:3" x14ac:dyDescent="0.3">
      <c r="A402" s="15"/>
      <c r="B402" s="76"/>
      <c r="C402" s="10"/>
    </row>
    <row r="403" spans="1:3" x14ac:dyDescent="0.3">
      <c r="A403" s="15"/>
      <c r="B403" s="76"/>
      <c r="C403" s="10"/>
    </row>
    <row r="404" spans="1:3" x14ac:dyDescent="0.3">
      <c r="A404" s="15"/>
      <c r="B404" s="76"/>
      <c r="C404" s="10"/>
    </row>
    <row r="405" spans="1:3" x14ac:dyDescent="0.3">
      <c r="A405" s="15"/>
      <c r="B405" s="76"/>
      <c r="C405" s="10"/>
    </row>
    <row r="406" spans="1:3" x14ac:dyDescent="0.3">
      <c r="A406" s="15"/>
      <c r="B406" s="76"/>
      <c r="C406" s="10"/>
    </row>
    <row r="407" spans="1:3" x14ac:dyDescent="0.3">
      <c r="A407" s="15"/>
      <c r="B407" s="76"/>
      <c r="C407" s="10"/>
    </row>
    <row r="408" spans="1:3" x14ac:dyDescent="0.3">
      <c r="A408" s="15"/>
      <c r="B408" s="76"/>
      <c r="C408" s="10"/>
    </row>
    <row r="409" spans="1:3" x14ac:dyDescent="0.3">
      <c r="A409" s="15"/>
      <c r="B409" s="76"/>
      <c r="C409" s="10"/>
    </row>
    <row r="410" spans="1:3" x14ac:dyDescent="0.3">
      <c r="A410" s="15"/>
      <c r="B410" s="76"/>
      <c r="C410" s="10"/>
    </row>
    <row r="411" spans="1:3" x14ac:dyDescent="0.3">
      <c r="A411" s="15"/>
      <c r="B411" s="76"/>
      <c r="C411" s="10"/>
    </row>
    <row r="412" spans="1:3" x14ac:dyDescent="0.3">
      <c r="A412" s="15"/>
      <c r="B412" s="76"/>
      <c r="C412" s="10"/>
    </row>
    <row r="413" spans="1:3" x14ac:dyDescent="0.3">
      <c r="A413" s="15"/>
      <c r="B413" s="76"/>
      <c r="C413" s="10"/>
    </row>
    <row r="414" spans="1:3" x14ac:dyDescent="0.3">
      <c r="A414" s="15"/>
      <c r="B414" s="76"/>
      <c r="C414" s="10"/>
    </row>
    <row r="415" spans="1:3" x14ac:dyDescent="0.3">
      <c r="A415" s="15"/>
      <c r="B415" s="76"/>
      <c r="C415" s="10"/>
    </row>
    <row r="416" spans="1:3" x14ac:dyDescent="0.3">
      <c r="A416" s="15"/>
      <c r="B416" s="76"/>
      <c r="C416" s="10"/>
    </row>
    <row r="417" spans="1:3" x14ac:dyDescent="0.3">
      <c r="A417" s="15"/>
      <c r="B417" s="76"/>
      <c r="C417" s="10"/>
    </row>
    <row r="418" spans="1:3" x14ac:dyDescent="0.3">
      <c r="A418" s="15"/>
      <c r="B418" s="76"/>
      <c r="C418" s="10"/>
    </row>
    <row r="419" spans="1:3" x14ac:dyDescent="0.3">
      <c r="A419" s="15"/>
      <c r="B419" s="76"/>
      <c r="C419" s="10"/>
    </row>
    <row r="420" spans="1:3" x14ac:dyDescent="0.3">
      <c r="A420" s="15"/>
      <c r="B420" s="76"/>
      <c r="C420" s="10"/>
    </row>
    <row r="421" spans="1:3" x14ac:dyDescent="0.3">
      <c r="A421" s="15"/>
      <c r="B421" s="76"/>
      <c r="C421" s="10"/>
    </row>
    <row r="422" spans="1:3" x14ac:dyDescent="0.3">
      <c r="A422" s="15"/>
      <c r="B422" s="76"/>
      <c r="C422" s="10"/>
    </row>
    <row r="423" spans="1:3" x14ac:dyDescent="0.3">
      <c r="A423" s="15"/>
      <c r="B423" s="76"/>
      <c r="C423" s="10"/>
    </row>
    <row r="424" spans="1:3" x14ac:dyDescent="0.3">
      <c r="A424" s="15"/>
      <c r="B424" s="76"/>
      <c r="C424" s="10"/>
    </row>
    <row r="425" spans="1:3" x14ac:dyDescent="0.3">
      <c r="A425" s="15"/>
      <c r="B425" s="76"/>
      <c r="C425" s="10"/>
    </row>
    <row r="426" spans="1:3" x14ac:dyDescent="0.3">
      <c r="A426" s="15"/>
      <c r="B426" s="76"/>
      <c r="C426" s="10"/>
    </row>
    <row r="427" spans="1:3" x14ac:dyDescent="0.3">
      <c r="A427" s="15"/>
      <c r="B427" s="76"/>
      <c r="C427" s="10"/>
    </row>
    <row r="428" spans="1:3" x14ac:dyDescent="0.3">
      <c r="A428" s="15"/>
      <c r="B428" s="76"/>
      <c r="C428" s="10"/>
    </row>
    <row r="429" spans="1:3" x14ac:dyDescent="0.3">
      <c r="A429" s="15"/>
      <c r="B429" s="76"/>
      <c r="C429" s="10"/>
    </row>
    <row r="430" spans="1:3" x14ac:dyDescent="0.3">
      <c r="A430" s="15"/>
      <c r="B430" s="76"/>
      <c r="C430" s="10"/>
    </row>
    <row r="431" spans="1:3" x14ac:dyDescent="0.3">
      <c r="A431" s="15"/>
      <c r="B431" s="76"/>
      <c r="C431" s="10"/>
    </row>
    <row r="432" spans="1:3" x14ac:dyDescent="0.3">
      <c r="A432" s="15"/>
      <c r="B432" s="76"/>
      <c r="C432" s="10"/>
    </row>
    <row r="433" spans="1:3" x14ac:dyDescent="0.3">
      <c r="A433" s="15"/>
      <c r="B433" s="76"/>
      <c r="C433" s="10"/>
    </row>
    <row r="434" spans="1:3" x14ac:dyDescent="0.3">
      <c r="A434" s="15"/>
      <c r="B434" s="76"/>
      <c r="C434" s="10"/>
    </row>
    <row r="435" spans="1:3" x14ac:dyDescent="0.3">
      <c r="A435" s="15"/>
      <c r="B435" s="76"/>
      <c r="C435" s="10"/>
    </row>
    <row r="436" spans="1:3" x14ac:dyDescent="0.3">
      <c r="A436" s="15"/>
      <c r="B436" s="76"/>
      <c r="C436" s="10"/>
    </row>
    <row r="437" spans="1:3" x14ac:dyDescent="0.3">
      <c r="A437" s="15"/>
      <c r="B437" s="76"/>
      <c r="C437" s="10"/>
    </row>
    <row r="438" spans="1:3" x14ac:dyDescent="0.3">
      <c r="A438" s="15"/>
      <c r="B438" s="76"/>
      <c r="C438" s="10"/>
    </row>
    <row r="439" spans="1:3" x14ac:dyDescent="0.3">
      <c r="A439" s="15"/>
      <c r="B439" s="76"/>
      <c r="C439" s="10"/>
    </row>
    <row r="440" spans="1:3" x14ac:dyDescent="0.3">
      <c r="A440" s="15"/>
      <c r="B440" s="76"/>
      <c r="C440" s="10"/>
    </row>
    <row r="441" spans="1:3" x14ac:dyDescent="0.3">
      <c r="A441" s="15"/>
      <c r="B441" s="76"/>
      <c r="C441" s="10"/>
    </row>
    <row r="442" spans="1:3" x14ac:dyDescent="0.3">
      <c r="A442" s="15"/>
      <c r="B442" s="76"/>
      <c r="C442" s="10"/>
    </row>
    <row r="443" spans="1:3" x14ac:dyDescent="0.3">
      <c r="A443" s="15"/>
      <c r="B443" s="76"/>
      <c r="C443" s="10"/>
    </row>
    <row r="444" spans="1:3" x14ac:dyDescent="0.3">
      <c r="A444" s="15"/>
      <c r="B444" s="76"/>
      <c r="C444" s="10"/>
    </row>
    <row r="445" spans="1:3" x14ac:dyDescent="0.3">
      <c r="A445" s="15"/>
      <c r="B445" s="76"/>
      <c r="C445" s="10"/>
    </row>
    <row r="446" spans="1:3" x14ac:dyDescent="0.3">
      <c r="A446" s="15"/>
      <c r="B446" s="76"/>
      <c r="C446" s="10"/>
    </row>
    <row r="447" spans="1:3" x14ac:dyDescent="0.3">
      <c r="A447" s="15"/>
      <c r="B447" s="76"/>
      <c r="C447" s="10"/>
    </row>
    <row r="448" spans="1:3" x14ac:dyDescent="0.3">
      <c r="A448" s="15"/>
      <c r="B448" s="76"/>
      <c r="C448" s="10"/>
    </row>
    <row r="449" spans="1:3" x14ac:dyDescent="0.3">
      <c r="A449" s="15"/>
      <c r="B449" s="76"/>
      <c r="C449" s="10"/>
    </row>
    <row r="450" spans="1:3" x14ac:dyDescent="0.3">
      <c r="A450" s="15"/>
      <c r="B450" s="76"/>
      <c r="C450" s="10"/>
    </row>
    <row r="451" spans="1:3" x14ac:dyDescent="0.3">
      <c r="A451" s="15"/>
      <c r="B451" s="76"/>
      <c r="C451" s="10"/>
    </row>
    <row r="452" spans="1:3" x14ac:dyDescent="0.3">
      <c r="A452" s="15"/>
      <c r="B452" s="76"/>
      <c r="C452" s="10"/>
    </row>
    <row r="453" spans="1:3" x14ac:dyDescent="0.3">
      <c r="A453" s="15"/>
      <c r="B453" s="76"/>
      <c r="C453" s="10"/>
    </row>
    <row r="454" spans="1:3" x14ac:dyDescent="0.3">
      <c r="A454" s="15"/>
      <c r="B454" s="76"/>
      <c r="C454" s="10"/>
    </row>
    <row r="455" spans="1:3" x14ac:dyDescent="0.3">
      <c r="A455" s="15"/>
      <c r="B455" s="76"/>
      <c r="C455" s="10"/>
    </row>
    <row r="456" spans="1:3" x14ac:dyDescent="0.3">
      <c r="A456" s="15"/>
      <c r="B456" s="76"/>
      <c r="C456" s="10"/>
    </row>
    <row r="457" spans="1:3" x14ac:dyDescent="0.3">
      <c r="A457" s="15"/>
      <c r="B457" s="76"/>
      <c r="C457" s="10"/>
    </row>
    <row r="458" spans="1:3" x14ac:dyDescent="0.3">
      <c r="A458" s="15"/>
      <c r="B458" s="76"/>
      <c r="C458" s="10"/>
    </row>
    <row r="459" spans="1:3" x14ac:dyDescent="0.3">
      <c r="A459" s="15"/>
      <c r="B459" s="76"/>
      <c r="C459" s="10"/>
    </row>
    <row r="460" spans="1:3" x14ac:dyDescent="0.3">
      <c r="A460" s="15"/>
      <c r="B460" s="76"/>
      <c r="C460" s="10"/>
    </row>
    <row r="461" spans="1:3" x14ac:dyDescent="0.3">
      <c r="A461" s="15"/>
      <c r="B461" s="76"/>
      <c r="C461" s="10"/>
    </row>
    <row r="462" spans="1:3" x14ac:dyDescent="0.3">
      <c r="A462" s="15"/>
      <c r="B462" s="76"/>
      <c r="C462" s="10"/>
    </row>
    <row r="463" spans="1:3" x14ac:dyDescent="0.3">
      <c r="A463" s="15"/>
      <c r="B463" s="76"/>
      <c r="C463" s="10"/>
    </row>
    <row r="464" spans="1:3" x14ac:dyDescent="0.3">
      <c r="A464" s="15"/>
      <c r="B464" s="76"/>
      <c r="C464" s="10"/>
    </row>
    <row r="465" spans="1:3" x14ac:dyDescent="0.3">
      <c r="A465" s="15"/>
      <c r="B465" s="76"/>
      <c r="C465" s="10"/>
    </row>
    <row r="466" spans="1:3" x14ac:dyDescent="0.3">
      <c r="A466" s="15"/>
      <c r="B466" s="76"/>
      <c r="C466" s="10"/>
    </row>
    <row r="467" spans="1:3" x14ac:dyDescent="0.3">
      <c r="A467" s="15"/>
      <c r="B467" s="76"/>
      <c r="C467" s="10"/>
    </row>
    <row r="468" spans="1:3" x14ac:dyDescent="0.3">
      <c r="A468" s="15"/>
      <c r="B468" s="76"/>
      <c r="C468" s="10"/>
    </row>
    <row r="469" spans="1:3" x14ac:dyDescent="0.3">
      <c r="A469" s="15"/>
      <c r="B469" s="76"/>
      <c r="C469" s="10"/>
    </row>
    <row r="470" spans="1:3" x14ac:dyDescent="0.3">
      <c r="A470" s="15"/>
      <c r="B470" s="76"/>
      <c r="C470" s="10"/>
    </row>
    <row r="471" spans="1:3" x14ac:dyDescent="0.3">
      <c r="A471" s="15"/>
      <c r="B471" s="76"/>
      <c r="C471" s="10"/>
    </row>
    <row r="472" spans="1:3" x14ac:dyDescent="0.3">
      <c r="A472" s="15"/>
      <c r="B472" s="76"/>
      <c r="C472" s="10"/>
    </row>
    <row r="473" spans="1:3" x14ac:dyDescent="0.3">
      <c r="A473" s="15"/>
      <c r="B473" s="76"/>
      <c r="C473" s="10"/>
    </row>
    <row r="474" spans="1:3" x14ac:dyDescent="0.3">
      <c r="A474" s="15"/>
      <c r="B474" s="76"/>
      <c r="C474" s="10"/>
    </row>
    <row r="475" spans="1:3" x14ac:dyDescent="0.3">
      <c r="A475" s="15"/>
      <c r="B475" s="76"/>
      <c r="C475" s="10"/>
    </row>
    <row r="476" spans="1:3" x14ac:dyDescent="0.3">
      <c r="A476" s="15"/>
      <c r="B476" s="76"/>
      <c r="C476" s="10"/>
    </row>
    <row r="477" spans="1:3" x14ac:dyDescent="0.3">
      <c r="A477" s="15"/>
      <c r="B477" s="76"/>
      <c r="C477" s="10"/>
    </row>
    <row r="478" spans="1:3" x14ac:dyDescent="0.3">
      <c r="A478" s="15"/>
      <c r="B478" s="76"/>
      <c r="C478" s="10"/>
    </row>
    <row r="479" spans="1:3" x14ac:dyDescent="0.3">
      <c r="A479" s="15"/>
      <c r="B479" s="76"/>
      <c r="C479" s="10"/>
    </row>
    <row r="480" spans="1:3" x14ac:dyDescent="0.3">
      <c r="A480" s="15"/>
      <c r="B480" s="76"/>
      <c r="C480" s="10"/>
    </row>
    <row r="481" spans="1:3" x14ac:dyDescent="0.3">
      <c r="A481" s="15"/>
      <c r="B481" s="76"/>
      <c r="C481" s="10"/>
    </row>
    <row r="482" spans="1:3" x14ac:dyDescent="0.3">
      <c r="A482" s="15"/>
      <c r="B482" s="76"/>
      <c r="C482" s="10"/>
    </row>
    <row r="483" spans="1:3" x14ac:dyDescent="0.3">
      <c r="A483" s="15"/>
      <c r="B483" s="76"/>
      <c r="C483" s="10"/>
    </row>
    <row r="484" spans="1:3" x14ac:dyDescent="0.3">
      <c r="A484" s="15"/>
      <c r="B484" s="76"/>
      <c r="C484" s="10"/>
    </row>
    <row r="485" spans="1:3" x14ac:dyDescent="0.3">
      <c r="A485" s="15"/>
      <c r="B485" s="76"/>
      <c r="C485" s="10"/>
    </row>
    <row r="486" spans="1:3" x14ac:dyDescent="0.3">
      <c r="A486" s="15"/>
      <c r="B486" s="76"/>
      <c r="C486" s="10"/>
    </row>
    <row r="487" spans="1:3" x14ac:dyDescent="0.3">
      <c r="A487" s="15"/>
      <c r="B487" s="76"/>
      <c r="C487" s="10"/>
    </row>
    <row r="488" spans="1:3" x14ac:dyDescent="0.3">
      <c r="A488" s="15"/>
      <c r="B488" s="76"/>
      <c r="C488" s="10"/>
    </row>
    <row r="489" spans="1:3" x14ac:dyDescent="0.3">
      <c r="A489" s="15"/>
      <c r="B489" s="76"/>
      <c r="C489" s="10"/>
    </row>
    <row r="490" spans="1:3" x14ac:dyDescent="0.3">
      <c r="A490" s="15"/>
      <c r="B490" s="76"/>
      <c r="C490" s="10"/>
    </row>
    <row r="491" spans="1:3" x14ac:dyDescent="0.3">
      <c r="A491" s="15"/>
      <c r="B491" s="76"/>
      <c r="C491" s="10"/>
    </row>
    <row r="492" spans="1:3" x14ac:dyDescent="0.3">
      <c r="A492" s="15"/>
      <c r="B492" s="76"/>
      <c r="C492" s="10"/>
    </row>
    <row r="493" spans="1:3" x14ac:dyDescent="0.3">
      <c r="A493" s="15"/>
      <c r="B493" s="76"/>
      <c r="C493" s="10"/>
    </row>
    <row r="494" spans="1:3" x14ac:dyDescent="0.3">
      <c r="A494" s="15"/>
      <c r="B494" s="76"/>
      <c r="C494" s="10"/>
    </row>
    <row r="495" spans="1:3" x14ac:dyDescent="0.3">
      <c r="A495" s="15"/>
      <c r="B495" s="76"/>
      <c r="C495" s="10"/>
    </row>
    <row r="496" spans="1:3" x14ac:dyDescent="0.3">
      <c r="A496" s="15"/>
      <c r="B496" s="76"/>
      <c r="C496" s="10"/>
    </row>
    <row r="497" spans="1:3" x14ac:dyDescent="0.3">
      <c r="A497" s="15"/>
      <c r="B497" s="76"/>
      <c r="C497" s="10"/>
    </row>
    <row r="498" spans="1:3" x14ac:dyDescent="0.3">
      <c r="A498" s="15"/>
      <c r="B498" s="76"/>
      <c r="C498" s="10"/>
    </row>
    <row r="499" spans="1:3" x14ac:dyDescent="0.3">
      <c r="A499" s="15"/>
      <c r="B499" s="76"/>
      <c r="C499" s="10"/>
    </row>
    <row r="500" spans="1:3" x14ac:dyDescent="0.3">
      <c r="A500" s="15"/>
      <c r="B500" s="76"/>
      <c r="C500" s="10"/>
    </row>
    <row r="501" spans="1:3" x14ac:dyDescent="0.3">
      <c r="A501" s="15"/>
      <c r="B501" s="76"/>
      <c r="C501" s="10"/>
    </row>
    <row r="502" spans="1:3" x14ac:dyDescent="0.3">
      <c r="A502" s="15"/>
      <c r="B502" s="76"/>
      <c r="C502" s="10"/>
    </row>
    <row r="503" spans="1:3" x14ac:dyDescent="0.3">
      <c r="A503" s="15"/>
      <c r="B503" s="76"/>
      <c r="C503" s="10"/>
    </row>
    <row r="504" spans="1:3" x14ac:dyDescent="0.3">
      <c r="A504" s="15"/>
      <c r="B504" s="76"/>
      <c r="C504" s="10"/>
    </row>
    <row r="505" spans="1:3" x14ac:dyDescent="0.3">
      <c r="A505" s="15"/>
      <c r="B505" s="76"/>
      <c r="C505" s="10"/>
    </row>
    <row r="506" spans="1:3" x14ac:dyDescent="0.3">
      <c r="A506" s="15"/>
      <c r="B506" s="76"/>
      <c r="C506" s="10"/>
    </row>
    <row r="507" spans="1:3" x14ac:dyDescent="0.3">
      <c r="A507" s="15"/>
      <c r="B507" s="76"/>
      <c r="C507" s="10"/>
    </row>
    <row r="508" spans="1:3" x14ac:dyDescent="0.3">
      <c r="A508" s="15"/>
      <c r="B508" s="76"/>
      <c r="C508" s="10"/>
    </row>
    <row r="509" spans="1:3" x14ac:dyDescent="0.3">
      <c r="A509" s="15"/>
      <c r="B509" s="76"/>
      <c r="C509" s="10"/>
    </row>
    <row r="510" spans="1:3" x14ac:dyDescent="0.3">
      <c r="A510" s="15"/>
      <c r="B510" s="76"/>
      <c r="C510" s="10"/>
    </row>
    <row r="511" spans="1:3" x14ac:dyDescent="0.3">
      <c r="A511" s="15"/>
      <c r="B511" s="76"/>
      <c r="C511" s="10"/>
    </row>
    <row r="512" spans="1:3" x14ac:dyDescent="0.3">
      <c r="A512" s="15"/>
      <c r="B512" s="76"/>
      <c r="C512" s="10"/>
    </row>
    <row r="513" spans="1:3" x14ac:dyDescent="0.3">
      <c r="A513" s="15"/>
      <c r="B513" s="76"/>
      <c r="C513" s="10"/>
    </row>
    <row r="514" spans="1:3" x14ac:dyDescent="0.3">
      <c r="A514" s="15"/>
      <c r="B514" s="76"/>
      <c r="C514" s="10"/>
    </row>
    <row r="515" spans="1:3" x14ac:dyDescent="0.3">
      <c r="A515" s="15"/>
      <c r="B515" s="76"/>
      <c r="C515" s="10"/>
    </row>
    <row r="516" spans="1:3" x14ac:dyDescent="0.3">
      <c r="A516" s="15"/>
      <c r="B516" s="76"/>
      <c r="C516" s="10"/>
    </row>
    <row r="517" spans="1:3" x14ac:dyDescent="0.3">
      <c r="A517" s="15"/>
      <c r="B517" s="76"/>
      <c r="C517" s="10"/>
    </row>
    <row r="518" spans="1:3" x14ac:dyDescent="0.3">
      <c r="A518" s="15"/>
      <c r="B518" s="76"/>
      <c r="C518" s="10"/>
    </row>
    <row r="519" spans="1:3" x14ac:dyDescent="0.3">
      <c r="A519" s="15"/>
      <c r="B519" s="76"/>
      <c r="C519" s="10"/>
    </row>
    <row r="520" spans="1:3" x14ac:dyDescent="0.3">
      <c r="A520" s="15"/>
      <c r="B520" s="76"/>
      <c r="C520" s="10"/>
    </row>
    <row r="521" spans="1:3" x14ac:dyDescent="0.3">
      <c r="A521" s="15"/>
      <c r="B521" s="76"/>
      <c r="C521" s="10"/>
    </row>
    <row r="522" spans="1:3" x14ac:dyDescent="0.3">
      <c r="A522" s="15"/>
      <c r="B522" s="76"/>
      <c r="C522" s="10"/>
    </row>
    <row r="523" spans="1:3" x14ac:dyDescent="0.3">
      <c r="A523" s="15"/>
      <c r="B523" s="76"/>
      <c r="C523" s="10"/>
    </row>
    <row r="524" spans="1:3" x14ac:dyDescent="0.3">
      <c r="A524" s="15"/>
      <c r="B524" s="76"/>
      <c r="C524" s="10"/>
    </row>
    <row r="525" spans="1:3" x14ac:dyDescent="0.3">
      <c r="A525" s="15"/>
      <c r="B525" s="76"/>
      <c r="C525" s="10"/>
    </row>
    <row r="526" spans="1:3" x14ac:dyDescent="0.3">
      <c r="A526" s="15"/>
      <c r="B526" s="76"/>
      <c r="C526" s="10"/>
    </row>
    <row r="527" spans="1:3" x14ac:dyDescent="0.3">
      <c r="A527" s="15"/>
      <c r="B527" s="76"/>
      <c r="C527" s="10"/>
    </row>
    <row r="528" spans="1:3" x14ac:dyDescent="0.3">
      <c r="A528" s="15"/>
      <c r="B528" s="76"/>
      <c r="C528" s="10"/>
    </row>
    <row r="529" spans="1:3" x14ac:dyDescent="0.3">
      <c r="A529" s="15"/>
      <c r="B529" s="76"/>
      <c r="C529" s="10"/>
    </row>
    <row r="530" spans="1:3" x14ac:dyDescent="0.3">
      <c r="A530" s="15"/>
      <c r="B530" s="76"/>
      <c r="C530" s="10"/>
    </row>
    <row r="531" spans="1:3" x14ac:dyDescent="0.3">
      <c r="A531" s="15"/>
      <c r="B531" s="76"/>
      <c r="C531" s="10"/>
    </row>
    <row r="532" spans="1:3" x14ac:dyDescent="0.3">
      <c r="A532" s="15"/>
      <c r="B532" s="76"/>
      <c r="C532" s="10"/>
    </row>
    <row r="533" spans="1:3" x14ac:dyDescent="0.3">
      <c r="A533" s="15"/>
      <c r="B533" s="76"/>
      <c r="C533" s="10"/>
    </row>
    <row r="534" spans="1:3" x14ac:dyDescent="0.3">
      <c r="A534" s="15"/>
      <c r="B534" s="76"/>
      <c r="C534" s="10"/>
    </row>
    <row r="535" spans="1:3" x14ac:dyDescent="0.3">
      <c r="A535" s="15"/>
      <c r="B535" s="76"/>
      <c r="C535" s="10"/>
    </row>
    <row r="536" spans="1:3" x14ac:dyDescent="0.3">
      <c r="A536" s="15"/>
      <c r="B536" s="76"/>
      <c r="C536" s="10"/>
    </row>
    <row r="537" spans="1:3" x14ac:dyDescent="0.3">
      <c r="A537" s="15"/>
      <c r="B537" s="76"/>
      <c r="C537" s="10"/>
    </row>
    <row r="538" spans="1:3" x14ac:dyDescent="0.3">
      <c r="A538" s="15"/>
      <c r="B538" s="76"/>
      <c r="C538" s="10"/>
    </row>
    <row r="539" spans="1:3" x14ac:dyDescent="0.3">
      <c r="A539" s="15"/>
      <c r="B539" s="76"/>
      <c r="C539" s="10"/>
    </row>
    <row r="540" spans="1:3" x14ac:dyDescent="0.3">
      <c r="A540" s="15"/>
      <c r="B540" s="76"/>
      <c r="C540" s="10"/>
    </row>
    <row r="541" spans="1:3" x14ac:dyDescent="0.3">
      <c r="A541" s="15"/>
      <c r="B541" s="76"/>
      <c r="C541" s="10"/>
    </row>
    <row r="542" spans="1:3" x14ac:dyDescent="0.3">
      <c r="A542" s="15"/>
      <c r="B542" s="76"/>
      <c r="C542" s="10"/>
    </row>
    <row r="543" spans="1:3" x14ac:dyDescent="0.3">
      <c r="A543" s="15"/>
      <c r="B543" s="76"/>
      <c r="C543" s="10"/>
    </row>
    <row r="544" spans="1:3" x14ac:dyDescent="0.3">
      <c r="A544" s="15"/>
      <c r="B544" s="76"/>
      <c r="C544" s="10"/>
    </row>
    <row r="545" spans="1:3" x14ac:dyDescent="0.3">
      <c r="A545" s="15"/>
      <c r="B545" s="76"/>
      <c r="C545" s="10"/>
    </row>
    <row r="546" spans="1:3" x14ac:dyDescent="0.3">
      <c r="A546" s="15"/>
      <c r="B546" s="76"/>
      <c r="C546" s="10"/>
    </row>
    <row r="547" spans="1:3" x14ac:dyDescent="0.3">
      <c r="A547" s="15"/>
      <c r="B547" s="76"/>
      <c r="C547" s="10"/>
    </row>
    <row r="548" spans="1:3" x14ac:dyDescent="0.3">
      <c r="A548" s="15"/>
      <c r="B548" s="76"/>
      <c r="C548" s="10"/>
    </row>
    <row r="549" spans="1:3" x14ac:dyDescent="0.3">
      <c r="A549" s="15"/>
      <c r="B549" s="76"/>
      <c r="C549" s="10"/>
    </row>
    <row r="550" spans="1:3" x14ac:dyDescent="0.3">
      <c r="A550" s="15"/>
      <c r="B550" s="76"/>
      <c r="C550" s="10"/>
    </row>
    <row r="551" spans="1:3" x14ac:dyDescent="0.3">
      <c r="A551" s="15"/>
      <c r="B551" s="76"/>
      <c r="C551" s="10"/>
    </row>
    <row r="552" spans="1:3" x14ac:dyDescent="0.3">
      <c r="A552" s="15"/>
      <c r="B552" s="76"/>
      <c r="C552" s="10"/>
    </row>
    <row r="553" spans="1:3" x14ac:dyDescent="0.3">
      <c r="A553" s="15"/>
      <c r="B553" s="76"/>
      <c r="C553" s="10"/>
    </row>
    <row r="554" spans="1:3" x14ac:dyDescent="0.3">
      <c r="A554" s="15"/>
      <c r="B554" s="76"/>
      <c r="C554" s="10"/>
    </row>
    <row r="555" spans="1:3" x14ac:dyDescent="0.3">
      <c r="A555" s="15"/>
      <c r="B555" s="76"/>
      <c r="C555" s="10"/>
    </row>
    <row r="556" spans="1:3" x14ac:dyDescent="0.3">
      <c r="A556" s="15"/>
      <c r="B556" s="76"/>
      <c r="C556" s="10"/>
    </row>
    <row r="557" spans="1:3" x14ac:dyDescent="0.3">
      <c r="A557" s="15"/>
      <c r="B557" s="76"/>
      <c r="C557" s="10"/>
    </row>
    <row r="558" spans="1:3" x14ac:dyDescent="0.3">
      <c r="A558" s="15"/>
      <c r="B558" s="76"/>
      <c r="C558" s="10"/>
    </row>
    <row r="559" spans="1:3" x14ac:dyDescent="0.3">
      <c r="A559" s="15"/>
      <c r="B559" s="76"/>
      <c r="C559" s="10"/>
    </row>
    <row r="560" spans="1:3" x14ac:dyDescent="0.3">
      <c r="A560" s="15"/>
      <c r="B560" s="76"/>
      <c r="C560" s="10"/>
    </row>
    <row r="561" spans="1:3" x14ac:dyDescent="0.3">
      <c r="A561" s="15"/>
      <c r="B561" s="76"/>
      <c r="C561" s="10"/>
    </row>
    <row r="562" spans="1:3" x14ac:dyDescent="0.3">
      <c r="A562" s="15"/>
      <c r="B562" s="76"/>
      <c r="C562" s="10"/>
    </row>
    <row r="563" spans="1:3" x14ac:dyDescent="0.3">
      <c r="A563" s="15"/>
      <c r="B563" s="76"/>
      <c r="C563" s="10"/>
    </row>
    <row r="564" spans="1:3" x14ac:dyDescent="0.3">
      <c r="A564" s="15"/>
      <c r="B564" s="76"/>
      <c r="C564" s="10"/>
    </row>
    <row r="565" spans="1:3" x14ac:dyDescent="0.3">
      <c r="A565" s="15"/>
      <c r="B565" s="76"/>
      <c r="C565" s="10"/>
    </row>
    <row r="566" spans="1:3" x14ac:dyDescent="0.3">
      <c r="A566" s="15"/>
      <c r="B566" s="76"/>
      <c r="C566" s="10"/>
    </row>
    <row r="567" spans="1:3" x14ac:dyDescent="0.3">
      <c r="A567" s="15"/>
      <c r="B567" s="76"/>
      <c r="C567" s="10"/>
    </row>
    <row r="568" spans="1:3" x14ac:dyDescent="0.3">
      <c r="A568" s="15"/>
      <c r="B568" s="76"/>
      <c r="C568" s="10"/>
    </row>
    <row r="569" spans="1:3" x14ac:dyDescent="0.3">
      <c r="A569" s="15"/>
      <c r="B569" s="76"/>
      <c r="C569" s="10"/>
    </row>
    <row r="570" spans="1:3" x14ac:dyDescent="0.3">
      <c r="A570" s="15"/>
      <c r="B570" s="76"/>
      <c r="C570" s="10"/>
    </row>
    <row r="571" spans="1:3" x14ac:dyDescent="0.3">
      <c r="A571" s="15"/>
      <c r="B571" s="76"/>
      <c r="C571" s="10"/>
    </row>
    <row r="572" spans="1:3" x14ac:dyDescent="0.3">
      <c r="A572" s="15"/>
      <c r="B572" s="76"/>
      <c r="C572" s="10"/>
    </row>
    <row r="573" spans="1:3" x14ac:dyDescent="0.3">
      <c r="A573" s="15"/>
      <c r="B573" s="76"/>
      <c r="C573" s="10"/>
    </row>
    <row r="574" spans="1:3" x14ac:dyDescent="0.3">
      <c r="A574" s="15"/>
      <c r="B574" s="76"/>
      <c r="C574" s="10"/>
    </row>
    <row r="575" spans="1:3" x14ac:dyDescent="0.3">
      <c r="A575" s="15"/>
      <c r="B575" s="76"/>
      <c r="C575" s="10"/>
    </row>
    <row r="576" spans="1:3" x14ac:dyDescent="0.3">
      <c r="A576" s="15"/>
      <c r="B576" s="76"/>
      <c r="C576" s="10"/>
    </row>
    <row r="577" spans="1:3" x14ac:dyDescent="0.3">
      <c r="A577" s="15"/>
      <c r="B577" s="76"/>
      <c r="C577" s="10"/>
    </row>
    <row r="578" spans="1:3" x14ac:dyDescent="0.3">
      <c r="A578" s="15"/>
      <c r="B578" s="76"/>
      <c r="C578" s="10"/>
    </row>
    <row r="579" spans="1:3" x14ac:dyDescent="0.3">
      <c r="A579" s="15"/>
      <c r="B579" s="76"/>
      <c r="C579" s="10"/>
    </row>
    <row r="580" spans="1:3" x14ac:dyDescent="0.3">
      <c r="A580" s="15"/>
      <c r="B580" s="76"/>
      <c r="C580" s="10"/>
    </row>
    <row r="581" spans="1:3" x14ac:dyDescent="0.3">
      <c r="A581" s="15"/>
      <c r="B581" s="76"/>
      <c r="C581" s="10"/>
    </row>
    <row r="582" spans="1:3" x14ac:dyDescent="0.3">
      <c r="A582" s="15"/>
      <c r="B582" s="76"/>
      <c r="C582" s="10"/>
    </row>
    <row r="583" spans="1:3" x14ac:dyDescent="0.3">
      <c r="A583" s="15"/>
      <c r="B583" s="76"/>
      <c r="C583" s="10"/>
    </row>
    <row r="584" spans="1:3" x14ac:dyDescent="0.3">
      <c r="A584" s="15"/>
      <c r="B584" s="76"/>
      <c r="C584" s="10"/>
    </row>
    <row r="585" spans="1:3" x14ac:dyDescent="0.3">
      <c r="A585" s="15"/>
      <c r="B585" s="76"/>
      <c r="C585" s="10"/>
    </row>
    <row r="586" spans="1:3" x14ac:dyDescent="0.3">
      <c r="A586" s="15"/>
      <c r="B586" s="76"/>
      <c r="C586" s="10"/>
    </row>
    <row r="587" spans="1:3" x14ac:dyDescent="0.3">
      <c r="A587" s="15"/>
      <c r="B587" s="76"/>
      <c r="C587" s="10"/>
    </row>
    <row r="588" spans="1:3" x14ac:dyDescent="0.3">
      <c r="A588" s="15"/>
      <c r="B588" s="76"/>
      <c r="C588" s="10"/>
    </row>
    <row r="589" spans="1:3" x14ac:dyDescent="0.3">
      <c r="A589" s="15"/>
      <c r="B589" s="76"/>
      <c r="C589" s="10"/>
    </row>
    <row r="590" spans="1:3" x14ac:dyDescent="0.3">
      <c r="A590" s="15"/>
      <c r="B590" s="76"/>
      <c r="C590" s="10"/>
    </row>
    <row r="591" spans="1:3" x14ac:dyDescent="0.3">
      <c r="A591" s="15"/>
      <c r="B591" s="76"/>
      <c r="C591" s="10"/>
    </row>
    <row r="592" spans="1:3" x14ac:dyDescent="0.3">
      <c r="A592" s="15"/>
      <c r="B592" s="76"/>
      <c r="C592" s="10"/>
    </row>
    <row r="593" spans="1:3" x14ac:dyDescent="0.3">
      <c r="A593" s="15"/>
      <c r="B593" s="76"/>
      <c r="C593" s="10"/>
    </row>
    <row r="594" spans="1:3" x14ac:dyDescent="0.3">
      <c r="A594" s="15"/>
      <c r="B594" s="76"/>
      <c r="C594" s="10"/>
    </row>
    <row r="595" spans="1:3" x14ac:dyDescent="0.3">
      <c r="A595" s="15"/>
      <c r="B595" s="76"/>
      <c r="C595" s="10"/>
    </row>
    <row r="596" spans="1:3" x14ac:dyDescent="0.3">
      <c r="A596" s="15"/>
      <c r="B596" s="76"/>
      <c r="C596" s="10"/>
    </row>
    <row r="597" spans="1:3" x14ac:dyDescent="0.3">
      <c r="A597" s="15"/>
      <c r="B597" s="76"/>
      <c r="C597" s="10"/>
    </row>
    <row r="598" spans="1:3" x14ac:dyDescent="0.3">
      <c r="A598" s="15"/>
      <c r="B598" s="76"/>
      <c r="C598" s="10"/>
    </row>
    <row r="599" spans="1:3" x14ac:dyDescent="0.3">
      <c r="A599" s="15"/>
      <c r="B599" s="76"/>
      <c r="C599" s="10"/>
    </row>
    <row r="600" spans="1:3" x14ac:dyDescent="0.3">
      <c r="A600" s="15"/>
      <c r="B600" s="76"/>
      <c r="C600" s="10"/>
    </row>
    <row r="601" spans="1:3" x14ac:dyDescent="0.3">
      <c r="A601" s="15"/>
      <c r="B601" s="76"/>
      <c r="C601" s="10"/>
    </row>
    <row r="602" spans="1:3" x14ac:dyDescent="0.3">
      <c r="A602" s="15"/>
      <c r="B602" s="76"/>
      <c r="C602" s="10"/>
    </row>
    <row r="603" spans="1:3" x14ac:dyDescent="0.3">
      <c r="A603" s="15"/>
      <c r="B603" s="76"/>
      <c r="C603" s="10"/>
    </row>
    <row r="604" spans="1:3" x14ac:dyDescent="0.3">
      <c r="A604" s="15"/>
      <c r="B604" s="76"/>
      <c r="C604" s="10"/>
    </row>
    <row r="605" spans="1:3" x14ac:dyDescent="0.3">
      <c r="A605" s="15"/>
      <c r="B605" s="76"/>
      <c r="C605" s="10"/>
    </row>
    <row r="606" spans="1:3" x14ac:dyDescent="0.3">
      <c r="A606" s="15"/>
      <c r="B606" s="76"/>
      <c r="C606" s="10"/>
    </row>
    <row r="607" spans="1:3" x14ac:dyDescent="0.3">
      <c r="A607" s="15"/>
      <c r="B607" s="76"/>
      <c r="C607" s="10"/>
    </row>
    <row r="608" spans="1:3" x14ac:dyDescent="0.3">
      <c r="A608" s="15"/>
      <c r="B608" s="76"/>
      <c r="C608" s="10"/>
    </row>
    <row r="609" spans="1:3" x14ac:dyDescent="0.3">
      <c r="A609" s="15"/>
      <c r="B609" s="76"/>
      <c r="C609" s="10"/>
    </row>
    <row r="610" spans="1:3" x14ac:dyDescent="0.3">
      <c r="A610" s="15"/>
      <c r="B610" s="76"/>
      <c r="C610" s="10"/>
    </row>
    <row r="611" spans="1:3" x14ac:dyDescent="0.3">
      <c r="A611" s="15"/>
      <c r="B611" s="76"/>
      <c r="C611" s="10"/>
    </row>
    <row r="612" spans="1:3" x14ac:dyDescent="0.3">
      <c r="A612" s="15"/>
      <c r="B612" s="76"/>
      <c r="C612" s="10"/>
    </row>
    <row r="613" spans="1:3" x14ac:dyDescent="0.3">
      <c r="A613" s="15"/>
      <c r="B613" s="76"/>
      <c r="C613" s="10"/>
    </row>
    <row r="614" spans="1:3" x14ac:dyDescent="0.3">
      <c r="A614" s="15"/>
      <c r="B614" s="76"/>
      <c r="C614" s="10"/>
    </row>
    <row r="615" spans="1:3" x14ac:dyDescent="0.3">
      <c r="A615" s="15"/>
      <c r="B615" s="76"/>
      <c r="C615" s="10"/>
    </row>
    <row r="616" spans="1:3" x14ac:dyDescent="0.3">
      <c r="A616" s="15"/>
      <c r="B616" s="76"/>
      <c r="C616" s="10"/>
    </row>
    <row r="617" spans="1:3" x14ac:dyDescent="0.3">
      <c r="A617" s="15"/>
      <c r="B617" s="76"/>
      <c r="C617" s="10"/>
    </row>
    <row r="618" spans="1:3" x14ac:dyDescent="0.3">
      <c r="A618" s="15"/>
      <c r="B618" s="76"/>
      <c r="C618" s="10"/>
    </row>
    <row r="619" spans="1:3" x14ac:dyDescent="0.3">
      <c r="A619" s="15"/>
      <c r="B619" s="76"/>
      <c r="C619" s="10"/>
    </row>
    <row r="620" spans="1:3" x14ac:dyDescent="0.3">
      <c r="A620" s="15"/>
      <c r="B620" s="76"/>
      <c r="C620" s="10"/>
    </row>
    <row r="621" spans="1:3" x14ac:dyDescent="0.3">
      <c r="A621" s="15"/>
      <c r="B621" s="76"/>
      <c r="C621" s="10"/>
    </row>
    <row r="622" spans="1:3" x14ac:dyDescent="0.3">
      <c r="A622" s="15"/>
      <c r="B622" s="76"/>
      <c r="C622" s="10"/>
    </row>
    <row r="623" spans="1:3" x14ac:dyDescent="0.3">
      <c r="A623" s="15"/>
      <c r="B623" s="76"/>
      <c r="C623" s="10"/>
    </row>
    <row r="624" spans="1:3" x14ac:dyDescent="0.3">
      <c r="A624" s="15"/>
      <c r="B624" s="76"/>
      <c r="C624" s="10"/>
    </row>
    <row r="625" spans="1:3" x14ac:dyDescent="0.3">
      <c r="A625" s="15"/>
      <c r="B625" s="76"/>
      <c r="C625" s="10"/>
    </row>
    <row r="626" spans="1:3" x14ac:dyDescent="0.3">
      <c r="A626" s="15"/>
      <c r="B626" s="76"/>
      <c r="C626" s="10"/>
    </row>
    <row r="627" spans="1:3" x14ac:dyDescent="0.3">
      <c r="A627" s="15"/>
      <c r="B627" s="76"/>
      <c r="C627" s="10"/>
    </row>
    <row r="628" spans="1:3" x14ac:dyDescent="0.3">
      <c r="A628" s="15"/>
      <c r="B628" s="76"/>
      <c r="C628" s="10"/>
    </row>
    <row r="629" spans="1:3" x14ac:dyDescent="0.3">
      <c r="A629" s="15"/>
      <c r="B629" s="76"/>
      <c r="C629" s="10"/>
    </row>
    <row r="630" spans="1:3" x14ac:dyDescent="0.3">
      <c r="A630" s="15"/>
      <c r="B630" s="76"/>
      <c r="C630" s="10"/>
    </row>
    <row r="631" spans="1:3" x14ac:dyDescent="0.3">
      <c r="A631" s="15"/>
      <c r="B631" s="76"/>
      <c r="C631" s="10"/>
    </row>
    <row r="632" spans="1:3" x14ac:dyDescent="0.3">
      <c r="A632" s="15"/>
      <c r="B632" s="76"/>
      <c r="C632" s="10"/>
    </row>
    <row r="633" spans="1:3" x14ac:dyDescent="0.3">
      <c r="A633" s="15"/>
      <c r="B633" s="76"/>
      <c r="C633" s="10"/>
    </row>
    <row r="634" spans="1:3" x14ac:dyDescent="0.3">
      <c r="A634" s="15"/>
      <c r="B634" s="76"/>
      <c r="C634" s="10"/>
    </row>
    <row r="635" spans="1:3" x14ac:dyDescent="0.3">
      <c r="A635" s="15"/>
      <c r="B635" s="76"/>
      <c r="C635" s="10"/>
    </row>
    <row r="636" spans="1:3" x14ac:dyDescent="0.3">
      <c r="A636" s="15"/>
      <c r="B636" s="76"/>
      <c r="C636" s="10"/>
    </row>
    <row r="637" spans="1:3" x14ac:dyDescent="0.3">
      <c r="A637" s="15"/>
      <c r="B637" s="76"/>
      <c r="C637" s="10"/>
    </row>
    <row r="638" spans="1:3" x14ac:dyDescent="0.3">
      <c r="A638" s="15"/>
      <c r="B638" s="76"/>
      <c r="C638" s="10"/>
    </row>
    <row r="639" spans="1:3" x14ac:dyDescent="0.3">
      <c r="A639" s="15"/>
      <c r="B639" s="76"/>
      <c r="C639" s="10"/>
    </row>
    <row r="640" spans="1:3" x14ac:dyDescent="0.3">
      <c r="A640" s="15"/>
      <c r="B640" s="76"/>
      <c r="C640" s="10"/>
    </row>
    <row r="641" spans="1:3" x14ac:dyDescent="0.3">
      <c r="A641" s="15"/>
      <c r="B641" s="76"/>
      <c r="C641" s="10"/>
    </row>
    <row r="642" spans="1:3" x14ac:dyDescent="0.3">
      <c r="A642" s="15"/>
      <c r="B642" s="76"/>
      <c r="C642" s="10"/>
    </row>
    <row r="643" spans="1:3" x14ac:dyDescent="0.3">
      <c r="A643" s="15"/>
      <c r="B643" s="76"/>
      <c r="C643" s="10"/>
    </row>
    <row r="644" spans="1:3" x14ac:dyDescent="0.3">
      <c r="A644" s="15"/>
      <c r="B644" s="76"/>
      <c r="C644" s="10"/>
    </row>
    <row r="645" spans="1:3" x14ac:dyDescent="0.3">
      <c r="A645" s="15"/>
      <c r="B645" s="76"/>
      <c r="C645" s="10"/>
    </row>
    <row r="646" spans="1:3" x14ac:dyDescent="0.3">
      <c r="A646" s="15"/>
      <c r="B646" s="76"/>
      <c r="C646" s="10"/>
    </row>
    <row r="647" spans="1:3" x14ac:dyDescent="0.3">
      <c r="A647" s="15"/>
      <c r="B647" s="76"/>
      <c r="C647" s="10"/>
    </row>
    <row r="648" spans="1:3" x14ac:dyDescent="0.3">
      <c r="A648" s="15"/>
      <c r="B648" s="76"/>
      <c r="C648" s="10"/>
    </row>
    <row r="649" spans="1:3" x14ac:dyDescent="0.3">
      <c r="A649" s="15"/>
      <c r="B649" s="76"/>
      <c r="C649" s="10"/>
    </row>
    <row r="650" spans="1:3" x14ac:dyDescent="0.3">
      <c r="A650" s="15"/>
      <c r="B650" s="76"/>
      <c r="C650" s="10"/>
    </row>
    <row r="651" spans="1:3" x14ac:dyDescent="0.3">
      <c r="A651" s="15"/>
      <c r="B651" s="76"/>
      <c r="C651" s="10"/>
    </row>
    <row r="652" spans="1:3" x14ac:dyDescent="0.3">
      <c r="A652" s="15"/>
      <c r="B652" s="76"/>
      <c r="C652" s="10"/>
    </row>
    <row r="653" spans="1:3" x14ac:dyDescent="0.3">
      <c r="A653" s="15"/>
      <c r="B653" s="76"/>
      <c r="C653" s="10"/>
    </row>
    <row r="654" spans="1:3" x14ac:dyDescent="0.3">
      <c r="A654" s="15"/>
      <c r="B654" s="76"/>
      <c r="C654" s="10"/>
    </row>
    <row r="655" spans="1:3" x14ac:dyDescent="0.3">
      <c r="A655" s="15"/>
      <c r="B655" s="76"/>
      <c r="C655" s="10"/>
    </row>
    <row r="656" spans="1:3" x14ac:dyDescent="0.3">
      <c r="A656" s="15"/>
      <c r="B656" s="76"/>
      <c r="C656" s="10"/>
    </row>
    <row r="657" spans="1:3" x14ac:dyDescent="0.3">
      <c r="A657" s="15"/>
      <c r="B657" s="76"/>
      <c r="C657" s="10"/>
    </row>
    <row r="658" spans="1:3" x14ac:dyDescent="0.3">
      <c r="A658" s="15"/>
      <c r="B658" s="76"/>
      <c r="C658" s="10"/>
    </row>
    <row r="659" spans="1:3" x14ac:dyDescent="0.3">
      <c r="A659" s="15"/>
      <c r="B659" s="76"/>
      <c r="C659" s="10"/>
    </row>
    <row r="660" spans="1:3" x14ac:dyDescent="0.3">
      <c r="A660" s="15"/>
      <c r="B660" s="76"/>
      <c r="C660" s="10"/>
    </row>
    <row r="661" spans="1:3" x14ac:dyDescent="0.3">
      <c r="A661" s="15"/>
      <c r="B661" s="76"/>
      <c r="C661" s="10"/>
    </row>
    <row r="662" spans="1:3" x14ac:dyDescent="0.3">
      <c r="A662" s="15"/>
      <c r="B662" s="76"/>
      <c r="C662" s="10"/>
    </row>
    <row r="663" spans="1:3" x14ac:dyDescent="0.3">
      <c r="A663" s="15"/>
      <c r="B663" s="76"/>
      <c r="C663" s="10"/>
    </row>
    <row r="664" spans="1:3" x14ac:dyDescent="0.3">
      <c r="A664" s="15"/>
      <c r="B664" s="76"/>
      <c r="C664" s="10"/>
    </row>
    <row r="665" spans="1:3" x14ac:dyDescent="0.3">
      <c r="A665" s="15"/>
      <c r="B665" s="76"/>
      <c r="C665" s="10"/>
    </row>
    <row r="666" spans="1:3" x14ac:dyDescent="0.3">
      <c r="A666" s="15"/>
      <c r="B666" s="76"/>
      <c r="C666" s="10"/>
    </row>
    <row r="667" spans="1:3" x14ac:dyDescent="0.3">
      <c r="A667" s="15"/>
      <c r="B667" s="76"/>
      <c r="C667" s="10"/>
    </row>
    <row r="668" spans="1:3" x14ac:dyDescent="0.3">
      <c r="A668" s="15"/>
      <c r="B668" s="76"/>
      <c r="C668" s="10"/>
    </row>
    <row r="669" spans="1:3" x14ac:dyDescent="0.3">
      <c r="A669" s="15"/>
      <c r="B669" s="76"/>
      <c r="C669" s="10"/>
    </row>
    <row r="670" spans="1:3" x14ac:dyDescent="0.3">
      <c r="A670" s="15"/>
      <c r="B670" s="76"/>
      <c r="C670" s="10"/>
    </row>
    <row r="671" spans="1:3" x14ac:dyDescent="0.3">
      <c r="A671" s="15"/>
      <c r="B671" s="76"/>
      <c r="C671" s="10"/>
    </row>
    <row r="672" spans="1:3" x14ac:dyDescent="0.3">
      <c r="A672" s="15"/>
      <c r="B672" s="76"/>
      <c r="C672" s="10"/>
    </row>
    <row r="673" spans="1:3" x14ac:dyDescent="0.3">
      <c r="A673" s="15"/>
      <c r="B673" s="76"/>
      <c r="C673" s="10"/>
    </row>
    <row r="674" spans="1:3" x14ac:dyDescent="0.3">
      <c r="A674" s="15"/>
      <c r="B674" s="76"/>
      <c r="C674" s="10"/>
    </row>
    <row r="675" spans="1:3" x14ac:dyDescent="0.3">
      <c r="A675" s="15"/>
      <c r="B675" s="76"/>
      <c r="C675" s="10"/>
    </row>
    <row r="676" spans="1:3" x14ac:dyDescent="0.3">
      <c r="A676" s="15"/>
      <c r="B676" s="76"/>
      <c r="C676" s="10"/>
    </row>
    <row r="677" spans="1:3" x14ac:dyDescent="0.3">
      <c r="A677" s="15"/>
      <c r="B677" s="76"/>
      <c r="C677" s="10"/>
    </row>
    <row r="678" spans="1:3" x14ac:dyDescent="0.3">
      <c r="A678" s="15"/>
      <c r="B678" s="76"/>
      <c r="C678" s="10"/>
    </row>
    <row r="679" spans="1:3" x14ac:dyDescent="0.3">
      <c r="A679" s="15"/>
      <c r="B679" s="76"/>
      <c r="C679" s="10"/>
    </row>
    <row r="680" spans="1:3" x14ac:dyDescent="0.3">
      <c r="A680" s="15"/>
      <c r="B680" s="76"/>
      <c r="C680" s="10"/>
    </row>
    <row r="681" spans="1:3" x14ac:dyDescent="0.3">
      <c r="A681" s="15"/>
      <c r="B681" s="76"/>
      <c r="C681" s="10"/>
    </row>
    <row r="682" spans="1:3" x14ac:dyDescent="0.3">
      <c r="A682" s="15"/>
      <c r="B682" s="76"/>
      <c r="C682" s="10"/>
    </row>
    <row r="683" spans="1:3" x14ac:dyDescent="0.3">
      <c r="A683" s="15"/>
      <c r="B683" s="76"/>
      <c r="C683" s="10"/>
    </row>
    <row r="684" spans="1:3" x14ac:dyDescent="0.3">
      <c r="A684" s="15"/>
      <c r="B684" s="76"/>
      <c r="C684" s="10"/>
    </row>
    <row r="685" spans="1:3" x14ac:dyDescent="0.3">
      <c r="A685" s="15"/>
      <c r="B685" s="76"/>
      <c r="C685" s="10"/>
    </row>
    <row r="686" spans="1:3" x14ac:dyDescent="0.3">
      <c r="A686" s="15"/>
      <c r="B686" s="76"/>
      <c r="C686" s="10"/>
    </row>
    <row r="687" spans="1:3" x14ac:dyDescent="0.3">
      <c r="A687" s="15"/>
      <c r="B687" s="76"/>
      <c r="C687" s="10"/>
    </row>
    <row r="688" spans="1:3" x14ac:dyDescent="0.3">
      <c r="A688" s="15"/>
      <c r="B688" s="76"/>
      <c r="C688" s="10"/>
    </row>
    <row r="689" spans="1:3" x14ac:dyDescent="0.3">
      <c r="A689" s="15"/>
      <c r="B689" s="76"/>
      <c r="C689" s="10"/>
    </row>
    <row r="690" spans="1:3" x14ac:dyDescent="0.3">
      <c r="A690" s="15"/>
      <c r="B690" s="76"/>
      <c r="C690" s="10"/>
    </row>
    <row r="691" spans="1:3" x14ac:dyDescent="0.3">
      <c r="A691" s="15"/>
      <c r="B691" s="76"/>
      <c r="C691" s="10"/>
    </row>
    <row r="692" spans="1:3" x14ac:dyDescent="0.3">
      <c r="A692" s="15"/>
      <c r="B692" s="76"/>
      <c r="C692" s="10"/>
    </row>
    <row r="693" spans="1:3" x14ac:dyDescent="0.3">
      <c r="A693" s="15"/>
      <c r="B693" s="76"/>
      <c r="C693" s="10"/>
    </row>
    <row r="694" spans="1:3" x14ac:dyDescent="0.3">
      <c r="A694" s="15"/>
      <c r="B694" s="76"/>
      <c r="C694" s="10"/>
    </row>
    <row r="695" spans="1:3" x14ac:dyDescent="0.3">
      <c r="A695" s="15"/>
      <c r="B695" s="76"/>
      <c r="C695" s="10"/>
    </row>
    <row r="696" spans="1:3" x14ac:dyDescent="0.3">
      <c r="A696" s="15"/>
      <c r="B696" s="76"/>
      <c r="C696" s="10"/>
    </row>
    <row r="697" spans="1:3" x14ac:dyDescent="0.3">
      <c r="A697" s="15"/>
      <c r="B697" s="76"/>
      <c r="C697" s="10"/>
    </row>
    <row r="698" spans="1:3" x14ac:dyDescent="0.3">
      <c r="A698" s="15"/>
      <c r="B698" s="76"/>
      <c r="C698" s="10"/>
    </row>
    <row r="699" spans="1:3" x14ac:dyDescent="0.3">
      <c r="A699" s="15"/>
      <c r="B699" s="76"/>
      <c r="C699" s="10"/>
    </row>
    <row r="700" spans="1:3" x14ac:dyDescent="0.3">
      <c r="A700" s="15"/>
      <c r="B700" s="76"/>
      <c r="C700" s="10"/>
    </row>
    <row r="701" spans="1:3" x14ac:dyDescent="0.3">
      <c r="A701" s="15"/>
      <c r="B701" s="76"/>
      <c r="C701" s="10"/>
    </row>
    <row r="702" spans="1:3" x14ac:dyDescent="0.3">
      <c r="A702" s="15"/>
      <c r="B702" s="76"/>
      <c r="C702" s="10"/>
    </row>
    <row r="703" spans="1:3" x14ac:dyDescent="0.3">
      <c r="A703" s="15"/>
      <c r="B703" s="76"/>
      <c r="C703" s="10"/>
    </row>
    <row r="704" spans="1:3" x14ac:dyDescent="0.3">
      <c r="A704" s="15"/>
      <c r="B704" s="76"/>
      <c r="C704" s="10"/>
    </row>
    <row r="705" spans="1:3" x14ac:dyDescent="0.3">
      <c r="A705" s="15"/>
      <c r="B705" s="76"/>
      <c r="C705" s="10"/>
    </row>
    <row r="706" spans="1:3" x14ac:dyDescent="0.3">
      <c r="A706" s="15"/>
      <c r="B706" s="76"/>
      <c r="C706" s="10"/>
    </row>
    <row r="707" spans="1:3" x14ac:dyDescent="0.3">
      <c r="A707" s="15"/>
      <c r="B707" s="76"/>
      <c r="C707" s="10"/>
    </row>
    <row r="708" spans="1:3" x14ac:dyDescent="0.3">
      <c r="A708" s="15"/>
      <c r="B708" s="76"/>
      <c r="C708" s="10"/>
    </row>
    <row r="709" spans="1:3" x14ac:dyDescent="0.3">
      <c r="A709" s="15"/>
      <c r="B709" s="76"/>
      <c r="C709" s="10"/>
    </row>
    <row r="710" spans="1:3" x14ac:dyDescent="0.3">
      <c r="A710" s="15"/>
      <c r="B710" s="76"/>
      <c r="C710" s="10"/>
    </row>
    <row r="711" spans="1:3" x14ac:dyDescent="0.3">
      <c r="A711" s="15"/>
      <c r="B711" s="76"/>
      <c r="C711" s="10"/>
    </row>
    <row r="712" spans="1:3" x14ac:dyDescent="0.3">
      <c r="A712" s="15"/>
      <c r="B712" s="76"/>
      <c r="C712" s="10"/>
    </row>
    <row r="713" spans="1:3" x14ac:dyDescent="0.3">
      <c r="A713" s="15"/>
      <c r="B713" s="76"/>
      <c r="C713" s="10"/>
    </row>
    <row r="714" spans="1:3" x14ac:dyDescent="0.3">
      <c r="A714" s="15"/>
      <c r="B714" s="76"/>
      <c r="C714" s="10"/>
    </row>
    <row r="715" spans="1:3" x14ac:dyDescent="0.3">
      <c r="A715" s="15"/>
      <c r="B715" s="76"/>
      <c r="C715" s="10"/>
    </row>
    <row r="716" spans="1:3" x14ac:dyDescent="0.3">
      <c r="A716" s="15"/>
      <c r="B716" s="76"/>
      <c r="C716" s="10"/>
    </row>
    <row r="717" spans="1:3" x14ac:dyDescent="0.3">
      <c r="A717" s="15"/>
      <c r="B717" s="76"/>
      <c r="C717" s="10"/>
    </row>
    <row r="718" spans="1:3" x14ac:dyDescent="0.3">
      <c r="A718" s="15"/>
      <c r="B718" s="76"/>
      <c r="C718" s="10"/>
    </row>
    <row r="719" spans="1:3" x14ac:dyDescent="0.3">
      <c r="A719" s="15"/>
      <c r="B719" s="76"/>
      <c r="C719" s="10"/>
    </row>
    <row r="720" spans="1:3" x14ac:dyDescent="0.3">
      <c r="A720" s="15"/>
      <c r="B720" s="76"/>
      <c r="C720" s="10"/>
    </row>
    <row r="721" spans="1:3" x14ac:dyDescent="0.3">
      <c r="A721" s="15"/>
      <c r="B721" s="76"/>
      <c r="C721" s="10"/>
    </row>
    <row r="722" spans="1:3" x14ac:dyDescent="0.3">
      <c r="A722" s="15"/>
      <c r="B722" s="76"/>
      <c r="C722" s="10"/>
    </row>
    <row r="723" spans="1:3" x14ac:dyDescent="0.3">
      <c r="A723" s="15"/>
      <c r="B723" s="76"/>
      <c r="C723" s="10"/>
    </row>
    <row r="724" spans="1:3" x14ac:dyDescent="0.3">
      <c r="A724" s="15"/>
      <c r="B724" s="76"/>
      <c r="C724" s="10"/>
    </row>
    <row r="725" spans="1:3" x14ac:dyDescent="0.3">
      <c r="A725" s="15"/>
      <c r="B725" s="76"/>
      <c r="C725" s="10"/>
    </row>
    <row r="726" spans="1:3" x14ac:dyDescent="0.3">
      <c r="A726" s="15"/>
      <c r="B726" s="76"/>
      <c r="C726" s="10"/>
    </row>
    <row r="727" spans="1:3" x14ac:dyDescent="0.3">
      <c r="A727" s="15"/>
      <c r="B727" s="76"/>
      <c r="C727" s="10"/>
    </row>
    <row r="728" spans="1:3" x14ac:dyDescent="0.3">
      <c r="A728" s="15"/>
      <c r="B728" s="76"/>
      <c r="C728" s="10"/>
    </row>
    <row r="729" spans="1:3" x14ac:dyDescent="0.3">
      <c r="A729" s="15"/>
      <c r="B729" s="76"/>
      <c r="C729" s="10"/>
    </row>
    <row r="730" spans="1:3" x14ac:dyDescent="0.3">
      <c r="A730" s="15"/>
      <c r="B730" s="76"/>
      <c r="C730" s="10"/>
    </row>
    <row r="731" spans="1:3" x14ac:dyDescent="0.3">
      <c r="A731" s="15"/>
      <c r="B731" s="76"/>
      <c r="C731" s="10"/>
    </row>
    <row r="732" spans="1:3" x14ac:dyDescent="0.3">
      <c r="A732" s="15"/>
      <c r="B732" s="76"/>
      <c r="C732" s="10"/>
    </row>
    <row r="733" spans="1:3" x14ac:dyDescent="0.3">
      <c r="A733" s="15"/>
      <c r="B733" s="76"/>
      <c r="C733" s="10"/>
    </row>
    <row r="734" spans="1:3" x14ac:dyDescent="0.3">
      <c r="A734" s="15"/>
      <c r="B734" s="76"/>
      <c r="C734" s="10"/>
    </row>
    <row r="735" spans="1:3" x14ac:dyDescent="0.3">
      <c r="A735" s="15"/>
      <c r="B735" s="76"/>
      <c r="C735" s="10"/>
    </row>
    <row r="736" spans="1:3" x14ac:dyDescent="0.3">
      <c r="A736" s="15"/>
      <c r="B736" s="76"/>
      <c r="C736" s="10"/>
    </row>
    <row r="737" spans="1:3" x14ac:dyDescent="0.3">
      <c r="A737" s="15"/>
      <c r="B737" s="76"/>
      <c r="C737" s="10"/>
    </row>
    <row r="738" spans="1:3" x14ac:dyDescent="0.3">
      <c r="A738" s="15"/>
      <c r="B738" s="76"/>
      <c r="C738" s="10"/>
    </row>
    <row r="739" spans="1:3" x14ac:dyDescent="0.3">
      <c r="A739" s="15"/>
      <c r="B739" s="76"/>
      <c r="C739" s="10"/>
    </row>
    <row r="740" spans="1:3" x14ac:dyDescent="0.3">
      <c r="A740" s="15"/>
      <c r="B740" s="76"/>
      <c r="C740" s="10"/>
    </row>
    <row r="741" spans="1:3" x14ac:dyDescent="0.3">
      <c r="A741" s="15"/>
      <c r="B741" s="76"/>
      <c r="C741" s="10"/>
    </row>
    <row r="742" spans="1:3" x14ac:dyDescent="0.3">
      <c r="A742" s="15"/>
      <c r="B742" s="76"/>
      <c r="C742" s="10"/>
    </row>
    <row r="743" spans="1:3" x14ac:dyDescent="0.3">
      <c r="A743" s="15"/>
      <c r="B743" s="76"/>
      <c r="C743" s="10"/>
    </row>
    <row r="744" spans="1:3" x14ac:dyDescent="0.3">
      <c r="A744" s="15"/>
      <c r="B744" s="76"/>
      <c r="C744" s="10"/>
    </row>
    <row r="745" spans="1:3" x14ac:dyDescent="0.3">
      <c r="A745" s="15"/>
      <c r="B745" s="76"/>
      <c r="C745" s="10"/>
    </row>
    <row r="746" spans="1:3" x14ac:dyDescent="0.3">
      <c r="A746" s="15"/>
      <c r="B746" s="76"/>
      <c r="C746" s="10"/>
    </row>
    <row r="747" spans="1:3" x14ac:dyDescent="0.3">
      <c r="A747" s="15"/>
      <c r="B747" s="76"/>
      <c r="C747" s="10"/>
    </row>
    <row r="748" spans="1:3" x14ac:dyDescent="0.3">
      <c r="A748" s="15"/>
      <c r="B748" s="76"/>
      <c r="C748" s="10"/>
    </row>
    <row r="749" spans="1:3" x14ac:dyDescent="0.3">
      <c r="A749" s="15"/>
      <c r="B749" s="76"/>
      <c r="C749" s="10"/>
    </row>
    <row r="750" spans="1:3" x14ac:dyDescent="0.3">
      <c r="A750" s="15"/>
      <c r="B750" s="76"/>
      <c r="C750" s="10"/>
    </row>
    <row r="751" spans="1:3" x14ac:dyDescent="0.3">
      <c r="A751" s="15"/>
      <c r="B751" s="76"/>
      <c r="C751" s="10"/>
    </row>
    <row r="752" spans="1:3" x14ac:dyDescent="0.3">
      <c r="A752" s="15"/>
      <c r="B752" s="76"/>
      <c r="C752" s="10"/>
    </row>
    <row r="753" spans="1:3" x14ac:dyDescent="0.3">
      <c r="A753" s="15"/>
      <c r="B753" s="76"/>
      <c r="C753" s="10"/>
    </row>
    <row r="754" spans="1:3" x14ac:dyDescent="0.3">
      <c r="A754" s="15"/>
      <c r="B754" s="76"/>
      <c r="C754" s="10"/>
    </row>
    <row r="755" spans="1:3" x14ac:dyDescent="0.3">
      <c r="A755" s="15"/>
      <c r="B755" s="76"/>
      <c r="C755" s="10"/>
    </row>
    <row r="756" spans="1:3" x14ac:dyDescent="0.3">
      <c r="A756" s="15"/>
      <c r="B756" s="76"/>
      <c r="C756" s="10"/>
    </row>
    <row r="757" spans="1:3" x14ac:dyDescent="0.3">
      <c r="A757" s="15"/>
      <c r="B757" s="76"/>
      <c r="C757" s="10"/>
    </row>
    <row r="758" spans="1:3" x14ac:dyDescent="0.3">
      <c r="A758" s="15"/>
      <c r="B758" s="76"/>
      <c r="C758" s="10"/>
    </row>
    <row r="759" spans="1:3" x14ac:dyDescent="0.3">
      <c r="A759" s="15"/>
      <c r="B759" s="76"/>
      <c r="C759" s="10"/>
    </row>
    <row r="760" spans="1:3" x14ac:dyDescent="0.3">
      <c r="A760" s="15"/>
      <c r="B760" s="76"/>
      <c r="C760" s="10"/>
    </row>
    <row r="761" spans="1:3" x14ac:dyDescent="0.3">
      <c r="A761" s="15"/>
      <c r="B761" s="76"/>
      <c r="C761" s="10"/>
    </row>
    <row r="762" spans="1:3" x14ac:dyDescent="0.3">
      <c r="A762" s="15"/>
      <c r="B762" s="76"/>
      <c r="C762" s="10"/>
    </row>
    <row r="763" spans="1:3" x14ac:dyDescent="0.3">
      <c r="A763" s="15"/>
      <c r="B763" s="76"/>
      <c r="C763" s="10"/>
    </row>
    <row r="764" spans="1:3" x14ac:dyDescent="0.3">
      <c r="A764" s="15"/>
      <c r="B764" s="76"/>
      <c r="C764" s="10"/>
    </row>
    <row r="765" spans="1:3" x14ac:dyDescent="0.3">
      <c r="A765" s="15"/>
      <c r="B765" s="76"/>
      <c r="C765" s="10"/>
    </row>
    <row r="766" spans="1:3" x14ac:dyDescent="0.3">
      <c r="A766" s="15"/>
      <c r="B766" s="76"/>
      <c r="C766" s="10"/>
    </row>
    <row r="767" spans="1:3" x14ac:dyDescent="0.3">
      <c r="A767" s="15"/>
      <c r="B767" s="76"/>
      <c r="C767" s="10"/>
    </row>
    <row r="768" spans="1:3" x14ac:dyDescent="0.3">
      <c r="A768" s="15"/>
      <c r="B768" s="76"/>
      <c r="C768" s="10"/>
    </row>
    <row r="769" spans="1:3" x14ac:dyDescent="0.3">
      <c r="A769" s="15"/>
      <c r="B769" s="76"/>
      <c r="C769" s="10"/>
    </row>
    <row r="770" spans="1:3" x14ac:dyDescent="0.3">
      <c r="A770" s="15"/>
      <c r="B770" s="76"/>
      <c r="C770" s="10"/>
    </row>
    <row r="771" spans="1:3" x14ac:dyDescent="0.3">
      <c r="A771" s="15"/>
      <c r="B771" s="76"/>
      <c r="C771" s="10"/>
    </row>
    <row r="772" spans="1:3" x14ac:dyDescent="0.3">
      <c r="A772" s="15"/>
      <c r="B772" s="76"/>
      <c r="C772" s="10"/>
    </row>
    <row r="773" spans="1:3" x14ac:dyDescent="0.3">
      <c r="A773" s="15"/>
      <c r="B773" s="76"/>
      <c r="C773" s="10"/>
    </row>
    <row r="774" spans="1:3" x14ac:dyDescent="0.3">
      <c r="A774" s="15"/>
      <c r="B774" s="76"/>
      <c r="C774" s="10"/>
    </row>
    <row r="775" spans="1:3" x14ac:dyDescent="0.3">
      <c r="A775" s="15"/>
      <c r="B775" s="76"/>
      <c r="C775" s="10"/>
    </row>
    <row r="776" spans="1:3" x14ac:dyDescent="0.3">
      <c r="A776" s="15"/>
      <c r="B776" s="76"/>
      <c r="C776" s="10"/>
    </row>
    <row r="777" spans="1:3" x14ac:dyDescent="0.3">
      <c r="A777" s="15"/>
      <c r="B777" s="76"/>
      <c r="C777" s="10"/>
    </row>
    <row r="778" spans="1:3" x14ac:dyDescent="0.3">
      <c r="A778" s="15"/>
      <c r="B778" s="76"/>
      <c r="C778" s="10"/>
    </row>
    <row r="779" spans="1:3" x14ac:dyDescent="0.3">
      <c r="A779" s="15"/>
      <c r="B779" s="76"/>
      <c r="C779" s="10"/>
    </row>
    <row r="780" spans="1:3" x14ac:dyDescent="0.3">
      <c r="A780" s="15"/>
      <c r="B780" s="76"/>
      <c r="C780" s="10"/>
    </row>
    <row r="781" spans="1:3" x14ac:dyDescent="0.3">
      <c r="A781" s="15"/>
      <c r="B781" s="76"/>
      <c r="C781" s="10"/>
    </row>
    <row r="782" spans="1:3" x14ac:dyDescent="0.3">
      <c r="A782" s="15"/>
      <c r="B782" s="76"/>
      <c r="C782" s="10"/>
    </row>
    <row r="783" spans="1:3" x14ac:dyDescent="0.3">
      <c r="A783" s="15"/>
      <c r="B783" s="76"/>
      <c r="C783" s="10"/>
    </row>
    <row r="784" spans="1:3" x14ac:dyDescent="0.3">
      <c r="A784" s="15"/>
      <c r="B784" s="76"/>
      <c r="C784" s="10"/>
    </row>
    <row r="785" spans="1:3" x14ac:dyDescent="0.3">
      <c r="A785" s="15"/>
      <c r="B785" s="76"/>
      <c r="C785" s="10"/>
    </row>
    <row r="786" spans="1:3" x14ac:dyDescent="0.3">
      <c r="A786" s="15"/>
      <c r="B786" s="76"/>
      <c r="C786" s="10"/>
    </row>
    <row r="787" spans="1:3" x14ac:dyDescent="0.3">
      <c r="A787" s="15"/>
      <c r="B787" s="76"/>
      <c r="C787" s="10"/>
    </row>
    <row r="788" spans="1:3" x14ac:dyDescent="0.3">
      <c r="A788" s="15"/>
      <c r="B788" s="76"/>
      <c r="C788" s="10"/>
    </row>
    <row r="789" spans="1:3" x14ac:dyDescent="0.3">
      <c r="A789" s="15"/>
      <c r="B789" s="76"/>
      <c r="C789" s="10"/>
    </row>
    <row r="790" spans="1:3" x14ac:dyDescent="0.3">
      <c r="A790" s="15"/>
      <c r="B790" s="76"/>
      <c r="C790" s="10"/>
    </row>
    <row r="791" spans="1:3" x14ac:dyDescent="0.3">
      <c r="A791" s="15"/>
      <c r="B791" s="76"/>
      <c r="C791" s="10"/>
    </row>
    <row r="792" spans="1:3" x14ac:dyDescent="0.3">
      <c r="A792" s="15"/>
      <c r="B792" s="76"/>
      <c r="C792" s="10"/>
    </row>
    <row r="793" spans="1:3" x14ac:dyDescent="0.3">
      <c r="A793" s="15"/>
      <c r="B793" s="76"/>
      <c r="C793" s="10"/>
    </row>
    <row r="794" spans="1:3" x14ac:dyDescent="0.3">
      <c r="A794" s="15"/>
      <c r="B794" s="76"/>
      <c r="C794" s="10"/>
    </row>
    <row r="795" spans="1:3" x14ac:dyDescent="0.3">
      <c r="A795" s="15"/>
      <c r="B795" s="76"/>
      <c r="C795" s="10"/>
    </row>
    <row r="796" spans="1:3" x14ac:dyDescent="0.3">
      <c r="A796" s="15"/>
      <c r="B796" s="76"/>
      <c r="C796" s="10"/>
    </row>
    <row r="797" spans="1:3" x14ac:dyDescent="0.3">
      <c r="A797" s="15"/>
      <c r="B797" s="76"/>
      <c r="C797" s="10"/>
    </row>
    <row r="798" spans="1:3" x14ac:dyDescent="0.3">
      <c r="A798" s="15"/>
      <c r="B798" s="76"/>
      <c r="C798" s="10"/>
    </row>
    <row r="799" spans="1:3" x14ac:dyDescent="0.3">
      <c r="A799" s="15"/>
      <c r="B799" s="76"/>
      <c r="C799" s="10"/>
    </row>
    <row r="800" spans="1:3" x14ac:dyDescent="0.3">
      <c r="A800" s="15"/>
      <c r="B800" s="76"/>
      <c r="C800" s="10"/>
    </row>
    <row r="801" spans="1:3" x14ac:dyDescent="0.3">
      <c r="A801" s="15"/>
      <c r="B801" s="76"/>
      <c r="C801" s="10"/>
    </row>
    <row r="802" spans="1:3" x14ac:dyDescent="0.3">
      <c r="A802" s="15"/>
      <c r="B802" s="76"/>
      <c r="C802" s="10"/>
    </row>
    <row r="803" spans="1:3" x14ac:dyDescent="0.3">
      <c r="A803" s="15"/>
      <c r="B803" s="76"/>
      <c r="C803" s="10"/>
    </row>
    <row r="804" spans="1:3" x14ac:dyDescent="0.3">
      <c r="A804" s="15"/>
      <c r="B804" s="76"/>
      <c r="C804" s="10"/>
    </row>
    <row r="805" spans="1:3" x14ac:dyDescent="0.3">
      <c r="A805" s="15"/>
      <c r="B805" s="76"/>
      <c r="C805" s="10"/>
    </row>
    <row r="806" spans="1:3" x14ac:dyDescent="0.3">
      <c r="A806" s="15"/>
      <c r="B806" s="76"/>
      <c r="C806" s="10"/>
    </row>
    <row r="807" spans="1:3" x14ac:dyDescent="0.3">
      <c r="A807" s="15"/>
      <c r="B807" s="76"/>
      <c r="C807" s="10"/>
    </row>
    <row r="808" spans="1:3" x14ac:dyDescent="0.3">
      <c r="A808" s="15"/>
      <c r="B808" s="76"/>
      <c r="C808" s="10"/>
    </row>
    <row r="809" spans="1:3" x14ac:dyDescent="0.3">
      <c r="A809" s="15"/>
      <c r="B809" s="76"/>
      <c r="C809" s="10"/>
    </row>
    <row r="810" spans="1:3" x14ac:dyDescent="0.3">
      <c r="A810" s="15"/>
      <c r="B810" s="76"/>
      <c r="C810" s="10"/>
    </row>
    <row r="811" spans="1:3" x14ac:dyDescent="0.3">
      <c r="A811" s="15"/>
      <c r="B811" s="76"/>
      <c r="C811" s="10"/>
    </row>
    <row r="812" spans="1:3" x14ac:dyDescent="0.3">
      <c r="A812" s="15"/>
      <c r="B812" s="76"/>
      <c r="C812" s="10"/>
    </row>
    <row r="813" spans="1:3" x14ac:dyDescent="0.3">
      <c r="A813" s="15"/>
      <c r="B813" s="76"/>
      <c r="C813" s="10"/>
    </row>
    <row r="814" spans="1:3" x14ac:dyDescent="0.3">
      <c r="A814" s="15"/>
      <c r="B814" s="76"/>
      <c r="C814" s="10"/>
    </row>
    <row r="815" spans="1:3" x14ac:dyDescent="0.3">
      <c r="A815" s="15"/>
      <c r="B815" s="76"/>
      <c r="C815" s="10"/>
    </row>
    <row r="816" spans="1:3" x14ac:dyDescent="0.3">
      <c r="A816" s="15"/>
      <c r="B816" s="76"/>
      <c r="C816" s="10"/>
    </row>
    <row r="817" spans="1:3" x14ac:dyDescent="0.3">
      <c r="A817" s="15"/>
      <c r="B817" s="76"/>
      <c r="C817" s="10"/>
    </row>
    <row r="818" spans="1:3" x14ac:dyDescent="0.3">
      <c r="A818" s="15"/>
      <c r="B818" s="76"/>
      <c r="C818" s="10"/>
    </row>
    <row r="819" spans="1:3" x14ac:dyDescent="0.3">
      <c r="A819" s="15"/>
      <c r="B819" s="76"/>
      <c r="C819" s="10"/>
    </row>
    <row r="820" spans="1:3" x14ac:dyDescent="0.3">
      <c r="A820" s="15"/>
      <c r="B820" s="76"/>
      <c r="C820" s="10"/>
    </row>
    <row r="821" spans="1:3" x14ac:dyDescent="0.3">
      <c r="A821" s="15"/>
      <c r="B821" s="76"/>
      <c r="C821" s="10"/>
    </row>
    <row r="822" spans="1:3" x14ac:dyDescent="0.3">
      <c r="A822" s="15"/>
      <c r="B822" s="76"/>
      <c r="C822" s="10"/>
    </row>
    <row r="823" spans="1:3" x14ac:dyDescent="0.3">
      <c r="A823" s="15"/>
      <c r="B823" s="76"/>
      <c r="C823" s="10"/>
    </row>
    <row r="824" spans="1:3" x14ac:dyDescent="0.3">
      <c r="A824" s="15"/>
      <c r="B824" s="76"/>
      <c r="C824" s="10"/>
    </row>
    <row r="825" spans="1:3" x14ac:dyDescent="0.3">
      <c r="A825" s="15"/>
      <c r="B825" s="76"/>
      <c r="C825" s="10"/>
    </row>
    <row r="826" spans="1:3" x14ac:dyDescent="0.3">
      <c r="A826" s="15"/>
      <c r="B826" s="76"/>
      <c r="C826" s="10"/>
    </row>
    <row r="827" spans="1:3" x14ac:dyDescent="0.3">
      <c r="A827" s="15"/>
      <c r="B827" s="76"/>
      <c r="C827" s="10"/>
    </row>
    <row r="828" spans="1:3" x14ac:dyDescent="0.3">
      <c r="A828" s="15"/>
      <c r="B828" s="76"/>
      <c r="C828" s="10"/>
    </row>
    <row r="829" spans="1:3" x14ac:dyDescent="0.3">
      <c r="A829" s="15"/>
      <c r="B829" s="76"/>
      <c r="C829" s="10"/>
    </row>
    <row r="830" spans="1:3" x14ac:dyDescent="0.3">
      <c r="A830" s="15"/>
      <c r="B830" s="76"/>
      <c r="C830" s="10"/>
    </row>
    <row r="831" spans="1:3" x14ac:dyDescent="0.3">
      <c r="A831" s="15"/>
      <c r="B831" s="76"/>
      <c r="C831" s="10"/>
    </row>
    <row r="832" spans="1:3" x14ac:dyDescent="0.3">
      <c r="A832" s="15"/>
      <c r="B832" s="76"/>
      <c r="C832" s="10"/>
    </row>
    <row r="833" spans="1:3" x14ac:dyDescent="0.3">
      <c r="A833" s="15"/>
      <c r="B833" s="76"/>
      <c r="C833" s="10"/>
    </row>
    <row r="834" spans="1:3" x14ac:dyDescent="0.3">
      <c r="A834" s="15"/>
      <c r="B834" s="76"/>
      <c r="C834" s="10"/>
    </row>
    <row r="835" spans="1:3" x14ac:dyDescent="0.3">
      <c r="A835" s="15"/>
      <c r="B835" s="76"/>
      <c r="C835" s="10"/>
    </row>
    <row r="836" spans="1:3" x14ac:dyDescent="0.3">
      <c r="A836" s="15"/>
      <c r="B836" s="76"/>
      <c r="C836" s="10"/>
    </row>
    <row r="837" spans="1:3" x14ac:dyDescent="0.3">
      <c r="A837" s="15"/>
      <c r="B837" s="76"/>
      <c r="C837" s="10"/>
    </row>
    <row r="838" spans="1:3" x14ac:dyDescent="0.3">
      <c r="A838" s="15"/>
      <c r="B838" s="76"/>
      <c r="C838" s="10"/>
    </row>
    <row r="839" spans="1:3" x14ac:dyDescent="0.3">
      <c r="A839" s="15"/>
      <c r="B839" s="76"/>
      <c r="C839" s="10"/>
    </row>
    <row r="840" spans="1:3" x14ac:dyDescent="0.3">
      <c r="A840" s="15"/>
      <c r="B840" s="76"/>
      <c r="C840" s="10"/>
    </row>
    <row r="841" spans="1:3" x14ac:dyDescent="0.3">
      <c r="A841" s="15"/>
      <c r="B841" s="76"/>
      <c r="C841" s="10"/>
    </row>
    <row r="842" spans="1:3" x14ac:dyDescent="0.3">
      <c r="A842" s="15"/>
      <c r="B842" s="76"/>
      <c r="C842" s="10"/>
    </row>
    <row r="843" spans="1:3" x14ac:dyDescent="0.3">
      <c r="A843" s="15"/>
      <c r="B843" s="76"/>
      <c r="C843" s="10"/>
    </row>
    <row r="844" spans="1:3" x14ac:dyDescent="0.3">
      <c r="A844" s="15"/>
      <c r="B844" s="76"/>
      <c r="C844" s="10"/>
    </row>
    <row r="845" spans="1:3" x14ac:dyDescent="0.3">
      <c r="A845" s="15"/>
      <c r="B845" s="76"/>
      <c r="C845" s="10"/>
    </row>
    <row r="846" spans="1:3" x14ac:dyDescent="0.3">
      <c r="A846" s="15"/>
      <c r="B846" s="76"/>
      <c r="C846" s="10"/>
    </row>
    <row r="847" spans="1:3" x14ac:dyDescent="0.3">
      <c r="A847" s="15"/>
      <c r="B847" s="76"/>
      <c r="C847" s="10"/>
    </row>
    <row r="848" spans="1:3" x14ac:dyDescent="0.3">
      <c r="A848" s="15"/>
      <c r="B848" s="76"/>
      <c r="C848" s="10"/>
    </row>
    <row r="849" spans="1:3" x14ac:dyDescent="0.3">
      <c r="A849" s="15"/>
      <c r="B849" s="76"/>
      <c r="C849" s="10"/>
    </row>
    <row r="850" spans="1:3" x14ac:dyDescent="0.3">
      <c r="A850" s="15"/>
      <c r="B850" s="76"/>
      <c r="C850" s="10"/>
    </row>
    <row r="851" spans="1:3" x14ac:dyDescent="0.3">
      <c r="A851" s="15"/>
      <c r="B851" s="76"/>
      <c r="C851" s="10"/>
    </row>
    <row r="852" spans="1:3" x14ac:dyDescent="0.3">
      <c r="A852" s="15"/>
      <c r="B852" s="76"/>
      <c r="C852" s="10"/>
    </row>
    <row r="853" spans="1:3" x14ac:dyDescent="0.3">
      <c r="A853" s="15"/>
      <c r="B853" s="76"/>
      <c r="C853" s="10"/>
    </row>
    <row r="854" spans="1:3" x14ac:dyDescent="0.3">
      <c r="A854" s="15"/>
      <c r="B854" s="76"/>
      <c r="C854" s="10"/>
    </row>
    <row r="855" spans="1:3" x14ac:dyDescent="0.3">
      <c r="A855" s="15"/>
      <c r="B855" s="76"/>
      <c r="C855" s="10"/>
    </row>
    <row r="856" spans="1:3" x14ac:dyDescent="0.3">
      <c r="A856" s="15"/>
      <c r="B856" s="76"/>
      <c r="C856" s="10"/>
    </row>
    <row r="857" spans="1:3" x14ac:dyDescent="0.3">
      <c r="A857" s="15"/>
      <c r="B857" s="76"/>
      <c r="C857" s="10"/>
    </row>
    <row r="858" spans="1:3" x14ac:dyDescent="0.3">
      <c r="A858" s="15"/>
      <c r="B858" s="76"/>
      <c r="C858" s="10"/>
    </row>
    <row r="859" spans="1:3" x14ac:dyDescent="0.3">
      <c r="A859" s="15"/>
      <c r="B859" s="76"/>
      <c r="C859" s="10"/>
    </row>
    <row r="860" spans="1:3" x14ac:dyDescent="0.3">
      <c r="A860" s="15"/>
      <c r="B860" s="76"/>
      <c r="C860" s="10"/>
    </row>
    <row r="861" spans="1:3" x14ac:dyDescent="0.3">
      <c r="A861" s="15"/>
      <c r="B861" s="76"/>
      <c r="C861" s="10"/>
    </row>
    <row r="862" spans="1:3" x14ac:dyDescent="0.3">
      <c r="A862" s="15"/>
      <c r="B862" s="76"/>
      <c r="C862" s="10"/>
    </row>
    <row r="863" spans="1:3" x14ac:dyDescent="0.3">
      <c r="A863" s="15"/>
      <c r="B863" s="76"/>
      <c r="C863" s="10"/>
    </row>
    <row r="864" spans="1:3" x14ac:dyDescent="0.3">
      <c r="A864" s="15"/>
      <c r="B864" s="76"/>
      <c r="C864" s="10"/>
    </row>
    <row r="865" spans="1:3" x14ac:dyDescent="0.3">
      <c r="A865" s="15"/>
      <c r="B865" s="76"/>
      <c r="C865" s="10"/>
    </row>
    <row r="866" spans="1:3" x14ac:dyDescent="0.3">
      <c r="A866" s="15"/>
      <c r="B866" s="76"/>
      <c r="C866" s="10"/>
    </row>
    <row r="867" spans="1:3" x14ac:dyDescent="0.3">
      <c r="A867" s="15"/>
      <c r="B867" s="76"/>
      <c r="C867" s="10"/>
    </row>
    <row r="868" spans="1:3" x14ac:dyDescent="0.3">
      <c r="A868" s="15"/>
      <c r="B868" s="76"/>
      <c r="C868" s="10"/>
    </row>
    <row r="869" spans="1:3" x14ac:dyDescent="0.3">
      <c r="A869" s="15"/>
      <c r="B869" s="76"/>
      <c r="C869" s="10"/>
    </row>
    <row r="870" spans="1:3" x14ac:dyDescent="0.3">
      <c r="A870" s="15"/>
      <c r="B870" s="76"/>
      <c r="C870" s="10"/>
    </row>
    <row r="871" spans="1:3" x14ac:dyDescent="0.3">
      <c r="A871" s="15"/>
      <c r="B871" s="76"/>
      <c r="C871" s="10"/>
    </row>
    <row r="872" spans="1:3" x14ac:dyDescent="0.3">
      <c r="A872" s="15"/>
      <c r="B872" s="76"/>
      <c r="C872" s="10"/>
    </row>
    <row r="873" spans="1:3" x14ac:dyDescent="0.3">
      <c r="A873" s="15"/>
      <c r="B873" s="76"/>
      <c r="C873" s="10"/>
    </row>
    <row r="874" spans="1:3" x14ac:dyDescent="0.3">
      <c r="A874" s="15"/>
      <c r="B874" s="76"/>
      <c r="C874" s="10"/>
    </row>
    <row r="875" spans="1:3" x14ac:dyDescent="0.3">
      <c r="A875" s="15"/>
      <c r="B875" s="76"/>
      <c r="C875" s="10"/>
    </row>
    <row r="876" spans="1:3" x14ac:dyDescent="0.3">
      <c r="A876" s="15"/>
      <c r="B876" s="76"/>
      <c r="C876" s="10"/>
    </row>
    <row r="877" spans="1:3" x14ac:dyDescent="0.3">
      <c r="A877" s="15"/>
      <c r="B877" s="76"/>
      <c r="C877" s="10"/>
    </row>
    <row r="878" spans="1:3" x14ac:dyDescent="0.3">
      <c r="A878" s="15"/>
      <c r="B878" s="76"/>
      <c r="C878" s="10"/>
    </row>
    <row r="879" spans="1:3" x14ac:dyDescent="0.3">
      <c r="A879" s="15"/>
      <c r="B879" s="76"/>
      <c r="C879" s="10"/>
    </row>
    <row r="880" spans="1:3" x14ac:dyDescent="0.3">
      <c r="A880" s="15"/>
      <c r="B880" s="76"/>
      <c r="C880" s="10"/>
    </row>
    <row r="881" spans="1:3" x14ac:dyDescent="0.3">
      <c r="A881" s="15"/>
      <c r="B881" s="76"/>
      <c r="C881" s="10"/>
    </row>
    <row r="882" spans="1:3" x14ac:dyDescent="0.3">
      <c r="A882" s="15"/>
      <c r="B882" s="76"/>
      <c r="C882" s="10"/>
    </row>
    <row r="883" spans="1:3" x14ac:dyDescent="0.3">
      <c r="A883" s="15"/>
      <c r="B883" s="76"/>
      <c r="C883" s="10"/>
    </row>
    <row r="884" spans="1:3" x14ac:dyDescent="0.3">
      <c r="A884" s="15"/>
      <c r="B884" s="76"/>
      <c r="C884" s="10"/>
    </row>
    <row r="885" spans="1:3" x14ac:dyDescent="0.3">
      <c r="A885" s="15"/>
      <c r="B885" s="76"/>
      <c r="C885" s="10"/>
    </row>
    <row r="886" spans="1:3" x14ac:dyDescent="0.3">
      <c r="A886" s="15"/>
      <c r="B886" s="76"/>
      <c r="C886" s="10"/>
    </row>
    <row r="887" spans="1:3" x14ac:dyDescent="0.3">
      <c r="A887" s="15"/>
      <c r="B887" s="76"/>
      <c r="C887" s="10"/>
    </row>
    <row r="888" spans="1:3" x14ac:dyDescent="0.3">
      <c r="A888" s="15"/>
      <c r="B888" s="76"/>
      <c r="C888" s="10"/>
    </row>
    <row r="889" spans="1:3" x14ac:dyDescent="0.3">
      <c r="A889" s="15"/>
      <c r="B889" s="76"/>
      <c r="C889" s="10"/>
    </row>
    <row r="890" spans="1:3" x14ac:dyDescent="0.3">
      <c r="A890" s="15"/>
      <c r="B890" s="76"/>
      <c r="C890" s="10"/>
    </row>
    <row r="891" spans="1:3" x14ac:dyDescent="0.3">
      <c r="A891" s="15"/>
      <c r="B891" s="76"/>
      <c r="C891" s="10"/>
    </row>
    <row r="892" spans="1:3" x14ac:dyDescent="0.3">
      <c r="A892" s="15"/>
      <c r="B892" s="76"/>
      <c r="C892" s="10"/>
    </row>
    <row r="893" spans="1:3" x14ac:dyDescent="0.3">
      <c r="A893" s="15"/>
      <c r="B893" s="76"/>
      <c r="C893" s="10"/>
    </row>
    <row r="894" spans="1:3" x14ac:dyDescent="0.3">
      <c r="A894" s="15"/>
      <c r="B894" s="76"/>
      <c r="C894" s="10"/>
    </row>
    <row r="895" spans="1:3" x14ac:dyDescent="0.3">
      <c r="A895" s="15"/>
      <c r="B895" s="76"/>
      <c r="C895" s="10"/>
    </row>
    <row r="896" spans="1:3" x14ac:dyDescent="0.3">
      <c r="A896" s="15"/>
      <c r="B896" s="76"/>
      <c r="C896" s="10"/>
    </row>
    <row r="897" spans="1:3" x14ac:dyDescent="0.3">
      <c r="A897" s="15"/>
      <c r="B897" s="76"/>
      <c r="C897" s="10"/>
    </row>
    <row r="898" spans="1:3" x14ac:dyDescent="0.3">
      <c r="A898" s="15"/>
      <c r="B898" s="76"/>
      <c r="C898" s="10"/>
    </row>
    <row r="899" spans="1:3" x14ac:dyDescent="0.3">
      <c r="A899" s="15"/>
      <c r="B899" s="76"/>
      <c r="C899" s="10"/>
    </row>
    <row r="900" spans="1:3" x14ac:dyDescent="0.3">
      <c r="A900" s="15"/>
      <c r="B900" s="76"/>
      <c r="C900" s="10"/>
    </row>
    <row r="901" spans="1:3" x14ac:dyDescent="0.3">
      <c r="A901" s="15"/>
      <c r="B901" s="76"/>
      <c r="C901" s="10"/>
    </row>
    <row r="902" spans="1:3" x14ac:dyDescent="0.3">
      <c r="A902" s="15"/>
      <c r="B902" s="76"/>
      <c r="C902" s="10"/>
    </row>
    <row r="903" spans="1:3" x14ac:dyDescent="0.3">
      <c r="A903" s="15"/>
      <c r="B903" s="76"/>
      <c r="C903" s="10"/>
    </row>
    <row r="904" spans="1:3" x14ac:dyDescent="0.3">
      <c r="A904" s="15"/>
      <c r="B904" s="76"/>
      <c r="C904" s="10"/>
    </row>
    <row r="905" spans="1:3" x14ac:dyDescent="0.3">
      <c r="A905" s="15"/>
      <c r="B905" s="76"/>
      <c r="C905" s="10"/>
    </row>
    <row r="906" spans="1:3" x14ac:dyDescent="0.3">
      <c r="A906" s="15"/>
      <c r="B906" s="76"/>
      <c r="C906" s="10"/>
    </row>
    <row r="907" spans="1:3" x14ac:dyDescent="0.3">
      <c r="A907" s="15"/>
      <c r="B907" s="76"/>
      <c r="C907" s="10"/>
    </row>
    <row r="908" spans="1:3" x14ac:dyDescent="0.3">
      <c r="A908" s="15"/>
      <c r="B908" s="76"/>
      <c r="C908" s="10"/>
    </row>
    <row r="909" spans="1:3" x14ac:dyDescent="0.3">
      <c r="A909" s="15"/>
      <c r="B909" s="76"/>
      <c r="C909" s="10"/>
    </row>
    <row r="910" spans="1:3" x14ac:dyDescent="0.3">
      <c r="A910" s="15"/>
      <c r="B910" s="76"/>
      <c r="C910" s="10"/>
    </row>
    <row r="911" spans="1:3" x14ac:dyDescent="0.3">
      <c r="A911" s="15"/>
      <c r="B911" s="76"/>
      <c r="C911" s="10"/>
    </row>
    <row r="912" spans="1:3" x14ac:dyDescent="0.3">
      <c r="A912" s="15"/>
      <c r="B912" s="76"/>
      <c r="C912" s="10"/>
    </row>
    <row r="913" spans="1:3" x14ac:dyDescent="0.3">
      <c r="A913" s="15"/>
      <c r="B913" s="76"/>
      <c r="C913" s="10"/>
    </row>
    <row r="914" spans="1:3" x14ac:dyDescent="0.3">
      <c r="A914" s="15"/>
      <c r="B914" s="76"/>
      <c r="C914" s="10"/>
    </row>
    <row r="915" spans="1:3" x14ac:dyDescent="0.3">
      <c r="A915" s="15"/>
      <c r="B915" s="76"/>
      <c r="C915" s="10"/>
    </row>
    <row r="916" spans="1:3" x14ac:dyDescent="0.3">
      <c r="A916" s="15"/>
      <c r="B916" s="76"/>
      <c r="C916" s="10"/>
    </row>
    <row r="917" spans="1:3" x14ac:dyDescent="0.3">
      <c r="A917" s="15"/>
      <c r="B917" s="76"/>
      <c r="C917" s="10"/>
    </row>
    <row r="918" spans="1:3" x14ac:dyDescent="0.3">
      <c r="A918" s="15"/>
      <c r="B918" s="76"/>
      <c r="C918" s="10"/>
    </row>
    <row r="919" spans="1:3" x14ac:dyDescent="0.3">
      <c r="A919" s="15"/>
      <c r="B919" s="76"/>
      <c r="C919" s="10"/>
    </row>
    <row r="920" spans="1:3" x14ac:dyDescent="0.3">
      <c r="A920" s="15"/>
      <c r="B920" s="76"/>
      <c r="C920" s="10"/>
    </row>
    <row r="921" spans="1:3" x14ac:dyDescent="0.3">
      <c r="A921" s="15"/>
      <c r="B921" s="76"/>
      <c r="C921" s="10"/>
    </row>
    <row r="922" spans="1:3" x14ac:dyDescent="0.3">
      <c r="A922" s="15"/>
      <c r="B922" s="76"/>
      <c r="C922" s="10"/>
    </row>
    <row r="923" spans="1:3" x14ac:dyDescent="0.3">
      <c r="A923" s="15"/>
      <c r="B923" s="76"/>
      <c r="C923" s="10"/>
    </row>
    <row r="924" spans="1:3" x14ac:dyDescent="0.3">
      <c r="A924" s="15"/>
      <c r="B924" s="76"/>
      <c r="C924" s="10"/>
    </row>
    <row r="925" spans="1:3" x14ac:dyDescent="0.3">
      <c r="A925" s="15"/>
      <c r="B925" s="76"/>
      <c r="C925" s="10"/>
    </row>
    <row r="926" spans="1:3" x14ac:dyDescent="0.3">
      <c r="A926" s="15"/>
      <c r="B926" s="76"/>
      <c r="C926" s="10"/>
    </row>
    <row r="927" spans="1:3" x14ac:dyDescent="0.3">
      <c r="A927" s="15"/>
      <c r="B927" s="76"/>
      <c r="C927" s="10"/>
    </row>
    <row r="928" spans="1:3" x14ac:dyDescent="0.3">
      <c r="A928" s="15"/>
      <c r="B928" s="76"/>
      <c r="C928" s="10"/>
    </row>
    <row r="929" spans="1:3" x14ac:dyDescent="0.3">
      <c r="A929" s="15"/>
      <c r="B929" s="76"/>
      <c r="C929" s="10"/>
    </row>
    <row r="930" spans="1:3" x14ac:dyDescent="0.3">
      <c r="A930" s="15"/>
      <c r="B930" s="76"/>
      <c r="C930" s="10"/>
    </row>
    <row r="931" spans="1:3" x14ac:dyDescent="0.3">
      <c r="A931" s="15"/>
      <c r="B931" s="76"/>
      <c r="C931" s="10"/>
    </row>
    <row r="932" spans="1:3" x14ac:dyDescent="0.3">
      <c r="A932" s="15"/>
      <c r="B932" s="76"/>
      <c r="C932" s="10"/>
    </row>
    <row r="933" spans="1:3" x14ac:dyDescent="0.3">
      <c r="A933" s="15"/>
      <c r="B933" s="76"/>
      <c r="C933" s="10"/>
    </row>
    <row r="934" spans="1:3" x14ac:dyDescent="0.3">
      <c r="A934" s="15"/>
      <c r="B934" s="76"/>
      <c r="C934" s="10"/>
    </row>
    <row r="935" spans="1:3" x14ac:dyDescent="0.3">
      <c r="A935" s="15"/>
      <c r="B935" s="76"/>
      <c r="C935" s="10"/>
    </row>
    <row r="936" spans="1:3" x14ac:dyDescent="0.3">
      <c r="A936" s="15"/>
      <c r="B936" s="76"/>
      <c r="C936" s="10"/>
    </row>
    <row r="937" spans="1:3" x14ac:dyDescent="0.3">
      <c r="A937" s="15"/>
      <c r="B937" s="76"/>
      <c r="C937" s="10"/>
    </row>
    <row r="938" spans="1:3" x14ac:dyDescent="0.3">
      <c r="A938" s="15"/>
      <c r="B938" s="76"/>
      <c r="C938" s="10"/>
    </row>
    <row r="939" spans="1:3" x14ac:dyDescent="0.3">
      <c r="A939" s="15"/>
      <c r="B939" s="76"/>
      <c r="C939" s="10"/>
    </row>
    <row r="940" spans="1:3" x14ac:dyDescent="0.3">
      <c r="A940" s="15"/>
      <c r="B940" s="76"/>
      <c r="C940" s="10"/>
    </row>
    <row r="941" spans="1:3" x14ac:dyDescent="0.3">
      <c r="A941" s="15"/>
      <c r="B941" s="76"/>
      <c r="C941" s="10"/>
    </row>
    <row r="942" spans="1:3" x14ac:dyDescent="0.3">
      <c r="A942" s="15"/>
      <c r="B942" s="76"/>
      <c r="C942" s="10"/>
    </row>
    <row r="943" spans="1:3" x14ac:dyDescent="0.3">
      <c r="A943" s="15"/>
      <c r="B943" s="76"/>
      <c r="C943" s="10"/>
    </row>
    <row r="944" spans="1:3" x14ac:dyDescent="0.3">
      <c r="A944" s="15"/>
      <c r="B944" s="76"/>
      <c r="C944" s="10"/>
    </row>
    <row r="945" spans="1:3" x14ac:dyDescent="0.3">
      <c r="A945" s="15"/>
      <c r="B945" s="76"/>
      <c r="C945" s="10"/>
    </row>
    <row r="946" spans="1:3" x14ac:dyDescent="0.3">
      <c r="A946" s="15"/>
      <c r="B946" s="76"/>
      <c r="C946" s="10"/>
    </row>
    <row r="947" spans="1:3" x14ac:dyDescent="0.3">
      <c r="A947" s="15"/>
      <c r="B947" s="76"/>
      <c r="C947" s="10"/>
    </row>
    <row r="948" spans="1:3" x14ac:dyDescent="0.3">
      <c r="A948" s="15"/>
      <c r="B948" s="76"/>
      <c r="C948" s="10"/>
    </row>
    <row r="949" spans="1:3" x14ac:dyDescent="0.3">
      <c r="A949" s="15"/>
      <c r="B949" s="76"/>
      <c r="C949" s="10"/>
    </row>
    <row r="950" spans="1:3" x14ac:dyDescent="0.3">
      <c r="A950" s="15"/>
      <c r="B950" s="76"/>
      <c r="C950" s="10"/>
    </row>
    <row r="951" spans="1:3" x14ac:dyDescent="0.3">
      <c r="A951" s="15"/>
      <c r="B951" s="76"/>
      <c r="C951" s="10"/>
    </row>
    <row r="952" spans="1:3" x14ac:dyDescent="0.3">
      <c r="A952" s="15"/>
      <c r="B952" s="76"/>
      <c r="C952" s="10"/>
    </row>
    <row r="953" spans="1:3" x14ac:dyDescent="0.3">
      <c r="A953" s="15"/>
      <c r="B953" s="76"/>
      <c r="C953" s="10"/>
    </row>
    <row r="954" spans="1:3" x14ac:dyDescent="0.3">
      <c r="A954" s="15"/>
      <c r="B954" s="76"/>
      <c r="C954" s="10"/>
    </row>
    <row r="955" spans="1:3" x14ac:dyDescent="0.3">
      <c r="A955" s="15"/>
      <c r="B955" s="76"/>
      <c r="C955" s="10"/>
    </row>
    <row r="956" spans="1:3" x14ac:dyDescent="0.3">
      <c r="A956" s="15"/>
      <c r="B956" s="76"/>
      <c r="C956" s="10"/>
    </row>
    <row r="957" spans="1:3" x14ac:dyDescent="0.3">
      <c r="A957" s="15"/>
      <c r="B957" s="76"/>
      <c r="C957" s="10"/>
    </row>
    <row r="958" spans="1:3" x14ac:dyDescent="0.3">
      <c r="A958" s="15"/>
      <c r="B958" s="76"/>
      <c r="C958" s="10"/>
    </row>
    <row r="959" spans="1:3" x14ac:dyDescent="0.3">
      <c r="A959" s="15"/>
      <c r="B959" s="76"/>
      <c r="C959" s="10"/>
    </row>
    <row r="960" spans="1:3" x14ac:dyDescent="0.3">
      <c r="A960" s="15"/>
      <c r="B960" s="76"/>
      <c r="C960" s="10"/>
    </row>
    <row r="961" spans="1:3" x14ac:dyDescent="0.3">
      <c r="A961" s="15"/>
      <c r="B961" s="76"/>
      <c r="C961" s="10"/>
    </row>
    <row r="962" spans="1:3" x14ac:dyDescent="0.3">
      <c r="A962" s="15"/>
      <c r="B962" s="76"/>
      <c r="C962" s="10"/>
    </row>
    <row r="963" spans="1:3" x14ac:dyDescent="0.3">
      <c r="A963" s="15"/>
      <c r="B963" s="76"/>
      <c r="C963" s="10"/>
    </row>
    <row r="964" spans="1:3" x14ac:dyDescent="0.3">
      <c r="A964" s="15"/>
      <c r="B964" s="76"/>
      <c r="C964" s="10"/>
    </row>
    <row r="965" spans="1:3" x14ac:dyDescent="0.3">
      <c r="A965" s="15"/>
      <c r="B965" s="76"/>
      <c r="C965" s="10"/>
    </row>
    <row r="966" spans="1:3" x14ac:dyDescent="0.3">
      <c r="A966" s="15"/>
      <c r="B966" s="76"/>
      <c r="C966" s="10"/>
    </row>
    <row r="967" spans="1:3" x14ac:dyDescent="0.3">
      <c r="A967" s="15"/>
      <c r="B967" s="76"/>
      <c r="C967" s="10"/>
    </row>
    <row r="968" spans="1:3" x14ac:dyDescent="0.3">
      <c r="A968" s="15"/>
      <c r="B968" s="76"/>
      <c r="C968" s="10"/>
    </row>
    <row r="969" spans="1:3" x14ac:dyDescent="0.3">
      <c r="A969" s="15"/>
      <c r="B969" s="76"/>
      <c r="C969" s="10"/>
    </row>
    <row r="970" spans="1:3" x14ac:dyDescent="0.3">
      <c r="A970" s="15"/>
      <c r="B970" s="76"/>
      <c r="C970" s="10"/>
    </row>
    <row r="971" spans="1:3" x14ac:dyDescent="0.3">
      <c r="A971" s="15"/>
      <c r="B971" s="76"/>
      <c r="C971" s="10"/>
    </row>
  </sheetData>
  <customSheetViews>
    <customSheetView guid="{00D35A15-206C-4C0C-8347-C5B4FB706EF6}" showPageBreaks="1">
      <pane ySplit="1" topLeftCell="A5" activePane="bottomLeft" state="frozenSplit"/>
      <selection pane="bottomLeft" activeCell="I30" sqref="I30"/>
      <pageMargins left="0.7" right="0.7" top="0.75" bottom="0.75" header="0.3" footer="0.3"/>
    </customSheetView>
  </customSheetViews>
  <phoneticPr fontId="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IV79"/>
  <sheetViews>
    <sheetView workbookViewId="0">
      <selection activeCell="AY79" sqref="AY79"/>
    </sheetView>
  </sheetViews>
  <sheetFormatPr defaultRowHeight="14.5" x14ac:dyDescent="0.35"/>
  <sheetData>
    <row r="1" spans="1:256" x14ac:dyDescent="0.35">
      <c r="A1" t="e">
        <f>IF(dcon!1:1,"AAAAAHf7KwA=",0)</f>
        <v>#VALUE!</v>
      </c>
      <c r="B1" t="e">
        <f>AND(dcon!A1,"AAAAAHf7KwE=")</f>
        <v>#VALUE!</v>
      </c>
      <c r="C1" t="e">
        <f>AND(dcon!B1,"AAAAAHf7KwI=")</f>
        <v>#VALUE!</v>
      </c>
      <c r="D1">
        <f>IF(dcon!2:2,"AAAAAHf7KwM=",0)</f>
        <v>0</v>
      </c>
      <c r="E1" t="e">
        <f>AND(dcon!A2,"AAAAAHf7KwQ=")</f>
        <v>#VALUE!</v>
      </c>
      <c r="F1" t="e">
        <f>AND(dcon!B2,"AAAAAHf7KwU=")</f>
        <v>#VALUE!</v>
      </c>
      <c r="G1">
        <f>IF(dcon!3:3,"AAAAAHf7KwY=",0)</f>
        <v>0</v>
      </c>
      <c r="H1" t="e">
        <f>AND(dcon!A3,"AAAAAHf7Kwc=")</f>
        <v>#VALUE!</v>
      </c>
      <c r="I1" t="e">
        <f>AND(dcon!B3,"AAAAAHf7Kwg=")</f>
        <v>#VALUE!</v>
      </c>
      <c r="J1">
        <f>IF(dcon!4:4,"AAAAAHf7Kwk=",0)</f>
        <v>0</v>
      </c>
      <c r="K1" t="e">
        <f>AND(dcon!A4,"AAAAAHf7Kwo=")</f>
        <v>#VALUE!</v>
      </c>
      <c r="L1" t="e">
        <f>AND(dcon!B4,"AAAAAHf7Kws=")</f>
        <v>#VALUE!</v>
      </c>
      <c r="M1" t="e">
        <f>IF(dcon!A:A,"AAAAAHf7Kww=",0)</f>
        <v>#VALUE!</v>
      </c>
      <c r="N1">
        <f>IF(dcon!B:B,"AAAAAHf7Kw0=",0)</f>
        <v>0</v>
      </c>
      <c r="O1">
        <f>IF(instructions!1:1,"AAAAAHf7Kw4=",0)</f>
        <v>0</v>
      </c>
      <c r="P1" t="e">
        <f>AND(instructions!A1,"AAAAAHf7Kw8=")</f>
        <v>#VALUE!</v>
      </c>
      <c r="Q1" t="e">
        <f>AND(instructions!B1,"AAAAAHf7KxA=")</f>
        <v>#VALUE!</v>
      </c>
      <c r="R1" t="e">
        <f>AND(instructions!C1,"AAAAAHf7KxE=")</f>
        <v>#VALUE!</v>
      </c>
      <c r="S1" t="e">
        <f>AND(instructions!D1,"AAAAAHf7KxI=")</f>
        <v>#VALUE!</v>
      </c>
      <c r="T1">
        <f>IF(instructions!2:2,"AAAAAHf7KxM=",0)</f>
        <v>0</v>
      </c>
      <c r="U1" t="e">
        <f>AND(instructions!A2,"AAAAAHf7KxQ=")</f>
        <v>#VALUE!</v>
      </c>
      <c r="V1" t="e">
        <f>AND(instructions!B2,"AAAAAHf7KxU=")</f>
        <v>#VALUE!</v>
      </c>
      <c r="W1" t="e">
        <f>AND(instructions!C2,"AAAAAHf7KxY=")</f>
        <v>#VALUE!</v>
      </c>
      <c r="X1" t="e">
        <f>AND(instructions!D2,"AAAAAHf7Kxc=")</f>
        <v>#VALUE!</v>
      </c>
      <c r="Y1">
        <f>IF(instructions!3:3,"AAAAAHf7Kxg=",0)</f>
        <v>0</v>
      </c>
      <c r="Z1" t="e">
        <f>AND(instructions!A3,"AAAAAHf7Kxk=")</f>
        <v>#VALUE!</v>
      </c>
      <c r="AA1" t="e">
        <f>AND(instructions!B3,"AAAAAHf7Kxo=")</f>
        <v>#VALUE!</v>
      </c>
      <c r="AB1" t="e">
        <f>AND(instructions!C3,"AAAAAHf7Kxs=")</f>
        <v>#VALUE!</v>
      </c>
      <c r="AC1" t="e">
        <f>AND(instructions!D3,"AAAAAHf7Kxw=")</f>
        <v>#VALUE!</v>
      </c>
      <c r="AD1">
        <f>IF(instructions!4:4,"AAAAAHf7Kx0=",0)</f>
        <v>0</v>
      </c>
      <c r="AE1" t="e">
        <f>AND(instructions!A4,"AAAAAHf7Kx4=")</f>
        <v>#VALUE!</v>
      </c>
      <c r="AF1" t="e">
        <f>AND(instructions!B4,"AAAAAHf7Kx8=")</f>
        <v>#VALUE!</v>
      </c>
      <c r="AG1" t="e">
        <f>AND(instructions!C4,"AAAAAHf7KyA=")</f>
        <v>#VALUE!</v>
      </c>
      <c r="AH1" t="e">
        <f>AND(instructions!D4,"AAAAAHf7KyE=")</f>
        <v>#VALUE!</v>
      </c>
      <c r="AI1">
        <f>IF(instructions!5:5,"AAAAAHf7KyI=",0)</f>
        <v>0</v>
      </c>
      <c r="AJ1" t="e">
        <f>AND(instructions!A5,"AAAAAHf7KyM=")</f>
        <v>#VALUE!</v>
      </c>
      <c r="AK1" t="e">
        <f>AND(instructions!B5,"AAAAAHf7KyQ=")</f>
        <v>#VALUE!</v>
      </c>
      <c r="AL1" t="e">
        <f>AND(instructions!C5,"AAAAAHf7KyU=")</f>
        <v>#VALUE!</v>
      </c>
      <c r="AM1" t="e">
        <f>AND(instructions!D5,"AAAAAHf7KyY=")</f>
        <v>#VALUE!</v>
      </c>
      <c r="AN1">
        <f>IF(instructions!6:6,"AAAAAHf7Kyc=",0)</f>
        <v>0</v>
      </c>
      <c r="AO1" t="e">
        <f>AND(instructions!A6,"AAAAAHf7Kyg=")</f>
        <v>#VALUE!</v>
      </c>
      <c r="AP1" t="e">
        <f>AND(instructions!B6,"AAAAAHf7Kyk=")</f>
        <v>#VALUE!</v>
      </c>
      <c r="AQ1" t="e">
        <f>AND(instructions!C6,"AAAAAHf7Kyo=")</f>
        <v>#VALUE!</v>
      </c>
      <c r="AR1" t="e">
        <f>AND(instructions!D6,"AAAAAHf7Kys=")</f>
        <v>#VALUE!</v>
      </c>
      <c r="AS1">
        <f>IF(instructions!7:7,"AAAAAHf7Kyw=",0)</f>
        <v>0</v>
      </c>
      <c r="AT1" t="e">
        <f>AND(instructions!A7,"AAAAAHf7Ky0=")</f>
        <v>#VALUE!</v>
      </c>
      <c r="AU1" t="e">
        <f>AND(instructions!B7,"AAAAAHf7Ky4=")</f>
        <v>#VALUE!</v>
      </c>
      <c r="AV1" t="e">
        <f>AND(instructions!C7,"AAAAAHf7Ky8=")</f>
        <v>#VALUE!</v>
      </c>
      <c r="AW1" t="e">
        <f>AND(instructions!D7,"AAAAAHf7KzA=")</f>
        <v>#VALUE!</v>
      </c>
      <c r="AX1">
        <f>IF(instructions!8:8,"AAAAAHf7KzE=",0)</f>
        <v>0</v>
      </c>
      <c r="AY1" t="e">
        <f>AND(instructions!A8,"AAAAAHf7KzI=")</f>
        <v>#VALUE!</v>
      </c>
      <c r="AZ1" t="e">
        <f>AND(instructions!B8,"AAAAAHf7KzM=")</f>
        <v>#VALUE!</v>
      </c>
      <c r="BA1" t="e">
        <f>AND(instructions!C8,"AAAAAHf7KzQ=")</f>
        <v>#VALUE!</v>
      </c>
      <c r="BB1" t="e">
        <f>AND(instructions!D8,"AAAAAHf7KzU=")</f>
        <v>#VALUE!</v>
      </c>
      <c r="BC1" t="e">
        <f>IF(instructions!#REF!,"AAAAAHf7KzY=",0)</f>
        <v>#REF!</v>
      </c>
      <c r="BD1" t="e">
        <f>AND(instructions!#REF!,"AAAAAHf7Kzc=")</f>
        <v>#REF!</v>
      </c>
      <c r="BE1" t="e">
        <f>AND(instructions!#REF!,"AAAAAHf7Kzg=")</f>
        <v>#REF!</v>
      </c>
      <c r="BF1" t="e">
        <f>AND(instructions!#REF!,"AAAAAHf7Kzk=")</f>
        <v>#REF!</v>
      </c>
      <c r="BG1" t="e">
        <f>AND(instructions!#REF!,"AAAAAHf7Kzo=")</f>
        <v>#REF!</v>
      </c>
      <c r="BH1">
        <f>IF(instructions!9:9,"AAAAAHf7Kzs=",0)</f>
        <v>0</v>
      </c>
      <c r="BI1" t="e">
        <f>AND(instructions!A9,"AAAAAHf7Kzw=")</f>
        <v>#VALUE!</v>
      </c>
      <c r="BJ1" t="e">
        <f>AND(instructions!B9,"AAAAAHf7Kz0=")</f>
        <v>#VALUE!</v>
      </c>
      <c r="BK1" t="e">
        <f>AND(instructions!C9,"AAAAAHf7Kz4=")</f>
        <v>#VALUE!</v>
      </c>
      <c r="BL1" t="e">
        <f>AND(instructions!D9,"AAAAAHf7Kz8=")</f>
        <v>#VALUE!</v>
      </c>
      <c r="BM1">
        <f>IF(instructions!10:10,"AAAAAHf7K0A=",0)</f>
        <v>0</v>
      </c>
      <c r="BN1" t="e">
        <f>AND(instructions!A10,"AAAAAHf7K0E=")</f>
        <v>#VALUE!</v>
      </c>
      <c r="BO1" t="e">
        <f>AND(instructions!B10,"AAAAAHf7K0I=")</f>
        <v>#VALUE!</v>
      </c>
      <c r="BP1" t="e">
        <f>AND(instructions!C10,"AAAAAHf7K0M=")</f>
        <v>#VALUE!</v>
      </c>
      <c r="BQ1" t="e">
        <f>AND(instructions!D10,"AAAAAHf7K0Q=")</f>
        <v>#VALUE!</v>
      </c>
      <c r="BR1">
        <f>IF(instructions!11:11,"AAAAAHf7K0U=",0)</f>
        <v>0</v>
      </c>
      <c r="BS1" t="e">
        <f>AND(instructions!A11,"AAAAAHf7K0Y=")</f>
        <v>#VALUE!</v>
      </c>
      <c r="BT1" t="e">
        <f>AND(instructions!B11,"AAAAAHf7K0c=")</f>
        <v>#VALUE!</v>
      </c>
      <c r="BU1" t="e">
        <f>AND(instructions!C11,"AAAAAHf7K0g=")</f>
        <v>#VALUE!</v>
      </c>
      <c r="BV1" t="e">
        <f>AND(instructions!D11,"AAAAAHf7K0k=")</f>
        <v>#VALUE!</v>
      </c>
      <c r="BW1">
        <f>IF(instructions!28:28,"AAAAAHf7K0o=",0)</f>
        <v>0</v>
      </c>
      <c r="BX1" t="e">
        <f>AND(instructions!A28,"AAAAAHf7K0s=")</f>
        <v>#VALUE!</v>
      </c>
      <c r="BY1" t="e">
        <f>AND(instructions!B28,"AAAAAHf7K0w=")</f>
        <v>#VALUE!</v>
      </c>
      <c r="BZ1" t="e">
        <f>AND(instructions!C28,"AAAAAHf7K00=")</f>
        <v>#VALUE!</v>
      </c>
      <c r="CA1" t="e">
        <f>AND(instructions!D28,"AAAAAHf7K04=")</f>
        <v>#VALUE!</v>
      </c>
      <c r="CB1">
        <f>IF(instructions!29:29,"AAAAAHf7K08=",0)</f>
        <v>0</v>
      </c>
      <c r="CC1" t="e">
        <f>AND(instructions!A29,"AAAAAHf7K1A=")</f>
        <v>#VALUE!</v>
      </c>
      <c r="CD1" t="e">
        <f>AND(instructions!B29,"AAAAAHf7K1E=")</f>
        <v>#VALUE!</v>
      </c>
      <c r="CE1" t="e">
        <f>AND(instructions!C29,"AAAAAHf7K1I=")</f>
        <v>#VALUE!</v>
      </c>
      <c r="CF1" t="e">
        <f>AND(instructions!D29,"AAAAAHf7K1M=")</f>
        <v>#VALUE!</v>
      </c>
      <c r="CG1">
        <f>IF(instructions!13:13,"AAAAAHf7K1Q=",0)</f>
        <v>0</v>
      </c>
      <c r="CH1" t="e">
        <f>AND(instructions!A13,"AAAAAHf7K1U=")</f>
        <v>#VALUE!</v>
      </c>
      <c r="CI1" t="e">
        <f>AND(instructions!B13,"AAAAAHf7K1Y=")</f>
        <v>#VALUE!</v>
      </c>
      <c r="CJ1" t="e">
        <f>AND(instructions!C13,"AAAAAHf7K1c=")</f>
        <v>#VALUE!</v>
      </c>
      <c r="CK1" t="e">
        <f>AND(instructions!D13,"AAAAAHf7K1g=")</f>
        <v>#VALUE!</v>
      </c>
      <c r="CL1">
        <f>IF(instructions!14:14,"AAAAAHf7K1k=",0)</f>
        <v>0</v>
      </c>
      <c r="CM1" t="e">
        <f>AND(instructions!A14,"AAAAAHf7K1o=")</f>
        <v>#VALUE!</v>
      </c>
      <c r="CN1" t="e">
        <f>AND(instructions!B14,"AAAAAHf7K1s=")</f>
        <v>#VALUE!</v>
      </c>
      <c r="CO1" t="e">
        <f>AND(instructions!C14,"AAAAAHf7K1w=")</f>
        <v>#VALUE!</v>
      </c>
      <c r="CP1" t="e">
        <f>AND(instructions!D14,"AAAAAHf7K10=")</f>
        <v>#VALUE!</v>
      </c>
      <c r="CQ1" t="e">
        <f>IF(instructions!#REF!,"AAAAAHf7K14=",0)</f>
        <v>#REF!</v>
      </c>
      <c r="CR1" t="e">
        <f>AND(instructions!#REF!,"AAAAAHf7K18=")</f>
        <v>#REF!</v>
      </c>
      <c r="CS1" t="e">
        <f>AND(instructions!#REF!,"AAAAAHf7K2A=")</f>
        <v>#REF!</v>
      </c>
      <c r="CT1" t="e">
        <f>AND(instructions!#REF!,"AAAAAHf7K2E=")</f>
        <v>#REF!</v>
      </c>
      <c r="CU1" t="e">
        <f>AND(instructions!#REF!,"AAAAAHf7K2I=")</f>
        <v>#REF!</v>
      </c>
      <c r="CV1">
        <f>IF(instructions!15:15,"AAAAAHf7K2M=",0)</f>
        <v>0</v>
      </c>
      <c r="CW1" t="e">
        <f>AND(instructions!A15,"AAAAAHf7K2Q=")</f>
        <v>#VALUE!</v>
      </c>
      <c r="CX1" t="e">
        <f>AND(instructions!B15,"AAAAAHf7K2U=")</f>
        <v>#VALUE!</v>
      </c>
      <c r="CY1" t="e">
        <f>AND(instructions!C15,"AAAAAHf7K2Y=")</f>
        <v>#VALUE!</v>
      </c>
      <c r="CZ1" t="e">
        <f>AND(instructions!D15,"AAAAAHf7K2c=")</f>
        <v>#VALUE!</v>
      </c>
      <c r="DA1">
        <f>IF(instructions!16:16,"AAAAAHf7K2g=",0)</f>
        <v>0</v>
      </c>
      <c r="DB1" t="e">
        <f>AND(instructions!A16,"AAAAAHf7K2k=")</f>
        <v>#VALUE!</v>
      </c>
      <c r="DC1" t="e">
        <f>AND(instructions!B16,"AAAAAHf7K2o=")</f>
        <v>#VALUE!</v>
      </c>
      <c r="DD1" t="e">
        <f>AND(instructions!C16,"AAAAAHf7K2s=")</f>
        <v>#VALUE!</v>
      </c>
      <c r="DE1" t="e">
        <f>AND(instructions!D16,"AAAAAHf7K2w=")</f>
        <v>#VALUE!</v>
      </c>
      <c r="DF1">
        <f>IF(instructions!18:18,"AAAAAHf7K20=",0)</f>
        <v>0</v>
      </c>
      <c r="DG1" t="e">
        <f>AND(instructions!A18,"AAAAAHf7K24=")</f>
        <v>#VALUE!</v>
      </c>
      <c r="DH1" t="e">
        <f>AND(instructions!B18,"AAAAAHf7K28=")</f>
        <v>#VALUE!</v>
      </c>
      <c r="DI1" t="e">
        <f>AND(instructions!C18,"AAAAAHf7K3A=")</f>
        <v>#VALUE!</v>
      </c>
      <c r="DJ1" t="e">
        <f>AND(instructions!D18,"AAAAAHf7K3E=")</f>
        <v>#VALUE!</v>
      </c>
      <c r="DK1">
        <f>IF(instructions!19:19,"AAAAAHf7K3I=",0)</f>
        <v>0</v>
      </c>
      <c r="DL1" t="e">
        <f>AND(instructions!A19,"AAAAAHf7K3M=")</f>
        <v>#VALUE!</v>
      </c>
      <c r="DM1" t="e">
        <f>AND(instructions!B19,"AAAAAHf7K3Q=")</f>
        <v>#VALUE!</v>
      </c>
      <c r="DN1" t="e">
        <f>AND(instructions!C19,"AAAAAHf7K3U=")</f>
        <v>#VALUE!</v>
      </c>
      <c r="DO1" t="e">
        <f>AND(instructions!D19,"AAAAAHf7K3Y=")</f>
        <v>#VALUE!</v>
      </c>
      <c r="DP1">
        <f>IF(instructions!20:20,"AAAAAHf7K3c=",0)</f>
        <v>0</v>
      </c>
      <c r="DQ1" t="e">
        <f>AND(instructions!A20,"AAAAAHf7K3g=")</f>
        <v>#VALUE!</v>
      </c>
      <c r="DR1" t="e">
        <f>AND(instructions!B20,"AAAAAHf7K3k=")</f>
        <v>#VALUE!</v>
      </c>
      <c r="DS1" t="e">
        <f>AND(instructions!C20,"AAAAAHf7K3o=")</f>
        <v>#VALUE!</v>
      </c>
      <c r="DT1" t="e">
        <f>AND(instructions!D20,"AAAAAHf7K3s=")</f>
        <v>#VALUE!</v>
      </c>
      <c r="DU1">
        <f>IF(instructions!21:21,"AAAAAHf7K3w=",0)</f>
        <v>0</v>
      </c>
      <c r="DV1" t="e">
        <f>AND(instructions!A21,"AAAAAHf7K30=")</f>
        <v>#VALUE!</v>
      </c>
      <c r="DW1" t="e">
        <f>AND(instructions!B21,"AAAAAHf7K34=")</f>
        <v>#VALUE!</v>
      </c>
      <c r="DX1" t="e">
        <f>AND(instructions!C21,"AAAAAHf7K38=")</f>
        <v>#VALUE!</v>
      </c>
      <c r="DY1" t="e">
        <f>AND(instructions!D21,"AAAAAHf7K4A=")</f>
        <v>#VALUE!</v>
      </c>
      <c r="DZ1" t="e">
        <f>IF(instructions!#REF!,"AAAAAHf7K4E=",0)</f>
        <v>#REF!</v>
      </c>
      <c r="EA1" t="e">
        <f>AND(instructions!#REF!,"AAAAAHf7K4I=")</f>
        <v>#REF!</v>
      </c>
      <c r="EB1" t="e">
        <f>AND(instructions!#REF!,"AAAAAHf7K4M=")</f>
        <v>#REF!</v>
      </c>
      <c r="EC1" t="e">
        <f>AND(instructions!#REF!,"AAAAAHf7K4Q=")</f>
        <v>#REF!</v>
      </c>
      <c r="ED1" t="e">
        <f>AND(instructions!#REF!,"AAAAAHf7K4U=")</f>
        <v>#REF!</v>
      </c>
      <c r="EE1">
        <f>IF(instructions!30:30,"AAAAAHf7K4Y=",0)</f>
        <v>0</v>
      </c>
      <c r="EF1" t="e">
        <f>AND(instructions!A30,"AAAAAHf7K4c=")</f>
        <v>#VALUE!</v>
      </c>
      <c r="EG1" t="e">
        <f>AND(instructions!B30,"AAAAAHf7K4g=")</f>
        <v>#VALUE!</v>
      </c>
      <c r="EH1" t="e">
        <f>AND(instructions!C30,"AAAAAHf7K4k=")</f>
        <v>#VALUE!</v>
      </c>
      <c r="EI1" t="e">
        <f>AND(instructions!D30,"AAAAAHf7K4o=")</f>
        <v>#VALUE!</v>
      </c>
      <c r="EJ1">
        <f>IF(instructions!12:12,"AAAAAHf7K4s=",0)</f>
        <v>0</v>
      </c>
      <c r="EK1" t="e">
        <f>AND(instructions!A12,"AAAAAHf7K4w=")</f>
        <v>#VALUE!</v>
      </c>
      <c r="EL1" t="e">
        <f>AND(instructions!B12,"AAAAAHf7K40=")</f>
        <v>#VALUE!</v>
      </c>
      <c r="EM1" t="e">
        <f>AND(instructions!C12,"AAAAAHf7K44=")</f>
        <v>#VALUE!</v>
      </c>
      <c r="EN1" t="e">
        <f>AND(instructions!D12,"AAAAAHf7K48=")</f>
        <v>#VALUE!</v>
      </c>
      <c r="EO1" t="e">
        <f>IF(instructions!#REF!,"AAAAAHf7K5A=",0)</f>
        <v>#REF!</v>
      </c>
      <c r="EP1" t="e">
        <f>AND(instructions!#REF!,"AAAAAHf7K5E=")</f>
        <v>#REF!</v>
      </c>
      <c r="EQ1" t="e">
        <f>AND(instructions!#REF!,"AAAAAHf7K5I=")</f>
        <v>#REF!</v>
      </c>
      <c r="ER1" t="e">
        <f>AND(instructions!#REF!,"AAAAAHf7K5M=")</f>
        <v>#REF!</v>
      </c>
      <c r="ES1" t="e">
        <f>AND(instructions!#REF!,"AAAAAHf7K5Q=")</f>
        <v>#REF!</v>
      </c>
      <c r="ET1">
        <f>IF(instructions!17:17,"AAAAAHf7K5U=",0)</f>
        <v>0</v>
      </c>
      <c r="EU1" t="e">
        <f>AND(instructions!A17,"AAAAAHf7K5Y=")</f>
        <v>#VALUE!</v>
      </c>
      <c r="EV1" t="e">
        <f>AND(instructions!B17,"AAAAAHf7K5c=")</f>
        <v>#VALUE!</v>
      </c>
      <c r="EW1" t="e">
        <f>AND(instructions!C17,"AAAAAHf7K5g=")</f>
        <v>#VALUE!</v>
      </c>
      <c r="EX1" t="e">
        <f>AND(instructions!D17,"AAAAAHf7K5k=")</f>
        <v>#VALUE!</v>
      </c>
      <c r="EY1">
        <f>IF(instructions!25:25,"AAAAAHf7K5o=",0)</f>
        <v>0</v>
      </c>
      <c r="EZ1" t="e">
        <f>AND(instructions!A25,"AAAAAHf7K5s=")</f>
        <v>#VALUE!</v>
      </c>
      <c r="FA1" t="e">
        <f>AND(instructions!B25,"AAAAAHf7K5w=")</f>
        <v>#VALUE!</v>
      </c>
      <c r="FB1" t="e">
        <f>AND(instructions!C25,"AAAAAHf7K50=")</f>
        <v>#VALUE!</v>
      </c>
      <c r="FC1" t="e">
        <f>AND(instructions!D25,"AAAAAHf7K54=")</f>
        <v>#VALUE!</v>
      </c>
      <c r="FD1" t="e">
        <f>IF(instructions!#REF!,"AAAAAHf7K58=",0)</f>
        <v>#REF!</v>
      </c>
      <c r="FE1" t="e">
        <f>AND(instructions!#REF!,"AAAAAHf7K6A=")</f>
        <v>#REF!</v>
      </c>
      <c r="FF1" t="e">
        <f>AND(instructions!#REF!,"AAAAAHf7K6E=")</f>
        <v>#REF!</v>
      </c>
      <c r="FG1" t="e">
        <f>AND(instructions!#REF!,"AAAAAHf7K6I=")</f>
        <v>#REF!</v>
      </c>
      <c r="FH1" t="e">
        <f>AND(instructions!#REF!,"AAAAAHf7K6M=")</f>
        <v>#REF!</v>
      </c>
      <c r="FI1" t="e">
        <f>IF(instructions!#REF!,"AAAAAHf7K6Q=",0)</f>
        <v>#REF!</v>
      </c>
      <c r="FJ1" t="e">
        <f>AND(instructions!#REF!,"AAAAAHf7K6U=")</f>
        <v>#REF!</v>
      </c>
      <c r="FK1" t="e">
        <f>AND(instructions!#REF!,"AAAAAHf7K6Y=")</f>
        <v>#REF!</v>
      </c>
      <c r="FL1" t="e">
        <f>AND(instructions!#REF!,"AAAAAHf7K6c=")</f>
        <v>#REF!</v>
      </c>
      <c r="FM1" t="e">
        <f>AND(instructions!#REF!,"AAAAAHf7K6g=")</f>
        <v>#REF!</v>
      </c>
      <c r="FN1" t="e">
        <f>IF(instructions!#REF!,"AAAAAHf7K6k=",0)</f>
        <v>#REF!</v>
      </c>
      <c r="FO1" t="e">
        <f>AND(instructions!#REF!,"AAAAAHf7K6o=")</f>
        <v>#REF!</v>
      </c>
      <c r="FP1" t="e">
        <f>AND(instructions!#REF!,"AAAAAHf7K6s=")</f>
        <v>#REF!</v>
      </c>
      <c r="FQ1" t="e">
        <f>AND(instructions!#REF!,"AAAAAHf7K6w=")</f>
        <v>#REF!</v>
      </c>
      <c r="FR1" t="e">
        <f>AND(instructions!#REF!,"AAAAAHf7K60=")</f>
        <v>#REF!</v>
      </c>
      <c r="FS1">
        <f>IF(instructions!26:26,"AAAAAHf7K64=",0)</f>
        <v>0</v>
      </c>
      <c r="FT1" t="e">
        <f>AND(instructions!A26,"AAAAAHf7K68=")</f>
        <v>#VALUE!</v>
      </c>
      <c r="FU1" t="e">
        <f>AND(instructions!B26,"AAAAAHf7K7A=")</f>
        <v>#VALUE!</v>
      </c>
      <c r="FV1" t="e">
        <f>AND(instructions!C26,"AAAAAHf7K7E=")</f>
        <v>#VALUE!</v>
      </c>
      <c r="FW1" t="e">
        <f>AND(instructions!D26,"AAAAAHf7K7I=")</f>
        <v>#VALUE!</v>
      </c>
      <c r="FX1" t="e">
        <f>IF(instructions!#REF!,"AAAAAHf7K7M=",0)</f>
        <v>#REF!</v>
      </c>
      <c r="FY1" t="e">
        <f>AND(instructions!#REF!,"AAAAAHf7K7Q=")</f>
        <v>#REF!</v>
      </c>
      <c r="FZ1" t="e">
        <f>AND(instructions!#REF!,"AAAAAHf7K7U=")</f>
        <v>#REF!</v>
      </c>
      <c r="GA1" t="e">
        <f>AND(instructions!#REF!,"AAAAAHf7K7Y=")</f>
        <v>#REF!</v>
      </c>
      <c r="GB1" t="e">
        <f>AND(instructions!#REF!,"AAAAAHf7K7c=")</f>
        <v>#REF!</v>
      </c>
      <c r="GC1" t="e">
        <f>IF(instructions!#REF!,"AAAAAHf7K7g=",0)</f>
        <v>#REF!</v>
      </c>
      <c r="GD1" t="e">
        <f>AND(instructions!#REF!,"AAAAAHf7K7k=")</f>
        <v>#REF!</v>
      </c>
      <c r="GE1" t="e">
        <f>AND(instructions!#REF!,"AAAAAHf7K7o=")</f>
        <v>#REF!</v>
      </c>
      <c r="GF1" t="e">
        <f>AND(instructions!#REF!,"AAAAAHf7K7s=")</f>
        <v>#REF!</v>
      </c>
      <c r="GG1" t="e">
        <f>AND(instructions!#REF!,"AAAAAHf7K7w=")</f>
        <v>#REF!</v>
      </c>
      <c r="GH1" t="e">
        <f>IF(instructions!#REF!,"AAAAAHf7K70=",0)</f>
        <v>#REF!</v>
      </c>
      <c r="GI1" t="e">
        <f>AND(instructions!#REF!,"AAAAAHf7K74=")</f>
        <v>#REF!</v>
      </c>
      <c r="GJ1" t="e">
        <f>AND(instructions!#REF!,"AAAAAHf7K78=")</f>
        <v>#REF!</v>
      </c>
      <c r="GK1" t="e">
        <f>AND(instructions!#REF!,"AAAAAHf7K8A=")</f>
        <v>#REF!</v>
      </c>
      <c r="GL1" t="e">
        <f>AND(instructions!#REF!,"AAAAAHf7K8E=")</f>
        <v>#REF!</v>
      </c>
      <c r="GM1" t="e">
        <f>IF(instructions!#REF!,"AAAAAHf7K8I=",0)</f>
        <v>#REF!</v>
      </c>
      <c r="GN1" t="e">
        <f>AND(instructions!#REF!,"AAAAAHf7K8M=")</f>
        <v>#REF!</v>
      </c>
      <c r="GO1" t="e">
        <f>AND(instructions!#REF!,"AAAAAHf7K8Q=")</f>
        <v>#REF!</v>
      </c>
      <c r="GP1" t="e">
        <f>AND(instructions!#REF!,"AAAAAHf7K8U=")</f>
        <v>#REF!</v>
      </c>
      <c r="GQ1" t="e">
        <f>AND(instructions!#REF!,"AAAAAHf7K8Y=")</f>
        <v>#REF!</v>
      </c>
      <c r="GR1" t="e">
        <f>IF(instructions!#REF!,"AAAAAHf7K8c=",0)</f>
        <v>#REF!</v>
      </c>
      <c r="GS1" t="e">
        <f>AND(instructions!#REF!,"AAAAAHf7K8g=")</f>
        <v>#REF!</v>
      </c>
      <c r="GT1" t="e">
        <f>AND(instructions!#REF!,"AAAAAHf7K8k=")</f>
        <v>#REF!</v>
      </c>
      <c r="GU1" t="e">
        <f>AND(instructions!#REF!,"AAAAAHf7K8o=")</f>
        <v>#REF!</v>
      </c>
      <c r="GV1" t="e">
        <f>AND(instructions!#REF!,"AAAAAHf7K8s=")</f>
        <v>#REF!</v>
      </c>
      <c r="GW1" t="e">
        <f>IF(instructions!#REF!,"AAAAAHf7K8w=",0)</f>
        <v>#REF!</v>
      </c>
      <c r="GX1" t="e">
        <f>AND(instructions!#REF!,"AAAAAHf7K80=")</f>
        <v>#REF!</v>
      </c>
      <c r="GY1" t="e">
        <f>AND(instructions!#REF!,"AAAAAHf7K84=")</f>
        <v>#REF!</v>
      </c>
      <c r="GZ1" t="e">
        <f>AND(instructions!#REF!,"AAAAAHf7K88=")</f>
        <v>#REF!</v>
      </c>
      <c r="HA1" t="e">
        <f>AND(instructions!#REF!,"AAAAAHf7K9A=")</f>
        <v>#REF!</v>
      </c>
      <c r="HB1" t="e">
        <f>IF(instructions!#REF!,"AAAAAHf7K9E=",0)</f>
        <v>#REF!</v>
      </c>
      <c r="HC1" t="e">
        <f>AND(instructions!#REF!,"AAAAAHf7K9I=")</f>
        <v>#REF!</v>
      </c>
      <c r="HD1" t="e">
        <f>AND(instructions!#REF!,"AAAAAHf7K9M=")</f>
        <v>#REF!</v>
      </c>
      <c r="HE1" t="e">
        <f>AND(instructions!#REF!,"AAAAAHf7K9Q=")</f>
        <v>#REF!</v>
      </c>
      <c r="HF1" t="e">
        <f>AND(instructions!#REF!,"AAAAAHf7K9U=")</f>
        <v>#REF!</v>
      </c>
      <c r="HG1" t="e">
        <f>IF(instructions!#REF!,"AAAAAHf7K9Y=",0)</f>
        <v>#REF!</v>
      </c>
      <c r="HH1" t="e">
        <f>AND(instructions!#REF!,"AAAAAHf7K9c=")</f>
        <v>#REF!</v>
      </c>
      <c r="HI1" t="e">
        <f>AND(instructions!#REF!,"AAAAAHf7K9g=")</f>
        <v>#REF!</v>
      </c>
      <c r="HJ1" t="e">
        <f>AND(instructions!#REF!,"AAAAAHf7K9k=")</f>
        <v>#REF!</v>
      </c>
      <c r="HK1" t="e">
        <f>AND(instructions!#REF!,"AAAAAHf7K9o=")</f>
        <v>#REF!</v>
      </c>
      <c r="HL1" t="e">
        <f>IF(instructions!#REF!,"AAAAAHf7K9s=",0)</f>
        <v>#REF!</v>
      </c>
      <c r="HM1" t="e">
        <f>AND(instructions!#REF!,"AAAAAHf7K9w=")</f>
        <v>#REF!</v>
      </c>
      <c r="HN1" t="e">
        <f>AND(instructions!#REF!,"AAAAAHf7K90=")</f>
        <v>#REF!</v>
      </c>
      <c r="HO1" t="e">
        <f>AND(instructions!#REF!,"AAAAAHf7K94=")</f>
        <v>#REF!</v>
      </c>
      <c r="HP1" t="e">
        <f>AND(instructions!#REF!,"AAAAAHf7K98=")</f>
        <v>#REF!</v>
      </c>
      <c r="HQ1" t="e">
        <f>IF(instructions!#REF!,"AAAAAHf7K+A=",0)</f>
        <v>#REF!</v>
      </c>
      <c r="HR1" t="e">
        <f>AND(instructions!#REF!,"AAAAAHf7K+E=")</f>
        <v>#REF!</v>
      </c>
      <c r="HS1" t="e">
        <f>AND(instructions!#REF!,"AAAAAHf7K+I=")</f>
        <v>#REF!</v>
      </c>
      <c r="HT1" t="e">
        <f>AND(instructions!#REF!,"AAAAAHf7K+M=")</f>
        <v>#REF!</v>
      </c>
      <c r="HU1" t="e">
        <f>AND(instructions!#REF!,"AAAAAHf7K+Q=")</f>
        <v>#REF!</v>
      </c>
      <c r="HV1" t="e">
        <f>IF(instructions!#REF!,"AAAAAHf7K+U=",0)</f>
        <v>#REF!</v>
      </c>
      <c r="HW1" t="e">
        <f>AND(instructions!#REF!,"AAAAAHf7K+Y=")</f>
        <v>#REF!</v>
      </c>
      <c r="HX1" t="e">
        <f>AND(instructions!#REF!,"AAAAAHf7K+c=")</f>
        <v>#REF!</v>
      </c>
      <c r="HY1" t="e">
        <f>AND(instructions!#REF!,"AAAAAHf7K+g=")</f>
        <v>#REF!</v>
      </c>
      <c r="HZ1" t="e">
        <f>AND(instructions!#REF!,"AAAAAHf7K+k=")</f>
        <v>#REF!</v>
      </c>
      <c r="IA1" t="e">
        <f>IF(instructions!#REF!,"AAAAAHf7K+o=",0)</f>
        <v>#REF!</v>
      </c>
      <c r="IB1" t="e">
        <f>AND(instructions!#REF!,"AAAAAHf7K+s=")</f>
        <v>#REF!</v>
      </c>
      <c r="IC1" t="e">
        <f>AND(instructions!#REF!,"AAAAAHf7K+w=")</f>
        <v>#REF!</v>
      </c>
      <c r="ID1" t="e">
        <f>AND(instructions!#REF!,"AAAAAHf7K+0=")</f>
        <v>#REF!</v>
      </c>
      <c r="IE1" t="e">
        <f>AND(instructions!#REF!,"AAAAAHf7K+4=")</f>
        <v>#REF!</v>
      </c>
      <c r="IF1" t="e">
        <f>IF(instructions!#REF!,"AAAAAHf7K+8=",0)</f>
        <v>#REF!</v>
      </c>
      <c r="IG1" t="e">
        <f>AND(instructions!#REF!,"AAAAAHf7K/A=")</f>
        <v>#REF!</v>
      </c>
      <c r="IH1" t="e">
        <f>AND(instructions!#REF!,"AAAAAHf7K/E=")</f>
        <v>#REF!</v>
      </c>
      <c r="II1" t="e">
        <f>AND(instructions!#REF!,"AAAAAHf7K/I=")</f>
        <v>#REF!</v>
      </c>
      <c r="IJ1" t="e">
        <f>AND(instructions!#REF!,"AAAAAHf7K/M=")</f>
        <v>#REF!</v>
      </c>
      <c r="IK1" t="e">
        <f>IF(instructions!#REF!,"AAAAAHf7K/Q=",0)</f>
        <v>#REF!</v>
      </c>
      <c r="IL1" t="e">
        <f>AND(instructions!#REF!,"AAAAAHf7K/U=")</f>
        <v>#REF!</v>
      </c>
      <c r="IM1" t="e">
        <f>AND(instructions!#REF!,"AAAAAHf7K/Y=")</f>
        <v>#REF!</v>
      </c>
      <c r="IN1" t="e">
        <f>AND(instructions!#REF!,"AAAAAHf7K/c=")</f>
        <v>#REF!</v>
      </c>
      <c r="IO1" t="e">
        <f>AND(instructions!#REF!,"AAAAAHf7K/g=")</f>
        <v>#REF!</v>
      </c>
      <c r="IP1" t="e">
        <f>IF(instructions!#REF!,"AAAAAHf7K/k=",0)</f>
        <v>#REF!</v>
      </c>
      <c r="IQ1" t="e">
        <f>AND(instructions!#REF!,"AAAAAHf7K/o=")</f>
        <v>#REF!</v>
      </c>
      <c r="IR1" t="e">
        <f>AND(instructions!#REF!,"AAAAAHf7K/s=")</f>
        <v>#REF!</v>
      </c>
      <c r="IS1" t="e">
        <f>AND(instructions!#REF!,"AAAAAHf7K/w=")</f>
        <v>#REF!</v>
      </c>
      <c r="IT1" t="e">
        <f>AND(instructions!#REF!,"AAAAAHf7K/0=")</f>
        <v>#REF!</v>
      </c>
      <c r="IU1">
        <f>IF(instructions!31:31,"AAAAAHf7K/4=",0)</f>
        <v>0</v>
      </c>
      <c r="IV1" t="e">
        <f>AND(instructions!A31,"AAAAAHf7K/8=")</f>
        <v>#VALUE!</v>
      </c>
    </row>
    <row r="2" spans="1:256" x14ac:dyDescent="0.35">
      <c r="A2" t="e">
        <f>AND(instructions!B31,"AAAAAH7/XQA=")</f>
        <v>#VALUE!</v>
      </c>
      <c r="B2" t="e">
        <f>AND(instructions!C31,"AAAAAH7/XQE=")</f>
        <v>#VALUE!</v>
      </c>
      <c r="C2" t="e">
        <f>AND(instructions!D31,"AAAAAH7/XQI=")</f>
        <v>#VALUE!</v>
      </c>
      <c r="D2">
        <f>IF(instructions!32:32,"AAAAAH7/XQM=",0)</f>
        <v>0</v>
      </c>
      <c r="E2" t="e">
        <f>AND(instructions!A32,"AAAAAH7/XQQ=")</f>
        <v>#VALUE!</v>
      </c>
      <c r="F2" t="e">
        <f>AND(instructions!B32,"AAAAAH7/XQU=")</f>
        <v>#VALUE!</v>
      </c>
      <c r="G2" t="e">
        <f>AND(instructions!C32,"AAAAAH7/XQY=")</f>
        <v>#VALUE!</v>
      </c>
      <c r="H2" t="e">
        <f>AND(instructions!D32,"AAAAAH7/XQc=")</f>
        <v>#VALUE!</v>
      </c>
      <c r="I2">
        <f>IF(instructions!33:33,"AAAAAH7/XQg=",0)</f>
        <v>0</v>
      </c>
      <c r="J2" t="e">
        <f>AND(instructions!A33,"AAAAAH7/XQk=")</f>
        <v>#VALUE!</v>
      </c>
      <c r="K2" t="e">
        <f>AND(instructions!B33,"AAAAAH7/XQo=")</f>
        <v>#VALUE!</v>
      </c>
      <c r="L2" t="e">
        <f>AND(instructions!C33,"AAAAAH7/XQs=")</f>
        <v>#VALUE!</v>
      </c>
      <c r="M2" t="e">
        <f>AND(instructions!D33,"AAAAAH7/XQw=")</f>
        <v>#VALUE!</v>
      </c>
      <c r="N2" t="e">
        <f>IF(instructions!#REF!,"AAAAAH7/XQ0=",0)</f>
        <v>#REF!</v>
      </c>
      <c r="O2" t="e">
        <f>AND(instructions!#REF!,"AAAAAH7/XQ4=")</f>
        <v>#REF!</v>
      </c>
      <c r="P2" t="e">
        <f>AND(instructions!#REF!,"AAAAAH7/XQ8=")</f>
        <v>#REF!</v>
      </c>
      <c r="Q2" t="e">
        <f>AND(instructions!#REF!,"AAAAAH7/XRA=")</f>
        <v>#REF!</v>
      </c>
      <c r="R2" t="e">
        <f>AND(instructions!#REF!,"AAAAAH7/XRE=")</f>
        <v>#REF!</v>
      </c>
      <c r="S2" t="e">
        <f>IF(instructions!#REF!,"AAAAAH7/XRI=",0)</f>
        <v>#REF!</v>
      </c>
      <c r="T2" t="e">
        <f>AND(instructions!#REF!,"AAAAAH7/XRM=")</f>
        <v>#REF!</v>
      </c>
      <c r="U2" t="e">
        <f>AND(instructions!#REF!,"AAAAAH7/XRQ=")</f>
        <v>#REF!</v>
      </c>
      <c r="V2" t="e">
        <f>AND(instructions!#REF!,"AAAAAH7/XRU=")</f>
        <v>#REF!</v>
      </c>
      <c r="W2" t="e">
        <f>AND(instructions!#REF!,"AAAAAH7/XRY=")</f>
        <v>#REF!</v>
      </c>
      <c r="X2" t="e">
        <f>IF(instructions!#REF!,"AAAAAH7/XRc=",0)</f>
        <v>#REF!</v>
      </c>
      <c r="Y2" t="e">
        <f>AND(instructions!#REF!,"AAAAAH7/XRg=")</f>
        <v>#REF!</v>
      </c>
      <c r="Z2" t="e">
        <f>AND(instructions!#REF!,"AAAAAH7/XRk=")</f>
        <v>#REF!</v>
      </c>
      <c r="AA2" t="e">
        <f>AND(instructions!#REF!,"AAAAAH7/XRo=")</f>
        <v>#REF!</v>
      </c>
      <c r="AB2" t="e">
        <f>AND(instructions!#REF!,"AAAAAH7/XRs=")</f>
        <v>#REF!</v>
      </c>
      <c r="AC2" t="e">
        <f>IF(instructions!#REF!,"AAAAAH7/XRw=",0)</f>
        <v>#REF!</v>
      </c>
      <c r="AD2" t="e">
        <f>AND(instructions!#REF!,"AAAAAH7/XR0=")</f>
        <v>#REF!</v>
      </c>
      <c r="AE2" t="e">
        <f>AND(instructions!#REF!,"AAAAAH7/XR4=")</f>
        <v>#REF!</v>
      </c>
      <c r="AF2" t="e">
        <f>AND(instructions!#REF!,"AAAAAH7/XR8=")</f>
        <v>#REF!</v>
      </c>
      <c r="AG2" t="e">
        <f>AND(instructions!#REF!,"AAAAAH7/XSA=")</f>
        <v>#REF!</v>
      </c>
      <c r="AH2" t="e">
        <f>IF(instructions!#REF!,"AAAAAH7/XSE=",0)</f>
        <v>#REF!</v>
      </c>
      <c r="AI2" t="e">
        <f>AND(instructions!#REF!,"AAAAAH7/XSI=")</f>
        <v>#REF!</v>
      </c>
      <c r="AJ2" t="e">
        <f>AND(instructions!#REF!,"AAAAAH7/XSM=")</f>
        <v>#REF!</v>
      </c>
      <c r="AK2" t="e">
        <f>AND(instructions!#REF!,"AAAAAH7/XSQ=")</f>
        <v>#REF!</v>
      </c>
      <c r="AL2" t="e">
        <f>AND(instructions!#REF!,"AAAAAH7/XSU=")</f>
        <v>#REF!</v>
      </c>
      <c r="AM2" t="e">
        <f>IF(instructions!#REF!,"AAAAAH7/XSY=",0)</f>
        <v>#REF!</v>
      </c>
      <c r="AN2" t="e">
        <f>AND(instructions!#REF!,"AAAAAH7/XSc=")</f>
        <v>#REF!</v>
      </c>
      <c r="AO2" t="e">
        <f>AND(instructions!#REF!,"AAAAAH7/XSg=")</f>
        <v>#REF!</v>
      </c>
      <c r="AP2" t="e">
        <f>AND(instructions!#REF!,"AAAAAH7/XSk=")</f>
        <v>#REF!</v>
      </c>
      <c r="AQ2" t="e">
        <f>AND(instructions!#REF!,"AAAAAH7/XSo=")</f>
        <v>#REF!</v>
      </c>
      <c r="AR2" t="e">
        <f>IF(instructions!#REF!,"AAAAAH7/XSs=",0)</f>
        <v>#REF!</v>
      </c>
      <c r="AS2" t="e">
        <f>AND(instructions!#REF!,"AAAAAH7/XSw=")</f>
        <v>#REF!</v>
      </c>
      <c r="AT2" t="e">
        <f>AND(instructions!#REF!,"AAAAAH7/XS0=")</f>
        <v>#REF!</v>
      </c>
      <c r="AU2" t="e">
        <f>AND(instructions!#REF!,"AAAAAH7/XS4=")</f>
        <v>#REF!</v>
      </c>
      <c r="AV2" t="e">
        <f>AND(instructions!#REF!,"AAAAAH7/XS8=")</f>
        <v>#REF!</v>
      </c>
      <c r="AW2" t="e">
        <f>IF(instructions!#REF!,"AAAAAH7/XTA=",0)</f>
        <v>#REF!</v>
      </c>
      <c r="AX2" t="e">
        <f>AND(instructions!#REF!,"AAAAAH7/XTE=")</f>
        <v>#REF!</v>
      </c>
      <c r="AY2">
        <f>IF(instructions!38:38,"AAAAAH7/XTI=",0)</f>
        <v>0</v>
      </c>
      <c r="AZ2" t="e">
        <f>AND(instructions!A38,"AAAAAH7/XTM=")</f>
        <v>#VALUE!</v>
      </c>
      <c r="BA2">
        <f>IF(instructions!39:39,"AAAAAH7/XTQ=",0)</f>
        <v>0</v>
      </c>
      <c r="BB2" t="e">
        <f>AND(instructions!A39,"AAAAAH7/XTU=")</f>
        <v>#VALUE!</v>
      </c>
      <c r="BC2" t="e">
        <f>IF(instructions!A:A,"AAAAAH7/XTY=",0)</f>
        <v>#VALUE!</v>
      </c>
      <c r="BD2">
        <f>IF(instructions!B:B,"AAAAAH7/XTc=",0)</f>
        <v>0</v>
      </c>
      <c r="BE2">
        <f>IF(instructions!C:C,"AAAAAH7/XTg=",0)</f>
        <v>0</v>
      </c>
      <c r="BF2">
        <f>IF(instructions!D:D,"AAAAAH7/XTk=",0)</f>
        <v>0</v>
      </c>
      <c r="BG2">
        <f>IF(Specifications!1:1,"AAAAAH7/XTo=",0)</f>
        <v>0</v>
      </c>
      <c r="BH2" t="e">
        <f>AND(Specifications!A1,"AAAAAH7/XTs=")</f>
        <v>#VALUE!</v>
      </c>
      <c r="BI2" t="e">
        <f>AND(Specifications!D1,"AAAAAH7/XTw=")</f>
        <v>#VALUE!</v>
      </c>
      <c r="BJ2" t="e">
        <f>AND(Specifications!E1,"AAAAAH7/XT0=")</f>
        <v>#VALUE!</v>
      </c>
      <c r="BK2" t="e">
        <f>AND(Specifications!G1,"AAAAAH7/XT4=")</f>
        <v>#VALUE!</v>
      </c>
      <c r="BL2" t="e">
        <f>AND(Specifications!H1,"AAAAAH7/XT8=")</f>
        <v>#VALUE!</v>
      </c>
      <c r="BM2" t="e">
        <f>AND(Specifications!I1,"AAAAAH7/XUA=")</f>
        <v>#VALUE!</v>
      </c>
      <c r="BN2" t="e">
        <f>AND(Specifications!J1,"AAAAAH7/XUE=")</f>
        <v>#VALUE!</v>
      </c>
      <c r="BO2" t="e">
        <f>AND(Specifications!K1,"AAAAAH7/XUI=")</f>
        <v>#VALUE!</v>
      </c>
      <c r="BP2" t="e">
        <f>AND(Specifications!#REF!,"AAAAAH7/XUM=")</f>
        <v>#REF!</v>
      </c>
      <c r="BQ2" t="e">
        <f>AND(Specifications!#REF!,"AAAAAH7/XUQ=")</f>
        <v>#REF!</v>
      </c>
      <c r="BR2" t="e">
        <f>AND(Specifications!#REF!,"AAAAAH7/XUU=")</f>
        <v>#REF!</v>
      </c>
      <c r="BS2" t="e">
        <f>AND(Specifications!#REF!,"AAAAAH7/XUY=")</f>
        <v>#REF!</v>
      </c>
      <c r="BT2" t="e">
        <f>AND(Specifications!#REF!,"AAAAAH7/XUc=")</f>
        <v>#REF!</v>
      </c>
      <c r="BU2" t="e">
        <f>AND(Specifications!#REF!,"AAAAAH7/XUg=")</f>
        <v>#REF!</v>
      </c>
      <c r="BV2" t="e">
        <f>AND(Specifications!#REF!,"AAAAAH7/XUk=")</f>
        <v>#REF!</v>
      </c>
      <c r="BW2" t="e">
        <f>AND(Specifications!#REF!,"AAAAAH7/XUo=")</f>
        <v>#REF!</v>
      </c>
      <c r="BX2" t="e">
        <f>AND(Specifications!#REF!,"AAAAAH7/XUs=")</f>
        <v>#REF!</v>
      </c>
      <c r="BY2" t="e">
        <f>AND(Specifications!#REF!,"AAAAAH7/XUw=")</f>
        <v>#REF!</v>
      </c>
      <c r="BZ2" t="e">
        <f>AND(Specifications!#REF!,"AAAAAH7/XU0=")</f>
        <v>#REF!</v>
      </c>
      <c r="CA2" t="e">
        <f>AND(Specifications!#REF!,"AAAAAH7/XU4=")</f>
        <v>#REF!</v>
      </c>
      <c r="CB2" t="e">
        <f>AND(Specifications!#REF!,"AAAAAH7/XU8=")</f>
        <v>#REF!</v>
      </c>
      <c r="CC2" t="e">
        <f>AND(Specifications!#REF!,"AAAAAH7/XVA=")</f>
        <v>#REF!</v>
      </c>
      <c r="CD2" t="e">
        <f>AND(Specifications!#REF!,"AAAAAH7/XVE=")</f>
        <v>#REF!</v>
      </c>
      <c r="CE2" t="e">
        <f>AND(Specifications!#REF!,"AAAAAH7/XVI=")</f>
        <v>#REF!</v>
      </c>
      <c r="CF2" t="e">
        <f>AND(Specifications!#REF!,"AAAAAH7/XVM=")</f>
        <v>#REF!</v>
      </c>
      <c r="CG2" t="e">
        <f>AND(Specifications!#REF!,"AAAAAH7/XVQ=")</f>
        <v>#REF!</v>
      </c>
      <c r="CH2" t="e">
        <f>AND(Specifications!#REF!,"AAAAAH7/XVU=")</f>
        <v>#REF!</v>
      </c>
      <c r="CI2" t="e">
        <f>AND(Specifications!#REF!,"AAAAAH7/XVY=")</f>
        <v>#REF!</v>
      </c>
      <c r="CJ2" t="e">
        <f>AND(Specifications!#REF!,"AAAAAH7/XVc=")</f>
        <v>#REF!</v>
      </c>
      <c r="CK2" t="e">
        <f>AND(Specifications!#REF!,"AAAAAH7/XVg=")</f>
        <v>#REF!</v>
      </c>
      <c r="CL2">
        <f>IF(Specifications!2:2,"AAAAAH7/XVk=",0)</f>
        <v>0</v>
      </c>
      <c r="CM2" t="e">
        <f>AND(Specifications!A2,"AAAAAH7/XVo=")</f>
        <v>#VALUE!</v>
      </c>
      <c r="CN2" t="e">
        <f>AND(Specifications!D2,"AAAAAH7/XVs=")</f>
        <v>#VALUE!</v>
      </c>
      <c r="CO2" t="e">
        <f>AND(Specifications!E2,"AAAAAH7/XVw=")</f>
        <v>#VALUE!</v>
      </c>
      <c r="CP2" t="e">
        <f>AND(Specifications!G2,"AAAAAH7/XV0=")</f>
        <v>#VALUE!</v>
      </c>
      <c r="CQ2" t="e">
        <f>AND(Specifications!H2,"AAAAAH7/XV4=")</f>
        <v>#VALUE!</v>
      </c>
      <c r="CR2" t="e">
        <f>AND(Specifications!I2,"AAAAAH7/XV8=")</f>
        <v>#VALUE!</v>
      </c>
      <c r="CS2" t="e">
        <f>AND(Specifications!J2,"AAAAAH7/XWA=")</f>
        <v>#VALUE!</v>
      </c>
      <c r="CT2" t="e">
        <f>AND(Specifications!K2,"AAAAAH7/XWE=")</f>
        <v>#VALUE!</v>
      </c>
      <c r="CU2" t="e">
        <f>AND(Specifications!#REF!,"AAAAAH7/XWI=")</f>
        <v>#REF!</v>
      </c>
      <c r="CV2" t="e">
        <f>AND(Specifications!#REF!,"AAAAAH7/XWM=")</f>
        <v>#REF!</v>
      </c>
      <c r="CW2" t="e">
        <f>AND(Specifications!#REF!,"AAAAAH7/XWQ=")</f>
        <v>#REF!</v>
      </c>
      <c r="CX2" t="e">
        <f>AND(Specifications!#REF!,"AAAAAH7/XWU=")</f>
        <v>#REF!</v>
      </c>
      <c r="CY2" t="e">
        <f>AND(Specifications!#REF!,"AAAAAH7/XWY=")</f>
        <v>#REF!</v>
      </c>
      <c r="CZ2" t="e">
        <f>AND(Specifications!#REF!,"AAAAAH7/XWc=")</f>
        <v>#REF!</v>
      </c>
      <c r="DA2" t="e">
        <f>AND(Specifications!#REF!,"AAAAAH7/XWg=")</f>
        <v>#REF!</v>
      </c>
      <c r="DB2" t="e">
        <f>AND(Specifications!#REF!,"AAAAAH7/XWk=")</f>
        <v>#REF!</v>
      </c>
      <c r="DC2" t="e">
        <f>AND(Specifications!#REF!,"AAAAAH7/XWo=")</f>
        <v>#REF!</v>
      </c>
      <c r="DD2" t="e">
        <f>AND(Specifications!#REF!,"AAAAAH7/XWs=")</f>
        <v>#REF!</v>
      </c>
      <c r="DE2" t="e">
        <f>AND(Specifications!#REF!,"AAAAAH7/XWw=")</f>
        <v>#REF!</v>
      </c>
      <c r="DF2" t="e">
        <f>AND(Specifications!#REF!,"AAAAAH7/XW0=")</f>
        <v>#REF!</v>
      </c>
      <c r="DG2" t="e">
        <f>AND(Specifications!#REF!,"AAAAAH7/XW4=")</f>
        <v>#REF!</v>
      </c>
      <c r="DH2" t="e">
        <f>AND(Specifications!#REF!,"AAAAAH7/XW8=")</f>
        <v>#REF!</v>
      </c>
      <c r="DI2" t="e">
        <f>AND(Specifications!#REF!,"AAAAAH7/XXA=")</f>
        <v>#REF!</v>
      </c>
      <c r="DJ2" t="e">
        <f>AND(Specifications!#REF!,"AAAAAH7/XXE=")</f>
        <v>#REF!</v>
      </c>
      <c r="DK2" t="e">
        <f>AND(Specifications!#REF!,"AAAAAH7/XXI=")</f>
        <v>#REF!</v>
      </c>
      <c r="DL2" t="e">
        <f>AND(Specifications!#REF!,"AAAAAH7/XXM=")</f>
        <v>#REF!</v>
      </c>
      <c r="DM2" t="e">
        <f>AND(Specifications!#REF!,"AAAAAH7/XXQ=")</f>
        <v>#REF!</v>
      </c>
      <c r="DN2" t="e">
        <f>AND(Specifications!#REF!,"AAAAAH7/XXU=")</f>
        <v>#REF!</v>
      </c>
      <c r="DO2" t="e">
        <f>AND(Specifications!#REF!,"AAAAAH7/XXY=")</f>
        <v>#REF!</v>
      </c>
      <c r="DP2" t="e">
        <f>AND(Specifications!#REF!,"AAAAAH7/XXc=")</f>
        <v>#REF!</v>
      </c>
      <c r="DQ2">
        <f>IF(Specifications!3:3,"AAAAAH7/XXg=",0)</f>
        <v>0</v>
      </c>
      <c r="DR2">
        <f>IF(Specifications!4:4,"AAAAAH7/XXk=",0)</f>
        <v>0</v>
      </c>
      <c r="DS2">
        <f>IF(Specifications!5:5,"AAAAAH7/XXo=",0)</f>
        <v>0</v>
      </c>
      <c r="DT2">
        <f>IF(Specifications!6:6,"AAAAAH7/XXs=",0)</f>
        <v>0</v>
      </c>
      <c r="DU2">
        <f>IF(Specifications!7:7,"AAAAAH7/XXw=",0)</f>
        <v>0</v>
      </c>
      <c r="DV2">
        <f>IF(Specifications!8:8,"AAAAAH7/XX0=",0)</f>
        <v>0</v>
      </c>
      <c r="DW2">
        <f>IF(Specifications!15:15,"AAAAAH7/XX4=",0)</f>
        <v>0</v>
      </c>
      <c r="DX2">
        <f>IF(Specifications!16:16,"AAAAAH7/XX8=",0)</f>
        <v>0</v>
      </c>
      <c r="DY2" t="e">
        <f>IF(Specifications!#REF!,"AAAAAH7/XYA=",0)</f>
        <v>#REF!</v>
      </c>
      <c r="DZ2">
        <f>IF(Specifications!24:24,"AAAAAH7/XYE=",0)</f>
        <v>0</v>
      </c>
      <c r="EA2">
        <f>IF(Specifications!27:27,"AAAAAH7/XYI=",0)</f>
        <v>0</v>
      </c>
      <c r="EB2">
        <f>IF(Specifications!28:28,"AAAAAH7/XYM=",0)</f>
        <v>0</v>
      </c>
      <c r="EC2" t="e">
        <f>IF(Specifications!#REF!,"AAAAAH7/XYQ=",0)</f>
        <v>#REF!</v>
      </c>
      <c r="ED2" t="e">
        <f>IF(Specifications!#REF!,"AAAAAH7/XYU=",0)</f>
        <v>#REF!</v>
      </c>
      <c r="EE2" t="e">
        <f>IF(Specifications!#REF!,"AAAAAH7/XYY=",0)</f>
        <v>#REF!</v>
      </c>
      <c r="EF2" t="e">
        <f>IF(Specifications!#REF!,"AAAAAH7/XYc=",0)</f>
        <v>#REF!</v>
      </c>
      <c r="EG2" t="e">
        <f>IF(Specifications!#REF!,"AAAAAH7/XYg=",0)</f>
        <v>#REF!</v>
      </c>
      <c r="EH2" t="e">
        <f>IF(Specifications!#REF!,"AAAAAH7/XYk=",0)</f>
        <v>#REF!</v>
      </c>
      <c r="EI2" t="e">
        <f>IF(Specifications!#REF!,"AAAAAH7/XYo=",0)</f>
        <v>#REF!</v>
      </c>
      <c r="EJ2" t="e">
        <f>IF(Specifications!#REF!,"AAAAAH7/XYs=",0)</f>
        <v>#REF!</v>
      </c>
      <c r="EK2" t="e">
        <f>IF(Specifications!#REF!,"AAAAAH7/XYw=",0)</f>
        <v>#REF!</v>
      </c>
      <c r="EL2" t="e">
        <f>IF(Specifications!#REF!,"AAAAAH7/XY0=",0)</f>
        <v>#REF!</v>
      </c>
      <c r="EM2" t="e">
        <f>IF(Specifications!#REF!,"AAAAAH7/XY4=",0)</f>
        <v>#REF!</v>
      </c>
      <c r="EN2" t="e">
        <f>IF(Specifications!#REF!,"AAAAAH7/XY8=",0)</f>
        <v>#REF!</v>
      </c>
      <c r="EO2" t="e">
        <f>IF(Specifications!#REF!,"AAAAAH7/XZA=",0)</f>
        <v>#REF!</v>
      </c>
      <c r="EP2" t="e">
        <f>IF(Specifications!#REF!,"AAAAAH7/XZE=",0)</f>
        <v>#REF!</v>
      </c>
      <c r="EQ2" t="e">
        <f>IF(Specifications!#REF!,"AAAAAH7/XZI=",0)</f>
        <v>#REF!</v>
      </c>
      <c r="ER2" t="e">
        <f>IF(Specifications!#REF!,"AAAAAH7/XZM=",0)</f>
        <v>#REF!</v>
      </c>
      <c r="ES2" t="e">
        <f>IF(Specifications!#REF!,"AAAAAH7/XZQ=",0)</f>
        <v>#REF!</v>
      </c>
      <c r="ET2" t="e">
        <f>IF(Specifications!#REF!,"AAAAAH7/XZU=",0)</f>
        <v>#REF!</v>
      </c>
      <c r="EU2" t="e">
        <f>IF(Specifications!#REF!,"AAAAAH7/XZY=",0)</f>
        <v>#REF!</v>
      </c>
      <c r="EV2" t="e">
        <f>IF(Specifications!#REF!,"AAAAAH7/XZc=",0)</f>
        <v>#REF!</v>
      </c>
      <c r="EW2" t="e">
        <f>IF(Specifications!#REF!,"AAAAAH7/XZg=",0)</f>
        <v>#REF!</v>
      </c>
      <c r="EX2" t="e">
        <f>IF(Specifications!#REF!,"AAAAAH7/XZk=",0)</f>
        <v>#REF!</v>
      </c>
      <c r="EY2" t="e">
        <f>IF(Specifications!#REF!,"AAAAAH7/XZo=",0)</f>
        <v>#REF!</v>
      </c>
      <c r="EZ2" t="e">
        <f>IF(Specifications!#REF!,"AAAAAH7/XZs=",0)</f>
        <v>#REF!</v>
      </c>
      <c r="FA2" t="e">
        <f>IF(Specifications!#REF!,"AAAAAH7/XZw=",0)</f>
        <v>#REF!</v>
      </c>
      <c r="FB2" t="e">
        <f>IF(Specifications!#REF!,"AAAAAH7/XZ0=",0)</f>
        <v>#REF!</v>
      </c>
      <c r="FC2" t="e">
        <f>IF(Specifications!#REF!,"AAAAAH7/XZ4=",0)</f>
        <v>#REF!</v>
      </c>
      <c r="FD2" t="e">
        <f>IF(Specifications!#REF!,"AAAAAH7/XZ8=",0)</f>
        <v>#REF!</v>
      </c>
      <c r="FE2" t="e">
        <f>IF(Specifications!#REF!,"AAAAAH7/XaA=",0)</f>
        <v>#REF!</v>
      </c>
      <c r="FF2" t="e">
        <f>IF(Specifications!#REF!,"AAAAAH7/XaE=",0)</f>
        <v>#REF!</v>
      </c>
      <c r="FG2" t="e">
        <f>IF(Specifications!#REF!,"AAAAAH7/XaI=",0)</f>
        <v>#REF!</v>
      </c>
      <c r="FH2" t="e">
        <f>IF(Specifications!#REF!,"AAAAAH7/XaM=",0)</f>
        <v>#REF!</v>
      </c>
      <c r="FI2" t="e">
        <f>IF(Specifications!#REF!,"AAAAAH7/XaQ=",0)</f>
        <v>#REF!</v>
      </c>
      <c r="FJ2" t="e">
        <f>IF(Specifications!#REF!,"AAAAAH7/XaU=",0)</f>
        <v>#REF!</v>
      </c>
      <c r="FK2" t="e">
        <f>IF(Specifications!#REF!,"AAAAAH7/XaY=",0)</f>
        <v>#REF!</v>
      </c>
      <c r="FL2" t="e">
        <f>IF(Specifications!#REF!,"AAAAAH7/Xac=",0)</f>
        <v>#REF!</v>
      </c>
      <c r="FM2" t="e">
        <f>IF(Specifications!#REF!,"AAAAAH7/Xag=",0)</f>
        <v>#REF!</v>
      </c>
      <c r="FN2" t="e">
        <f>IF(Specifications!#REF!,"AAAAAH7/Xak=",0)</f>
        <v>#REF!</v>
      </c>
      <c r="FO2" t="e">
        <f>IF(Specifications!#REF!,"AAAAAH7/Xao=",0)</f>
        <v>#REF!</v>
      </c>
      <c r="FP2" t="e">
        <f>IF(Specifications!#REF!,"AAAAAH7/Xas=",0)</f>
        <v>#REF!</v>
      </c>
      <c r="FQ2" t="e">
        <f>IF(Specifications!#REF!,"AAAAAH7/Xaw=",0)</f>
        <v>#REF!</v>
      </c>
      <c r="FR2" t="e">
        <f>IF(Specifications!#REF!,"AAAAAH7/Xa0=",0)</f>
        <v>#REF!</v>
      </c>
      <c r="FS2" t="e">
        <f>IF(Specifications!#REF!,"AAAAAH7/Xa4=",0)</f>
        <v>#REF!</v>
      </c>
      <c r="FT2" t="e">
        <f>IF(Specifications!#REF!,"AAAAAH7/Xa8=",0)</f>
        <v>#REF!</v>
      </c>
      <c r="FU2" t="e">
        <f>IF(Specifications!#REF!,"AAAAAH7/XbA=",0)</f>
        <v>#REF!</v>
      </c>
      <c r="FV2" t="e">
        <f>IF(Specifications!#REF!,"AAAAAH7/XbE=",0)</f>
        <v>#REF!</v>
      </c>
      <c r="FW2" t="e">
        <f>IF(Specifications!#REF!,"AAAAAH7/XbI=",0)</f>
        <v>#REF!</v>
      </c>
      <c r="FX2" t="e">
        <f>IF(Specifications!#REF!,"AAAAAH7/XbM=",0)</f>
        <v>#REF!</v>
      </c>
      <c r="FY2" t="e">
        <f>IF(Specifications!#REF!,"AAAAAH7/XbQ=",0)</f>
        <v>#REF!</v>
      </c>
      <c r="FZ2" t="e">
        <f>IF(Specifications!#REF!,"AAAAAH7/XbU=",0)</f>
        <v>#REF!</v>
      </c>
      <c r="GA2" t="e">
        <f>IF(Specifications!#REF!,"AAAAAH7/XbY=",0)</f>
        <v>#REF!</v>
      </c>
      <c r="GB2" t="e">
        <f>IF(Specifications!#REF!,"AAAAAH7/Xbc=",0)</f>
        <v>#REF!</v>
      </c>
      <c r="GC2" t="e">
        <f>IF(Specifications!#REF!,"AAAAAH7/Xbg=",0)</f>
        <v>#REF!</v>
      </c>
      <c r="GD2" t="e">
        <f>IF(Specifications!#REF!,"AAAAAH7/Xbk=",0)</f>
        <v>#REF!</v>
      </c>
      <c r="GE2" t="e">
        <f>IF(Specifications!#REF!,"AAAAAH7/Xbo=",0)</f>
        <v>#REF!</v>
      </c>
      <c r="GF2" t="e">
        <f>IF(Specifications!#REF!,"AAAAAH7/Xbs=",0)</f>
        <v>#REF!</v>
      </c>
      <c r="GG2" t="e">
        <f>IF(Specifications!#REF!,"AAAAAH7/Xbw=",0)</f>
        <v>#REF!</v>
      </c>
      <c r="GH2" t="e">
        <f>IF(Specifications!#REF!,"AAAAAH7/Xb0=",0)</f>
        <v>#REF!</v>
      </c>
      <c r="GI2" t="e">
        <f>IF(Specifications!#REF!,"AAAAAH7/Xb4=",0)</f>
        <v>#REF!</v>
      </c>
      <c r="GJ2" t="e">
        <f>IF(Specifications!#REF!,"AAAAAH7/Xb8=",0)</f>
        <v>#REF!</v>
      </c>
      <c r="GK2" t="e">
        <f>IF(Specifications!#REF!,"AAAAAH7/XcA=",0)</f>
        <v>#REF!</v>
      </c>
      <c r="GL2" t="e">
        <f>IF(Specifications!#REF!,"AAAAAH7/XcE=",0)</f>
        <v>#REF!</v>
      </c>
      <c r="GM2" t="e">
        <f>IF(Specifications!#REF!,"AAAAAH7/XcI=",0)</f>
        <v>#REF!</v>
      </c>
      <c r="GN2">
        <f>IF(Specifications!79:79,"AAAAAH7/XcM=",0)</f>
        <v>0</v>
      </c>
      <c r="GO2">
        <f>IF(Specifications!80:80,"AAAAAH7/XcQ=",0)</f>
        <v>0</v>
      </c>
      <c r="GP2" t="e">
        <f>IF(Specifications!#REF!,"AAAAAH7/XcU=",0)</f>
        <v>#REF!</v>
      </c>
      <c r="GQ2" t="e">
        <f>IF(Specifications!#REF!,"AAAAAH7/XcY=",0)</f>
        <v>#REF!</v>
      </c>
      <c r="GR2">
        <f>IF(Specifications!82:82,"AAAAAH7/Xcc=",0)</f>
        <v>0</v>
      </c>
      <c r="GS2">
        <f>IF(Specifications!83:83,"AAAAAH7/Xcg=",0)</f>
        <v>0</v>
      </c>
      <c r="GT2">
        <f>IF(Specifications!84:84,"AAAAAH7/Xck=",0)</f>
        <v>0</v>
      </c>
      <c r="GU2">
        <f>IF(Specifications!85:85,"AAAAAH7/Xco=",0)</f>
        <v>0</v>
      </c>
      <c r="GV2" t="e">
        <f>IF(Specifications!#REF!,"AAAAAH7/Xcs=",0)</f>
        <v>#REF!</v>
      </c>
      <c r="GW2" t="e">
        <f>IF(Specifications!#REF!,"AAAAAH7/Xcw=",0)</f>
        <v>#REF!</v>
      </c>
      <c r="GX2" t="e">
        <f>IF(Specifications!#REF!,"AAAAAH7/Xc0=",0)</f>
        <v>#REF!</v>
      </c>
      <c r="GY2">
        <f>IF(Specifications!86:86,"AAAAAH7/Xc4=",0)</f>
        <v>0</v>
      </c>
      <c r="GZ2">
        <f>IF(Specifications!87:87,"AAAAAH7/Xc8=",0)</f>
        <v>0</v>
      </c>
      <c r="HA2">
        <f>IF(Specifications!88:88,"AAAAAH7/XdA=",0)</f>
        <v>0</v>
      </c>
      <c r="HB2" t="e">
        <f>IF(Specifications!#REF!,"AAAAAH7/XdE=",0)</f>
        <v>#REF!</v>
      </c>
      <c r="HC2">
        <f>IF(Specifications!89:89,"AAAAAH7/XdI=",0)</f>
        <v>0</v>
      </c>
      <c r="HD2">
        <f>IF(Specifications!90:90,"AAAAAH7/XdM=",0)</f>
        <v>0</v>
      </c>
      <c r="HE2">
        <f>IF(Specifications!91:91,"AAAAAH7/XdQ=",0)</f>
        <v>0</v>
      </c>
      <c r="HF2">
        <f>IF(Specifications!92:92,"AAAAAH7/XdU=",0)</f>
        <v>0</v>
      </c>
      <c r="HG2">
        <f>IF(Specifications!93:93,"AAAAAH7/XdY=",0)</f>
        <v>0</v>
      </c>
      <c r="HH2">
        <f>IF(Specifications!94:94,"AAAAAH7/Xdc=",0)</f>
        <v>0</v>
      </c>
      <c r="HI2">
        <f>IF(Specifications!95:95,"AAAAAH7/Xdg=",0)</f>
        <v>0</v>
      </c>
      <c r="HJ2">
        <f>IF(Specifications!96:96,"AAAAAH7/Xdk=",0)</f>
        <v>0</v>
      </c>
      <c r="HK2">
        <f>IF(Specifications!97:97,"AAAAAH7/Xdo=",0)</f>
        <v>0</v>
      </c>
      <c r="HL2">
        <f>IF(Specifications!98:98,"AAAAAH7/Xds=",0)</f>
        <v>0</v>
      </c>
      <c r="HM2">
        <f>IF(Specifications!100:100,"AAAAAH7/Xdw=",0)</f>
        <v>0</v>
      </c>
      <c r="HN2">
        <f>IF(Specifications!103:103,"AAAAAH7/Xd0=",0)</f>
        <v>0</v>
      </c>
      <c r="HO2">
        <f>IF(Specifications!104:104,"AAAAAH7/Xd4=",0)</f>
        <v>0</v>
      </c>
      <c r="HP2">
        <f>IF(Specifications!105:105,"AAAAAH7/Xd8=",0)</f>
        <v>0</v>
      </c>
      <c r="HQ2">
        <f>IF(Specifications!106:106,"AAAAAH7/XeA=",0)</f>
        <v>0</v>
      </c>
      <c r="HR2">
        <f>IF(Specifications!107:107,"AAAAAH7/XeE=",0)</f>
        <v>0</v>
      </c>
      <c r="HS2" t="e">
        <f>IF(Specifications!#REF!,"AAAAAH7/XeI=",0)</f>
        <v>#REF!</v>
      </c>
      <c r="HT2" t="e">
        <f>IF(Specifications!#REF!,"AAAAAH7/XeM=",0)</f>
        <v>#REF!</v>
      </c>
      <c r="HU2" t="e">
        <f>IF(Specifications!#REF!,"AAAAAH7/XeQ=",0)</f>
        <v>#REF!</v>
      </c>
      <c r="HV2" t="e">
        <f>IF(Specifications!#REF!,"AAAAAH7/XeU=",0)</f>
        <v>#REF!</v>
      </c>
      <c r="HW2" t="e">
        <f>IF(Specifications!#REF!,"AAAAAH7/XeY=",0)</f>
        <v>#REF!</v>
      </c>
      <c r="HX2" t="e">
        <f>IF(Specifications!#REF!,"AAAAAH7/Xec=",0)</f>
        <v>#REF!</v>
      </c>
      <c r="HY2" t="e">
        <f>IF(Specifications!#REF!,"AAAAAH7/Xeg=",0)</f>
        <v>#REF!</v>
      </c>
      <c r="HZ2" t="e">
        <f>IF(Specifications!#REF!,"AAAAAH7/Xek=",0)</f>
        <v>#REF!</v>
      </c>
      <c r="IA2" t="e">
        <f>IF(Specifications!#REF!,"AAAAAH7/Xeo=",0)</f>
        <v>#REF!</v>
      </c>
      <c r="IB2">
        <f>IF(Specifications!108:108,"AAAAAH7/Xes=",0)</f>
        <v>0</v>
      </c>
      <c r="IC2" t="e">
        <f>IF(Specifications!#REF!,"AAAAAH7/Xew=",0)</f>
        <v>#REF!</v>
      </c>
      <c r="ID2" t="e">
        <f>IF(Specifications!#REF!,"AAAAAH7/Xe0=",0)</f>
        <v>#REF!</v>
      </c>
      <c r="IE2" t="e">
        <f>IF(Specifications!#REF!,"AAAAAH7/Xe4=",0)</f>
        <v>#REF!</v>
      </c>
      <c r="IF2" t="e">
        <f>IF(Specifications!#REF!,"AAAAAH7/Xe8=",0)</f>
        <v>#REF!</v>
      </c>
      <c r="IG2" t="e">
        <f>IF(Specifications!#REF!,"AAAAAH7/XfA=",0)</f>
        <v>#REF!</v>
      </c>
      <c r="IH2" t="e">
        <f>IF(Specifications!#REF!,"AAAAAH7/XfE=",0)</f>
        <v>#REF!</v>
      </c>
      <c r="II2" t="e">
        <f>IF(Specifications!#REF!,"AAAAAH7/XfI=",0)</f>
        <v>#REF!</v>
      </c>
      <c r="IJ2" t="e">
        <f>IF(Specifications!#REF!,"AAAAAH7/XfM=",0)</f>
        <v>#REF!</v>
      </c>
      <c r="IK2" t="e">
        <f>IF(Specifications!#REF!,"AAAAAH7/XfQ=",0)</f>
        <v>#REF!</v>
      </c>
      <c r="IL2" t="e">
        <f>IF(Specifications!#REF!,"AAAAAH7/XfU=",0)</f>
        <v>#REF!</v>
      </c>
      <c r="IM2" t="e">
        <f>IF(Specifications!#REF!,"AAAAAH7/XfY=",0)</f>
        <v>#REF!</v>
      </c>
      <c r="IN2" t="e">
        <f>IF(Specifications!#REF!,"AAAAAH7/Xfc=",0)</f>
        <v>#REF!</v>
      </c>
      <c r="IO2" t="e">
        <f>IF(Specifications!#REF!,"AAAAAH7/Xfg=",0)</f>
        <v>#REF!</v>
      </c>
      <c r="IP2" t="e">
        <f>IF(Specifications!#REF!,"AAAAAH7/Xfk=",0)</f>
        <v>#REF!</v>
      </c>
      <c r="IQ2" t="e">
        <f>IF(Specifications!#REF!,"AAAAAH7/Xfo=",0)</f>
        <v>#REF!</v>
      </c>
      <c r="IR2" t="e">
        <f>IF(Specifications!#REF!,"AAAAAH7/Xfs=",0)</f>
        <v>#REF!</v>
      </c>
      <c r="IS2" t="e">
        <f>IF(Specifications!#REF!,"AAAAAH7/Xfw=",0)</f>
        <v>#REF!</v>
      </c>
      <c r="IT2" t="e">
        <f>IF(Specifications!#REF!,"AAAAAH7/Xf0=",0)</f>
        <v>#REF!</v>
      </c>
      <c r="IU2" t="e">
        <f>IF(Specifications!#REF!,"AAAAAH7/Xf4=",0)</f>
        <v>#REF!</v>
      </c>
      <c r="IV2" t="e">
        <f>IF(Specifications!#REF!,"AAAAAH7/Xf8=",0)</f>
        <v>#REF!</v>
      </c>
    </row>
    <row r="3" spans="1:256" x14ac:dyDescent="0.35">
      <c r="A3" t="e">
        <f>IF(Specifications!#REF!,"AAAAAGvzbQA=",0)</f>
        <v>#REF!</v>
      </c>
      <c r="B3" t="e">
        <f>IF(Specifications!#REF!,"AAAAAGvzbQE=",0)</f>
        <v>#REF!</v>
      </c>
      <c r="C3" t="e">
        <f>IF(Specifications!#REF!,"AAAAAGvzbQI=",0)</f>
        <v>#REF!</v>
      </c>
      <c r="D3" t="e">
        <f>IF(Specifications!#REF!,"AAAAAGvzbQM=",0)</f>
        <v>#REF!</v>
      </c>
      <c r="E3" t="e">
        <f>IF(Specifications!#REF!,"AAAAAGvzbQQ=",0)</f>
        <v>#REF!</v>
      </c>
      <c r="F3" t="e">
        <f>IF(Specifications!#REF!,"AAAAAGvzbQU=",0)</f>
        <v>#REF!</v>
      </c>
      <c r="G3" t="e">
        <f>IF(Specifications!#REF!,"AAAAAGvzbQY=",0)</f>
        <v>#REF!</v>
      </c>
      <c r="H3" t="e">
        <f>IF(Specifications!#REF!,"AAAAAGvzbQc=",0)</f>
        <v>#REF!</v>
      </c>
      <c r="I3" t="e">
        <f>IF(Specifications!#REF!,"AAAAAGvzbQg=",0)</f>
        <v>#REF!</v>
      </c>
      <c r="J3" t="e">
        <f>IF(Specifications!#REF!,"AAAAAGvzbQk=",0)</f>
        <v>#REF!</v>
      </c>
      <c r="K3" t="e">
        <f>IF(Specifications!#REF!,"AAAAAGvzbQo=",0)</f>
        <v>#REF!</v>
      </c>
      <c r="L3" t="e">
        <f>IF(Specifications!#REF!,"AAAAAGvzbQs=",0)</f>
        <v>#REF!</v>
      </c>
      <c r="M3" t="e">
        <f>IF(Specifications!#REF!,"AAAAAGvzbQw=",0)</f>
        <v>#REF!</v>
      </c>
      <c r="N3" t="e">
        <f>IF(Specifications!#REF!,"AAAAAGvzbQ0=",0)</f>
        <v>#REF!</v>
      </c>
      <c r="O3" t="e">
        <f>IF(Specifications!#REF!,"AAAAAGvzbQ4=",0)</f>
        <v>#REF!</v>
      </c>
      <c r="P3" t="e">
        <f>IF(Specifications!#REF!,"AAAAAGvzbQ8=",0)</f>
        <v>#REF!</v>
      </c>
      <c r="Q3" t="e">
        <f>IF(Specifications!#REF!,"AAAAAGvzbRA=",0)</f>
        <v>#REF!</v>
      </c>
      <c r="R3" t="e">
        <f>IF(Specifications!#REF!,"AAAAAGvzbRE=",0)</f>
        <v>#REF!</v>
      </c>
      <c r="S3" t="e">
        <f>IF(Specifications!#REF!,"AAAAAGvzbRI=",0)</f>
        <v>#REF!</v>
      </c>
      <c r="T3" t="e">
        <f>IF(Specifications!#REF!,"AAAAAGvzbRM=",0)</f>
        <v>#REF!</v>
      </c>
      <c r="U3" t="e">
        <f>IF(Specifications!#REF!,"AAAAAGvzbRQ=",0)</f>
        <v>#REF!</v>
      </c>
      <c r="V3" t="e">
        <f>IF(Specifications!#REF!,"AAAAAGvzbRU=",0)</f>
        <v>#REF!</v>
      </c>
      <c r="W3" t="e">
        <f>IF(Specifications!#REF!,"AAAAAGvzbRY=",0)</f>
        <v>#REF!</v>
      </c>
      <c r="X3" t="e">
        <f>IF(Specifications!#REF!,"AAAAAGvzbRc=",0)</f>
        <v>#REF!</v>
      </c>
      <c r="Y3" t="e">
        <f>IF(Specifications!#REF!,"AAAAAGvzbRg=",0)</f>
        <v>#REF!</v>
      </c>
      <c r="Z3" t="e">
        <f>IF(Specifications!#REF!,"AAAAAGvzbRk=",0)</f>
        <v>#REF!</v>
      </c>
      <c r="AA3" t="e">
        <f>IF(Specifications!#REF!,"AAAAAGvzbRo=",0)</f>
        <v>#REF!</v>
      </c>
      <c r="AB3" t="e">
        <f>IF(Specifications!#REF!,"AAAAAGvzbRs=",0)</f>
        <v>#REF!</v>
      </c>
      <c r="AC3" t="e">
        <f>IF(Specifications!#REF!,"AAAAAGvzbRw=",0)</f>
        <v>#REF!</v>
      </c>
      <c r="AD3" t="e">
        <f>IF(Specifications!#REF!,"AAAAAGvzbR0=",0)</f>
        <v>#REF!</v>
      </c>
      <c r="AE3" t="e">
        <f>IF(Specifications!#REF!,"AAAAAGvzbR4=",0)</f>
        <v>#REF!</v>
      </c>
      <c r="AF3" t="e">
        <f>IF(Specifications!#REF!,"AAAAAGvzbR8=",0)</f>
        <v>#REF!</v>
      </c>
      <c r="AG3" t="e">
        <f>IF(Specifications!#REF!,"AAAAAGvzbSA=",0)</f>
        <v>#REF!</v>
      </c>
      <c r="AH3" t="e">
        <f>IF(Specifications!#REF!,"AAAAAGvzbSE=",0)</f>
        <v>#REF!</v>
      </c>
      <c r="AI3" t="e">
        <f>IF(Specifications!#REF!,"AAAAAGvzbSI=",0)</f>
        <v>#REF!</v>
      </c>
      <c r="AJ3" t="e">
        <f>IF(Specifications!#REF!,"AAAAAGvzbSM=",0)</f>
        <v>#REF!</v>
      </c>
      <c r="AK3" t="e">
        <f>IF(Specifications!#REF!,"AAAAAGvzbSQ=",0)</f>
        <v>#REF!</v>
      </c>
      <c r="AL3" t="e">
        <f>IF(Specifications!#REF!,"AAAAAGvzbSU=",0)</f>
        <v>#REF!</v>
      </c>
      <c r="AM3" t="e">
        <f>IF(Specifications!#REF!,"AAAAAGvzbSY=",0)</f>
        <v>#REF!</v>
      </c>
      <c r="AN3" t="e">
        <f>IF(Specifications!#REF!,"AAAAAGvzbSc=",0)</f>
        <v>#REF!</v>
      </c>
      <c r="AO3" t="e">
        <f>IF(Specifications!#REF!,"AAAAAGvzbSg=",0)</f>
        <v>#REF!</v>
      </c>
      <c r="AP3" t="e">
        <f>IF(Specifications!#REF!,"AAAAAGvzbSk=",0)</f>
        <v>#REF!</v>
      </c>
      <c r="AQ3" t="e">
        <f>IF(Specifications!#REF!,"AAAAAGvzbSo=",0)</f>
        <v>#REF!</v>
      </c>
      <c r="AR3" t="e">
        <f>IF(Specifications!#REF!,"AAAAAGvzbSs=",0)</f>
        <v>#REF!</v>
      </c>
      <c r="AS3" t="e">
        <f>IF(Specifications!#REF!,"AAAAAGvzbSw=",0)</f>
        <v>#REF!</v>
      </c>
      <c r="AT3" t="e">
        <f>IF(Specifications!#REF!,"AAAAAGvzbS0=",0)</f>
        <v>#REF!</v>
      </c>
      <c r="AU3" t="e">
        <f>IF(Specifications!#REF!,"AAAAAGvzbS4=",0)</f>
        <v>#REF!</v>
      </c>
      <c r="AV3" t="e">
        <f>IF(Specifications!#REF!,"AAAAAGvzbS8=",0)</f>
        <v>#REF!</v>
      </c>
      <c r="AW3" t="e">
        <f>IF(Specifications!#REF!,"AAAAAGvzbTA=",0)</f>
        <v>#REF!</v>
      </c>
      <c r="AX3" t="e">
        <f>IF(Specifications!#REF!,"AAAAAGvzbTE=",0)</f>
        <v>#REF!</v>
      </c>
      <c r="AY3" t="e">
        <f>IF(Specifications!#REF!,"AAAAAGvzbTI=",0)</f>
        <v>#REF!</v>
      </c>
      <c r="AZ3" t="e">
        <f>IF(Specifications!#REF!,"AAAAAGvzbTM=",0)</f>
        <v>#REF!</v>
      </c>
      <c r="BA3">
        <f>IF(Specifications!117:117,"AAAAAGvzbTQ=",0)</f>
        <v>0</v>
      </c>
      <c r="BB3">
        <f>IF(Specifications!118:118,"AAAAAGvzbTU=",0)</f>
        <v>0</v>
      </c>
      <c r="BC3" t="e">
        <f>IF(Specifications!#REF!,"AAAAAGvzbTY=",0)</f>
        <v>#REF!</v>
      </c>
      <c r="BD3">
        <f>IF(Specifications!121:121,"AAAAAGvzbTc=",0)</f>
        <v>0</v>
      </c>
      <c r="BE3">
        <f>IF(Specifications!123:123,"AAAAAGvzbTg=",0)</f>
        <v>0</v>
      </c>
      <c r="BF3">
        <f>IF(Specifications!124:124,"AAAAAGvzbTk=",0)</f>
        <v>0</v>
      </c>
      <c r="BG3">
        <f>IF(Specifications!125:125,"AAAAAGvzbTo=",0)</f>
        <v>0</v>
      </c>
      <c r="BH3">
        <f>IF(Specifications!126:126,"AAAAAGvzbTs=",0)</f>
        <v>0</v>
      </c>
      <c r="BI3" t="e">
        <f>IF(Specifications!#REF!,"AAAAAGvzbTw=",0)</f>
        <v>#REF!</v>
      </c>
      <c r="BJ3">
        <f>IF(Specifications!127:127,"AAAAAGvzbT0=",0)</f>
        <v>0</v>
      </c>
      <c r="BK3">
        <f>IF(Specifications!128:128,"AAAAAGvzbT4=",0)</f>
        <v>0</v>
      </c>
      <c r="BL3">
        <f>IF(Specifications!129:129,"AAAAAGvzbT8=",0)</f>
        <v>0</v>
      </c>
      <c r="BM3">
        <f>IF(Specifications!130:130,"AAAAAGvzbUA=",0)</f>
        <v>0</v>
      </c>
      <c r="BN3">
        <f>IF(Specifications!131:131,"AAAAAGvzbUE=",0)</f>
        <v>0</v>
      </c>
      <c r="BO3">
        <f>IF(Specifications!132:132,"AAAAAGvzbUI=",0)</f>
        <v>0</v>
      </c>
      <c r="BP3">
        <f>IF(Specifications!133:133,"AAAAAGvzbUM=",0)</f>
        <v>0</v>
      </c>
      <c r="BQ3">
        <f>IF(Specifications!134:134,"AAAAAGvzbUQ=",0)</f>
        <v>0</v>
      </c>
      <c r="BR3" t="e">
        <f>IF(Specifications!#REF!,"AAAAAGvzbUU=",0)</f>
        <v>#REF!</v>
      </c>
      <c r="BS3" t="e">
        <f>IF(Specifications!#REF!,"AAAAAGvzbUY=",0)</f>
        <v>#REF!</v>
      </c>
      <c r="BT3" t="e">
        <f>IF(Specifications!#REF!,"AAAAAGvzbUc=",0)</f>
        <v>#REF!</v>
      </c>
      <c r="BU3" t="e">
        <f>IF(Specifications!#REF!,"AAAAAGvzbUg=",0)</f>
        <v>#REF!</v>
      </c>
      <c r="BV3" t="e">
        <f>IF(Specifications!#REF!,"AAAAAGvzbUk=",0)</f>
        <v>#REF!</v>
      </c>
      <c r="BW3" t="e">
        <f>IF(Specifications!#REF!,"AAAAAGvzbUo=",0)</f>
        <v>#REF!</v>
      </c>
      <c r="BX3" t="e">
        <f>IF(Specifications!#REF!,"AAAAAGvzbUs=",0)</f>
        <v>#REF!</v>
      </c>
      <c r="BY3">
        <f>IF(Specifications!220:220,"AAAAAGvzbUw=",0)</f>
        <v>0</v>
      </c>
      <c r="BZ3">
        <f>IF(Specifications!221:221,"AAAAAGvzbU0=",0)</f>
        <v>0</v>
      </c>
      <c r="CA3">
        <f>IF(Specifications!222:222,"AAAAAGvzbU4=",0)</f>
        <v>0</v>
      </c>
      <c r="CB3" t="e">
        <f>IF(Specifications!#REF!,"AAAAAGvzbU8=",0)</f>
        <v>#REF!</v>
      </c>
      <c r="CC3" t="e">
        <f>IF(Specifications!#REF!,"AAAAAGvzbVA=",0)</f>
        <v>#REF!</v>
      </c>
      <c r="CD3" t="e">
        <f>IF(Specifications!#REF!,"AAAAAGvzbVE=",0)</f>
        <v>#REF!</v>
      </c>
      <c r="CE3" t="e">
        <f>IF(Specifications!#REF!,"AAAAAGvzbVI=",0)</f>
        <v>#REF!</v>
      </c>
      <c r="CF3" t="e">
        <f>IF(Specifications!#REF!,"AAAAAGvzbVM=",0)</f>
        <v>#REF!</v>
      </c>
      <c r="CG3" t="e">
        <f>IF(Specifications!#REF!,"AAAAAGvzbVQ=",0)</f>
        <v>#REF!</v>
      </c>
      <c r="CH3" t="e">
        <f>IF(Specifications!#REF!,"AAAAAGvzbVU=",0)</f>
        <v>#REF!</v>
      </c>
      <c r="CI3" t="e">
        <f>IF(Specifications!#REF!,"AAAAAGvzbVY=",0)</f>
        <v>#REF!</v>
      </c>
      <c r="CJ3" t="e">
        <f>IF(Specifications!#REF!,"AAAAAGvzbVc=",0)</f>
        <v>#REF!</v>
      </c>
      <c r="CK3" t="e">
        <f>IF(Specifications!#REF!,"AAAAAGvzbVg=",0)</f>
        <v>#REF!</v>
      </c>
      <c r="CL3" t="e">
        <f>IF(Specifications!#REF!,"AAAAAGvzbVk=",0)</f>
        <v>#REF!</v>
      </c>
      <c r="CM3" t="e">
        <f>IF(Specifications!#REF!,"AAAAAGvzbVo=",0)</f>
        <v>#REF!</v>
      </c>
      <c r="CN3" t="e">
        <f>IF(Specifications!#REF!,"AAAAAGvzbVs=",0)</f>
        <v>#REF!</v>
      </c>
      <c r="CO3" t="e">
        <f>IF(Specifications!#REF!,"AAAAAGvzbVw=",0)</f>
        <v>#REF!</v>
      </c>
      <c r="CP3" t="e">
        <f>IF(Specifications!#REF!,"AAAAAGvzbV0=",0)</f>
        <v>#REF!</v>
      </c>
      <c r="CQ3" t="e">
        <f>IF(Specifications!#REF!,"AAAAAGvzbV4=",0)</f>
        <v>#REF!</v>
      </c>
      <c r="CR3" t="e">
        <f>IF(Specifications!#REF!,"AAAAAGvzbV8=",0)</f>
        <v>#REF!</v>
      </c>
      <c r="CS3" t="e">
        <f>IF(Specifications!#REF!,"AAAAAGvzbWA=",0)</f>
        <v>#REF!</v>
      </c>
      <c r="CT3" t="e">
        <f>IF(Specifications!#REF!,"AAAAAGvzbWE=",0)</f>
        <v>#REF!</v>
      </c>
      <c r="CU3" t="e">
        <f>IF(Specifications!#REF!,"AAAAAGvzbWI=",0)</f>
        <v>#REF!</v>
      </c>
      <c r="CV3" t="e">
        <f>IF(Specifications!#REF!,"AAAAAGvzbWM=",0)</f>
        <v>#REF!</v>
      </c>
      <c r="CW3" t="e">
        <f>IF(Specifications!#REF!,"AAAAAGvzbWQ=",0)</f>
        <v>#REF!</v>
      </c>
      <c r="CX3" t="e">
        <f>IF(Specifications!#REF!,"AAAAAGvzbWU=",0)</f>
        <v>#REF!</v>
      </c>
      <c r="CY3" t="e">
        <f>IF(Specifications!#REF!,"AAAAAGvzbWY=",0)</f>
        <v>#REF!</v>
      </c>
      <c r="CZ3" t="e">
        <f>IF(Specifications!#REF!,"AAAAAGvzbWc=",0)</f>
        <v>#REF!</v>
      </c>
      <c r="DA3" t="e">
        <f>IF(Specifications!#REF!,"AAAAAGvzbWg=",0)</f>
        <v>#REF!</v>
      </c>
      <c r="DB3" t="e">
        <f>IF(Specifications!#REF!,"AAAAAGvzbWk=",0)</f>
        <v>#REF!</v>
      </c>
      <c r="DC3" t="e">
        <f>IF(Specifications!#REF!,"AAAAAGvzbWo=",0)</f>
        <v>#REF!</v>
      </c>
      <c r="DD3" t="e">
        <f>IF(Specifications!#REF!,"AAAAAGvzbWs=",0)</f>
        <v>#REF!</v>
      </c>
      <c r="DE3" t="e">
        <f>IF(Specifications!#REF!,"AAAAAGvzbWw=",0)</f>
        <v>#REF!</v>
      </c>
      <c r="DF3" t="e">
        <f>IF(Specifications!#REF!,"AAAAAGvzbW0=",0)</f>
        <v>#REF!</v>
      </c>
      <c r="DG3" t="e">
        <f>IF(Specifications!#REF!,"AAAAAGvzbW4=",0)</f>
        <v>#REF!</v>
      </c>
      <c r="DH3" t="e">
        <f>IF(Specifications!#REF!,"AAAAAGvzbW8=",0)</f>
        <v>#REF!</v>
      </c>
      <c r="DI3" t="e">
        <f>IF(Specifications!#REF!,"AAAAAGvzbXA=",0)</f>
        <v>#REF!</v>
      </c>
      <c r="DJ3" t="e">
        <f>IF(Specifications!#REF!,"AAAAAGvzbXE=",0)</f>
        <v>#REF!</v>
      </c>
      <c r="DK3" t="e">
        <f>IF(Specifications!#REF!,"AAAAAGvzbXI=",0)</f>
        <v>#REF!</v>
      </c>
      <c r="DL3" t="e">
        <f>IF(Specifications!#REF!,"AAAAAGvzbXM=",0)</f>
        <v>#REF!</v>
      </c>
      <c r="DM3" t="e">
        <f>IF(Specifications!#REF!,"AAAAAGvzbXQ=",0)</f>
        <v>#REF!</v>
      </c>
      <c r="DN3" t="e">
        <f>IF(Specifications!#REF!,"AAAAAGvzbXU=",0)</f>
        <v>#REF!</v>
      </c>
      <c r="DO3" t="e">
        <f>IF(Specifications!#REF!,"AAAAAGvzbXY=",0)</f>
        <v>#REF!</v>
      </c>
      <c r="DP3" t="e">
        <f>IF(Specifications!#REF!,"AAAAAGvzbXc=",0)</f>
        <v>#REF!</v>
      </c>
      <c r="DQ3" t="e">
        <f>IF(Specifications!#REF!,"AAAAAGvzbXg=",0)</f>
        <v>#REF!</v>
      </c>
      <c r="DR3" t="e">
        <f>IF(Specifications!#REF!,"AAAAAGvzbXk=",0)</f>
        <v>#REF!</v>
      </c>
      <c r="DS3" t="e">
        <f>IF(Specifications!#REF!,"AAAAAGvzbXo=",0)</f>
        <v>#REF!</v>
      </c>
      <c r="DT3" t="e">
        <f>IF(Specifications!#REF!,"AAAAAGvzbXs=",0)</f>
        <v>#REF!</v>
      </c>
      <c r="DU3" t="e">
        <f>IF(Specifications!#REF!,"AAAAAGvzbXw=",0)</f>
        <v>#REF!</v>
      </c>
      <c r="DV3" t="e">
        <f>IF(Specifications!#REF!,"AAAAAGvzbX0=",0)</f>
        <v>#REF!</v>
      </c>
      <c r="DW3" t="e">
        <f>IF(Specifications!#REF!,"AAAAAGvzbX4=",0)</f>
        <v>#REF!</v>
      </c>
      <c r="DX3" t="e">
        <f>IF(Specifications!#REF!,"AAAAAGvzbX8=",0)</f>
        <v>#REF!</v>
      </c>
      <c r="DY3" t="e">
        <f>IF(Specifications!#REF!,"AAAAAGvzbYA=",0)</f>
        <v>#REF!</v>
      </c>
      <c r="DZ3" t="e">
        <f>IF(Specifications!#REF!,"AAAAAGvzbYE=",0)</f>
        <v>#REF!</v>
      </c>
      <c r="EA3" t="e">
        <f>IF(Specifications!#REF!,"AAAAAGvzbYI=",0)</f>
        <v>#REF!</v>
      </c>
      <c r="EB3" t="e">
        <f>IF(Specifications!#REF!,"AAAAAGvzbYM=",0)</f>
        <v>#REF!</v>
      </c>
      <c r="EC3" t="e">
        <f>IF(Specifications!#REF!,"AAAAAGvzbYQ=",0)</f>
        <v>#REF!</v>
      </c>
      <c r="ED3" t="e">
        <f>IF(Specifications!#REF!,"AAAAAGvzbYU=",0)</f>
        <v>#REF!</v>
      </c>
      <c r="EE3" t="e">
        <f>IF(Specifications!#REF!,"AAAAAGvzbYY=",0)</f>
        <v>#REF!</v>
      </c>
      <c r="EF3" t="e">
        <f>IF(Specifications!#REF!,"AAAAAGvzbYc=",0)</f>
        <v>#REF!</v>
      </c>
      <c r="EG3" t="e">
        <f>IF(Specifications!#REF!,"AAAAAGvzbYg=",0)</f>
        <v>#REF!</v>
      </c>
      <c r="EH3" t="e">
        <f>IF(Specifications!#REF!,"AAAAAGvzbYk=",0)</f>
        <v>#REF!</v>
      </c>
      <c r="EI3" t="e">
        <f>IF(Specifications!#REF!,"AAAAAGvzbYo=",0)</f>
        <v>#REF!</v>
      </c>
      <c r="EJ3" t="e">
        <f>IF(Specifications!#REF!,"AAAAAGvzbYs=",0)</f>
        <v>#REF!</v>
      </c>
      <c r="EK3" t="e">
        <f>IF(Specifications!#REF!,"AAAAAGvzbYw=",0)</f>
        <v>#REF!</v>
      </c>
      <c r="EL3" t="e">
        <f>IF(Specifications!#REF!,"AAAAAGvzbY0=",0)</f>
        <v>#REF!</v>
      </c>
      <c r="EM3" t="e">
        <f>IF(Specifications!#REF!,"AAAAAGvzbY4=",0)</f>
        <v>#REF!</v>
      </c>
      <c r="EN3" t="e">
        <f>IF(Specifications!#REF!,"AAAAAGvzbY8=",0)</f>
        <v>#REF!</v>
      </c>
      <c r="EO3" t="e">
        <f>IF(Specifications!#REF!,"AAAAAGvzbZA=",0)</f>
        <v>#REF!</v>
      </c>
      <c r="EP3" t="e">
        <f>IF(Specifications!#REF!,"AAAAAGvzbZE=",0)</f>
        <v>#REF!</v>
      </c>
      <c r="EQ3" t="e">
        <f>IF(Specifications!#REF!,"AAAAAGvzbZI=",0)</f>
        <v>#REF!</v>
      </c>
      <c r="ER3" t="e">
        <f>IF(Specifications!#REF!,"AAAAAGvzbZM=",0)</f>
        <v>#REF!</v>
      </c>
      <c r="ES3" t="e">
        <f>IF(Specifications!#REF!,"AAAAAGvzbZQ=",0)</f>
        <v>#REF!</v>
      </c>
      <c r="ET3" t="e">
        <f>IF(Specifications!#REF!,"AAAAAGvzbZU=",0)</f>
        <v>#REF!</v>
      </c>
      <c r="EU3" t="e">
        <f>IF(Specifications!#REF!,"AAAAAGvzbZY=",0)</f>
        <v>#REF!</v>
      </c>
      <c r="EV3" t="e">
        <f>IF(Specifications!#REF!,"AAAAAGvzbZc=",0)</f>
        <v>#REF!</v>
      </c>
      <c r="EW3" t="e">
        <f>IF(Specifications!#REF!,"AAAAAGvzbZg=",0)</f>
        <v>#REF!</v>
      </c>
      <c r="EX3" t="e">
        <f>IF(Specifications!#REF!,"AAAAAGvzbZk=",0)</f>
        <v>#REF!</v>
      </c>
      <c r="EY3" t="e">
        <f>IF(Specifications!#REF!,"AAAAAGvzbZo=",0)</f>
        <v>#REF!</v>
      </c>
      <c r="EZ3" t="e">
        <f>IF(Specifications!#REF!,"AAAAAGvzbZs=",0)</f>
        <v>#REF!</v>
      </c>
      <c r="FA3" t="e">
        <f>IF(Specifications!#REF!,"AAAAAGvzbZw=",0)</f>
        <v>#REF!</v>
      </c>
      <c r="FB3" t="e">
        <f>IF(Specifications!#REF!,"AAAAAGvzbZ0=",0)</f>
        <v>#REF!</v>
      </c>
      <c r="FC3" t="e">
        <f>IF(Specifications!#REF!,"AAAAAGvzbZ4=",0)</f>
        <v>#REF!</v>
      </c>
      <c r="FD3" t="e">
        <f>IF(Specifications!#REF!,"AAAAAGvzbZ8=",0)</f>
        <v>#REF!</v>
      </c>
      <c r="FE3" t="e">
        <f>IF(Specifications!#REF!,"AAAAAGvzbaA=",0)</f>
        <v>#REF!</v>
      </c>
      <c r="FF3" t="e">
        <f>IF(Specifications!#REF!,"AAAAAGvzbaE=",0)</f>
        <v>#REF!</v>
      </c>
      <c r="FG3" t="e">
        <f>IF(Specifications!#REF!,"AAAAAGvzbaI=",0)</f>
        <v>#REF!</v>
      </c>
      <c r="FH3" t="e">
        <f>IF(Specifications!#REF!,"AAAAAGvzbaM=",0)</f>
        <v>#REF!</v>
      </c>
      <c r="FI3" t="e">
        <f>IF(Specifications!#REF!,"AAAAAGvzbaQ=",0)</f>
        <v>#REF!</v>
      </c>
      <c r="FJ3" t="e">
        <f>IF(Specifications!#REF!,"AAAAAGvzbaU=",0)</f>
        <v>#REF!</v>
      </c>
      <c r="FK3" t="e">
        <f>IF(Specifications!#REF!,"AAAAAGvzbaY=",0)</f>
        <v>#REF!</v>
      </c>
      <c r="FL3" t="e">
        <f>IF(Specifications!#REF!,"AAAAAGvzbac=",0)</f>
        <v>#REF!</v>
      </c>
      <c r="FM3" t="e">
        <f>IF(Specifications!#REF!,"AAAAAGvzbag=",0)</f>
        <v>#REF!</v>
      </c>
      <c r="FN3" t="e">
        <f>IF(Specifications!#REF!,"AAAAAGvzbak=",0)</f>
        <v>#REF!</v>
      </c>
      <c r="FO3" t="e">
        <f>IF(Specifications!#REF!,"AAAAAGvzbao=",0)</f>
        <v>#REF!</v>
      </c>
      <c r="FP3" t="e">
        <f>IF(Specifications!#REF!,"AAAAAGvzbas=",0)</f>
        <v>#REF!</v>
      </c>
      <c r="FQ3" t="e">
        <f>IF(Specifications!#REF!,"AAAAAGvzbaw=",0)</f>
        <v>#REF!</v>
      </c>
      <c r="FR3" t="e">
        <f>IF(Specifications!#REF!,"AAAAAGvzba0=",0)</f>
        <v>#REF!</v>
      </c>
      <c r="FS3" t="e">
        <f>IF(Specifications!#REF!,"AAAAAGvzba4=",0)</f>
        <v>#REF!</v>
      </c>
      <c r="FT3" t="e">
        <f>IF(Specifications!#REF!,"AAAAAGvzba8=",0)</f>
        <v>#REF!</v>
      </c>
      <c r="FU3" t="e">
        <f>IF(Specifications!#REF!,"AAAAAGvzbbA=",0)</f>
        <v>#REF!</v>
      </c>
      <c r="FV3" t="e">
        <f>IF(Specifications!#REF!,"AAAAAGvzbbE=",0)</f>
        <v>#REF!</v>
      </c>
      <c r="FW3" t="e">
        <f>IF(Specifications!#REF!,"AAAAAGvzbbI=",0)</f>
        <v>#REF!</v>
      </c>
      <c r="FX3" t="e">
        <f>IF(Specifications!#REF!,"AAAAAGvzbbM=",0)</f>
        <v>#REF!</v>
      </c>
      <c r="FY3" t="e">
        <f>IF(Specifications!#REF!,"AAAAAGvzbbQ=",0)</f>
        <v>#REF!</v>
      </c>
      <c r="FZ3" t="e">
        <f>IF(Specifications!#REF!,"AAAAAGvzbbU=",0)</f>
        <v>#REF!</v>
      </c>
      <c r="GA3" t="e">
        <f>IF(Specifications!#REF!,"AAAAAGvzbbY=",0)</f>
        <v>#REF!</v>
      </c>
      <c r="GB3" t="e">
        <f>IF(Specifications!#REF!,"AAAAAGvzbbc=",0)</f>
        <v>#REF!</v>
      </c>
      <c r="GC3" t="e">
        <f>IF(Specifications!#REF!,"AAAAAGvzbbg=",0)</f>
        <v>#REF!</v>
      </c>
      <c r="GD3" t="e">
        <f>IF(Specifications!#REF!,"AAAAAGvzbbk=",0)</f>
        <v>#REF!</v>
      </c>
      <c r="GE3" t="e">
        <f>IF(Specifications!#REF!,"AAAAAGvzbbo=",0)</f>
        <v>#REF!</v>
      </c>
      <c r="GF3" t="e">
        <f>IF(Specifications!#REF!,"AAAAAGvzbbs=",0)</f>
        <v>#REF!</v>
      </c>
      <c r="GG3" t="e">
        <f>IF(Specifications!#REF!,"AAAAAGvzbbw=",0)</f>
        <v>#REF!</v>
      </c>
      <c r="GH3" t="e">
        <f>IF(Specifications!#REF!,"AAAAAGvzbb0=",0)</f>
        <v>#REF!</v>
      </c>
      <c r="GI3" t="e">
        <f>IF(Specifications!#REF!,"AAAAAGvzbb4=",0)</f>
        <v>#REF!</v>
      </c>
      <c r="GJ3" t="e">
        <f>IF(Specifications!#REF!,"AAAAAGvzbb8=",0)</f>
        <v>#REF!</v>
      </c>
      <c r="GK3" t="e">
        <f>IF(Specifications!#REF!,"AAAAAGvzbcA=",0)</f>
        <v>#REF!</v>
      </c>
      <c r="GL3" t="e">
        <f>IF(Specifications!#REF!,"AAAAAGvzbcE=",0)</f>
        <v>#REF!</v>
      </c>
      <c r="GM3" t="e">
        <f>IF(Specifications!#REF!,"AAAAAGvzbcI=",0)</f>
        <v>#REF!</v>
      </c>
      <c r="GN3" t="e">
        <f>IF(Specifications!#REF!,"AAAAAGvzbcM=",0)</f>
        <v>#REF!</v>
      </c>
      <c r="GO3" t="e">
        <f>IF(Specifications!#REF!,"AAAAAGvzbcQ=",0)</f>
        <v>#REF!</v>
      </c>
      <c r="GP3" t="e">
        <f>IF(Specifications!#REF!,"AAAAAGvzbcU=",0)</f>
        <v>#REF!</v>
      </c>
      <c r="GQ3" t="e">
        <f>IF(Specifications!#REF!,"AAAAAGvzbcY=",0)</f>
        <v>#REF!</v>
      </c>
      <c r="GR3" t="e">
        <f>IF(Specifications!#REF!,"AAAAAGvzbcc=",0)</f>
        <v>#REF!</v>
      </c>
      <c r="GS3" t="e">
        <f>IF(Specifications!#REF!,"AAAAAGvzbcg=",0)</f>
        <v>#REF!</v>
      </c>
      <c r="GT3" t="e">
        <f>IF(Specifications!#REF!,"AAAAAGvzbck=",0)</f>
        <v>#REF!</v>
      </c>
      <c r="GU3" t="e">
        <f>IF(Specifications!#REF!,"AAAAAGvzbco=",0)</f>
        <v>#REF!</v>
      </c>
      <c r="GV3" t="e">
        <f>IF(Specifications!#REF!,"AAAAAGvzbcs=",0)</f>
        <v>#REF!</v>
      </c>
      <c r="GW3" t="e">
        <f>IF(Specifications!#REF!,"AAAAAGvzbcw=",0)</f>
        <v>#REF!</v>
      </c>
      <c r="GX3" t="e">
        <f>IF(Specifications!#REF!,"AAAAAGvzbc0=",0)</f>
        <v>#REF!</v>
      </c>
      <c r="GY3" t="e">
        <f>IF(Specifications!#REF!,"AAAAAGvzbc4=",0)</f>
        <v>#REF!</v>
      </c>
      <c r="GZ3" t="e">
        <f>IF(Specifications!#REF!,"AAAAAGvzbc8=",0)</f>
        <v>#REF!</v>
      </c>
      <c r="HA3" t="e">
        <f>IF(Specifications!#REF!,"AAAAAGvzbdA=",0)</f>
        <v>#REF!</v>
      </c>
      <c r="HB3" t="e">
        <f>IF(Specifications!#REF!,"AAAAAGvzbdE=",0)</f>
        <v>#REF!</v>
      </c>
      <c r="HC3" t="e">
        <f>IF(Specifications!#REF!,"AAAAAGvzbdI=",0)</f>
        <v>#REF!</v>
      </c>
      <c r="HD3" t="e">
        <f>IF(Specifications!#REF!,"AAAAAGvzbdM=",0)</f>
        <v>#REF!</v>
      </c>
      <c r="HE3" t="e">
        <f>IF(Specifications!#REF!,"AAAAAGvzbdQ=",0)</f>
        <v>#REF!</v>
      </c>
      <c r="HF3" t="e">
        <f>IF(Specifications!#REF!,"AAAAAGvzbdU=",0)</f>
        <v>#REF!</v>
      </c>
      <c r="HG3" t="e">
        <f>IF(Specifications!#REF!,"AAAAAGvzbdY=",0)</f>
        <v>#REF!</v>
      </c>
      <c r="HH3" t="e">
        <f>IF(Specifications!#REF!,"AAAAAGvzbdc=",0)</f>
        <v>#REF!</v>
      </c>
      <c r="HI3" t="e">
        <f>IF(Specifications!#REF!,"AAAAAGvzbdg=",0)</f>
        <v>#REF!</v>
      </c>
      <c r="HJ3" t="e">
        <f>IF(Specifications!#REF!,"AAAAAGvzbdk=",0)</f>
        <v>#REF!</v>
      </c>
      <c r="HK3" t="e">
        <f>IF(Specifications!#REF!,"AAAAAGvzbdo=",0)</f>
        <v>#REF!</v>
      </c>
      <c r="HL3" t="e">
        <f>IF(Specifications!#REF!,"AAAAAGvzbds=",0)</f>
        <v>#REF!</v>
      </c>
      <c r="HM3" t="e">
        <f>IF(Specifications!#REF!,"AAAAAGvzbdw=",0)</f>
        <v>#REF!</v>
      </c>
      <c r="HN3" t="e">
        <f>IF(Specifications!#REF!,"AAAAAGvzbd0=",0)</f>
        <v>#REF!</v>
      </c>
      <c r="HO3" t="e">
        <f>IF(Specifications!#REF!,"AAAAAGvzbd4=",0)</f>
        <v>#REF!</v>
      </c>
      <c r="HP3" t="e">
        <f>IF(Specifications!#REF!,"AAAAAGvzbd8=",0)</f>
        <v>#REF!</v>
      </c>
      <c r="HQ3" t="e">
        <f>IF(Specifications!#REF!,"AAAAAGvzbeA=",0)</f>
        <v>#REF!</v>
      </c>
      <c r="HR3" t="e">
        <f>IF(Specifications!#REF!,"AAAAAGvzbeE=",0)</f>
        <v>#REF!</v>
      </c>
      <c r="HS3" t="e">
        <f>IF(Specifications!#REF!,"AAAAAGvzbeI=",0)</f>
        <v>#REF!</v>
      </c>
      <c r="HT3" t="e">
        <f>IF(Specifications!#REF!,"AAAAAGvzbeM=",0)</f>
        <v>#REF!</v>
      </c>
      <c r="HU3" t="e">
        <f>IF(Specifications!#REF!,"AAAAAGvzbeQ=",0)</f>
        <v>#REF!</v>
      </c>
      <c r="HV3" t="e">
        <f>IF(Specifications!#REF!,"AAAAAGvzbeU=",0)</f>
        <v>#REF!</v>
      </c>
      <c r="HW3" t="e">
        <f>IF(Specifications!#REF!,"AAAAAGvzbeY=",0)</f>
        <v>#REF!</v>
      </c>
      <c r="HX3" t="e">
        <f>IF(Specifications!#REF!,"AAAAAGvzbec=",0)</f>
        <v>#REF!</v>
      </c>
      <c r="HY3" t="e">
        <f>IF(Specifications!#REF!,"AAAAAGvzbeg=",0)</f>
        <v>#REF!</v>
      </c>
      <c r="HZ3" t="e">
        <f>IF(Specifications!#REF!,"AAAAAGvzbek=",0)</f>
        <v>#REF!</v>
      </c>
      <c r="IA3" t="e">
        <f>IF(Specifications!#REF!,"AAAAAGvzbeo=",0)</f>
        <v>#REF!</v>
      </c>
      <c r="IB3" t="e">
        <f>IF(Specifications!#REF!,"AAAAAGvzbes=",0)</f>
        <v>#REF!</v>
      </c>
      <c r="IC3" t="e">
        <f>IF(Specifications!#REF!,"AAAAAGvzbew=",0)</f>
        <v>#REF!</v>
      </c>
      <c r="ID3" t="e">
        <f>IF(Specifications!#REF!,"AAAAAGvzbe0=",0)</f>
        <v>#REF!</v>
      </c>
      <c r="IE3" t="e">
        <f>IF(Specifications!#REF!,"AAAAAGvzbe4=",0)</f>
        <v>#REF!</v>
      </c>
      <c r="IF3" t="e">
        <f>IF(Specifications!#REF!,"AAAAAGvzbe8=",0)</f>
        <v>#REF!</v>
      </c>
      <c r="IG3" t="e">
        <f>IF(Specifications!#REF!,"AAAAAGvzbfA=",0)</f>
        <v>#REF!</v>
      </c>
      <c r="IH3" t="e">
        <f>IF(Specifications!#REF!,"AAAAAGvzbfE=",0)</f>
        <v>#REF!</v>
      </c>
      <c r="II3" t="e">
        <f>IF(Specifications!#REF!,"AAAAAGvzbfI=",0)</f>
        <v>#REF!</v>
      </c>
      <c r="IJ3" t="e">
        <f>IF(Specifications!#REF!,"AAAAAGvzbfM=",0)</f>
        <v>#REF!</v>
      </c>
      <c r="IK3" t="e">
        <f>IF(Specifications!#REF!,"AAAAAGvzbfQ=",0)</f>
        <v>#REF!</v>
      </c>
      <c r="IL3" t="e">
        <f>IF(Specifications!#REF!,"AAAAAGvzbfU=",0)</f>
        <v>#REF!</v>
      </c>
      <c r="IM3" t="e">
        <f>IF(Specifications!#REF!,"AAAAAGvzbfY=",0)</f>
        <v>#REF!</v>
      </c>
      <c r="IN3" t="e">
        <f>IF(Specifications!#REF!,"AAAAAGvzbfc=",0)</f>
        <v>#REF!</v>
      </c>
      <c r="IO3" t="e">
        <f>IF(Specifications!#REF!,"AAAAAGvzbfg=",0)</f>
        <v>#REF!</v>
      </c>
      <c r="IP3" t="e">
        <f>IF(Specifications!#REF!,"AAAAAGvzbfk=",0)</f>
        <v>#REF!</v>
      </c>
      <c r="IQ3" t="e">
        <f>IF(Specifications!#REF!,"AAAAAGvzbfo=",0)</f>
        <v>#REF!</v>
      </c>
      <c r="IR3" t="e">
        <f>IF(Specifications!#REF!,"AAAAAGvzbfs=",0)</f>
        <v>#REF!</v>
      </c>
      <c r="IS3" t="e">
        <f>IF(Specifications!#REF!,"AAAAAGvzbfw=",0)</f>
        <v>#REF!</v>
      </c>
      <c r="IT3" t="e">
        <f>IF(Specifications!#REF!,"AAAAAGvzbf0=",0)</f>
        <v>#REF!</v>
      </c>
      <c r="IU3" t="e">
        <f>IF(Specifications!#REF!,"AAAAAGvzbf4=",0)</f>
        <v>#REF!</v>
      </c>
      <c r="IV3" t="e">
        <f>IF(Specifications!#REF!,"AAAAAGvzbf8=",0)</f>
        <v>#REF!</v>
      </c>
    </row>
    <row r="4" spans="1:256" x14ac:dyDescent="0.35">
      <c r="A4" t="e">
        <f>IF(Specifications!#REF!,"AAAAAGarqwA=",0)</f>
        <v>#REF!</v>
      </c>
      <c r="B4" t="e">
        <f>IF(Specifications!#REF!,"AAAAAGarqwE=",0)</f>
        <v>#REF!</v>
      </c>
      <c r="C4" t="e">
        <f>IF(Specifications!#REF!,"AAAAAGarqwI=",0)</f>
        <v>#REF!</v>
      </c>
      <c r="D4" t="e">
        <f>IF(Specifications!#REF!,"AAAAAGarqwM=",0)</f>
        <v>#REF!</v>
      </c>
      <c r="E4" t="e">
        <f>IF(Specifications!#REF!,"AAAAAGarqwQ=",0)</f>
        <v>#REF!</v>
      </c>
      <c r="F4" t="e">
        <f>IF(Specifications!#REF!,"AAAAAGarqwU=",0)</f>
        <v>#REF!</v>
      </c>
      <c r="G4" t="e">
        <f>IF(Specifications!#REF!,"AAAAAGarqwY=",0)</f>
        <v>#REF!</v>
      </c>
      <c r="H4" t="e">
        <f>IF(Specifications!A:A,"AAAAAGarqwc=",0)</f>
        <v>#VALUE!</v>
      </c>
      <c r="I4" t="e">
        <f>IF(Specifications!D:D,"AAAAAGarqwg=",0)</f>
        <v>#VALUE!</v>
      </c>
      <c r="J4" t="e">
        <f>IF(Specifications!E:E,"AAAAAGarqwk=",0)</f>
        <v>#VALUE!</v>
      </c>
      <c r="K4" t="str">
        <f>IF(Specifications!G:G,"AAAAAGarqwo=",0)</f>
        <v>AAAAAGarqwo=</v>
      </c>
      <c r="L4" t="e">
        <f>IF(Specifications!H:H,"AAAAAGarqws=",0)</f>
        <v>#VALUE!</v>
      </c>
      <c r="M4" t="str">
        <f>IF(Specifications!I:I,"AAAAAGarqww=",0)</f>
        <v>AAAAAGarqww=</v>
      </c>
      <c r="N4" t="e">
        <f>IF(Specifications!J:J,"AAAAAGarqw0=",0)</f>
        <v>#VALUE!</v>
      </c>
      <c r="O4" t="e">
        <f>IF(Specifications!K:K,"AAAAAGarqw4=",0)</f>
        <v>#VALUE!</v>
      </c>
      <c r="P4" t="e">
        <f>IF(Specifications!#REF!,"AAAAAGarqw8=",0)</f>
        <v>#REF!</v>
      </c>
      <c r="Q4" t="e">
        <f>IF(Specifications!#REF!,"AAAAAGarqxA=",0)</f>
        <v>#REF!</v>
      </c>
      <c r="R4" t="e">
        <f>IF(Specifications!#REF!,"AAAAAGarqxE=",0)</f>
        <v>#REF!</v>
      </c>
      <c r="S4" t="e">
        <f>IF(Specifications!#REF!,"AAAAAGarqxI=",0)</f>
        <v>#REF!</v>
      </c>
      <c r="T4" t="e">
        <f>IF(Specifications!#REF!,"AAAAAGarqxM=",0)</f>
        <v>#REF!</v>
      </c>
      <c r="U4" t="e">
        <f>IF(Specifications!#REF!,"AAAAAGarqxQ=",0)</f>
        <v>#REF!</v>
      </c>
      <c r="V4" t="e">
        <f>IF(Specifications!#REF!,"AAAAAGarqxU=",0)</f>
        <v>#REF!</v>
      </c>
      <c r="W4" t="e">
        <f>IF(Specifications!#REF!,"AAAAAGarqxY=",0)</f>
        <v>#REF!</v>
      </c>
      <c r="X4" t="e">
        <f>IF(Specifications!#REF!,"AAAAAGarqxc=",0)</f>
        <v>#REF!</v>
      </c>
      <c r="Y4" t="e">
        <f>IF(Specifications!#REF!,"AAAAAGarqxg=",0)</f>
        <v>#REF!</v>
      </c>
      <c r="Z4" t="e">
        <f>IF(Specifications!#REF!,"AAAAAGarqxk=",0)</f>
        <v>#REF!</v>
      </c>
      <c r="AA4" t="e">
        <f>IF(Specifications!#REF!,"AAAAAGarqxo=",0)</f>
        <v>#REF!</v>
      </c>
      <c r="AB4" t="e">
        <f>IF(Specifications!#REF!,"AAAAAGarqxs=",0)</f>
        <v>#REF!</v>
      </c>
      <c r="AC4" t="e">
        <f>IF(Specifications!#REF!,"AAAAAGarqxw=",0)</f>
        <v>#REF!</v>
      </c>
      <c r="AD4" t="e">
        <f>IF(Specifications!#REF!,"AAAAAGarqx0=",0)</f>
        <v>#REF!</v>
      </c>
      <c r="AE4" t="e">
        <f>IF(Specifications!#REF!,"AAAAAGarqx4=",0)</f>
        <v>#REF!</v>
      </c>
      <c r="AF4" t="e">
        <f>IF(Specifications!#REF!,"AAAAAGarqx8=",0)</f>
        <v>#REF!</v>
      </c>
      <c r="AG4" t="e">
        <f>IF(Specifications!#REF!,"AAAAAGarqyA=",0)</f>
        <v>#REF!</v>
      </c>
      <c r="AH4" t="e">
        <f>IF(Specifications!#REF!,"AAAAAGarqyE=",0)</f>
        <v>#REF!</v>
      </c>
      <c r="AI4" t="e">
        <f>IF(Specifications!#REF!,"AAAAAGarqyI=",0)</f>
        <v>#REF!</v>
      </c>
      <c r="AJ4" t="e">
        <f>IF(Specifications!#REF!,"AAAAAGarqyM=",0)</f>
        <v>#REF!</v>
      </c>
      <c r="AK4" t="e">
        <f>IF(Specifications!#REF!,"AAAAAGarqyQ=",0)</f>
        <v>#REF!</v>
      </c>
      <c r="AL4">
        <f>IF('boilerplate specs'!1:1,"AAAAAGarqyU=",0)</f>
        <v>0</v>
      </c>
      <c r="AM4" t="e">
        <f>AND('boilerplate specs'!A1,"AAAAAGarqyY=")</f>
        <v>#VALUE!</v>
      </c>
      <c r="AN4" t="e">
        <f>AND('boilerplate specs'!B1,"AAAAAGarqyc=")</f>
        <v>#VALUE!</v>
      </c>
      <c r="AO4" t="e">
        <f>AND('boilerplate specs'!C1,"AAAAAGarqyg=")</f>
        <v>#VALUE!</v>
      </c>
      <c r="AP4" t="e">
        <f>AND('boilerplate specs'!D1,"AAAAAGarqyk=")</f>
        <v>#VALUE!</v>
      </c>
      <c r="AQ4" t="e">
        <f>AND('boilerplate specs'!E1,"AAAAAGarqyo=")</f>
        <v>#VALUE!</v>
      </c>
      <c r="AR4" t="e">
        <f>AND('boilerplate specs'!F1,"AAAAAGarqys=")</f>
        <v>#VALUE!</v>
      </c>
      <c r="AS4" t="e">
        <f>AND('boilerplate specs'!G1,"AAAAAGarqyw=")</f>
        <v>#VALUE!</v>
      </c>
      <c r="AT4" t="e">
        <f>AND('boilerplate specs'!H1,"AAAAAGarqy0=")</f>
        <v>#VALUE!</v>
      </c>
      <c r="AU4" t="e">
        <f>AND('boilerplate specs'!I1,"AAAAAGarqy4=")</f>
        <v>#VALUE!</v>
      </c>
      <c r="AV4" t="e">
        <f>AND('boilerplate specs'!J1,"AAAAAGarqy8=")</f>
        <v>#VALUE!</v>
      </c>
      <c r="AW4" t="e">
        <f>AND('boilerplate specs'!#REF!,"AAAAAGarqzA=")</f>
        <v>#REF!</v>
      </c>
      <c r="AX4" t="e">
        <f>AND('boilerplate specs'!#REF!,"AAAAAGarqzE=")</f>
        <v>#REF!</v>
      </c>
      <c r="AY4" t="e">
        <f>AND('boilerplate specs'!#REF!,"AAAAAGarqzI=")</f>
        <v>#REF!</v>
      </c>
      <c r="AZ4" t="e">
        <f>AND('boilerplate specs'!#REF!,"AAAAAGarqzM=")</f>
        <v>#REF!</v>
      </c>
      <c r="BA4" t="e">
        <f>AND('boilerplate specs'!#REF!,"AAAAAGarqzQ=")</f>
        <v>#REF!</v>
      </c>
      <c r="BB4" t="e">
        <f>AND('boilerplate specs'!#REF!,"AAAAAGarqzU=")</f>
        <v>#REF!</v>
      </c>
      <c r="BC4" t="e">
        <f>AND('boilerplate specs'!#REF!,"AAAAAGarqzY=")</f>
        <v>#REF!</v>
      </c>
      <c r="BD4" t="e">
        <f>AND('boilerplate specs'!#REF!,"AAAAAGarqzc=")</f>
        <v>#REF!</v>
      </c>
      <c r="BE4" t="e">
        <f>AND('boilerplate specs'!#REF!,"AAAAAGarqzg=")</f>
        <v>#REF!</v>
      </c>
      <c r="BF4" t="e">
        <f>AND('boilerplate specs'!#REF!,"AAAAAGarqzk=")</f>
        <v>#REF!</v>
      </c>
      <c r="BG4" t="e">
        <f>AND('boilerplate specs'!#REF!,"AAAAAGarqzo=")</f>
        <v>#REF!</v>
      </c>
      <c r="BH4" t="e">
        <f>AND('boilerplate specs'!#REF!,"AAAAAGarqzs=")</f>
        <v>#REF!</v>
      </c>
      <c r="BI4" t="e">
        <f>AND('boilerplate specs'!#REF!,"AAAAAGarqzw=")</f>
        <v>#REF!</v>
      </c>
      <c r="BJ4" t="e">
        <f>AND('boilerplate specs'!#REF!,"AAAAAGarqz0=")</f>
        <v>#REF!</v>
      </c>
      <c r="BK4" t="e">
        <f>AND('boilerplate specs'!#REF!,"AAAAAGarqz4=")</f>
        <v>#REF!</v>
      </c>
      <c r="BL4" t="e">
        <f>AND('boilerplate specs'!#REF!,"AAAAAGarqz8=")</f>
        <v>#REF!</v>
      </c>
      <c r="BM4" t="e">
        <f>AND('boilerplate specs'!#REF!,"AAAAAGarq0A=")</f>
        <v>#REF!</v>
      </c>
      <c r="BN4" t="e">
        <f>AND('boilerplate specs'!#REF!,"AAAAAGarq0E=")</f>
        <v>#REF!</v>
      </c>
      <c r="BO4" t="e">
        <f>AND('boilerplate specs'!#REF!,"AAAAAGarq0I=")</f>
        <v>#REF!</v>
      </c>
      <c r="BP4" t="e">
        <f>AND('boilerplate specs'!#REF!,"AAAAAGarq0M=")</f>
        <v>#REF!</v>
      </c>
      <c r="BQ4" t="e">
        <f>AND('boilerplate specs'!#REF!,"AAAAAGarq0Q=")</f>
        <v>#REF!</v>
      </c>
      <c r="BR4" t="e">
        <f>AND('boilerplate specs'!#REF!,"AAAAAGarq0U=")</f>
        <v>#REF!</v>
      </c>
      <c r="BS4">
        <f>IF('boilerplate specs'!2:2,"AAAAAGarq0Y=",0)</f>
        <v>0</v>
      </c>
      <c r="BT4" t="e">
        <f>AND('boilerplate specs'!A2,"AAAAAGarq0c=")</f>
        <v>#VALUE!</v>
      </c>
      <c r="BU4" t="e">
        <f>AND('boilerplate specs'!B2,"AAAAAGarq0g=")</f>
        <v>#VALUE!</v>
      </c>
      <c r="BV4" t="e">
        <f>AND('boilerplate specs'!C2,"AAAAAGarq0k=")</f>
        <v>#VALUE!</v>
      </c>
      <c r="BW4" t="e">
        <f>AND('boilerplate specs'!D2,"AAAAAGarq0o=")</f>
        <v>#VALUE!</v>
      </c>
      <c r="BX4" t="e">
        <f>AND('boilerplate specs'!E2,"AAAAAGarq0s=")</f>
        <v>#VALUE!</v>
      </c>
      <c r="BY4" t="e">
        <f>AND('boilerplate specs'!F2,"AAAAAGarq0w=")</f>
        <v>#VALUE!</v>
      </c>
      <c r="BZ4" t="e">
        <f>AND('boilerplate specs'!G2,"AAAAAGarq00=")</f>
        <v>#VALUE!</v>
      </c>
      <c r="CA4" t="e">
        <f>AND('boilerplate specs'!H2,"AAAAAGarq04=")</f>
        <v>#VALUE!</v>
      </c>
      <c r="CB4" t="e">
        <f>AND('boilerplate specs'!I2,"AAAAAGarq08=")</f>
        <v>#VALUE!</v>
      </c>
      <c r="CC4" t="e">
        <f>AND('boilerplate specs'!J2,"AAAAAGarq1A=")</f>
        <v>#VALUE!</v>
      </c>
      <c r="CD4" t="e">
        <f>AND('boilerplate specs'!#REF!,"AAAAAGarq1E=")</f>
        <v>#REF!</v>
      </c>
      <c r="CE4" t="e">
        <f>AND('boilerplate specs'!#REF!,"AAAAAGarq1I=")</f>
        <v>#REF!</v>
      </c>
      <c r="CF4" t="e">
        <f>AND('boilerplate specs'!#REF!,"AAAAAGarq1M=")</f>
        <v>#REF!</v>
      </c>
      <c r="CG4" t="e">
        <f>AND('boilerplate specs'!#REF!,"AAAAAGarq1Q=")</f>
        <v>#REF!</v>
      </c>
      <c r="CH4" t="e">
        <f>AND('boilerplate specs'!#REF!,"AAAAAGarq1U=")</f>
        <v>#REF!</v>
      </c>
      <c r="CI4" t="e">
        <f>AND('boilerplate specs'!#REF!,"AAAAAGarq1Y=")</f>
        <v>#REF!</v>
      </c>
      <c r="CJ4" t="e">
        <f>AND('boilerplate specs'!#REF!,"AAAAAGarq1c=")</f>
        <v>#REF!</v>
      </c>
      <c r="CK4" t="e">
        <f>AND('boilerplate specs'!#REF!,"AAAAAGarq1g=")</f>
        <v>#REF!</v>
      </c>
      <c r="CL4" t="e">
        <f>AND('boilerplate specs'!#REF!,"AAAAAGarq1k=")</f>
        <v>#REF!</v>
      </c>
      <c r="CM4" t="e">
        <f>AND('boilerplate specs'!#REF!,"AAAAAGarq1o=")</f>
        <v>#REF!</v>
      </c>
      <c r="CN4" t="e">
        <f>AND('boilerplate specs'!#REF!,"AAAAAGarq1s=")</f>
        <v>#REF!</v>
      </c>
      <c r="CO4" t="e">
        <f>AND('boilerplate specs'!#REF!,"AAAAAGarq1w=")</f>
        <v>#REF!</v>
      </c>
      <c r="CP4" t="e">
        <f>AND('boilerplate specs'!#REF!,"AAAAAGarq10=")</f>
        <v>#REF!</v>
      </c>
      <c r="CQ4" t="e">
        <f>AND('boilerplate specs'!#REF!,"AAAAAGarq14=")</f>
        <v>#REF!</v>
      </c>
      <c r="CR4" t="e">
        <f>AND('boilerplate specs'!#REF!,"AAAAAGarq18=")</f>
        <v>#REF!</v>
      </c>
      <c r="CS4" t="e">
        <f>AND('boilerplate specs'!#REF!,"AAAAAGarq2A=")</f>
        <v>#REF!</v>
      </c>
      <c r="CT4" t="e">
        <f>AND('boilerplate specs'!#REF!,"AAAAAGarq2E=")</f>
        <v>#REF!</v>
      </c>
      <c r="CU4" t="e">
        <f>AND('boilerplate specs'!#REF!,"AAAAAGarq2I=")</f>
        <v>#REF!</v>
      </c>
      <c r="CV4" t="e">
        <f>AND('boilerplate specs'!#REF!,"AAAAAGarq2M=")</f>
        <v>#REF!</v>
      </c>
      <c r="CW4" t="e">
        <f>AND('boilerplate specs'!#REF!,"AAAAAGarq2Q=")</f>
        <v>#REF!</v>
      </c>
      <c r="CX4" t="e">
        <f>AND('boilerplate specs'!#REF!,"AAAAAGarq2U=")</f>
        <v>#REF!</v>
      </c>
      <c r="CY4" t="e">
        <f>AND('boilerplate specs'!#REF!,"AAAAAGarq2Y=")</f>
        <v>#REF!</v>
      </c>
      <c r="CZ4">
        <f>IF('boilerplate specs'!3:3,"AAAAAGarq2c=",0)</f>
        <v>0</v>
      </c>
      <c r="DA4" t="e">
        <f>AND('boilerplate specs'!A3,"AAAAAGarq2g=")</f>
        <v>#VALUE!</v>
      </c>
      <c r="DB4" t="e">
        <f>AND('boilerplate specs'!B3,"AAAAAGarq2k=")</f>
        <v>#VALUE!</v>
      </c>
      <c r="DC4" t="e">
        <f>AND('boilerplate specs'!C3,"AAAAAGarq2o=")</f>
        <v>#VALUE!</v>
      </c>
      <c r="DD4" t="e">
        <f>AND('boilerplate specs'!D3,"AAAAAGarq2s=")</f>
        <v>#VALUE!</v>
      </c>
      <c r="DE4" t="e">
        <f>AND('boilerplate specs'!E3,"AAAAAGarq2w=")</f>
        <v>#VALUE!</v>
      </c>
      <c r="DF4" t="e">
        <f>AND('boilerplate specs'!F3,"AAAAAGarq20=")</f>
        <v>#VALUE!</v>
      </c>
      <c r="DG4" t="e">
        <f>AND('boilerplate specs'!G3,"AAAAAGarq24=")</f>
        <v>#VALUE!</v>
      </c>
      <c r="DH4" t="e">
        <f>AND('boilerplate specs'!H3,"AAAAAGarq28=")</f>
        <v>#VALUE!</v>
      </c>
      <c r="DI4" t="e">
        <f>AND('boilerplate specs'!I3,"AAAAAGarq3A=")</f>
        <v>#VALUE!</v>
      </c>
      <c r="DJ4" t="e">
        <f>AND('boilerplate specs'!J3,"AAAAAGarq3E=")</f>
        <v>#VALUE!</v>
      </c>
      <c r="DK4" t="e">
        <f>AND('boilerplate specs'!#REF!,"AAAAAGarq3I=")</f>
        <v>#REF!</v>
      </c>
      <c r="DL4" t="e">
        <f>AND('boilerplate specs'!#REF!,"AAAAAGarq3M=")</f>
        <v>#REF!</v>
      </c>
      <c r="DM4" t="e">
        <f>AND('boilerplate specs'!#REF!,"AAAAAGarq3Q=")</f>
        <v>#REF!</v>
      </c>
      <c r="DN4" t="e">
        <f>AND('boilerplate specs'!#REF!,"AAAAAGarq3U=")</f>
        <v>#REF!</v>
      </c>
      <c r="DO4" t="e">
        <f>AND('boilerplate specs'!#REF!,"AAAAAGarq3Y=")</f>
        <v>#REF!</v>
      </c>
      <c r="DP4" t="e">
        <f>AND('boilerplate specs'!#REF!,"AAAAAGarq3c=")</f>
        <v>#REF!</v>
      </c>
      <c r="DQ4" t="e">
        <f>AND('boilerplate specs'!#REF!,"AAAAAGarq3g=")</f>
        <v>#REF!</v>
      </c>
      <c r="DR4" t="e">
        <f>AND('boilerplate specs'!#REF!,"AAAAAGarq3k=")</f>
        <v>#REF!</v>
      </c>
      <c r="DS4" t="e">
        <f>AND('boilerplate specs'!#REF!,"AAAAAGarq3o=")</f>
        <v>#REF!</v>
      </c>
      <c r="DT4" t="e">
        <f>AND('boilerplate specs'!#REF!,"AAAAAGarq3s=")</f>
        <v>#REF!</v>
      </c>
      <c r="DU4" t="e">
        <f>AND('boilerplate specs'!#REF!,"AAAAAGarq3w=")</f>
        <v>#REF!</v>
      </c>
      <c r="DV4" t="e">
        <f>AND('boilerplate specs'!#REF!,"AAAAAGarq30=")</f>
        <v>#REF!</v>
      </c>
      <c r="DW4" t="e">
        <f>AND('boilerplate specs'!#REF!,"AAAAAGarq34=")</f>
        <v>#REF!</v>
      </c>
      <c r="DX4" t="e">
        <f>AND('boilerplate specs'!#REF!,"AAAAAGarq38=")</f>
        <v>#REF!</v>
      </c>
      <c r="DY4" t="e">
        <f>AND('boilerplate specs'!#REF!,"AAAAAGarq4A=")</f>
        <v>#REF!</v>
      </c>
      <c r="DZ4" t="e">
        <f>AND('boilerplate specs'!#REF!,"AAAAAGarq4E=")</f>
        <v>#REF!</v>
      </c>
      <c r="EA4" t="e">
        <f>AND('boilerplate specs'!#REF!,"AAAAAGarq4I=")</f>
        <v>#REF!</v>
      </c>
      <c r="EB4" t="e">
        <f>AND('boilerplate specs'!#REF!,"AAAAAGarq4M=")</f>
        <v>#REF!</v>
      </c>
      <c r="EC4" t="e">
        <f>AND('boilerplate specs'!#REF!,"AAAAAGarq4Q=")</f>
        <v>#REF!</v>
      </c>
      <c r="ED4" t="e">
        <f>AND('boilerplate specs'!#REF!,"AAAAAGarq4U=")</f>
        <v>#REF!</v>
      </c>
      <c r="EE4" t="e">
        <f>AND('boilerplate specs'!#REF!,"AAAAAGarq4Y=")</f>
        <v>#REF!</v>
      </c>
      <c r="EF4" t="e">
        <f>AND('boilerplate specs'!#REF!,"AAAAAGarq4c=")</f>
        <v>#REF!</v>
      </c>
      <c r="EG4">
        <f>IF('boilerplate specs'!4:4,"AAAAAGarq4g=",0)</f>
        <v>0</v>
      </c>
      <c r="EH4" t="e">
        <f>AND('boilerplate specs'!A4,"AAAAAGarq4k=")</f>
        <v>#VALUE!</v>
      </c>
      <c r="EI4" t="e">
        <f>AND('boilerplate specs'!B4,"AAAAAGarq4o=")</f>
        <v>#VALUE!</v>
      </c>
      <c r="EJ4" t="e">
        <f>AND('boilerplate specs'!C4,"AAAAAGarq4s=")</f>
        <v>#VALUE!</v>
      </c>
      <c r="EK4" t="e">
        <f>AND('boilerplate specs'!D4,"AAAAAGarq4w=")</f>
        <v>#VALUE!</v>
      </c>
      <c r="EL4" t="e">
        <f>AND('boilerplate specs'!E4,"AAAAAGarq40=")</f>
        <v>#VALUE!</v>
      </c>
      <c r="EM4" t="e">
        <f>AND('boilerplate specs'!F4,"AAAAAGarq44=")</f>
        <v>#VALUE!</v>
      </c>
      <c r="EN4" t="e">
        <f>AND('boilerplate specs'!G4,"AAAAAGarq48=")</f>
        <v>#VALUE!</v>
      </c>
      <c r="EO4" t="e">
        <f>AND('boilerplate specs'!H4,"AAAAAGarq5A=")</f>
        <v>#VALUE!</v>
      </c>
      <c r="EP4" t="e">
        <f>AND('boilerplate specs'!I4,"AAAAAGarq5E=")</f>
        <v>#VALUE!</v>
      </c>
      <c r="EQ4" t="e">
        <f>AND('boilerplate specs'!J4,"AAAAAGarq5I=")</f>
        <v>#VALUE!</v>
      </c>
      <c r="ER4" t="e">
        <f>AND('boilerplate specs'!#REF!,"AAAAAGarq5M=")</f>
        <v>#REF!</v>
      </c>
      <c r="ES4" t="e">
        <f>AND('boilerplate specs'!#REF!,"AAAAAGarq5Q=")</f>
        <v>#REF!</v>
      </c>
      <c r="ET4" t="e">
        <f>AND('boilerplate specs'!#REF!,"AAAAAGarq5U=")</f>
        <v>#REF!</v>
      </c>
      <c r="EU4" t="e">
        <f>AND('boilerplate specs'!#REF!,"AAAAAGarq5Y=")</f>
        <v>#REF!</v>
      </c>
      <c r="EV4" t="e">
        <f>AND('boilerplate specs'!#REF!,"AAAAAGarq5c=")</f>
        <v>#REF!</v>
      </c>
      <c r="EW4" t="e">
        <f>AND('boilerplate specs'!#REF!,"AAAAAGarq5g=")</f>
        <v>#REF!</v>
      </c>
      <c r="EX4" t="e">
        <f>AND('boilerplate specs'!#REF!,"AAAAAGarq5k=")</f>
        <v>#REF!</v>
      </c>
      <c r="EY4" t="e">
        <f>AND('boilerplate specs'!#REF!,"AAAAAGarq5o=")</f>
        <v>#REF!</v>
      </c>
      <c r="EZ4" t="e">
        <f>AND('boilerplate specs'!#REF!,"AAAAAGarq5s=")</f>
        <v>#REF!</v>
      </c>
      <c r="FA4" t="e">
        <f>AND('boilerplate specs'!#REF!,"AAAAAGarq5w=")</f>
        <v>#REF!</v>
      </c>
      <c r="FB4" t="e">
        <f>AND('boilerplate specs'!#REF!,"AAAAAGarq50=")</f>
        <v>#REF!</v>
      </c>
      <c r="FC4" t="e">
        <f>AND('boilerplate specs'!#REF!,"AAAAAGarq54=")</f>
        <v>#REF!</v>
      </c>
      <c r="FD4" t="e">
        <f>AND('boilerplate specs'!#REF!,"AAAAAGarq58=")</f>
        <v>#REF!</v>
      </c>
      <c r="FE4" t="e">
        <f>AND('boilerplate specs'!#REF!,"AAAAAGarq6A=")</f>
        <v>#REF!</v>
      </c>
      <c r="FF4" t="e">
        <f>AND('boilerplate specs'!#REF!,"AAAAAGarq6E=")</f>
        <v>#REF!</v>
      </c>
      <c r="FG4" t="e">
        <f>AND('boilerplate specs'!#REF!,"AAAAAGarq6I=")</f>
        <v>#REF!</v>
      </c>
      <c r="FH4" t="e">
        <f>AND('boilerplate specs'!#REF!,"AAAAAGarq6M=")</f>
        <v>#REF!</v>
      </c>
      <c r="FI4" t="e">
        <f>AND('boilerplate specs'!#REF!,"AAAAAGarq6Q=")</f>
        <v>#REF!</v>
      </c>
      <c r="FJ4" t="e">
        <f>AND('boilerplate specs'!#REF!,"AAAAAGarq6U=")</f>
        <v>#REF!</v>
      </c>
      <c r="FK4" t="e">
        <f>AND('boilerplate specs'!#REF!,"AAAAAGarq6Y=")</f>
        <v>#REF!</v>
      </c>
      <c r="FL4" t="e">
        <f>AND('boilerplate specs'!#REF!,"AAAAAGarq6c=")</f>
        <v>#REF!</v>
      </c>
      <c r="FM4" t="e">
        <f>AND('boilerplate specs'!#REF!,"AAAAAGarq6g=")</f>
        <v>#REF!</v>
      </c>
      <c r="FN4">
        <f>IF('boilerplate specs'!5:5,"AAAAAGarq6k=",0)</f>
        <v>0</v>
      </c>
      <c r="FO4" t="e">
        <f>AND('boilerplate specs'!A5,"AAAAAGarq6o=")</f>
        <v>#VALUE!</v>
      </c>
      <c r="FP4" t="e">
        <f>AND('boilerplate specs'!B5,"AAAAAGarq6s=")</f>
        <v>#VALUE!</v>
      </c>
      <c r="FQ4" t="e">
        <f>AND('boilerplate specs'!C5,"AAAAAGarq6w=")</f>
        <v>#VALUE!</v>
      </c>
      <c r="FR4" t="e">
        <f>AND('boilerplate specs'!D5,"AAAAAGarq60=")</f>
        <v>#VALUE!</v>
      </c>
      <c r="FS4" t="e">
        <f>AND('boilerplate specs'!E5,"AAAAAGarq64=")</f>
        <v>#VALUE!</v>
      </c>
      <c r="FT4" t="e">
        <f>AND('boilerplate specs'!F5,"AAAAAGarq68=")</f>
        <v>#VALUE!</v>
      </c>
      <c r="FU4" t="e">
        <f>AND('boilerplate specs'!G5,"AAAAAGarq7A=")</f>
        <v>#VALUE!</v>
      </c>
      <c r="FV4" t="e">
        <f>AND('boilerplate specs'!H5,"AAAAAGarq7E=")</f>
        <v>#VALUE!</v>
      </c>
      <c r="FW4" t="e">
        <f>AND('boilerplate specs'!I5,"AAAAAGarq7I=")</f>
        <v>#VALUE!</v>
      </c>
      <c r="FX4" t="e">
        <f>AND('boilerplate specs'!J5,"AAAAAGarq7M=")</f>
        <v>#VALUE!</v>
      </c>
      <c r="FY4" t="e">
        <f>AND('boilerplate specs'!#REF!,"AAAAAGarq7Q=")</f>
        <v>#REF!</v>
      </c>
      <c r="FZ4" t="e">
        <f>AND('boilerplate specs'!#REF!,"AAAAAGarq7U=")</f>
        <v>#REF!</v>
      </c>
      <c r="GA4" t="e">
        <f>AND('boilerplate specs'!#REF!,"AAAAAGarq7Y=")</f>
        <v>#REF!</v>
      </c>
      <c r="GB4" t="e">
        <f>AND('boilerplate specs'!#REF!,"AAAAAGarq7c=")</f>
        <v>#REF!</v>
      </c>
      <c r="GC4" t="e">
        <f>AND('boilerplate specs'!#REF!,"AAAAAGarq7g=")</f>
        <v>#REF!</v>
      </c>
      <c r="GD4" t="e">
        <f>AND('boilerplate specs'!#REF!,"AAAAAGarq7k=")</f>
        <v>#REF!</v>
      </c>
      <c r="GE4" t="e">
        <f>AND('boilerplate specs'!#REF!,"AAAAAGarq7o=")</f>
        <v>#REF!</v>
      </c>
      <c r="GF4" t="e">
        <f>AND('boilerplate specs'!#REF!,"AAAAAGarq7s=")</f>
        <v>#REF!</v>
      </c>
      <c r="GG4" t="e">
        <f>AND('boilerplate specs'!#REF!,"AAAAAGarq7w=")</f>
        <v>#REF!</v>
      </c>
      <c r="GH4" t="e">
        <f>AND('boilerplate specs'!#REF!,"AAAAAGarq70=")</f>
        <v>#REF!</v>
      </c>
      <c r="GI4" t="e">
        <f>AND('boilerplate specs'!#REF!,"AAAAAGarq74=")</f>
        <v>#REF!</v>
      </c>
      <c r="GJ4" t="e">
        <f>AND('boilerplate specs'!#REF!,"AAAAAGarq78=")</f>
        <v>#REF!</v>
      </c>
      <c r="GK4" t="e">
        <f>AND('boilerplate specs'!#REF!,"AAAAAGarq8A=")</f>
        <v>#REF!</v>
      </c>
      <c r="GL4" t="e">
        <f>AND('boilerplate specs'!#REF!,"AAAAAGarq8E=")</f>
        <v>#REF!</v>
      </c>
      <c r="GM4" t="e">
        <f>AND('boilerplate specs'!#REF!,"AAAAAGarq8I=")</f>
        <v>#REF!</v>
      </c>
      <c r="GN4" t="e">
        <f>AND('boilerplate specs'!#REF!,"AAAAAGarq8M=")</f>
        <v>#REF!</v>
      </c>
      <c r="GO4" t="e">
        <f>AND('boilerplate specs'!#REF!,"AAAAAGarq8Q=")</f>
        <v>#REF!</v>
      </c>
      <c r="GP4" t="e">
        <f>AND('boilerplate specs'!#REF!,"AAAAAGarq8U=")</f>
        <v>#REF!</v>
      </c>
      <c r="GQ4" t="e">
        <f>AND('boilerplate specs'!#REF!,"AAAAAGarq8Y=")</f>
        <v>#REF!</v>
      </c>
      <c r="GR4" t="e">
        <f>AND('boilerplate specs'!#REF!,"AAAAAGarq8c=")</f>
        <v>#REF!</v>
      </c>
      <c r="GS4" t="e">
        <f>AND('boilerplate specs'!#REF!,"AAAAAGarq8g=")</f>
        <v>#REF!</v>
      </c>
      <c r="GT4" t="e">
        <f>AND('boilerplate specs'!#REF!,"AAAAAGarq8k=")</f>
        <v>#REF!</v>
      </c>
      <c r="GU4">
        <f>IF('boilerplate specs'!6:6,"AAAAAGarq8o=",0)</f>
        <v>0</v>
      </c>
      <c r="GV4" t="e">
        <f>AND('boilerplate specs'!A6,"AAAAAGarq8s=")</f>
        <v>#VALUE!</v>
      </c>
      <c r="GW4" t="e">
        <f>AND('boilerplate specs'!B6,"AAAAAGarq8w=")</f>
        <v>#VALUE!</v>
      </c>
      <c r="GX4" t="e">
        <f>AND('boilerplate specs'!C6,"AAAAAGarq80=")</f>
        <v>#VALUE!</v>
      </c>
      <c r="GY4" t="e">
        <f>AND('boilerplate specs'!D6,"AAAAAGarq84=")</f>
        <v>#VALUE!</v>
      </c>
      <c r="GZ4" t="e">
        <f>AND('boilerplate specs'!E6,"AAAAAGarq88=")</f>
        <v>#VALUE!</v>
      </c>
      <c r="HA4" t="e">
        <f>AND('boilerplate specs'!F6,"AAAAAGarq9A=")</f>
        <v>#VALUE!</v>
      </c>
      <c r="HB4" t="e">
        <f>AND('boilerplate specs'!G6,"AAAAAGarq9E=")</f>
        <v>#VALUE!</v>
      </c>
      <c r="HC4" t="e">
        <f>AND('boilerplate specs'!H6,"AAAAAGarq9I=")</f>
        <v>#VALUE!</v>
      </c>
      <c r="HD4" t="e">
        <f>AND('boilerplate specs'!I6,"AAAAAGarq9M=")</f>
        <v>#VALUE!</v>
      </c>
      <c r="HE4" t="e">
        <f>AND('boilerplate specs'!J6,"AAAAAGarq9Q=")</f>
        <v>#VALUE!</v>
      </c>
      <c r="HF4" t="e">
        <f>AND('boilerplate specs'!#REF!,"AAAAAGarq9U=")</f>
        <v>#REF!</v>
      </c>
      <c r="HG4" t="e">
        <f>AND('boilerplate specs'!#REF!,"AAAAAGarq9Y=")</f>
        <v>#REF!</v>
      </c>
      <c r="HH4" t="e">
        <f>AND('boilerplate specs'!#REF!,"AAAAAGarq9c=")</f>
        <v>#REF!</v>
      </c>
      <c r="HI4" t="e">
        <f>AND('boilerplate specs'!#REF!,"AAAAAGarq9g=")</f>
        <v>#REF!</v>
      </c>
      <c r="HJ4" t="e">
        <f>AND('boilerplate specs'!#REF!,"AAAAAGarq9k=")</f>
        <v>#REF!</v>
      </c>
      <c r="HK4" t="e">
        <f>AND('boilerplate specs'!#REF!,"AAAAAGarq9o=")</f>
        <v>#REF!</v>
      </c>
      <c r="HL4" t="e">
        <f>AND('boilerplate specs'!#REF!,"AAAAAGarq9s=")</f>
        <v>#REF!</v>
      </c>
      <c r="HM4" t="e">
        <f>AND('boilerplate specs'!#REF!,"AAAAAGarq9w=")</f>
        <v>#REF!</v>
      </c>
      <c r="HN4" t="e">
        <f>AND('boilerplate specs'!#REF!,"AAAAAGarq90=")</f>
        <v>#REF!</v>
      </c>
      <c r="HO4" t="e">
        <f>AND('boilerplate specs'!#REF!,"AAAAAGarq94=")</f>
        <v>#REF!</v>
      </c>
      <c r="HP4" t="e">
        <f>AND('boilerplate specs'!#REF!,"AAAAAGarq98=")</f>
        <v>#REF!</v>
      </c>
      <c r="HQ4" t="e">
        <f>AND('boilerplate specs'!#REF!,"AAAAAGarq+A=")</f>
        <v>#REF!</v>
      </c>
      <c r="HR4" t="e">
        <f>AND('boilerplate specs'!#REF!,"AAAAAGarq+E=")</f>
        <v>#REF!</v>
      </c>
      <c r="HS4" t="e">
        <f>AND('boilerplate specs'!#REF!,"AAAAAGarq+I=")</f>
        <v>#REF!</v>
      </c>
      <c r="HT4" t="e">
        <f>AND('boilerplate specs'!#REF!,"AAAAAGarq+M=")</f>
        <v>#REF!</v>
      </c>
      <c r="HU4" t="e">
        <f>AND('boilerplate specs'!#REF!,"AAAAAGarq+Q=")</f>
        <v>#REF!</v>
      </c>
      <c r="HV4" t="e">
        <f>AND('boilerplate specs'!#REF!,"AAAAAGarq+U=")</f>
        <v>#REF!</v>
      </c>
      <c r="HW4" t="e">
        <f>AND('boilerplate specs'!#REF!,"AAAAAGarq+Y=")</f>
        <v>#REF!</v>
      </c>
      <c r="HX4" t="e">
        <f>AND('boilerplate specs'!#REF!,"AAAAAGarq+c=")</f>
        <v>#REF!</v>
      </c>
      <c r="HY4" t="e">
        <f>AND('boilerplate specs'!#REF!,"AAAAAGarq+g=")</f>
        <v>#REF!</v>
      </c>
      <c r="HZ4" t="e">
        <f>AND('boilerplate specs'!#REF!,"AAAAAGarq+k=")</f>
        <v>#REF!</v>
      </c>
      <c r="IA4" t="e">
        <f>AND('boilerplate specs'!#REF!,"AAAAAGarq+o=")</f>
        <v>#REF!</v>
      </c>
      <c r="IB4" t="e">
        <f>IF('boilerplate specs'!#REF!,"AAAAAGarq+s=",0)</f>
        <v>#REF!</v>
      </c>
      <c r="IC4" t="e">
        <f>AND('boilerplate specs'!#REF!,"AAAAAGarq+w=")</f>
        <v>#REF!</v>
      </c>
      <c r="ID4" t="e">
        <f>AND('boilerplate specs'!#REF!,"AAAAAGarq+0=")</f>
        <v>#REF!</v>
      </c>
      <c r="IE4" t="e">
        <f>AND('boilerplate specs'!#REF!,"AAAAAGarq+4=")</f>
        <v>#REF!</v>
      </c>
      <c r="IF4" t="e">
        <f>AND('boilerplate specs'!#REF!,"AAAAAGarq+8=")</f>
        <v>#REF!</v>
      </c>
      <c r="IG4" t="e">
        <f>AND('boilerplate specs'!#REF!,"AAAAAGarq/A=")</f>
        <v>#REF!</v>
      </c>
      <c r="IH4" t="e">
        <f>AND('boilerplate specs'!#REF!,"AAAAAGarq/E=")</f>
        <v>#REF!</v>
      </c>
      <c r="II4" t="e">
        <f>AND('boilerplate specs'!#REF!,"AAAAAGarq/I=")</f>
        <v>#REF!</v>
      </c>
      <c r="IJ4" t="e">
        <f>AND('boilerplate specs'!#REF!,"AAAAAGarq/M=")</f>
        <v>#REF!</v>
      </c>
      <c r="IK4" t="e">
        <f>AND('boilerplate specs'!#REF!,"AAAAAGarq/Q=")</f>
        <v>#REF!</v>
      </c>
      <c r="IL4" t="e">
        <f>AND('boilerplate specs'!#REF!,"AAAAAGarq/U=")</f>
        <v>#REF!</v>
      </c>
      <c r="IM4" t="e">
        <f>AND('boilerplate specs'!#REF!,"AAAAAGarq/Y=")</f>
        <v>#REF!</v>
      </c>
      <c r="IN4" t="e">
        <f>AND('boilerplate specs'!#REF!,"AAAAAGarq/c=")</f>
        <v>#REF!</v>
      </c>
      <c r="IO4" t="e">
        <f>AND('boilerplate specs'!#REF!,"AAAAAGarq/g=")</f>
        <v>#REF!</v>
      </c>
      <c r="IP4" t="e">
        <f>AND('boilerplate specs'!#REF!,"AAAAAGarq/k=")</f>
        <v>#REF!</v>
      </c>
      <c r="IQ4" t="e">
        <f>AND('boilerplate specs'!#REF!,"AAAAAGarq/o=")</f>
        <v>#REF!</v>
      </c>
      <c r="IR4" t="e">
        <f>AND('boilerplate specs'!#REF!,"AAAAAGarq/s=")</f>
        <v>#REF!</v>
      </c>
      <c r="IS4" t="e">
        <f>AND('boilerplate specs'!#REF!,"AAAAAGarq/w=")</f>
        <v>#REF!</v>
      </c>
      <c r="IT4" t="e">
        <f>AND('boilerplate specs'!#REF!,"AAAAAGarq/0=")</f>
        <v>#REF!</v>
      </c>
      <c r="IU4" t="e">
        <f>AND('boilerplate specs'!#REF!,"AAAAAGarq/4=")</f>
        <v>#REF!</v>
      </c>
      <c r="IV4" t="e">
        <f>AND('boilerplate specs'!#REF!,"AAAAAGarq/8=")</f>
        <v>#REF!</v>
      </c>
    </row>
    <row r="5" spans="1:256" x14ac:dyDescent="0.35">
      <c r="A5" t="e">
        <f>AND('boilerplate specs'!#REF!,"AAAAAH///wA=")</f>
        <v>#REF!</v>
      </c>
      <c r="B5" t="e">
        <f>AND('boilerplate specs'!#REF!,"AAAAAH///wE=")</f>
        <v>#REF!</v>
      </c>
      <c r="C5" t="e">
        <f>AND('boilerplate specs'!#REF!,"AAAAAH///wI=")</f>
        <v>#REF!</v>
      </c>
      <c r="D5" t="e">
        <f>AND('boilerplate specs'!#REF!,"AAAAAH///wM=")</f>
        <v>#REF!</v>
      </c>
      <c r="E5" t="e">
        <f>AND('boilerplate specs'!#REF!,"AAAAAH///wQ=")</f>
        <v>#REF!</v>
      </c>
      <c r="F5" t="e">
        <f>AND('boilerplate specs'!#REF!,"AAAAAH///wU=")</f>
        <v>#REF!</v>
      </c>
      <c r="G5" t="e">
        <f>AND('boilerplate specs'!#REF!,"AAAAAH///wY=")</f>
        <v>#REF!</v>
      </c>
      <c r="H5" t="e">
        <f>AND('boilerplate specs'!#REF!,"AAAAAH///wc=")</f>
        <v>#REF!</v>
      </c>
      <c r="I5" t="e">
        <f>AND('boilerplate specs'!#REF!,"AAAAAH///wg=")</f>
        <v>#REF!</v>
      </c>
      <c r="J5" t="e">
        <f>AND('boilerplate specs'!#REF!,"AAAAAH///wk=")</f>
        <v>#REF!</v>
      </c>
      <c r="K5" t="e">
        <f>AND('boilerplate specs'!#REF!,"AAAAAH///wo=")</f>
        <v>#REF!</v>
      </c>
      <c r="L5" t="e">
        <f>AND('boilerplate specs'!#REF!,"AAAAAH///ws=")</f>
        <v>#REF!</v>
      </c>
      <c r="M5">
        <f>IF('boilerplate specs'!7:7,"AAAAAH///ww=",0)</f>
        <v>0</v>
      </c>
      <c r="N5" t="e">
        <f>AND('boilerplate specs'!A7,"AAAAAH///w0=")</f>
        <v>#VALUE!</v>
      </c>
      <c r="O5" t="e">
        <f>AND('boilerplate specs'!B7,"AAAAAH///w4=")</f>
        <v>#VALUE!</v>
      </c>
      <c r="P5" t="e">
        <f>AND('boilerplate specs'!C7,"AAAAAH///w8=")</f>
        <v>#VALUE!</v>
      </c>
      <c r="Q5" t="e">
        <f>AND('boilerplate specs'!D7,"AAAAAH///xA=")</f>
        <v>#VALUE!</v>
      </c>
      <c r="R5" t="e">
        <f>AND('boilerplate specs'!E7,"AAAAAH///xE=")</f>
        <v>#VALUE!</v>
      </c>
      <c r="S5" t="e">
        <f>AND('boilerplate specs'!F7,"AAAAAH///xI=")</f>
        <v>#VALUE!</v>
      </c>
      <c r="T5" t="e">
        <f>AND('boilerplate specs'!G7,"AAAAAH///xM=")</f>
        <v>#VALUE!</v>
      </c>
      <c r="U5" t="e">
        <f>AND('boilerplate specs'!H7,"AAAAAH///xQ=")</f>
        <v>#VALUE!</v>
      </c>
      <c r="V5" t="e">
        <f>AND('boilerplate specs'!I7,"AAAAAH///xU=")</f>
        <v>#VALUE!</v>
      </c>
      <c r="W5" t="e">
        <f>AND('boilerplate specs'!J7,"AAAAAH///xY=")</f>
        <v>#VALUE!</v>
      </c>
      <c r="X5" t="e">
        <f>AND('boilerplate specs'!#REF!,"AAAAAH///xc=")</f>
        <v>#REF!</v>
      </c>
      <c r="Y5" t="e">
        <f>AND('boilerplate specs'!#REF!,"AAAAAH///xg=")</f>
        <v>#REF!</v>
      </c>
      <c r="Z5" t="e">
        <f>AND('boilerplate specs'!#REF!,"AAAAAH///xk=")</f>
        <v>#REF!</v>
      </c>
      <c r="AA5" t="e">
        <f>AND('boilerplate specs'!#REF!,"AAAAAH///xo=")</f>
        <v>#REF!</v>
      </c>
      <c r="AB5" t="e">
        <f>AND('boilerplate specs'!#REF!,"AAAAAH///xs=")</f>
        <v>#REF!</v>
      </c>
      <c r="AC5" t="e">
        <f>AND('boilerplate specs'!#REF!,"AAAAAH///xw=")</f>
        <v>#REF!</v>
      </c>
      <c r="AD5" t="e">
        <f>AND('boilerplate specs'!#REF!,"AAAAAH///x0=")</f>
        <v>#REF!</v>
      </c>
      <c r="AE5" t="e">
        <f>AND('boilerplate specs'!#REF!,"AAAAAH///x4=")</f>
        <v>#REF!</v>
      </c>
      <c r="AF5" t="e">
        <f>AND('boilerplate specs'!#REF!,"AAAAAH///x8=")</f>
        <v>#REF!</v>
      </c>
      <c r="AG5" t="e">
        <f>AND('boilerplate specs'!#REF!,"AAAAAH///yA=")</f>
        <v>#REF!</v>
      </c>
      <c r="AH5" t="e">
        <f>AND('boilerplate specs'!#REF!,"AAAAAH///yE=")</f>
        <v>#REF!</v>
      </c>
      <c r="AI5" t="e">
        <f>AND('boilerplate specs'!#REF!,"AAAAAH///yI=")</f>
        <v>#REF!</v>
      </c>
      <c r="AJ5" t="e">
        <f>AND('boilerplate specs'!#REF!,"AAAAAH///yM=")</f>
        <v>#REF!</v>
      </c>
      <c r="AK5" t="e">
        <f>AND('boilerplate specs'!#REF!,"AAAAAH///yQ=")</f>
        <v>#REF!</v>
      </c>
      <c r="AL5" t="e">
        <f>AND('boilerplate specs'!#REF!,"AAAAAH///yU=")</f>
        <v>#REF!</v>
      </c>
      <c r="AM5" t="e">
        <f>AND('boilerplate specs'!#REF!,"AAAAAH///yY=")</f>
        <v>#REF!</v>
      </c>
      <c r="AN5" t="e">
        <f>AND('boilerplate specs'!#REF!,"AAAAAH///yc=")</f>
        <v>#REF!</v>
      </c>
      <c r="AO5" t="e">
        <f>AND('boilerplate specs'!#REF!,"AAAAAH///yg=")</f>
        <v>#REF!</v>
      </c>
      <c r="AP5" t="e">
        <f>AND('boilerplate specs'!#REF!,"AAAAAH///yk=")</f>
        <v>#REF!</v>
      </c>
      <c r="AQ5" t="e">
        <f>AND('boilerplate specs'!#REF!,"AAAAAH///yo=")</f>
        <v>#REF!</v>
      </c>
      <c r="AR5" t="e">
        <f>AND('boilerplate specs'!#REF!,"AAAAAH///ys=")</f>
        <v>#REF!</v>
      </c>
      <c r="AS5" t="e">
        <f>AND('boilerplate specs'!#REF!,"AAAAAH///yw=")</f>
        <v>#REF!</v>
      </c>
      <c r="AT5">
        <f>IF('boilerplate specs'!8:8,"AAAAAH///y0=",0)</f>
        <v>0</v>
      </c>
      <c r="AU5" t="e">
        <f>AND('boilerplate specs'!A8,"AAAAAH///y4=")</f>
        <v>#VALUE!</v>
      </c>
      <c r="AV5" t="e">
        <f>AND('boilerplate specs'!B8,"AAAAAH///y8=")</f>
        <v>#VALUE!</v>
      </c>
      <c r="AW5" t="e">
        <f>AND('boilerplate specs'!C8,"AAAAAH///zA=")</f>
        <v>#VALUE!</v>
      </c>
      <c r="AX5" t="e">
        <f>AND('boilerplate specs'!D8,"AAAAAH///zE=")</f>
        <v>#VALUE!</v>
      </c>
      <c r="AY5" t="e">
        <f>AND('boilerplate specs'!E8,"AAAAAH///zI=")</f>
        <v>#VALUE!</v>
      </c>
      <c r="AZ5" t="e">
        <f>AND('boilerplate specs'!F8,"AAAAAH///zM=")</f>
        <v>#VALUE!</v>
      </c>
      <c r="BA5" t="e">
        <f>AND('boilerplate specs'!G8,"AAAAAH///zQ=")</f>
        <v>#VALUE!</v>
      </c>
      <c r="BB5" t="e">
        <f>AND('boilerplate specs'!H8,"AAAAAH///zU=")</f>
        <v>#VALUE!</v>
      </c>
      <c r="BC5" t="e">
        <f>AND('boilerplate specs'!I8,"AAAAAH///zY=")</f>
        <v>#VALUE!</v>
      </c>
      <c r="BD5" t="e">
        <f>AND('boilerplate specs'!J8,"AAAAAH///zc=")</f>
        <v>#VALUE!</v>
      </c>
      <c r="BE5" t="e">
        <f>AND('boilerplate specs'!#REF!,"AAAAAH///zg=")</f>
        <v>#REF!</v>
      </c>
      <c r="BF5" t="e">
        <f>AND('boilerplate specs'!#REF!,"AAAAAH///zk=")</f>
        <v>#REF!</v>
      </c>
      <c r="BG5" t="e">
        <f>AND('boilerplate specs'!#REF!,"AAAAAH///zo=")</f>
        <v>#REF!</v>
      </c>
      <c r="BH5" t="e">
        <f>AND('boilerplate specs'!#REF!,"AAAAAH///zs=")</f>
        <v>#REF!</v>
      </c>
      <c r="BI5" t="e">
        <f>AND('boilerplate specs'!#REF!,"AAAAAH///zw=")</f>
        <v>#REF!</v>
      </c>
      <c r="BJ5" t="e">
        <f>AND('boilerplate specs'!#REF!,"AAAAAH///z0=")</f>
        <v>#REF!</v>
      </c>
      <c r="BK5" t="e">
        <f>AND('boilerplate specs'!#REF!,"AAAAAH///z4=")</f>
        <v>#REF!</v>
      </c>
      <c r="BL5" t="e">
        <f>AND('boilerplate specs'!#REF!,"AAAAAH///z8=")</f>
        <v>#REF!</v>
      </c>
      <c r="BM5" t="e">
        <f>AND('boilerplate specs'!#REF!,"AAAAAH///0A=")</f>
        <v>#REF!</v>
      </c>
      <c r="BN5" t="e">
        <f>AND('boilerplate specs'!#REF!,"AAAAAH///0E=")</f>
        <v>#REF!</v>
      </c>
      <c r="BO5" t="e">
        <f>AND('boilerplate specs'!#REF!,"AAAAAH///0I=")</f>
        <v>#REF!</v>
      </c>
      <c r="BP5" t="e">
        <f>AND('boilerplate specs'!#REF!,"AAAAAH///0M=")</f>
        <v>#REF!</v>
      </c>
      <c r="BQ5" t="e">
        <f>AND('boilerplate specs'!#REF!,"AAAAAH///0Q=")</f>
        <v>#REF!</v>
      </c>
      <c r="BR5" t="e">
        <f>AND('boilerplate specs'!#REF!,"AAAAAH///0U=")</f>
        <v>#REF!</v>
      </c>
      <c r="BS5" t="e">
        <f>AND('boilerplate specs'!#REF!,"AAAAAH///0Y=")</f>
        <v>#REF!</v>
      </c>
      <c r="BT5" t="e">
        <f>AND('boilerplate specs'!#REF!,"AAAAAH///0c=")</f>
        <v>#REF!</v>
      </c>
      <c r="BU5" t="e">
        <f>AND('boilerplate specs'!#REF!,"AAAAAH///0g=")</f>
        <v>#REF!</v>
      </c>
      <c r="BV5" t="e">
        <f>AND('boilerplate specs'!#REF!,"AAAAAH///0k=")</f>
        <v>#REF!</v>
      </c>
      <c r="BW5" t="e">
        <f>AND('boilerplate specs'!#REF!,"AAAAAH///0o=")</f>
        <v>#REF!</v>
      </c>
      <c r="BX5" t="e">
        <f>AND('boilerplate specs'!#REF!,"AAAAAH///0s=")</f>
        <v>#REF!</v>
      </c>
      <c r="BY5" t="e">
        <f>AND('boilerplate specs'!#REF!,"AAAAAH///0w=")</f>
        <v>#REF!</v>
      </c>
      <c r="BZ5" t="e">
        <f>AND('boilerplate specs'!#REF!,"AAAAAH///00=")</f>
        <v>#REF!</v>
      </c>
      <c r="CA5" t="e">
        <f>IF('boilerplate specs'!#REF!,"AAAAAH///04=",0)</f>
        <v>#REF!</v>
      </c>
      <c r="CB5" t="e">
        <f>AND('boilerplate specs'!#REF!,"AAAAAH///08=")</f>
        <v>#REF!</v>
      </c>
      <c r="CC5" t="e">
        <f>AND('boilerplate specs'!#REF!,"AAAAAH///1A=")</f>
        <v>#REF!</v>
      </c>
      <c r="CD5" t="e">
        <f>AND('boilerplate specs'!#REF!,"AAAAAH///1E=")</f>
        <v>#REF!</v>
      </c>
      <c r="CE5" t="e">
        <f>AND('boilerplate specs'!#REF!,"AAAAAH///1I=")</f>
        <v>#REF!</v>
      </c>
      <c r="CF5" t="e">
        <f>AND('boilerplate specs'!#REF!,"AAAAAH///1M=")</f>
        <v>#REF!</v>
      </c>
      <c r="CG5" t="e">
        <f>AND('boilerplate specs'!#REF!,"AAAAAH///1Q=")</f>
        <v>#REF!</v>
      </c>
      <c r="CH5" t="e">
        <f>AND('boilerplate specs'!#REF!,"AAAAAH///1U=")</f>
        <v>#REF!</v>
      </c>
      <c r="CI5" t="e">
        <f>AND('boilerplate specs'!#REF!,"AAAAAH///1Y=")</f>
        <v>#REF!</v>
      </c>
      <c r="CJ5" t="e">
        <f>AND('boilerplate specs'!#REF!,"AAAAAH///1c=")</f>
        <v>#REF!</v>
      </c>
      <c r="CK5" t="e">
        <f>AND('boilerplate specs'!#REF!,"AAAAAH///1g=")</f>
        <v>#REF!</v>
      </c>
      <c r="CL5" t="e">
        <f>AND('boilerplate specs'!#REF!,"AAAAAH///1k=")</f>
        <v>#REF!</v>
      </c>
      <c r="CM5" t="e">
        <f>AND('boilerplate specs'!#REF!,"AAAAAH///1o=")</f>
        <v>#REF!</v>
      </c>
      <c r="CN5" t="e">
        <f>AND('boilerplate specs'!#REF!,"AAAAAH///1s=")</f>
        <v>#REF!</v>
      </c>
      <c r="CO5" t="e">
        <f>AND('boilerplate specs'!#REF!,"AAAAAH///1w=")</f>
        <v>#REF!</v>
      </c>
      <c r="CP5" t="e">
        <f>AND('boilerplate specs'!#REF!,"AAAAAH///10=")</f>
        <v>#REF!</v>
      </c>
      <c r="CQ5" t="e">
        <f>AND('boilerplate specs'!#REF!,"AAAAAH///14=")</f>
        <v>#REF!</v>
      </c>
      <c r="CR5" t="e">
        <f>AND('boilerplate specs'!#REF!,"AAAAAH///18=")</f>
        <v>#REF!</v>
      </c>
      <c r="CS5" t="e">
        <f>AND('boilerplate specs'!#REF!,"AAAAAH///2A=")</f>
        <v>#REF!</v>
      </c>
      <c r="CT5" t="e">
        <f>AND('boilerplate specs'!#REF!,"AAAAAH///2E=")</f>
        <v>#REF!</v>
      </c>
      <c r="CU5" t="e">
        <f>AND('boilerplate specs'!#REF!,"AAAAAH///2I=")</f>
        <v>#REF!</v>
      </c>
      <c r="CV5" t="e">
        <f>AND('boilerplate specs'!#REF!,"AAAAAH///2M=")</f>
        <v>#REF!</v>
      </c>
      <c r="CW5" t="e">
        <f>AND('boilerplate specs'!#REF!,"AAAAAH///2Q=")</f>
        <v>#REF!</v>
      </c>
      <c r="CX5" t="e">
        <f>AND('boilerplate specs'!#REF!,"AAAAAH///2U=")</f>
        <v>#REF!</v>
      </c>
      <c r="CY5" t="e">
        <f>AND('boilerplate specs'!#REF!,"AAAAAH///2Y=")</f>
        <v>#REF!</v>
      </c>
      <c r="CZ5" t="e">
        <f>AND('boilerplate specs'!#REF!,"AAAAAH///2c=")</f>
        <v>#REF!</v>
      </c>
      <c r="DA5" t="e">
        <f>AND('boilerplate specs'!#REF!,"AAAAAH///2g=")</f>
        <v>#REF!</v>
      </c>
      <c r="DB5" t="e">
        <f>AND('boilerplate specs'!#REF!,"AAAAAH///2k=")</f>
        <v>#REF!</v>
      </c>
      <c r="DC5" t="e">
        <f>AND('boilerplate specs'!#REF!,"AAAAAH///2o=")</f>
        <v>#REF!</v>
      </c>
      <c r="DD5" t="e">
        <f>AND('boilerplate specs'!#REF!,"AAAAAH///2s=")</f>
        <v>#REF!</v>
      </c>
      <c r="DE5" t="e">
        <f>AND('boilerplate specs'!#REF!,"AAAAAH///2w=")</f>
        <v>#REF!</v>
      </c>
      <c r="DF5" t="e">
        <f>AND('boilerplate specs'!#REF!,"AAAAAH///20=")</f>
        <v>#REF!</v>
      </c>
      <c r="DG5" t="e">
        <f>AND('boilerplate specs'!#REF!,"AAAAAH///24=")</f>
        <v>#REF!</v>
      </c>
      <c r="DH5">
        <f>IF('boilerplate specs'!9:9,"AAAAAH///28=",0)</f>
        <v>0</v>
      </c>
      <c r="DI5" t="e">
        <f>AND('boilerplate specs'!A9,"AAAAAH///3A=")</f>
        <v>#VALUE!</v>
      </c>
      <c r="DJ5" t="e">
        <f>AND('boilerplate specs'!B9,"AAAAAH///3E=")</f>
        <v>#VALUE!</v>
      </c>
      <c r="DK5" t="e">
        <f>AND('boilerplate specs'!C9,"AAAAAH///3I=")</f>
        <v>#VALUE!</v>
      </c>
      <c r="DL5" t="e">
        <f>AND('boilerplate specs'!D9,"AAAAAH///3M=")</f>
        <v>#VALUE!</v>
      </c>
      <c r="DM5" t="e">
        <f>AND('boilerplate specs'!E9,"AAAAAH///3Q=")</f>
        <v>#VALUE!</v>
      </c>
      <c r="DN5" t="e">
        <f>AND('boilerplate specs'!F9,"AAAAAH///3U=")</f>
        <v>#VALUE!</v>
      </c>
      <c r="DO5" t="e">
        <f>AND('boilerplate specs'!G9,"AAAAAH///3Y=")</f>
        <v>#VALUE!</v>
      </c>
      <c r="DP5" t="e">
        <f>AND('boilerplate specs'!H9,"AAAAAH///3c=")</f>
        <v>#VALUE!</v>
      </c>
      <c r="DQ5" t="e">
        <f>AND('boilerplate specs'!I9,"AAAAAH///3g=")</f>
        <v>#VALUE!</v>
      </c>
      <c r="DR5" t="e">
        <f>AND('boilerplate specs'!J9,"AAAAAH///3k=")</f>
        <v>#VALUE!</v>
      </c>
      <c r="DS5" t="e">
        <f>AND('boilerplate specs'!#REF!,"AAAAAH///3o=")</f>
        <v>#REF!</v>
      </c>
      <c r="DT5" t="e">
        <f>AND('boilerplate specs'!#REF!,"AAAAAH///3s=")</f>
        <v>#REF!</v>
      </c>
      <c r="DU5" t="e">
        <f>AND('boilerplate specs'!#REF!,"AAAAAH///3w=")</f>
        <v>#REF!</v>
      </c>
      <c r="DV5" t="e">
        <f>AND('boilerplate specs'!#REF!,"AAAAAH///30=")</f>
        <v>#REF!</v>
      </c>
      <c r="DW5" t="e">
        <f>AND('boilerplate specs'!#REF!,"AAAAAH///34=")</f>
        <v>#REF!</v>
      </c>
      <c r="DX5" t="e">
        <f>AND('boilerplate specs'!#REF!,"AAAAAH///38=")</f>
        <v>#REF!</v>
      </c>
      <c r="DY5" t="e">
        <f>AND('boilerplate specs'!#REF!,"AAAAAH///4A=")</f>
        <v>#REF!</v>
      </c>
      <c r="DZ5" t="e">
        <f>AND('boilerplate specs'!#REF!,"AAAAAH///4E=")</f>
        <v>#REF!</v>
      </c>
      <c r="EA5" t="e">
        <f>AND('boilerplate specs'!#REF!,"AAAAAH///4I=")</f>
        <v>#REF!</v>
      </c>
      <c r="EB5" t="e">
        <f>AND('boilerplate specs'!#REF!,"AAAAAH///4M=")</f>
        <v>#REF!</v>
      </c>
      <c r="EC5" t="e">
        <f>AND('boilerplate specs'!#REF!,"AAAAAH///4Q=")</f>
        <v>#REF!</v>
      </c>
      <c r="ED5" t="e">
        <f>AND('boilerplate specs'!#REF!,"AAAAAH///4U=")</f>
        <v>#REF!</v>
      </c>
      <c r="EE5" t="e">
        <f>AND('boilerplate specs'!#REF!,"AAAAAH///4Y=")</f>
        <v>#REF!</v>
      </c>
      <c r="EF5" t="e">
        <f>AND('boilerplate specs'!#REF!,"AAAAAH///4c=")</f>
        <v>#REF!</v>
      </c>
      <c r="EG5" t="e">
        <f>AND('boilerplate specs'!#REF!,"AAAAAH///4g=")</f>
        <v>#REF!</v>
      </c>
      <c r="EH5" t="e">
        <f>AND('boilerplate specs'!#REF!,"AAAAAH///4k=")</f>
        <v>#REF!</v>
      </c>
      <c r="EI5" t="e">
        <f>AND('boilerplate specs'!#REF!,"AAAAAH///4o=")</f>
        <v>#REF!</v>
      </c>
      <c r="EJ5" t="e">
        <f>AND('boilerplate specs'!#REF!,"AAAAAH///4s=")</f>
        <v>#REF!</v>
      </c>
      <c r="EK5" t="e">
        <f>AND('boilerplate specs'!#REF!,"AAAAAH///4w=")</f>
        <v>#REF!</v>
      </c>
      <c r="EL5" t="e">
        <f>AND('boilerplate specs'!#REF!,"AAAAAH///40=")</f>
        <v>#REF!</v>
      </c>
      <c r="EM5" t="e">
        <f>AND('boilerplate specs'!#REF!,"AAAAAH///44=")</f>
        <v>#REF!</v>
      </c>
      <c r="EN5" t="e">
        <f>AND('boilerplate specs'!#REF!,"AAAAAH///48=")</f>
        <v>#REF!</v>
      </c>
      <c r="EO5">
        <f>IF('boilerplate specs'!10:10,"AAAAAH///5A=",0)</f>
        <v>0</v>
      </c>
      <c r="EP5" t="e">
        <f>AND('boilerplate specs'!A10,"AAAAAH///5E=")</f>
        <v>#VALUE!</v>
      </c>
      <c r="EQ5" t="e">
        <f>AND('boilerplate specs'!B10,"AAAAAH///5I=")</f>
        <v>#VALUE!</v>
      </c>
      <c r="ER5" t="e">
        <f>AND('boilerplate specs'!C10,"AAAAAH///5M=")</f>
        <v>#VALUE!</v>
      </c>
      <c r="ES5" t="e">
        <f>AND('boilerplate specs'!D10,"AAAAAH///5Q=")</f>
        <v>#VALUE!</v>
      </c>
      <c r="ET5" t="e">
        <f>AND('boilerplate specs'!E10,"AAAAAH///5U=")</f>
        <v>#VALUE!</v>
      </c>
      <c r="EU5" t="e">
        <f>AND('boilerplate specs'!F10,"AAAAAH///5Y=")</f>
        <v>#VALUE!</v>
      </c>
      <c r="EV5" t="e">
        <f>AND('boilerplate specs'!G10,"AAAAAH///5c=")</f>
        <v>#VALUE!</v>
      </c>
      <c r="EW5" t="e">
        <f>AND('boilerplate specs'!H10,"AAAAAH///5g=")</f>
        <v>#VALUE!</v>
      </c>
      <c r="EX5" t="e">
        <f>AND('boilerplate specs'!I10,"AAAAAH///5k=")</f>
        <v>#VALUE!</v>
      </c>
      <c r="EY5" t="e">
        <f>AND('boilerplate specs'!J10,"AAAAAH///5o=")</f>
        <v>#VALUE!</v>
      </c>
      <c r="EZ5" t="e">
        <f>AND('boilerplate specs'!#REF!,"AAAAAH///5s=")</f>
        <v>#REF!</v>
      </c>
      <c r="FA5" t="e">
        <f>AND('boilerplate specs'!#REF!,"AAAAAH///5w=")</f>
        <v>#REF!</v>
      </c>
      <c r="FB5" t="e">
        <f>AND('boilerplate specs'!#REF!,"AAAAAH///50=")</f>
        <v>#REF!</v>
      </c>
      <c r="FC5" t="e">
        <f>AND('boilerplate specs'!#REF!,"AAAAAH///54=")</f>
        <v>#REF!</v>
      </c>
      <c r="FD5" t="e">
        <f>AND('boilerplate specs'!#REF!,"AAAAAH///58=")</f>
        <v>#REF!</v>
      </c>
      <c r="FE5" t="e">
        <f>AND('boilerplate specs'!#REF!,"AAAAAH///6A=")</f>
        <v>#REF!</v>
      </c>
      <c r="FF5" t="e">
        <f>AND('boilerplate specs'!#REF!,"AAAAAH///6E=")</f>
        <v>#REF!</v>
      </c>
      <c r="FG5" t="e">
        <f>AND('boilerplate specs'!#REF!,"AAAAAH///6I=")</f>
        <v>#REF!</v>
      </c>
      <c r="FH5" t="e">
        <f>AND('boilerplate specs'!#REF!,"AAAAAH///6M=")</f>
        <v>#REF!</v>
      </c>
      <c r="FI5" t="e">
        <f>AND('boilerplate specs'!#REF!,"AAAAAH///6Q=")</f>
        <v>#REF!</v>
      </c>
      <c r="FJ5" t="e">
        <f>AND('boilerplate specs'!#REF!,"AAAAAH///6U=")</f>
        <v>#REF!</v>
      </c>
      <c r="FK5" t="e">
        <f>AND('boilerplate specs'!#REF!,"AAAAAH///6Y=")</f>
        <v>#REF!</v>
      </c>
      <c r="FL5" t="e">
        <f>AND('boilerplate specs'!#REF!,"AAAAAH///6c=")</f>
        <v>#REF!</v>
      </c>
      <c r="FM5" t="e">
        <f>AND('boilerplate specs'!#REF!,"AAAAAH///6g=")</f>
        <v>#REF!</v>
      </c>
      <c r="FN5" t="e">
        <f>AND('boilerplate specs'!#REF!,"AAAAAH///6k=")</f>
        <v>#REF!</v>
      </c>
      <c r="FO5" t="e">
        <f>AND('boilerplate specs'!#REF!,"AAAAAH///6o=")</f>
        <v>#REF!</v>
      </c>
      <c r="FP5" t="e">
        <f>AND('boilerplate specs'!#REF!,"AAAAAH///6s=")</f>
        <v>#REF!</v>
      </c>
      <c r="FQ5" t="e">
        <f>AND('boilerplate specs'!#REF!,"AAAAAH///6w=")</f>
        <v>#REF!</v>
      </c>
      <c r="FR5" t="e">
        <f>AND('boilerplate specs'!#REF!,"AAAAAH///60=")</f>
        <v>#REF!</v>
      </c>
      <c r="FS5" t="e">
        <f>AND('boilerplate specs'!#REF!,"AAAAAH///64=")</f>
        <v>#REF!</v>
      </c>
      <c r="FT5" t="e">
        <f>AND('boilerplate specs'!#REF!,"AAAAAH///68=")</f>
        <v>#REF!</v>
      </c>
      <c r="FU5" t="e">
        <f>AND('boilerplate specs'!#REF!,"AAAAAH///7A=")</f>
        <v>#REF!</v>
      </c>
      <c r="FV5">
        <f>IF('boilerplate specs'!11:11,"AAAAAH///7E=",0)</f>
        <v>0</v>
      </c>
      <c r="FW5" t="e">
        <f>AND('boilerplate specs'!A11,"AAAAAH///7I=")</f>
        <v>#VALUE!</v>
      </c>
      <c r="FX5" t="e">
        <f>AND('boilerplate specs'!B11,"AAAAAH///7M=")</f>
        <v>#VALUE!</v>
      </c>
      <c r="FY5" t="e">
        <f>AND('boilerplate specs'!C11,"AAAAAH///7Q=")</f>
        <v>#VALUE!</v>
      </c>
      <c r="FZ5" t="e">
        <f>AND('boilerplate specs'!D11,"AAAAAH///7U=")</f>
        <v>#VALUE!</v>
      </c>
      <c r="GA5" t="e">
        <f>AND('boilerplate specs'!E11,"AAAAAH///7Y=")</f>
        <v>#VALUE!</v>
      </c>
      <c r="GB5" t="e">
        <f>AND('boilerplate specs'!F11,"AAAAAH///7c=")</f>
        <v>#VALUE!</v>
      </c>
      <c r="GC5" t="e">
        <f>AND('boilerplate specs'!G11,"AAAAAH///7g=")</f>
        <v>#VALUE!</v>
      </c>
      <c r="GD5" t="e">
        <f>AND('boilerplate specs'!H11,"AAAAAH///7k=")</f>
        <v>#VALUE!</v>
      </c>
      <c r="GE5" t="e">
        <f>AND('boilerplate specs'!I11,"AAAAAH///7o=")</f>
        <v>#VALUE!</v>
      </c>
      <c r="GF5" t="e">
        <f>AND('boilerplate specs'!J11,"AAAAAH///7s=")</f>
        <v>#VALUE!</v>
      </c>
      <c r="GG5" t="e">
        <f>AND('boilerplate specs'!#REF!,"AAAAAH///7w=")</f>
        <v>#REF!</v>
      </c>
      <c r="GH5" t="e">
        <f>AND('boilerplate specs'!#REF!,"AAAAAH///70=")</f>
        <v>#REF!</v>
      </c>
      <c r="GI5" t="e">
        <f>AND('boilerplate specs'!#REF!,"AAAAAH///74=")</f>
        <v>#REF!</v>
      </c>
      <c r="GJ5" t="e">
        <f>AND('boilerplate specs'!#REF!,"AAAAAH///78=")</f>
        <v>#REF!</v>
      </c>
      <c r="GK5" t="e">
        <f>AND('boilerplate specs'!#REF!,"AAAAAH///8A=")</f>
        <v>#REF!</v>
      </c>
      <c r="GL5" t="e">
        <f>AND('boilerplate specs'!#REF!,"AAAAAH///8E=")</f>
        <v>#REF!</v>
      </c>
      <c r="GM5" t="e">
        <f>AND('boilerplate specs'!#REF!,"AAAAAH///8I=")</f>
        <v>#REF!</v>
      </c>
      <c r="GN5" t="e">
        <f>AND('boilerplate specs'!#REF!,"AAAAAH///8M=")</f>
        <v>#REF!</v>
      </c>
      <c r="GO5" t="e">
        <f>AND('boilerplate specs'!#REF!,"AAAAAH///8Q=")</f>
        <v>#REF!</v>
      </c>
      <c r="GP5" t="e">
        <f>AND('boilerplate specs'!#REF!,"AAAAAH///8U=")</f>
        <v>#REF!</v>
      </c>
      <c r="GQ5" t="e">
        <f>AND('boilerplate specs'!#REF!,"AAAAAH///8Y=")</f>
        <v>#REF!</v>
      </c>
      <c r="GR5" t="e">
        <f>AND('boilerplate specs'!#REF!,"AAAAAH///8c=")</f>
        <v>#REF!</v>
      </c>
      <c r="GS5" t="e">
        <f>AND('boilerplate specs'!#REF!,"AAAAAH///8g=")</f>
        <v>#REF!</v>
      </c>
      <c r="GT5" t="e">
        <f>AND('boilerplate specs'!#REF!,"AAAAAH///8k=")</f>
        <v>#REF!</v>
      </c>
      <c r="GU5" t="e">
        <f>AND('boilerplate specs'!#REF!,"AAAAAH///8o=")</f>
        <v>#REF!</v>
      </c>
      <c r="GV5" t="e">
        <f>AND('boilerplate specs'!#REF!,"AAAAAH///8s=")</f>
        <v>#REF!</v>
      </c>
      <c r="GW5" t="e">
        <f>AND('boilerplate specs'!#REF!,"AAAAAH///8w=")</f>
        <v>#REF!</v>
      </c>
      <c r="GX5" t="e">
        <f>AND('boilerplate specs'!#REF!,"AAAAAH///80=")</f>
        <v>#REF!</v>
      </c>
      <c r="GY5" t="e">
        <f>AND('boilerplate specs'!#REF!,"AAAAAH///84=")</f>
        <v>#REF!</v>
      </c>
      <c r="GZ5" t="e">
        <f>AND('boilerplate specs'!#REF!,"AAAAAH///88=")</f>
        <v>#REF!</v>
      </c>
      <c r="HA5" t="e">
        <f>AND('boilerplate specs'!#REF!,"AAAAAH///9A=")</f>
        <v>#REF!</v>
      </c>
      <c r="HB5" t="e">
        <f>AND('boilerplate specs'!#REF!,"AAAAAH///9E=")</f>
        <v>#REF!</v>
      </c>
      <c r="HC5">
        <f>IF('boilerplate specs'!12:12,"AAAAAH///9I=",0)</f>
        <v>0</v>
      </c>
      <c r="HD5" t="e">
        <f>AND('boilerplate specs'!A12,"AAAAAH///9M=")</f>
        <v>#VALUE!</v>
      </c>
      <c r="HE5" t="e">
        <f>AND('boilerplate specs'!B12,"AAAAAH///9Q=")</f>
        <v>#VALUE!</v>
      </c>
      <c r="HF5" t="e">
        <f>AND('boilerplate specs'!C12,"AAAAAH///9U=")</f>
        <v>#VALUE!</v>
      </c>
      <c r="HG5" t="e">
        <f>AND('boilerplate specs'!D12,"AAAAAH///9Y=")</f>
        <v>#VALUE!</v>
      </c>
      <c r="HH5" t="e">
        <f>AND('boilerplate specs'!E12,"AAAAAH///9c=")</f>
        <v>#VALUE!</v>
      </c>
      <c r="HI5" t="e">
        <f>AND('boilerplate specs'!F12,"AAAAAH///9g=")</f>
        <v>#VALUE!</v>
      </c>
      <c r="HJ5" t="e">
        <f>AND('boilerplate specs'!G12,"AAAAAH///9k=")</f>
        <v>#VALUE!</v>
      </c>
      <c r="HK5" t="e">
        <f>AND('boilerplate specs'!H12,"AAAAAH///9o=")</f>
        <v>#VALUE!</v>
      </c>
      <c r="HL5" t="e">
        <f>AND('boilerplate specs'!I12,"AAAAAH///9s=")</f>
        <v>#VALUE!</v>
      </c>
      <c r="HM5" t="e">
        <f>AND('boilerplate specs'!J12,"AAAAAH///9w=")</f>
        <v>#VALUE!</v>
      </c>
      <c r="HN5" t="e">
        <f>AND('boilerplate specs'!#REF!,"AAAAAH///90=")</f>
        <v>#REF!</v>
      </c>
      <c r="HO5" t="e">
        <f>AND('boilerplate specs'!#REF!,"AAAAAH///94=")</f>
        <v>#REF!</v>
      </c>
      <c r="HP5" t="e">
        <f>AND('boilerplate specs'!#REF!,"AAAAAH///98=")</f>
        <v>#REF!</v>
      </c>
      <c r="HQ5" t="e">
        <f>AND('boilerplate specs'!#REF!,"AAAAAH///+A=")</f>
        <v>#REF!</v>
      </c>
      <c r="HR5" t="e">
        <f>AND('boilerplate specs'!#REF!,"AAAAAH///+E=")</f>
        <v>#REF!</v>
      </c>
      <c r="HS5" t="e">
        <f>AND('boilerplate specs'!#REF!,"AAAAAH///+I=")</f>
        <v>#REF!</v>
      </c>
      <c r="HT5" t="e">
        <f>AND('boilerplate specs'!#REF!,"AAAAAH///+M=")</f>
        <v>#REF!</v>
      </c>
      <c r="HU5" t="e">
        <f>AND('boilerplate specs'!#REF!,"AAAAAH///+Q=")</f>
        <v>#REF!</v>
      </c>
      <c r="HV5" t="e">
        <f>AND('boilerplate specs'!#REF!,"AAAAAH///+U=")</f>
        <v>#REF!</v>
      </c>
      <c r="HW5" t="e">
        <f>AND('boilerplate specs'!#REF!,"AAAAAH///+Y=")</f>
        <v>#REF!</v>
      </c>
      <c r="HX5" t="e">
        <f>AND('boilerplate specs'!#REF!,"AAAAAH///+c=")</f>
        <v>#REF!</v>
      </c>
      <c r="HY5" t="e">
        <f>AND('boilerplate specs'!#REF!,"AAAAAH///+g=")</f>
        <v>#REF!</v>
      </c>
      <c r="HZ5" t="e">
        <f>AND('boilerplate specs'!#REF!,"AAAAAH///+k=")</f>
        <v>#REF!</v>
      </c>
      <c r="IA5" t="e">
        <f>AND('boilerplate specs'!#REF!,"AAAAAH///+o=")</f>
        <v>#REF!</v>
      </c>
      <c r="IB5" t="e">
        <f>AND('boilerplate specs'!#REF!,"AAAAAH///+s=")</f>
        <v>#REF!</v>
      </c>
      <c r="IC5" t="e">
        <f>AND('boilerplate specs'!#REF!,"AAAAAH///+w=")</f>
        <v>#REF!</v>
      </c>
      <c r="ID5" t="e">
        <f>AND('boilerplate specs'!#REF!,"AAAAAH///+0=")</f>
        <v>#REF!</v>
      </c>
      <c r="IE5" t="e">
        <f>AND('boilerplate specs'!#REF!,"AAAAAH///+4=")</f>
        <v>#REF!</v>
      </c>
      <c r="IF5" t="e">
        <f>AND('boilerplate specs'!#REF!,"AAAAAH///+8=")</f>
        <v>#REF!</v>
      </c>
      <c r="IG5" t="e">
        <f>AND('boilerplate specs'!#REF!,"AAAAAH////A=")</f>
        <v>#REF!</v>
      </c>
      <c r="IH5" t="e">
        <f>AND('boilerplate specs'!#REF!,"AAAAAH////E=")</f>
        <v>#REF!</v>
      </c>
      <c r="II5" t="e">
        <f>AND('boilerplate specs'!#REF!,"AAAAAH////I=")</f>
        <v>#REF!</v>
      </c>
      <c r="IJ5">
        <f>IF('boilerplate specs'!13:13,"AAAAAH////M=",0)</f>
        <v>0</v>
      </c>
      <c r="IK5" t="e">
        <f>AND('boilerplate specs'!A13,"AAAAAH////Q=")</f>
        <v>#VALUE!</v>
      </c>
      <c r="IL5" t="e">
        <f>AND('boilerplate specs'!B13,"AAAAAH////U=")</f>
        <v>#VALUE!</v>
      </c>
      <c r="IM5" t="e">
        <f>AND('boilerplate specs'!C13,"AAAAAH////Y=")</f>
        <v>#VALUE!</v>
      </c>
      <c r="IN5" t="e">
        <f>AND('boilerplate specs'!D13,"AAAAAH////c=")</f>
        <v>#VALUE!</v>
      </c>
      <c r="IO5" t="e">
        <f>AND('boilerplate specs'!E13,"AAAAAH////g=")</f>
        <v>#VALUE!</v>
      </c>
      <c r="IP5" t="e">
        <f>AND('boilerplate specs'!F13,"AAAAAH////k=")</f>
        <v>#VALUE!</v>
      </c>
      <c r="IQ5" t="e">
        <f>AND('boilerplate specs'!G13,"AAAAAH////o=")</f>
        <v>#VALUE!</v>
      </c>
      <c r="IR5" t="e">
        <f>AND('boilerplate specs'!H13,"AAAAAH////s=")</f>
        <v>#VALUE!</v>
      </c>
      <c r="IS5" t="e">
        <f>AND('boilerplate specs'!I13,"AAAAAH////w=")</f>
        <v>#VALUE!</v>
      </c>
      <c r="IT5" t="e">
        <f>AND('boilerplate specs'!J13,"AAAAAH////0=")</f>
        <v>#VALUE!</v>
      </c>
      <c r="IU5" t="e">
        <f>AND('boilerplate specs'!#REF!,"AAAAAH////4=")</f>
        <v>#REF!</v>
      </c>
      <c r="IV5" t="e">
        <f>AND('boilerplate specs'!#REF!,"AAAAAH////8=")</f>
        <v>#REF!</v>
      </c>
    </row>
    <row r="6" spans="1:256" x14ac:dyDescent="0.35">
      <c r="A6" t="e">
        <f>AND('boilerplate specs'!#REF!,"AAAAAGfL/gA=")</f>
        <v>#REF!</v>
      </c>
      <c r="B6" t="e">
        <f>AND('boilerplate specs'!#REF!,"AAAAAGfL/gE=")</f>
        <v>#REF!</v>
      </c>
      <c r="C6" t="e">
        <f>AND('boilerplate specs'!#REF!,"AAAAAGfL/gI=")</f>
        <v>#REF!</v>
      </c>
      <c r="D6" t="e">
        <f>AND('boilerplate specs'!#REF!,"AAAAAGfL/gM=")</f>
        <v>#REF!</v>
      </c>
      <c r="E6" t="e">
        <f>AND('boilerplate specs'!#REF!,"AAAAAGfL/gQ=")</f>
        <v>#REF!</v>
      </c>
      <c r="F6" t="e">
        <f>AND('boilerplate specs'!#REF!,"AAAAAGfL/gU=")</f>
        <v>#REF!</v>
      </c>
      <c r="G6" t="e">
        <f>AND('boilerplate specs'!#REF!,"AAAAAGfL/gY=")</f>
        <v>#REF!</v>
      </c>
      <c r="H6" t="e">
        <f>AND('boilerplate specs'!#REF!,"AAAAAGfL/gc=")</f>
        <v>#REF!</v>
      </c>
      <c r="I6" t="e">
        <f>AND('boilerplate specs'!#REF!,"AAAAAGfL/gg=")</f>
        <v>#REF!</v>
      </c>
      <c r="J6" t="e">
        <f>AND('boilerplate specs'!#REF!,"AAAAAGfL/gk=")</f>
        <v>#REF!</v>
      </c>
      <c r="K6" t="e">
        <f>AND('boilerplate specs'!#REF!,"AAAAAGfL/go=")</f>
        <v>#REF!</v>
      </c>
      <c r="L6" t="e">
        <f>AND('boilerplate specs'!#REF!,"AAAAAGfL/gs=")</f>
        <v>#REF!</v>
      </c>
      <c r="M6" t="e">
        <f>AND('boilerplate specs'!#REF!,"AAAAAGfL/gw=")</f>
        <v>#REF!</v>
      </c>
      <c r="N6" t="e">
        <f>AND('boilerplate specs'!#REF!,"AAAAAGfL/g0=")</f>
        <v>#REF!</v>
      </c>
      <c r="O6" t="e">
        <f>AND('boilerplate specs'!#REF!,"AAAAAGfL/g4=")</f>
        <v>#REF!</v>
      </c>
      <c r="P6" t="e">
        <f>AND('boilerplate specs'!#REF!,"AAAAAGfL/g8=")</f>
        <v>#REF!</v>
      </c>
      <c r="Q6" t="e">
        <f>AND('boilerplate specs'!#REF!,"AAAAAGfL/hA=")</f>
        <v>#REF!</v>
      </c>
      <c r="R6" t="e">
        <f>AND('boilerplate specs'!#REF!,"AAAAAGfL/hE=")</f>
        <v>#REF!</v>
      </c>
      <c r="S6" t="e">
        <f>AND('boilerplate specs'!#REF!,"AAAAAGfL/hI=")</f>
        <v>#REF!</v>
      </c>
      <c r="T6" t="e">
        <f>AND('boilerplate specs'!#REF!,"AAAAAGfL/hM=")</f>
        <v>#REF!</v>
      </c>
      <c r="U6">
        <f>IF('boilerplate specs'!14:14,"AAAAAGfL/hQ=",0)</f>
        <v>0</v>
      </c>
      <c r="V6" t="e">
        <f>AND('boilerplate specs'!A14,"AAAAAGfL/hU=")</f>
        <v>#VALUE!</v>
      </c>
      <c r="W6" t="e">
        <f>AND('boilerplate specs'!B14,"AAAAAGfL/hY=")</f>
        <v>#VALUE!</v>
      </c>
      <c r="X6" t="e">
        <f>AND('boilerplate specs'!C14,"AAAAAGfL/hc=")</f>
        <v>#VALUE!</v>
      </c>
      <c r="Y6" t="e">
        <f>AND('boilerplate specs'!D14,"AAAAAGfL/hg=")</f>
        <v>#VALUE!</v>
      </c>
      <c r="Z6" t="e">
        <f>AND('boilerplate specs'!E14,"AAAAAGfL/hk=")</f>
        <v>#VALUE!</v>
      </c>
      <c r="AA6" t="e">
        <f>AND('boilerplate specs'!F14,"AAAAAGfL/ho=")</f>
        <v>#VALUE!</v>
      </c>
      <c r="AB6" t="e">
        <f>AND('boilerplate specs'!G14,"AAAAAGfL/hs=")</f>
        <v>#VALUE!</v>
      </c>
      <c r="AC6" t="e">
        <f>AND('boilerplate specs'!H14,"AAAAAGfL/hw=")</f>
        <v>#VALUE!</v>
      </c>
      <c r="AD6" t="e">
        <f>AND('boilerplate specs'!I14,"AAAAAGfL/h0=")</f>
        <v>#VALUE!</v>
      </c>
      <c r="AE6" t="e">
        <f>AND('boilerplate specs'!J14,"AAAAAGfL/h4=")</f>
        <v>#VALUE!</v>
      </c>
      <c r="AF6" t="e">
        <f>AND('boilerplate specs'!#REF!,"AAAAAGfL/h8=")</f>
        <v>#REF!</v>
      </c>
      <c r="AG6" t="e">
        <f>AND('boilerplate specs'!#REF!,"AAAAAGfL/iA=")</f>
        <v>#REF!</v>
      </c>
      <c r="AH6" t="e">
        <f>AND('boilerplate specs'!#REF!,"AAAAAGfL/iE=")</f>
        <v>#REF!</v>
      </c>
      <c r="AI6" t="e">
        <f>AND('boilerplate specs'!#REF!,"AAAAAGfL/iI=")</f>
        <v>#REF!</v>
      </c>
      <c r="AJ6" t="e">
        <f>AND('boilerplate specs'!#REF!,"AAAAAGfL/iM=")</f>
        <v>#REF!</v>
      </c>
      <c r="AK6" t="e">
        <f>AND('boilerplate specs'!#REF!,"AAAAAGfL/iQ=")</f>
        <v>#REF!</v>
      </c>
      <c r="AL6" t="e">
        <f>AND('boilerplate specs'!#REF!,"AAAAAGfL/iU=")</f>
        <v>#REF!</v>
      </c>
      <c r="AM6" t="e">
        <f>AND('boilerplate specs'!#REF!,"AAAAAGfL/iY=")</f>
        <v>#REF!</v>
      </c>
      <c r="AN6" t="e">
        <f>AND('boilerplate specs'!#REF!,"AAAAAGfL/ic=")</f>
        <v>#REF!</v>
      </c>
      <c r="AO6" t="e">
        <f>AND('boilerplate specs'!#REF!,"AAAAAGfL/ig=")</f>
        <v>#REF!</v>
      </c>
      <c r="AP6" t="e">
        <f>AND('boilerplate specs'!#REF!,"AAAAAGfL/ik=")</f>
        <v>#REF!</v>
      </c>
      <c r="AQ6" t="e">
        <f>AND('boilerplate specs'!#REF!,"AAAAAGfL/io=")</f>
        <v>#REF!</v>
      </c>
      <c r="AR6" t="e">
        <f>AND('boilerplate specs'!#REF!,"AAAAAGfL/is=")</f>
        <v>#REF!</v>
      </c>
      <c r="AS6" t="e">
        <f>AND('boilerplate specs'!#REF!,"AAAAAGfL/iw=")</f>
        <v>#REF!</v>
      </c>
      <c r="AT6" t="e">
        <f>AND('boilerplate specs'!#REF!,"AAAAAGfL/i0=")</f>
        <v>#REF!</v>
      </c>
      <c r="AU6" t="e">
        <f>AND('boilerplate specs'!#REF!,"AAAAAGfL/i4=")</f>
        <v>#REF!</v>
      </c>
      <c r="AV6" t="e">
        <f>AND('boilerplate specs'!#REF!,"AAAAAGfL/i8=")</f>
        <v>#REF!</v>
      </c>
      <c r="AW6" t="e">
        <f>AND('boilerplate specs'!#REF!,"AAAAAGfL/jA=")</f>
        <v>#REF!</v>
      </c>
      <c r="AX6" t="e">
        <f>AND('boilerplate specs'!#REF!,"AAAAAGfL/jE=")</f>
        <v>#REF!</v>
      </c>
      <c r="AY6" t="e">
        <f>AND('boilerplate specs'!#REF!,"AAAAAGfL/jI=")</f>
        <v>#REF!</v>
      </c>
      <c r="AZ6" t="e">
        <f>AND('boilerplate specs'!#REF!,"AAAAAGfL/jM=")</f>
        <v>#REF!</v>
      </c>
      <c r="BA6" t="e">
        <f>AND('boilerplate specs'!#REF!,"AAAAAGfL/jQ=")</f>
        <v>#REF!</v>
      </c>
      <c r="BB6">
        <f>IF('boilerplate specs'!15:15,"AAAAAGfL/jU=",0)</f>
        <v>0</v>
      </c>
      <c r="BC6" t="e">
        <f>AND('boilerplate specs'!A15,"AAAAAGfL/jY=")</f>
        <v>#VALUE!</v>
      </c>
      <c r="BD6" t="e">
        <f>AND('boilerplate specs'!B15,"AAAAAGfL/jc=")</f>
        <v>#VALUE!</v>
      </c>
      <c r="BE6" t="e">
        <f>AND('boilerplate specs'!C15,"AAAAAGfL/jg=")</f>
        <v>#VALUE!</v>
      </c>
      <c r="BF6" t="e">
        <f>AND('boilerplate specs'!D15,"AAAAAGfL/jk=")</f>
        <v>#VALUE!</v>
      </c>
      <c r="BG6" t="e">
        <f>AND('boilerplate specs'!E15,"AAAAAGfL/jo=")</f>
        <v>#VALUE!</v>
      </c>
      <c r="BH6" t="e">
        <f>AND('boilerplate specs'!F15,"AAAAAGfL/js=")</f>
        <v>#VALUE!</v>
      </c>
      <c r="BI6" t="e">
        <f>AND('boilerplate specs'!G15,"AAAAAGfL/jw=")</f>
        <v>#VALUE!</v>
      </c>
      <c r="BJ6" t="e">
        <f>AND('boilerplate specs'!H15,"AAAAAGfL/j0=")</f>
        <v>#VALUE!</v>
      </c>
      <c r="BK6" t="e">
        <f>AND('boilerplate specs'!I15,"AAAAAGfL/j4=")</f>
        <v>#VALUE!</v>
      </c>
      <c r="BL6" t="e">
        <f>AND('boilerplate specs'!J15,"AAAAAGfL/j8=")</f>
        <v>#VALUE!</v>
      </c>
      <c r="BM6" t="e">
        <f>AND('boilerplate specs'!#REF!,"AAAAAGfL/kA=")</f>
        <v>#REF!</v>
      </c>
      <c r="BN6" t="e">
        <f>AND('boilerplate specs'!#REF!,"AAAAAGfL/kE=")</f>
        <v>#REF!</v>
      </c>
      <c r="BO6" t="e">
        <f>AND('boilerplate specs'!#REF!,"AAAAAGfL/kI=")</f>
        <v>#REF!</v>
      </c>
      <c r="BP6" t="e">
        <f>AND('boilerplate specs'!#REF!,"AAAAAGfL/kM=")</f>
        <v>#REF!</v>
      </c>
      <c r="BQ6" t="e">
        <f>AND('boilerplate specs'!#REF!,"AAAAAGfL/kQ=")</f>
        <v>#REF!</v>
      </c>
      <c r="BR6" t="e">
        <f>AND('boilerplate specs'!#REF!,"AAAAAGfL/kU=")</f>
        <v>#REF!</v>
      </c>
      <c r="BS6" t="e">
        <f>AND('boilerplate specs'!#REF!,"AAAAAGfL/kY=")</f>
        <v>#REF!</v>
      </c>
      <c r="BT6" t="e">
        <f>AND('boilerplate specs'!#REF!,"AAAAAGfL/kc=")</f>
        <v>#REF!</v>
      </c>
      <c r="BU6" t="e">
        <f>AND('boilerplate specs'!#REF!,"AAAAAGfL/kg=")</f>
        <v>#REF!</v>
      </c>
      <c r="BV6" t="e">
        <f>AND('boilerplate specs'!#REF!,"AAAAAGfL/kk=")</f>
        <v>#REF!</v>
      </c>
      <c r="BW6" t="e">
        <f>AND('boilerplate specs'!#REF!,"AAAAAGfL/ko=")</f>
        <v>#REF!</v>
      </c>
      <c r="BX6" t="e">
        <f>AND('boilerplate specs'!#REF!,"AAAAAGfL/ks=")</f>
        <v>#REF!</v>
      </c>
      <c r="BY6" t="e">
        <f>AND('boilerplate specs'!#REF!,"AAAAAGfL/kw=")</f>
        <v>#REF!</v>
      </c>
      <c r="BZ6" t="e">
        <f>AND('boilerplate specs'!#REF!,"AAAAAGfL/k0=")</f>
        <v>#REF!</v>
      </c>
      <c r="CA6" t="e">
        <f>AND('boilerplate specs'!#REF!,"AAAAAGfL/k4=")</f>
        <v>#REF!</v>
      </c>
      <c r="CB6" t="e">
        <f>AND('boilerplate specs'!#REF!,"AAAAAGfL/k8=")</f>
        <v>#REF!</v>
      </c>
      <c r="CC6" t="e">
        <f>AND('boilerplate specs'!#REF!,"AAAAAGfL/lA=")</f>
        <v>#REF!</v>
      </c>
      <c r="CD6" t="e">
        <f>AND('boilerplate specs'!#REF!,"AAAAAGfL/lE=")</f>
        <v>#REF!</v>
      </c>
      <c r="CE6" t="e">
        <f>AND('boilerplate specs'!#REF!,"AAAAAGfL/lI=")</f>
        <v>#REF!</v>
      </c>
      <c r="CF6" t="e">
        <f>AND('boilerplate specs'!#REF!,"AAAAAGfL/lM=")</f>
        <v>#REF!</v>
      </c>
      <c r="CG6" t="e">
        <f>AND('boilerplate specs'!#REF!,"AAAAAGfL/lQ=")</f>
        <v>#REF!</v>
      </c>
      <c r="CH6" t="e">
        <f>AND('boilerplate specs'!#REF!,"AAAAAGfL/lU=")</f>
        <v>#REF!</v>
      </c>
      <c r="CI6">
        <f>IF('boilerplate specs'!16:16,"AAAAAGfL/lY=",0)</f>
        <v>0</v>
      </c>
      <c r="CJ6" t="e">
        <f>AND('boilerplate specs'!A16,"AAAAAGfL/lc=")</f>
        <v>#VALUE!</v>
      </c>
      <c r="CK6" t="e">
        <f>AND('boilerplate specs'!B16,"AAAAAGfL/lg=")</f>
        <v>#VALUE!</v>
      </c>
      <c r="CL6" t="e">
        <f>AND('boilerplate specs'!C16,"AAAAAGfL/lk=")</f>
        <v>#VALUE!</v>
      </c>
      <c r="CM6" t="e">
        <f>AND('boilerplate specs'!D16,"AAAAAGfL/lo=")</f>
        <v>#VALUE!</v>
      </c>
      <c r="CN6" t="e">
        <f>AND('boilerplate specs'!E16,"AAAAAGfL/ls=")</f>
        <v>#VALUE!</v>
      </c>
      <c r="CO6" t="e">
        <f>AND('boilerplate specs'!F16,"AAAAAGfL/lw=")</f>
        <v>#VALUE!</v>
      </c>
      <c r="CP6" t="e">
        <f>AND('boilerplate specs'!G16,"AAAAAGfL/l0=")</f>
        <v>#VALUE!</v>
      </c>
      <c r="CQ6" t="e">
        <f>AND('boilerplate specs'!H16,"AAAAAGfL/l4=")</f>
        <v>#VALUE!</v>
      </c>
      <c r="CR6" t="e">
        <f>AND('boilerplate specs'!I16,"AAAAAGfL/l8=")</f>
        <v>#VALUE!</v>
      </c>
      <c r="CS6" t="e">
        <f>AND('boilerplate specs'!J16,"AAAAAGfL/mA=")</f>
        <v>#VALUE!</v>
      </c>
      <c r="CT6" t="e">
        <f>AND('boilerplate specs'!#REF!,"AAAAAGfL/mE=")</f>
        <v>#REF!</v>
      </c>
      <c r="CU6" t="e">
        <f>AND('boilerplate specs'!#REF!,"AAAAAGfL/mI=")</f>
        <v>#REF!</v>
      </c>
      <c r="CV6" t="e">
        <f>AND('boilerplate specs'!#REF!,"AAAAAGfL/mM=")</f>
        <v>#REF!</v>
      </c>
      <c r="CW6" t="e">
        <f>AND('boilerplate specs'!#REF!,"AAAAAGfL/mQ=")</f>
        <v>#REF!</v>
      </c>
      <c r="CX6" t="e">
        <f>AND('boilerplate specs'!#REF!,"AAAAAGfL/mU=")</f>
        <v>#REF!</v>
      </c>
      <c r="CY6" t="e">
        <f>AND('boilerplate specs'!#REF!,"AAAAAGfL/mY=")</f>
        <v>#REF!</v>
      </c>
      <c r="CZ6" t="e">
        <f>AND('boilerplate specs'!#REF!,"AAAAAGfL/mc=")</f>
        <v>#REF!</v>
      </c>
      <c r="DA6" t="e">
        <f>AND('boilerplate specs'!#REF!,"AAAAAGfL/mg=")</f>
        <v>#REF!</v>
      </c>
      <c r="DB6" t="e">
        <f>AND('boilerplate specs'!#REF!,"AAAAAGfL/mk=")</f>
        <v>#REF!</v>
      </c>
      <c r="DC6" t="e">
        <f>AND('boilerplate specs'!#REF!,"AAAAAGfL/mo=")</f>
        <v>#REF!</v>
      </c>
      <c r="DD6" t="e">
        <f>AND('boilerplate specs'!#REF!,"AAAAAGfL/ms=")</f>
        <v>#REF!</v>
      </c>
      <c r="DE6" t="e">
        <f>AND('boilerplate specs'!#REF!,"AAAAAGfL/mw=")</f>
        <v>#REF!</v>
      </c>
      <c r="DF6" t="e">
        <f>AND('boilerplate specs'!#REF!,"AAAAAGfL/m0=")</f>
        <v>#REF!</v>
      </c>
      <c r="DG6" t="e">
        <f>AND('boilerplate specs'!#REF!,"AAAAAGfL/m4=")</f>
        <v>#REF!</v>
      </c>
      <c r="DH6" t="e">
        <f>AND('boilerplate specs'!#REF!,"AAAAAGfL/m8=")</f>
        <v>#REF!</v>
      </c>
      <c r="DI6" t="e">
        <f>AND('boilerplate specs'!#REF!,"AAAAAGfL/nA=")</f>
        <v>#REF!</v>
      </c>
      <c r="DJ6" t="e">
        <f>AND('boilerplate specs'!#REF!,"AAAAAGfL/nE=")</f>
        <v>#REF!</v>
      </c>
      <c r="DK6" t="e">
        <f>AND('boilerplate specs'!#REF!,"AAAAAGfL/nI=")</f>
        <v>#REF!</v>
      </c>
      <c r="DL6" t="e">
        <f>AND('boilerplate specs'!#REF!,"AAAAAGfL/nM=")</f>
        <v>#REF!</v>
      </c>
      <c r="DM6" t="e">
        <f>AND('boilerplate specs'!#REF!,"AAAAAGfL/nQ=")</f>
        <v>#REF!</v>
      </c>
      <c r="DN6" t="e">
        <f>AND('boilerplate specs'!#REF!,"AAAAAGfL/nU=")</f>
        <v>#REF!</v>
      </c>
      <c r="DO6" t="e">
        <f>AND('boilerplate specs'!#REF!,"AAAAAGfL/nY=")</f>
        <v>#REF!</v>
      </c>
      <c r="DP6">
        <f>IF('boilerplate specs'!17:17,"AAAAAGfL/nc=",0)</f>
        <v>0</v>
      </c>
      <c r="DQ6" t="e">
        <f>AND('boilerplate specs'!A17,"AAAAAGfL/ng=")</f>
        <v>#VALUE!</v>
      </c>
      <c r="DR6" t="e">
        <f>AND('boilerplate specs'!B17,"AAAAAGfL/nk=")</f>
        <v>#VALUE!</v>
      </c>
      <c r="DS6" t="e">
        <f>AND('boilerplate specs'!C17,"AAAAAGfL/no=")</f>
        <v>#VALUE!</v>
      </c>
      <c r="DT6" t="e">
        <f>AND('boilerplate specs'!D17,"AAAAAGfL/ns=")</f>
        <v>#VALUE!</v>
      </c>
      <c r="DU6" t="e">
        <f>AND('boilerplate specs'!E17,"AAAAAGfL/nw=")</f>
        <v>#VALUE!</v>
      </c>
      <c r="DV6" t="e">
        <f>AND('boilerplate specs'!F17,"AAAAAGfL/n0=")</f>
        <v>#VALUE!</v>
      </c>
      <c r="DW6" t="e">
        <f>AND('boilerplate specs'!G17,"AAAAAGfL/n4=")</f>
        <v>#VALUE!</v>
      </c>
      <c r="DX6" t="e">
        <f>AND('boilerplate specs'!H17,"AAAAAGfL/n8=")</f>
        <v>#VALUE!</v>
      </c>
      <c r="DY6" t="e">
        <f>AND('boilerplate specs'!I17,"AAAAAGfL/oA=")</f>
        <v>#VALUE!</v>
      </c>
      <c r="DZ6" t="e">
        <f>AND('boilerplate specs'!J17,"AAAAAGfL/oE=")</f>
        <v>#VALUE!</v>
      </c>
      <c r="EA6" t="e">
        <f>AND('boilerplate specs'!#REF!,"AAAAAGfL/oI=")</f>
        <v>#REF!</v>
      </c>
      <c r="EB6" t="e">
        <f>AND('boilerplate specs'!#REF!,"AAAAAGfL/oM=")</f>
        <v>#REF!</v>
      </c>
      <c r="EC6" t="e">
        <f>AND('boilerplate specs'!#REF!,"AAAAAGfL/oQ=")</f>
        <v>#REF!</v>
      </c>
      <c r="ED6" t="e">
        <f>AND('boilerplate specs'!#REF!,"AAAAAGfL/oU=")</f>
        <v>#REF!</v>
      </c>
      <c r="EE6" t="e">
        <f>AND('boilerplate specs'!#REF!,"AAAAAGfL/oY=")</f>
        <v>#REF!</v>
      </c>
      <c r="EF6" t="e">
        <f>AND('boilerplate specs'!#REF!,"AAAAAGfL/oc=")</f>
        <v>#REF!</v>
      </c>
      <c r="EG6" t="e">
        <f>AND('boilerplate specs'!#REF!,"AAAAAGfL/og=")</f>
        <v>#REF!</v>
      </c>
      <c r="EH6" t="e">
        <f>AND('boilerplate specs'!#REF!,"AAAAAGfL/ok=")</f>
        <v>#REF!</v>
      </c>
      <c r="EI6" t="e">
        <f>AND('boilerplate specs'!#REF!,"AAAAAGfL/oo=")</f>
        <v>#REF!</v>
      </c>
      <c r="EJ6" t="e">
        <f>AND('boilerplate specs'!#REF!,"AAAAAGfL/os=")</f>
        <v>#REF!</v>
      </c>
      <c r="EK6" t="e">
        <f>AND('boilerplate specs'!#REF!,"AAAAAGfL/ow=")</f>
        <v>#REF!</v>
      </c>
      <c r="EL6" t="e">
        <f>AND('boilerplate specs'!#REF!,"AAAAAGfL/o0=")</f>
        <v>#REF!</v>
      </c>
      <c r="EM6" t="e">
        <f>AND('boilerplate specs'!#REF!,"AAAAAGfL/o4=")</f>
        <v>#REF!</v>
      </c>
      <c r="EN6" t="e">
        <f>AND('boilerplate specs'!#REF!,"AAAAAGfL/o8=")</f>
        <v>#REF!</v>
      </c>
      <c r="EO6" t="e">
        <f>AND('boilerplate specs'!#REF!,"AAAAAGfL/pA=")</f>
        <v>#REF!</v>
      </c>
      <c r="EP6" t="e">
        <f>AND('boilerplate specs'!#REF!,"AAAAAGfL/pE=")</f>
        <v>#REF!</v>
      </c>
      <c r="EQ6" t="e">
        <f>AND('boilerplate specs'!#REF!,"AAAAAGfL/pI=")</f>
        <v>#REF!</v>
      </c>
      <c r="ER6" t="e">
        <f>AND('boilerplate specs'!#REF!,"AAAAAGfL/pM=")</f>
        <v>#REF!</v>
      </c>
      <c r="ES6" t="e">
        <f>AND('boilerplate specs'!#REF!,"AAAAAGfL/pQ=")</f>
        <v>#REF!</v>
      </c>
      <c r="ET6" t="e">
        <f>AND('boilerplate specs'!#REF!,"AAAAAGfL/pU=")</f>
        <v>#REF!</v>
      </c>
      <c r="EU6" t="e">
        <f>AND('boilerplate specs'!#REF!,"AAAAAGfL/pY=")</f>
        <v>#REF!</v>
      </c>
      <c r="EV6" t="e">
        <f>AND('boilerplate specs'!#REF!,"AAAAAGfL/pc=")</f>
        <v>#REF!</v>
      </c>
      <c r="EW6">
        <f>IF('boilerplate specs'!18:18,"AAAAAGfL/pg=",0)</f>
        <v>0</v>
      </c>
      <c r="EX6" t="e">
        <f>AND('boilerplate specs'!A18,"AAAAAGfL/pk=")</f>
        <v>#VALUE!</v>
      </c>
      <c r="EY6" t="e">
        <f>AND('boilerplate specs'!B18,"AAAAAGfL/po=")</f>
        <v>#VALUE!</v>
      </c>
      <c r="EZ6" t="e">
        <f>AND('boilerplate specs'!C18,"AAAAAGfL/ps=")</f>
        <v>#VALUE!</v>
      </c>
      <c r="FA6" t="e">
        <f>AND('boilerplate specs'!D18,"AAAAAGfL/pw=")</f>
        <v>#VALUE!</v>
      </c>
      <c r="FB6" t="e">
        <f>AND('boilerplate specs'!E18,"AAAAAGfL/p0=")</f>
        <v>#VALUE!</v>
      </c>
      <c r="FC6" t="e">
        <f>AND('boilerplate specs'!F18,"AAAAAGfL/p4=")</f>
        <v>#VALUE!</v>
      </c>
      <c r="FD6" t="e">
        <f>AND('boilerplate specs'!G18,"AAAAAGfL/p8=")</f>
        <v>#VALUE!</v>
      </c>
      <c r="FE6" t="e">
        <f>AND('boilerplate specs'!H18,"AAAAAGfL/qA=")</f>
        <v>#VALUE!</v>
      </c>
      <c r="FF6" t="e">
        <f>AND('boilerplate specs'!I18,"AAAAAGfL/qE=")</f>
        <v>#VALUE!</v>
      </c>
      <c r="FG6" t="e">
        <f>AND('boilerplate specs'!J18,"AAAAAGfL/qI=")</f>
        <v>#VALUE!</v>
      </c>
      <c r="FH6" t="e">
        <f>AND('boilerplate specs'!#REF!,"AAAAAGfL/qM=")</f>
        <v>#REF!</v>
      </c>
      <c r="FI6" t="e">
        <f>AND('boilerplate specs'!#REF!,"AAAAAGfL/qQ=")</f>
        <v>#REF!</v>
      </c>
      <c r="FJ6" t="e">
        <f>AND('boilerplate specs'!#REF!,"AAAAAGfL/qU=")</f>
        <v>#REF!</v>
      </c>
      <c r="FK6" t="e">
        <f>AND('boilerplate specs'!#REF!,"AAAAAGfL/qY=")</f>
        <v>#REF!</v>
      </c>
      <c r="FL6" t="e">
        <f>AND('boilerplate specs'!#REF!,"AAAAAGfL/qc=")</f>
        <v>#REF!</v>
      </c>
      <c r="FM6" t="e">
        <f>AND('boilerplate specs'!#REF!,"AAAAAGfL/qg=")</f>
        <v>#REF!</v>
      </c>
      <c r="FN6" t="e">
        <f>AND('boilerplate specs'!#REF!,"AAAAAGfL/qk=")</f>
        <v>#REF!</v>
      </c>
      <c r="FO6" t="e">
        <f>AND('boilerplate specs'!#REF!,"AAAAAGfL/qo=")</f>
        <v>#REF!</v>
      </c>
      <c r="FP6" t="e">
        <f>AND('boilerplate specs'!#REF!,"AAAAAGfL/qs=")</f>
        <v>#REF!</v>
      </c>
      <c r="FQ6" t="e">
        <f>AND('boilerplate specs'!#REF!,"AAAAAGfL/qw=")</f>
        <v>#REF!</v>
      </c>
      <c r="FR6" t="e">
        <f>AND('boilerplate specs'!#REF!,"AAAAAGfL/q0=")</f>
        <v>#REF!</v>
      </c>
      <c r="FS6" t="e">
        <f>AND('boilerplate specs'!#REF!,"AAAAAGfL/q4=")</f>
        <v>#REF!</v>
      </c>
      <c r="FT6" t="e">
        <f>AND('boilerplate specs'!#REF!,"AAAAAGfL/q8=")</f>
        <v>#REF!</v>
      </c>
      <c r="FU6" t="e">
        <f>AND('boilerplate specs'!#REF!,"AAAAAGfL/rA=")</f>
        <v>#REF!</v>
      </c>
      <c r="FV6" t="e">
        <f>AND('boilerplate specs'!#REF!,"AAAAAGfL/rE=")</f>
        <v>#REF!</v>
      </c>
      <c r="FW6" t="e">
        <f>AND('boilerplate specs'!#REF!,"AAAAAGfL/rI=")</f>
        <v>#REF!</v>
      </c>
      <c r="FX6" t="e">
        <f>AND('boilerplate specs'!#REF!,"AAAAAGfL/rM=")</f>
        <v>#REF!</v>
      </c>
      <c r="FY6" t="e">
        <f>AND('boilerplate specs'!#REF!,"AAAAAGfL/rQ=")</f>
        <v>#REF!</v>
      </c>
      <c r="FZ6" t="e">
        <f>AND('boilerplate specs'!#REF!,"AAAAAGfL/rU=")</f>
        <v>#REF!</v>
      </c>
      <c r="GA6" t="e">
        <f>AND('boilerplate specs'!#REF!,"AAAAAGfL/rY=")</f>
        <v>#REF!</v>
      </c>
      <c r="GB6" t="e">
        <f>AND('boilerplate specs'!#REF!,"AAAAAGfL/rc=")</f>
        <v>#REF!</v>
      </c>
      <c r="GC6" t="e">
        <f>AND('boilerplate specs'!#REF!,"AAAAAGfL/rg=")</f>
        <v>#REF!</v>
      </c>
      <c r="GD6">
        <f>IF('boilerplate specs'!19:19,"AAAAAGfL/rk=",0)</f>
        <v>0</v>
      </c>
      <c r="GE6" t="e">
        <f>AND('boilerplate specs'!A19,"AAAAAGfL/ro=")</f>
        <v>#VALUE!</v>
      </c>
      <c r="GF6" t="e">
        <f>AND('boilerplate specs'!B19,"AAAAAGfL/rs=")</f>
        <v>#VALUE!</v>
      </c>
      <c r="GG6" t="e">
        <f>AND('boilerplate specs'!C19,"AAAAAGfL/rw=")</f>
        <v>#VALUE!</v>
      </c>
      <c r="GH6" t="e">
        <f>AND('boilerplate specs'!D19,"AAAAAGfL/r0=")</f>
        <v>#VALUE!</v>
      </c>
      <c r="GI6" t="e">
        <f>AND('boilerplate specs'!E19,"AAAAAGfL/r4=")</f>
        <v>#VALUE!</v>
      </c>
      <c r="GJ6" t="e">
        <f>AND('boilerplate specs'!F19,"AAAAAGfL/r8=")</f>
        <v>#VALUE!</v>
      </c>
      <c r="GK6" t="e">
        <f>AND('boilerplate specs'!G19,"AAAAAGfL/sA=")</f>
        <v>#VALUE!</v>
      </c>
      <c r="GL6" t="e">
        <f>AND('boilerplate specs'!H19,"AAAAAGfL/sE=")</f>
        <v>#VALUE!</v>
      </c>
      <c r="GM6" t="e">
        <f>AND('boilerplate specs'!I19,"AAAAAGfL/sI=")</f>
        <v>#VALUE!</v>
      </c>
      <c r="GN6" t="e">
        <f>AND('boilerplate specs'!J19,"AAAAAGfL/sM=")</f>
        <v>#VALUE!</v>
      </c>
      <c r="GO6" t="e">
        <f>AND('boilerplate specs'!#REF!,"AAAAAGfL/sQ=")</f>
        <v>#REF!</v>
      </c>
      <c r="GP6" t="e">
        <f>AND('boilerplate specs'!#REF!,"AAAAAGfL/sU=")</f>
        <v>#REF!</v>
      </c>
      <c r="GQ6" t="e">
        <f>AND('boilerplate specs'!#REF!,"AAAAAGfL/sY=")</f>
        <v>#REF!</v>
      </c>
      <c r="GR6" t="e">
        <f>AND('boilerplate specs'!#REF!,"AAAAAGfL/sc=")</f>
        <v>#REF!</v>
      </c>
      <c r="GS6" t="e">
        <f>AND('boilerplate specs'!#REF!,"AAAAAGfL/sg=")</f>
        <v>#REF!</v>
      </c>
      <c r="GT6" t="e">
        <f>AND('boilerplate specs'!#REF!,"AAAAAGfL/sk=")</f>
        <v>#REF!</v>
      </c>
      <c r="GU6" t="e">
        <f>AND('boilerplate specs'!#REF!,"AAAAAGfL/so=")</f>
        <v>#REF!</v>
      </c>
      <c r="GV6" t="e">
        <f>AND('boilerplate specs'!#REF!,"AAAAAGfL/ss=")</f>
        <v>#REF!</v>
      </c>
      <c r="GW6" t="e">
        <f>AND('boilerplate specs'!#REF!,"AAAAAGfL/sw=")</f>
        <v>#REF!</v>
      </c>
      <c r="GX6" t="e">
        <f>AND('boilerplate specs'!#REF!,"AAAAAGfL/s0=")</f>
        <v>#REF!</v>
      </c>
      <c r="GY6" t="e">
        <f>AND('boilerplate specs'!#REF!,"AAAAAGfL/s4=")</f>
        <v>#REF!</v>
      </c>
      <c r="GZ6" t="e">
        <f>AND('boilerplate specs'!#REF!,"AAAAAGfL/s8=")</f>
        <v>#REF!</v>
      </c>
      <c r="HA6" t="e">
        <f>AND('boilerplate specs'!#REF!,"AAAAAGfL/tA=")</f>
        <v>#REF!</v>
      </c>
      <c r="HB6" t="e">
        <f>AND('boilerplate specs'!#REF!,"AAAAAGfL/tE=")</f>
        <v>#REF!</v>
      </c>
      <c r="HC6" t="e">
        <f>AND('boilerplate specs'!#REF!,"AAAAAGfL/tI=")</f>
        <v>#REF!</v>
      </c>
      <c r="HD6" t="e">
        <f>AND('boilerplate specs'!#REF!,"AAAAAGfL/tM=")</f>
        <v>#REF!</v>
      </c>
      <c r="HE6" t="e">
        <f>AND('boilerplate specs'!#REF!,"AAAAAGfL/tQ=")</f>
        <v>#REF!</v>
      </c>
      <c r="HF6" t="e">
        <f>AND('boilerplate specs'!#REF!,"AAAAAGfL/tU=")</f>
        <v>#REF!</v>
      </c>
      <c r="HG6" t="e">
        <f>AND('boilerplate specs'!#REF!,"AAAAAGfL/tY=")</f>
        <v>#REF!</v>
      </c>
      <c r="HH6" t="e">
        <f>AND('boilerplate specs'!#REF!,"AAAAAGfL/tc=")</f>
        <v>#REF!</v>
      </c>
      <c r="HI6" t="e">
        <f>AND('boilerplate specs'!#REF!,"AAAAAGfL/tg=")</f>
        <v>#REF!</v>
      </c>
      <c r="HJ6" t="e">
        <f>AND('boilerplate specs'!#REF!,"AAAAAGfL/tk=")</f>
        <v>#REF!</v>
      </c>
      <c r="HK6">
        <f>IF('boilerplate specs'!20:20,"AAAAAGfL/to=",0)</f>
        <v>0</v>
      </c>
      <c r="HL6" t="e">
        <f>AND('boilerplate specs'!A20,"AAAAAGfL/ts=")</f>
        <v>#VALUE!</v>
      </c>
      <c r="HM6" t="e">
        <f>AND('boilerplate specs'!B20,"AAAAAGfL/tw=")</f>
        <v>#VALUE!</v>
      </c>
      <c r="HN6" t="e">
        <f>AND('boilerplate specs'!C20,"AAAAAGfL/t0=")</f>
        <v>#VALUE!</v>
      </c>
      <c r="HO6" t="e">
        <f>AND('boilerplate specs'!D20,"AAAAAGfL/t4=")</f>
        <v>#VALUE!</v>
      </c>
      <c r="HP6" t="e">
        <f>AND('boilerplate specs'!E20,"AAAAAGfL/t8=")</f>
        <v>#VALUE!</v>
      </c>
      <c r="HQ6" t="e">
        <f>AND('boilerplate specs'!F20,"AAAAAGfL/uA=")</f>
        <v>#VALUE!</v>
      </c>
      <c r="HR6" t="e">
        <f>AND('boilerplate specs'!G20,"AAAAAGfL/uE=")</f>
        <v>#VALUE!</v>
      </c>
      <c r="HS6" t="e">
        <f>AND('boilerplate specs'!H20,"AAAAAGfL/uI=")</f>
        <v>#VALUE!</v>
      </c>
      <c r="HT6" t="e">
        <f>AND('boilerplate specs'!I20,"AAAAAGfL/uM=")</f>
        <v>#VALUE!</v>
      </c>
      <c r="HU6" t="e">
        <f>AND('boilerplate specs'!J20,"AAAAAGfL/uQ=")</f>
        <v>#VALUE!</v>
      </c>
      <c r="HV6" t="e">
        <f>AND('boilerplate specs'!#REF!,"AAAAAGfL/uU=")</f>
        <v>#REF!</v>
      </c>
      <c r="HW6" t="e">
        <f>AND('boilerplate specs'!#REF!,"AAAAAGfL/uY=")</f>
        <v>#REF!</v>
      </c>
      <c r="HX6" t="e">
        <f>AND('boilerplate specs'!#REF!,"AAAAAGfL/uc=")</f>
        <v>#REF!</v>
      </c>
      <c r="HY6" t="e">
        <f>AND('boilerplate specs'!#REF!,"AAAAAGfL/ug=")</f>
        <v>#REF!</v>
      </c>
      <c r="HZ6" t="e">
        <f>AND('boilerplate specs'!#REF!,"AAAAAGfL/uk=")</f>
        <v>#REF!</v>
      </c>
      <c r="IA6" t="e">
        <f>AND('boilerplate specs'!#REF!,"AAAAAGfL/uo=")</f>
        <v>#REF!</v>
      </c>
      <c r="IB6" t="e">
        <f>AND('boilerplate specs'!#REF!,"AAAAAGfL/us=")</f>
        <v>#REF!</v>
      </c>
      <c r="IC6" t="e">
        <f>AND('boilerplate specs'!#REF!,"AAAAAGfL/uw=")</f>
        <v>#REF!</v>
      </c>
      <c r="ID6" t="e">
        <f>AND('boilerplate specs'!#REF!,"AAAAAGfL/u0=")</f>
        <v>#REF!</v>
      </c>
      <c r="IE6" t="e">
        <f>AND('boilerplate specs'!#REF!,"AAAAAGfL/u4=")</f>
        <v>#REF!</v>
      </c>
      <c r="IF6" t="e">
        <f>AND('boilerplate specs'!#REF!,"AAAAAGfL/u8=")</f>
        <v>#REF!</v>
      </c>
      <c r="IG6" t="e">
        <f>AND('boilerplate specs'!#REF!,"AAAAAGfL/vA=")</f>
        <v>#REF!</v>
      </c>
      <c r="IH6" t="e">
        <f>AND('boilerplate specs'!#REF!,"AAAAAGfL/vE=")</f>
        <v>#REF!</v>
      </c>
      <c r="II6" t="e">
        <f>AND('boilerplate specs'!#REF!,"AAAAAGfL/vI=")</f>
        <v>#REF!</v>
      </c>
      <c r="IJ6" t="e">
        <f>AND('boilerplate specs'!#REF!,"AAAAAGfL/vM=")</f>
        <v>#REF!</v>
      </c>
      <c r="IK6" t="e">
        <f>AND('boilerplate specs'!#REF!,"AAAAAGfL/vQ=")</f>
        <v>#REF!</v>
      </c>
      <c r="IL6" t="e">
        <f>AND('boilerplate specs'!#REF!,"AAAAAGfL/vU=")</f>
        <v>#REF!</v>
      </c>
      <c r="IM6" t="e">
        <f>AND('boilerplate specs'!#REF!,"AAAAAGfL/vY=")</f>
        <v>#REF!</v>
      </c>
      <c r="IN6" t="e">
        <f>AND('boilerplate specs'!#REF!,"AAAAAGfL/vc=")</f>
        <v>#REF!</v>
      </c>
      <c r="IO6" t="e">
        <f>AND('boilerplate specs'!#REF!,"AAAAAGfL/vg=")</f>
        <v>#REF!</v>
      </c>
      <c r="IP6" t="e">
        <f>AND('boilerplate specs'!#REF!,"AAAAAGfL/vk=")</f>
        <v>#REF!</v>
      </c>
      <c r="IQ6" t="e">
        <f>AND('boilerplate specs'!#REF!,"AAAAAGfL/vo=")</f>
        <v>#REF!</v>
      </c>
      <c r="IR6">
        <f>IF('boilerplate specs'!21:21,"AAAAAGfL/vs=",0)</f>
        <v>0</v>
      </c>
      <c r="IS6" t="e">
        <f>AND('boilerplate specs'!A21,"AAAAAGfL/vw=")</f>
        <v>#VALUE!</v>
      </c>
      <c r="IT6" t="e">
        <f>AND('boilerplate specs'!B21,"AAAAAGfL/v0=")</f>
        <v>#VALUE!</v>
      </c>
      <c r="IU6" t="e">
        <f>AND('boilerplate specs'!C21,"AAAAAGfL/v4=")</f>
        <v>#VALUE!</v>
      </c>
      <c r="IV6" t="e">
        <f>AND('boilerplate specs'!D21,"AAAAAGfL/v8=")</f>
        <v>#VALUE!</v>
      </c>
    </row>
    <row r="7" spans="1:256" x14ac:dyDescent="0.35">
      <c r="A7" t="e">
        <f>AND('boilerplate specs'!E21,"AAAAAD/b6wA=")</f>
        <v>#VALUE!</v>
      </c>
      <c r="B7" t="e">
        <f>AND('boilerplate specs'!F21,"AAAAAD/b6wE=")</f>
        <v>#VALUE!</v>
      </c>
      <c r="C7" t="e">
        <f>AND('boilerplate specs'!G21,"AAAAAD/b6wI=")</f>
        <v>#VALUE!</v>
      </c>
      <c r="D7" t="e">
        <f>AND('boilerplate specs'!H21,"AAAAAD/b6wM=")</f>
        <v>#VALUE!</v>
      </c>
      <c r="E7" t="e">
        <f>AND('boilerplate specs'!I21,"AAAAAD/b6wQ=")</f>
        <v>#VALUE!</v>
      </c>
      <c r="F7" t="e">
        <f>AND('boilerplate specs'!J21,"AAAAAD/b6wU=")</f>
        <v>#VALUE!</v>
      </c>
      <c r="G7" t="e">
        <f>AND('boilerplate specs'!#REF!,"AAAAAD/b6wY=")</f>
        <v>#REF!</v>
      </c>
      <c r="H7" t="e">
        <f>AND('boilerplate specs'!#REF!,"AAAAAD/b6wc=")</f>
        <v>#REF!</v>
      </c>
      <c r="I7" t="e">
        <f>AND('boilerplate specs'!#REF!,"AAAAAD/b6wg=")</f>
        <v>#REF!</v>
      </c>
      <c r="J7" t="e">
        <f>AND('boilerplate specs'!#REF!,"AAAAAD/b6wk=")</f>
        <v>#REF!</v>
      </c>
      <c r="K7" t="e">
        <f>AND('boilerplate specs'!#REF!,"AAAAAD/b6wo=")</f>
        <v>#REF!</v>
      </c>
      <c r="L7" t="e">
        <f>AND('boilerplate specs'!#REF!,"AAAAAD/b6ws=")</f>
        <v>#REF!</v>
      </c>
      <c r="M7" t="e">
        <f>AND('boilerplate specs'!#REF!,"AAAAAD/b6ww=")</f>
        <v>#REF!</v>
      </c>
      <c r="N7" t="e">
        <f>AND('boilerplate specs'!#REF!,"AAAAAD/b6w0=")</f>
        <v>#REF!</v>
      </c>
      <c r="O7" t="e">
        <f>AND('boilerplate specs'!#REF!,"AAAAAD/b6w4=")</f>
        <v>#REF!</v>
      </c>
      <c r="P7" t="e">
        <f>AND('boilerplate specs'!#REF!,"AAAAAD/b6w8=")</f>
        <v>#REF!</v>
      </c>
      <c r="Q7" t="e">
        <f>AND('boilerplate specs'!#REF!,"AAAAAD/b6xA=")</f>
        <v>#REF!</v>
      </c>
      <c r="R7" t="e">
        <f>AND('boilerplate specs'!#REF!,"AAAAAD/b6xE=")</f>
        <v>#REF!</v>
      </c>
      <c r="S7" t="e">
        <f>AND('boilerplate specs'!#REF!,"AAAAAD/b6xI=")</f>
        <v>#REF!</v>
      </c>
      <c r="T7" t="e">
        <f>AND('boilerplate specs'!#REF!,"AAAAAD/b6xM=")</f>
        <v>#REF!</v>
      </c>
      <c r="U7" t="e">
        <f>AND('boilerplate specs'!#REF!,"AAAAAD/b6xQ=")</f>
        <v>#REF!</v>
      </c>
      <c r="V7" t="e">
        <f>AND('boilerplate specs'!#REF!,"AAAAAD/b6xU=")</f>
        <v>#REF!</v>
      </c>
      <c r="W7" t="e">
        <f>AND('boilerplate specs'!#REF!,"AAAAAD/b6xY=")</f>
        <v>#REF!</v>
      </c>
      <c r="X7" t="e">
        <f>AND('boilerplate specs'!#REF!,"AAAAAD/b6xc=")</f>
        <v>#REF!</v>
      </c>
      <c r="Y7" t="e">
        <f>AND('boilerplate specs'!#REF!,"AAAAAD/b6xg=")</f>
        <v>#REF!</v>
      </c>
      <c r="Z7" t="e">
        <f>AND('boilerplate specs'!#REF!,"AAAAAD/b6xk=")</f>
        <v>#REF!</v>
      </c>
      <c r="AA7" t="e">
        <f>AND('boilerplate specs'!#REF!,"AAAAAD/b6xo=")</f>
        <v>#REF!</v>
      </c>
      <c r="AB7" t="e">
        <f>AND('boilerplate specs'!#REF!,"AAAAAD/b6xs=")</f>
        <v>#REF!</v>
      </c>
      <c r="AC7">
        <f>IF('boilerplate specs'!22:22,"AAAAAD/b6xw=",0)</f>
        <v>0</v>
      </c>
      <c r="AD7" t="e">
        <f>AND('boilerplate specs'!A22,"AAAAAD/b6x0=")</f>
        <v>#VALUE!</v>
      </c>
      <c r="AE7" t="e">
        <f>AND('boilerplate specs'!B22,"AAAAAD/b6x4=")</f>
        <v>#VALUE!</v>
      </c>
      <c r="AF7" t="e">
        <f>AND('boilerplate specs'!C22,"AAAAAD/b6x8=")</f>
        <v>#VALUE!</v>
      </c>
      <c r="AG7" t="e">
        <f>AND('boilerplate specs'!D22,"AAAAAD/b6yA=")</f>
        <v>#VALUE!</v>
      </c>
      <c r="AH7" t="e">
        <f>AND('boilerplate specs'!E22,"AAAAAD/b6yE=")</f>
        <v>#VALUE!</v>
      </c>
      <c r="AI7" t="e">
        <f>AND('boilerplate specs'!F22,"AAAAAD/b6yI=")</f>
        <v>#VALUE!</v>
      </c>
      <c r="AJ7" t="e">
        <f>AND('boilerplate specs'!G22,"AAAAAD/b6yM=")</f>
        <v>#VALUE!</v>
      </c>
      <c r="AK7" t="e">
        <f>AND('boilerplate specs'!H22,"AAAAAD/b6yQ=")</f>
        <v>#VALUE!</v>
      </c>
      <c r="AL7" t="e">
        <f>AND('boilerplate specs'!I22,"AAAAAD/b6yU=")</f>
        <v>#VALUE!</v>
      </c>
      <c r="AM7" t="e">
        <f>AND('boilerplate specs'!J22,"AAAAAD/b6yY=")</f>
        <v>#VALUE!</v>
      </c>
      <c r="AN7" t="e">
        <f>AND('boilerplate specs'!#REF!,"AAAAAD/b6yc=")</f>
        <v>#REF!</v>
      </c>
      <c r="AO7" t="e">
        <f>AND('boilerplate specs'!#REF!,"AAAAAD/b6yg=")</f>
        <v>#REF!</v>
      </c>
      <c r="AP7" t="e">
        <f>AND('boilerplate specs'!#REF!,"AAAAAD/b6yk=")</f>
        <v>#REF!</v>
      </c>
      <c r="AQ7" t="e">
        <f>AND('boilerplate specs'!#REF!,"AAAAAD/b6yo=")</f>
        <v>#REF!</v>
      </c>
      <c r="AR7" t="e">
        <f>AND('boilerplate specs'!#REF!,"AAAAAD/b6ys=")</f>
        <v>#REF!</v>
      </c>
      <c r="AS7" t="e">
        <f>AND('boilerplate specs'!#REF!,"AAAAAD/b6yw=")</f>
        <v>#REF!</v>
      </c>
      <c r="AT7" t="e">
        <f>AND('boilerplate specs'!#REF!,"AAAAAD/b6y0=")</f>
        <v>#REF!</v>
      </c>
      <c r="AU7" t="e">
        <f>AND('boilerplate specs'!#REF!,"AAAAAD/b6y4=")</f>
        <v>#REF!</v>
      </c>
      <c r="AV7" t="e">
        <f>AND('boilerplate specs'!#REF!,"AAAAAD/b6y8=")</f>
        <v>#REF!</v>
      </c>
      <c r="AW7" t="e">
        <f>AND('boilerplate specs'!#REF!,"AAAAAD/b6zA=")</f>
        <v>#REF!</v>
      </c>
      <c r="AX7" t="e">
        <f>AND('boilerplate specs'!#REF!,"AAAAAD/b6zE=")</f>
        <v>#REF!</v>
      </c>
      <c r="AY7" t="e">
        <f>AND('boilerplate specs'!#REF!,"AAAAAD/b6zI=")</f>
        <v>#REF!</v>
      </c>
      <c r="AZ7" t="e">
        <f>AND('boilerplate specs'!#REF!,"AAAAAD/b6zM=")</f>
        <v>#REF!</v>
      </c>
      <c r="BA7" t="e">
        <f>AND('boilerplate specs'!#REF!,"AAAAAD/b6zQ=")</f>
        <v>#REF!</v>
      </c>
      <c r="BB7" t="e">
        <f>AND('boilerplate specs'!#REF!,"AAAAAD/b6zU=")</f>
        <v>#REF!</v>
      </c>
      <c r="BC7" t="e">
        <f>AND('boilerplate specs'!#REF!,"AAAAAD/b6zY=")</f>
        <v>#REF!</v>
      </c>
      <c r="BD7" t="e">
        <f>AND('boilerplate specs'!#REF!,"AAAAAD/b6zc=")</f>
        <v>#REF!</v>
      </c>
      <c r="BE7" t="e">
        <f>AND('boilerplate specs'!#REF!,"AAAAAD/b6zg=")</f>
        <v>#REF!</v>
      </c>
      <c r="BF7" t="e">
        <f>AND('boilerplate specs'!#REF!,"AAAAAD/b6zk=")</f>
        <v>#REF!</v>
      </c>
      <c r="BG7" t="e">
        <f>AND('boilerplate specs'!#REF!,"AAAAAD/b6zo=")</f>
        <v>#REF!</v>
      </c>
      <c r="BH7" t="e">
        <f>AND('boilerplate specs'!#REF!,"AAAAAD/b6zs=")</f>
        <v>#REF!</v>
      </c>
      <c r="BI7" t="e">
        <f>AND('boilerplate specs'!#REF!,"AAAAAD/b6zw=")</f>
        <v>#REF!</v>
      </c>
      <c r="BJ7">
        <f>IF('boilerplate specs'!23:23,"AAAAAD/b6z0=",0)</f>
        <v>0</v>
      </c>
      <c r="BK7" t="e">
        <f>AND('boilerplate specs'!A23,"AAAAAD/b6z4=")</f>
        <v>#VALUE!</v>
      </c>
      <c r="BL7" t="e">
        <f>AND('boilerplate specs'!B23,"AAAAAD/b6z8=")</f>
        <v>#VALUE!</v>
      </c>
      <c r="BM7" t="e">
        <f>AND('boilerplate specs'!C23,"AAAAAD/b60A=")</f>
        <v>#VALUE!</v>
      </c>
      <c r="BN7" t="e">
        <f>AND('boilerplate specs'!D23,"AAAAAD/b60E=")</f>
        <v>#VALUE!</v>
      </c>
      <c r="BO7" t="e">
        <f>AND('boilerplate specs'!E23,"AAAAAD/b60I=")</f>
        <v>#VALUE!</v>
      </c>
      <c r="BP7" t="e">
        <f>AND('boilerplate specs'!F23,"AAAAAD/b60M=")</f>
        <v>#VALUE!</v>
      </c>
      <c r="BQ7" t="e">
        <f>AND('boilerplate specs'!G23,"AAAAAD/b60Q=")</f>
        <v>#VALUE!</v>
      </c>
      <c r="BR7" t="e">
        <f>AND('boilerplate specs'!H23,"AAAAAD/b60U=")</f>
        <v>#VALUE!</v>
      </c>
      <c r="BS7" t="e">
        <f>AND('boilerplate specs'!I23,"AAAAAD/b60Y=")</f>
        <v>#VALUE!</v>
      </c>
      <c r="BT7" t="e">
        <f>AND('boilerplate specs'!J23,"AAAAAD/b60c=")</f>
        <v>#VALUE!</v>
      </c>
      <c r="BU7" t="e">
        <f>AND('boilerplate specs'!#REF!,"AAAAAD/b60g=")</f>
        <v>#REF!</v>
      </c>
      <c r="BV7" t="e">
        <f>AND('boilerplate specs'!#REF!,"AAAAAD/b60k=")</f>
        <v>#REF!</v>
      </c>
      <c r="BW7" t="e">
        <f>AND('boilerplate specs'!#REF!,"AAAAAD/b60o=")</f>
        <v>#REF!</v>
      </c>
      <c r="BX7" t="e">
        <f>AND('boilerplate specs'!#REF!,"AAAAAD/b60s=")</f>
        <v>#REF!</v>
      </c>
      <c r="BY7" t="e">
        <f>AND('boilerplate specs'!#REF!,"AAAAAD/b60w=")</f>
        <v>#REF!</v>
      </c>
      <c r="BZ7" t="e">
        <f>AND('boilerplate specs'!#REF!,"AAAAAD/b600=")</f>
        <v>#REF!</v>
      </c>
      <c r="CA7" t="e">
        <f>AND('boilerplate specs'!#REF!,"AAAAAD/b604=")</f>
        <v>#REF!</v>
      </c>
      <c r="CB7" t="e">
        <f>AND('boilerplate specs'!#REF!,"AAAAAD/b608=")</f>
        <v>#REF!</v>
      </c>
      <c r="CC7" t="e">
        <f>AND('boilerplate specs'!#REF!,"AAAAAD/b61A=")</f>
        <v>#REF!</v>
      </c>
      <c r="CD7" t="e">
        <f>AND('boilerplate specs'!#REF!,"AAAAAD/b61E=")</f>
        <v>#REF!</v>
      </c>
      <c r="CE7" t="e">
        <f>AND('boilerplate specs'!#REF!,"AAAAAD/b61I=")</f>
        <v>#REF!</v>
      </c>
      <c r="CF7" t="e">
        <f>AND('boilerplate specs'!#REF!,"AAAAAD/b61M=")</f>
        <v>#REF!</v>
      </c>
      <c r="CG7" t="e">
        <f>AND('boilerplate specs'!#REF!,"AAAAAD/b61Q=")</f>
        <v>#REF!</v>
      </c>
      <c r="CH7" t="e">
        <f>AND('boilerplate specs'!#REF!,"AAAAAD/b61U=")</f>
        <v>#REF!</v>
      </c>
      <c r="CI7" t="e">
        <f>AND('boilerplate specs'!#REF!,"AAAAAD/b61Y=")</f>
        <v>#REF!</v>
      </c>
      <c r="CJ7" t="e">
        <f>AND('boilerplate specs'!#REF!,"AAAAAD/b61c=")</f>
        <v>#REF!</v>
      </c>
      <c r="CK7" t="e">
        <f>AND('boilerplate specs'!#REF!,"AAAAAD/b61g=")</f>
        <v>#REF!</v>
      </c>
      <c r="CL7" t="e">
        <f>AND('boilerplate specs'!#REF!,"AAAAAD/b61k=")</f>
        <v>#REF!</v>
      </c>
      <c r="CM7" t="e">
        <f>AND('boilerplate specs'!#REF!,"AAAAAD/b61o=")</f>
        <v>#REF!</v>
      </c>
      <c r="CN7" t="e">
        <f>AND('boilerplate specs'!#REF!,"AAAAAD/b61s=")</f>
        <v>#REF!</v>
      </c>
      <c r="CO7" t="e">
        <f>AND('boilerplate specs'!#REF!,"AAAAAD/b61w=")</f>
        <v>#REF!</v>
      </c>
      <c r="CP7" t="e">
        <f>AND('boilerplate specs'!#REF!,"AAAAAD/b610=")</f>
        <v>#REF!</v>
      </c>
      <c r="CQ7" t="e">
        <f>IF('boilerplate specs'!#REF!,"AAAAAD/b614=",0)</f>
        <v>#REF!</v>
      </c>
      <c r="CR7" t="e">
        <f>AND('boilerplate specs'!#REF!,"AAAAAD/b618=")</f>
        <v>#REF!</v>
      </c>
      <c r="CS7" t="e">
        <f>AND('boilerplate specs'!#REF!,"AAAAAD/b62A=")</f>
        <v>#REF!</v>
      </c>
      <c r="CT7" t="e">
        <f>AND('boilerplate specs'!#REF!,"AAAAAD/b62E=")</f>
        <v>#REF!</v>
      </c>
      <c r="CU7" t="e">
        <f>AND('boilerplate specs'!#REF!,"AAAAAD/b62I=")</f>
        <v>#REF!</v>
      </c>
      <c r="CV7" t="e">
        <f>AND('boilerplate specs'!#REF!,"AAAAAD/b62M=")</f>
        <v>#REF!</v>
      </c>
      <c r="CW7" t="e">
        <f>AND('boilerplate specs'!#REF!,"AAAAAD/b62Q=")</f>
        <v>#REF!</v>
      </c>
      <c r="CX7" t="e">
        <f>AND('boilerplate specs'!#REF!,"AAAAAD/b62U=")</f>
        <v>#REF!</v>
      </c>
      <c r="CY7" t="e">
        <f>AND('boilerplate specs'!#REF!,"AAAAAD/b62Y=")</f>
        <v>#REF!</v>
      </c>
      <c r="CZ7" t="e">
        <f>AND('boilerplate specs'!#REF!,"AAAAAD/b62c=")</f>
        <v>#REF!</v>
      </c>
      <c r="DA7" t="e">
        <f>AND('boilerplate specs'!#REF!,"AAAAAD/b62g=")</f>
        <v>#REF!</v>
      </c>
      <c r="DB7" t="e">
        <f>AND('boilerplate specs'!#REF!,"AAAAAD/b62k=")</f>
        <v>#REF!</v>
      </c>
      <c r="DC7" t="e">
        <f>AND('boilerplate specs'!#REF!,"AAAAAD/b62o=")</f>
        <v>#REF!</v>
      </c>
      <c r="DD7" t="e">
        <f>AND('boilerplate specs'!#REF!,"AAAAAD/b62s=")</f>
        <v>#REF!</v>
      </c>
      <c r="DE7" t="e">
        <f>AND('boilerplate specs'!#REF!,"AAAAAD/b62w=")</f>
        <v>#REF!</v>
      </c>
      <c r="DF7" t="e">
        <f>AND('boilerplate specs'!#REF!,"AAAAAD/b620=")</f>
        <v>#REF!</v>
      </c>
      <c r="DG7" t="e">
        <f>AND('boilerplate specs'!#REF!,"AAAAAD/b624=")</f>
        <v>#REF!</v>
      </c>
      <c r="DH7" t="e">
        <f>AND('boilerplate specs'!#REF!,"AAAAAD/b628=")</f>
        <v>#REF!</v>
      </c>
      <c r="DI7" t="e">
        <f>AND('boilerplate specs'!#REF!,"AAAAAD/b63A=")</f>
        <v>#REF!</v>
      </c>
      <c r="DJ7" t="e">
        <f>AND('boilerplate specs'!#REF!,"AAAAAD/b63E=")</f>
        <v>#REF!</v>
      </c>
      <c r="DK7" t="e">
        <f>AND('boilerplate specs'!#REF!,"AAAAAD/b63I=")</f>
        <v>#REF!</v>
      </c>
      <c r="DL7" t="e">
        <f>AND('boilerplate specs'!#REF!,"AAAAAD/b63M=")</f>
        <v>#REF!</v>
      </c>
      <c r="DM7" t="e">
        <f>AND('boilerplate specs'!#REF!,"AAAAAD/b63Q=")</f>
        <v>#REF!</v>
      </c>
      <c r="DN7" t="e">
        <f>AND('boilerplate specs'!#REF!,"AAAAAD/b63U=")</f>
        <v>#REF!</v>
      </c>
      <c r="DO7" t="e">
        <f>AND('boilerplate specs'!#REF!,"AAAAAD/b63Y=")</f>
        <v>#REF!</v>
      </c>
      <c r="DP7" t="e">
        <f>AND('boilerplate specs'!#REF!,"AAAAAD/b63c=")</f>
        <v>#REF!</v>
      </c>
      <c r="DQ7" t="e">
        <f>AND('boilerplate specs'!#REF!,"AAAAAD/b63g=")</f>
        <v>#REF!</v>
      </c>
      <c r="DR7" t="e">
        <f>AND('boilerplate specs'!#REF!,"AAAAAD/b63k=")</f>
        <v>#REF!</v>
      </c>
      <c r="DS7" t="e">
        <f>AND('boilerplate specs'!#REF!,"AAAAAD/b63o=")</f>
        <v>#REF!</v>
      </c>
      <c r="DT7" t="e">
        <f>AND('boilerplate specs'!#REF!,"AAAAAD/b63s=")</f>
        <v>#REF!</v>
      </c>
      <c r="DU7" t="e">
        <f>AND('boilerplate specs'!#REF!,"AAAAAD/b63w=")</f>
        <v>#REF!</v>
      </c>
      <c r="DV7" t="e">
        <f>AND('boilerplate specs'!#REF!,"AAAAAD/b630=")</f>
        <v>#REF!</v>
      </c>
      <c r="DW7" t="e">
        <f>AND('boilerplate specs'!#REF!,"AAAAAD/b634=")</f>
        <v>#REF!</v>
      </c>
      <c r="DX7" t="e">
        <f>IF('boilerplate specs'!#REF!,"AAAAAD/b638=",0)</f>
        <v>#REF!</v>
      </c>
      <c r="DY7" t="e">
        <f>AND('boilerplate specs'!#REF!,"AAAAAD/b64A=")</f>
        <v>#REF!</v>
      </c>
      <c r="DZ7" t="e">
        <f>AND('boilerplate specs'!#REF!,"AAAAAD/b64E=")</f>
        <v>#REF!</v>
      </c>
      <c r="EA7" t="e">
        <f>AND('boilerplate specs'!#REF!,"AAAAAD/b64I=")</f>
        <v>#REF!</v>
      </c>
      <c r="EB7" t="e">
        <f>AND('boilerplate specs'!#REF!,"AAAAAD/b64M=")</f>
        <v>#REF!</v>
      </c>
      <c r="EC7" t="e">
        <f>AND('boilerplate specs'!#REF!,"AAAAAD/b64Q=")</f>
        <v>#REF!</v>
      </c>
      <c r="ED7" t="e">
        <f>AND('boilerplate specs'!#REF!,"AAAAAD/b64U=")</f>
        <v>#REF!</v>
      </c>
      <c r="EE7" t="e">
        <f>AND('boilerplate specs'!#REF!,"AAAAAD/b64Y=")</f>
        <v>#REF!</v>
      </c>
      <c r="EF7" t="e">
        <f>AND('boilerplate specs'!#REF!,"AAAAAD/b64c=")</f>
        <v>#REF!</v>
      </c>
      <c r="EG7" t="e">
        <f>AND('boilerplate specs'!#REF!,"AAAAAD/b64g=")</f>
        <v>#REF!</v>
      </c>
      <c r="EH7" t="e">
        <f>AND('boilerplate specs'!#REF!,"AAAAAD/b64k=")</f>
        <v>#REF!</v>
      </c>
      <c r="EI7" t="e">
        <f>AND('boilerplate specs'!#REF!,"AAAAAD/b64o=")</f>
        <v>#REF!</v>
      </c>
      <c r="EJ7" t="e">
        <f>AND('boilerplate specs'!#REF!,"AAAAAD/b64s=")</f>
        <v>#REF!</v>
      </c>
      <c r="EK7" t="e">
        <f>AND('boilerplate specs'!#REF!,"AAAAAD/b64w=")</f>
        <v>#REF!</v>
      </c>
      <c r="EL7" t="e">
        <f>AND('boilerplate specs'!#REF!,"AAAAAD/b640=")</f>
        <v>#REF!</v>
      </c>
      <c r="EM7" t="e">
        <f>AND('boilerplate specs'!#REF!,"AAAAAD/b644=")</f>
        <v>#REF!</v>
      </c>
      <c r="EN7" t="e">
        <f>AND('boilerplate specs'!#REF!,"AAAAAD/b648=")</f>
        <v>#REF!</v>
      </c>
      <c r="EO7" t="e">
        <f>AND('boilerplate specs'!#REF!,"AAAAAD/b65A=")</f>
        <v>#REF!</v>
      </c>
      <c r="EP7" t="e">
        <f>AND('boilerplate specs'!#REF!,"AAAAAD/b65E=")</f>
        <v>#REF!</v>
      </c>
      <c r="EQ7" t="e">
        <f>AND('boilerplate specs'!#REF!,"AAAAAD/b65I=")</f>
        <v>#REF!</v>
      </c>
      <c r="ER7" t="e">
        <f>AND('boilerplate specs'!#REF!,"AAAAAD/b65M=")</f>
        <v>#REF!</v>
      </c>
      <c r="ES7" t="e">
        <f>AND('boilerplate specs'!#REF!,"AAAAAD/b65Q=")</f>
        <v>#REF!</v>
      </c>
      <c r="ET7" t="e">
        <f>AND('boilerplate specs'!#REF!,"AAAAAD/b65U=")</f>
        <v>#REF!</v>
      </c>
      <c r="EU7" t="e">
        <f>AND('boilerplate specs'!#REF!,"AAAAAD/b65Y=")</f>
        <v>#REF!</v>
      </c>
      <c r="EV7" t="e">
        <f>AND('boilerplate specs'!#REF!,"AAAAAD/b65c=")</f>
        <v>#REF!</v>
      </c>
      <c r="EW7" t="e">
        <f>AND('boilerplate specs'!#REF!,"AAAAAD/b65g=")</f>
        <v>#REF!</v>
      </c>
      <c r="EX7" t="e">
        <f>AND('boilerplate specs'!#REF!,"AAAAAD/b65k=")</f>
        <v>#REF!</v>
      </c>
      <c r="EY7" t="e">
        <f>AND('boilerplate specs'!#REF!,"AAAAAD/b65o=")</f>
        <v>#REF!</v>
      </c>
      <c r="EZ7" t="e">
        <f>AND('boilerplate specs'!#REF!,"AAAAAD/b65s=")</f>
        <v>#REF!</v>
      </c>
      <c r="FA7" t="e">
        <f>AND('boilerplate specs'!#REF!,"AAAAAD/b65w=")</f>
        <v>#REF!</v>
      </c>
      <c r="FB7" t="e">
        <f>AND('boilerplate specs'!#REF!,"AAAAAD/b650=")</f>
        <v>#REF!</v>
      </c>
      <c r="FC7" t="e">
        <f>AND('boilerplate specs'!#REF!,"AAAAAD/b654=")</f>
        <v>#REF!</v>
      </c>
      <c r="FD7" t="e">
        <f>AND('boilerplate specs'!#REF!,"AAAAAD/b658=")</f>
        <v>#REF!</v>
      </c>
      <c r="FE7" t="e">
        <f>IF('boilerplate specs'!#REF!,"AAAAAD/b66A=",0)</f>
        <v>#REF!</v>
      </c>
      <c r="FF7" t="e">
        <f>AND('boilerplate specs'!#REF!,"AAAAAD/b66E=")</f>
        <v>#REF!</v>
      </c>
      <c r="FG7" t="e">
        <f>AND('boilerplate specs'!#REF!,"AAAAAD/b66I=")</f>
        <v>#REF!</v>
      </c>
      <c r="FH7" t="e">
        <f>AND('boilerplate specs'!#REF!,"AAAAAD/b66M=")</f>
        <v>#REF!</v>
      </c>
      <c r="FI7" t="e">
        <f>AND('boilerplate specs'!#REF!,"AAAAAD/b66Q=")</f>
        <v>#REF!</v>
      </c>
      <c r="FJ7" t="e">
        <f>AND('boilerplate specs'!#REF!,"AAAAAD/b66U=")</f>
        <v>#REF!</v>
      </c>
      <c r="FK7" t="e">
        <f>AND('boilerplate specs'!#REF!,"AAAAAD/b66Y=")</f>
        <v>#REF!</v>
      </c>
      <c r="FL7" t="e">
        <f>AND('boilerplate specs'!#REF!,"AAAAAD/b66c=")</f>
        <v>#REF!</v>
      </c>
      <c r="FM7" t="e">
        <f>AND('boilerplate specs'!#REF!,"AAAAAD/b66g=")</f>
        <v>#REF!</v>
      </c>
      <c r="FN7" t="e">
        <f>AND('boilerplate specs'!#REF!,"AAAAAD/b66k=")</f>
        <v>#REF!</v>
      </c>
      <c r="FO7" t="e">
        <f>AND('boilerplate specs'!#REF!,"AAAAAD/b66o=")</f>
        <v>#REF!</v>
      </c>
      <c r="FP7" t="e">
        <f>AND('boilerplate specs'!#REF!,"AAAAAD/b66s=")</f>
        <v>#REF!</v>
      </c>
      <c r="FQ7" t="e">
        <f>AND('boilerplate specs'!#REF!,"AAAAAD/b66w=")</f>
        <v>#REF!</v>
      </c>
      <c r="FR7" t="e">
        <f>AND('boilerplate specs'!#REF!,"AAAAAD/b660=")</f>
        <v>#REF!</v>
      </c>
      <c r="FS7" t="e">
        <f>AND('boilerplate specs'!#REF!,"AAAAAD/b664=")</f>
        <v>#REF!</v>
      </c>
      <c r="FT7" t="e">
        <f>AND('boilerplate specs'!#REF!,"AAAAAD/b668=")</f>
        <v>#REF!</v>
      </c>
      <c r="FU7" t="e">
        <f>AND('boilerplate specs'!#REF!,"AAAAAD/b67A=")</f>
        <v>#REF!</v>
      </c>
      <c r="FV7" t="e">
        <f>AND('boilerplate specs'!#REF!,"AAAAAD/b67E=")</f>
        <v>#REF!</v>
      </c>
      <c r="FW7" t="e">
        <f>AND('boilerplate specs'!#REF!,"AAAAAD/b67I=")</f>
        <v>#REF!</v>
      </c>
      <c r="FX7" t="e">
        <f>AND('boilerplate specs'!#REF!,"AAAAAD/b67M=")</f>
        <v>#REF!</v>
      </c>
      <c r="FY7" t="e">
        <f>AND('boilerplate specs'!#REF!,"AAAAAD/b67Q=")</f>
        <v>#REF!</v>
      </c>
      <c r="FZ7" t="e">
        <f>AND('boilerplate specs'!#REF!,"AAAAAD/b67U=")</f>
        <v>#REF!</v>
      </c>
      <c r="GA7" t="e">
        <f>AND('boilerplate specs'!#REF!,"AAAAAD/b67Y=")</f>
        <v>#REF!</v>
      </c>
      <c r="GB7" t="e">
        <f>AND('boilerplate specs'!#REF!,"AAAAAD/b67c=")</f>
        <v>#REF!</v>
      </c>
      <c r="GC7" t="e">
        <f>AND('boilerplate specs'!#REF!,"AAAAAD/b67g=")</f>
        <v>#REF!</v>
      </c>
      <c r="GD7" t="e">
        <f>AND('boilerplate specs'!#REF!,"AAAAAD/b67k=")</f>
        <v>#REF!</v>
      </c>
      <c r="GE7" t="e">
        <f>AND('boilerplate specs'!#REF!,"AAAAAD/b67o=")</f>
        <v>#REF!</v>
      </c>
      <c r="GF7" t="e">
        <f>AND('boilerplate specs'!#REF!,"AAAAAD/b67s=")</f>
        <v>#REF!</v>
      </c>
      <c r="GG7" t="e">
        <f>AND('boilerplate specs'!#REF!,"AAAAAD/b67w=")</f>
        <v>#REF!</v>
      </c>
      <c r="GH7" t="e">
        <f>AND('boilerplate specs'!#REF!,"AAAAAD/b670=")</f>
        <v>#REF!</v>
      </c>
      <c r="GI7" t="e">
        <f>AND('boilerplate specs'!#REF!,"AAAAAD/b674=")</f>
        <v>#REF!</v>
      </c>
      <c r="GJ7" t="e">
        <f>AND('boilerplate specs'!#REF!,"AAAAAD/b678=")</f>
        <v>#REF!</v>
      </c>
      <c r="GK7" t="e">
        <f>AND('boilerplate specs'!#REF!,"AAAAAD/b68A=")</f>
        <v>#REF!</v>
      </c>
      <c r="GL7" t="e">
        <f>IF('boilerplate specs'!#REF!,"AAAAAD/b68E=",0)</f>
        <v>#REF!</v>
      </c>
      <c r="GM7" t="e">
        <f>AND('boilerplate specs'!#REF!,"AAAAAD/b68I=")</f>
        <v>#REF!</v>
      </c>
      <c r="GN7" t="e">
        <f>AND('boilerplate specs'!#REF!,"AAAAAD/b68M=")</f>
        <v>#REF!</v>
      </c>
      <c r="GO7" t="e">
        <f>AND('boilerplate specs'!#REF!,"AAAAAD/b68Q=")</f>
        <v>#REF!</v>
      </c>
      <c r="GP7" t="e">
        <f>AND('boilerplate specs'!#REF!,"AAAAAD/b68U=")</f>
        <v>#REF!</v>
      </c>
      <c r="GQ7" t="e">
        <f>AND('boilerplate specs'!#REF!,"AAAAAD/b68Y=")</f>
        <v>#REF!</v>
      </c>
      <c r="GR7" t="e">
        <f>AND('boilerplate specs'!#REF!,"AAAAAD/b68c=")</f>
        <v>#REF!</v>
      </c>
      <c r="GS7" t="e">
        <f>AND('boilerplate specs'!#REF!,"AAAAAD/b68g=")</f>
        <v>#REF!</v>
      </c>
      <c r="GT7" t="e">
        <f>AND('boilerplate specs'!#REF!,"AAAAAD/b68k=")</f>
        <v>#REF!</v>
      </c>
      <c r="GU7" t="e">
        <f>AND('boilerplate specs'!#REF!,"AAAAAD/b68o=")</f>
        <v>#REF!</v>
      </c>
      <c r="GV7" t="e">
        <f>AND('boilerplate specs'!#REF!,"AAAAAD/b68s=")</f>
        <v>#REF!</v>
      </c>
      <c r="GW7" t="e">
        <f>AND('boilerplate specs'!#REF!,"AAAAAD/b68w=")</f>
        <v>#REF!</v>
      </c>
      <c r="GX7" t="e">
        <f>AND('boilerplate specs'!#REF!,"AAAAAD/b680=")</f>
        <v>#REF!</v>
      </c>
      <c r="GY7" t="e">
        <f>AND('boilerplate specs'!#REF!,"AAAAAD/b684=")</f>
        <v>#REF!</v>
      </c>
      <c r="GZ7" t="e">
        <f>AND('boilerplate specs'!#REF!,"AAAAAD/b688=")</f>
        <v>#REF!</v>
      </c>
      <c r="HA7" t="e">
        <f>AND('boilerplate specs'!#REF!,"AAAAAD/b69A=")</f>
        <v>#REF!</v>
      </c>
      <c r="HB7" t="e">
        <f>AND('boilerplate specs'!#REF!,"AAAAAD/b69E=")</f>
        <v>#REF!</v>
      </c>
      <c r="HC7" t="e">
        <f>AND('boilerplate specs'!#REF!,"AAAAAD/b69I=")</f>
        <v>#REF!</v>
      </c>
      <c r="HD7" t="e">
        <f>AND('boilerplate specs'!#REF!,"AAAAAD/b69M=")</f>
        <v>#REF!</v>
      </c>
      <c r="HE7" t="e">
        <f>AND('boilerplate specs'!#REF!,"AAAAAD/b69Q=")</f>
        <v>#REF!</v>
      </c>
      <c r="HF7" t="e">
        <f>AND('boilerplate specs'!#REF!,"AAAAAD/b69U=")</f>
        <v>#REF!</v>
      </c>
      <c r="HG7" t="e">
        <f>AND('boilerplate specs'!#REF!,"AAAAAD/b69Y=")</f>
        <v>#REF!</v>
      </c>
      <c r="HH7" t="e">
        <f>AND('boilerplate specs'!#REF!,"AAAAAD/b69c=")</f>
        <v>#REF!</v>
      </c>
      <c r="HI7" t="e">
        <f>AND('boilerplate specs'!#REF!,"AAAAAD/b69g=")</f>
        <v>#REF!</v>
      </c>
      <c r="HJ7" t="e">
        <f>AND('boilerplate specs'!#REF!,"AAAAAD/b69k=")</f>
        <v>#REF!</v>
      </c>
      <c r="HK7" t="e">
        <f>AND('boilerplate specs'!#REF!,"AAAAAD/b69o=")</f>
        <v>#REF!</v>
      </c>
      <c r="HL7" t="e">
        <f>AND('boilerplate specs'!#REF!,"AAAAAD/b69s=")</f>
        <v>#REF!</v>
      </c>
      <c r="HM7" t="e">
        <f>AND('boilerplate specs'!#REF!,"AAAAAD/b69w=")</f>
        <v>#REF!</v>
      </c>
      <c r="HN7" t="e">
        <f>AND('boilerplate specs'!#REF!,"AAAAAD/b690=")</f>
        <v>#REF!</v>
      </c>
      <c r="HO7" t="e">
        <f>AND('boilerplate specs'!#REF!,"AAAAAD/b694=")</f>
        <v>#REF!</v>
      </c>
      <c r="HP7" t="e">
        <f>AND('boilerplate specs'!#REF!,"AAAAAD/b698=")</f>
        <v>#REF!</v>
      </c>
      <c r="HQ7" t="e">
        <f>AND('boilerplate specs'!#REF!,"AAAAAD/b6+A=")</f>
        <v>#REF!</v>
      </c>
      <c r="HR7" t="e">
        <f>AND('boilerplate specs'!#REF!,"AAAAAD/b6+E=")</f>
        <v>#REF!</v>
      </c>
      <c r="HS7" t="e">
        <f>IF('boilerplate specs'!#REF!,"AAAAAD/b6+I=",0)</f>
        <v>#REF!</v>
      </c>
      <c r="HT7" t="e">
        <f>AND('boilerplate specs'!#REF!,"AAAAAD/b6+M=")</f>
        <v>#REF!</v>
      </c>
      <c r="HU7" t="e">
        <f>AND('boilerplate specs'!#REF!,"AAAAAD/b6+Q=")</f>
        <v>#REF!</v>
      </c>
      <c r="HV7" t="e">
        <f>AND('boilerplate specs'!#REF!,"AAAAAD/b6+U=")</f>
        <v>#REF!</v>
      </c>
      <c r="HW7" t="e">
        <f>AND('boilerplate specs'!#REF!,"AAAAAD/b6+Y=")</f>
        <v>#REF!</v>
      </c>
      <c r="HX7" t="e">
        <f>AND('boilerplate specs'!#REF!,"AAAAAD/b6+c=")</f>
        <v>#REF!</v>
      </c>
      <c r="HY7" t="e">
        <f>AND('boilerplate specs'!#REF!,"AAAAAD/b6+g=")</f>
        <v>#REF!</v>
      </c>
      <c r="HZ7" t="e">
        <f>AND('boilerplate specs'!#REF!,"AAAAAD/b6+k=")</f>
        <v>#REF!</v>
      </c>
      <c r="IA7" t="e">
        <f>AND('boilerplate specs'!#REF!,"AAAAAD/b6+o=")</f>
        <v>#REF!</v>
      </c>
      <c r="IB7" t="e">
        <f>AND('boilerplate specs'!#REF!,"AAAAAD/b6+s=")</f>
        <v>#REF!</v>
      </c>
      <c r="IC7" t="e">
        <f>AND('boilerplate specs'!#REF!,"AAAAAD/b6+w=")</f>
        <v>#REF!</v>
      </c>
      <c r="ID7" t="e">
        <f>AND('boilerplate specs'!#REF!,"AAAAAD/b6+0=")</f>
        <v>#REF!</v>
      </c>
      <c r="IE7" t="e">
        <f>AND('boilerplate specs'!#REF!,"AAAAAD/b6+4=")</f>
        <v>#REF!</v>
      </c>
      <c r="IF7" t="e">
        <f>AND('boilerplate specs'!#REF!,"AAAAAD/b6+8=")</f>
        <v>#REF!</v>
      </c>
      <c r="IG7" t="e">
        <f>AND('boilerplate specs'!#REF!,"AAAAAD/b6/A=")</f>
        <v>#REF!</v>
      </c>
      <c r="IH7" t="e">
        <f>AND('boilerplate specs'!#REF!,"AAAAAD/b6/E=")</f>
        <v>#REF!</v>
      </c>
      <c r="II7" t="e">
        <f>AND('boilerplate specs'!#REF!,"AAAAAD/b6/I=")</f>
        <v>#REF!</v>
      </c>
      <c r="IJ7" t="e">
        <f>AND('boilerplate specs'!#REF!,"AAAAAD/b6/M=")</f>
        <v>#REF!</v>
      </c>
      <c r="IK7" t="e">
        <f>AND('boilerplate specs'!#REF!,"AAAAAD/b6/Q=")</f>
        <v>#REF!</v>
      </c>
      <c r="IL7" t="e">
        <f>AND('boilerplate specs'!#REF!,"AAAAAD/b6/U=")</f>
        <v>#REF!</v>
      </c>
      <c r="IM7" t="e">
        <f>AND('boilerplate specs'!#REF!,"AAAAAD/b6/Y=")</f>
        <v>#REF!</v>
      </c>
      <c r="IN7" t="e">
        <f>AND('boilerplate specs'!#REF!,"AAAAAD/b6/c=")</f>
        <v>#REF!</v>
      </c>
      <c r="IO7" t="e">
        <f>AND('boilerplate specs'!#REF!,"AAAAAD/b6/g=")</f>
        <v>#REF!</v>
      </c>
      <c r="IP7" t="e">
        <f>AND('boilerplate specs'!#REF!,"AAAAAD/b6/k=")</f>
        <v>#REF!</v>
      </c>
      <c r="IQ7" t="e">
        <f>AND('boilerplate specs'!#REF!,"AAAAAD/b6/o=")</f>
        <v>#REF!</v>
      </c>
      <c r="IR7" t="e">
        <f>AND('boilerplate specs'!#REF!,"AAAAAD/b6/s=")</f>
        <v>#REF!</v>
      </c>
      <c r="IS7" t="e">
        <f>AND('boilerplate specs'!#REF!,"AAAAAD/b6/w=")</f>
        <v>#REF!</v>
      </c>
      <c r="IT7" t="e">
        <f>AND('boilerplate specs'!#REF!,"AAAAAD/b6/0=")</f>
        <v>#REF!</v>
      </c>
      <c r="IU7" t="e">
        <f>AND('boilerplate specs'!#REF!,"AAAAAD/b6/4=")</f>
        <v>#REF!</v>
      </c>
      <c r="IV7" t="e">
        <f>AND('boilerplate specs'!#REF!,"AAAAAD/b6/8=")</f>
        <v>#REF!</v>
      </c>
    </row>
    <row r="8" spans="1:256" x14ac:dyDescent="0.35">
      <c r="A8" t="e">
        <f>AND('boilerplate specs'!#REF!,"AAAAADv37AA=")</f>
        <v>#REF!</v>
      </c>
      <c r="B8" t="e">
        <f>AND('boilerplate specs'!#REF!,"AAAAADv37AE=")</f>
        <v>#REF!</v>
      </c>
      <c r="C8" t="e">
        <f>AND('boilerplate specs'!#REF!,"AAAAADv37AI=")</f>
        <v>#REF!</v>
      </c>
      <c r="D8" t="e">
        <f>IF('boilerplate specs'!#REF!,"AAAAADv37AM=",0)</f>
        <v>#REF!</v>
      </c>
      <c r="E8" t="e">
        <f>AND('boilerplate specs'!#REF!,"AAAAADv37AQ=")</f>
        <v>#REF!</v>
      </c>
      <c r="F8" t="e">
        <f>AND('boilerplate specs'!#REF!,"AAAAADv37AU=")</f>
        <v>#REF!</v>
      </c>
      <c r="G8" t="e">
        <f>AND('boilerplate specs'!#REF!,"AAAAADv37AY=")</f>
        <v>#REF!</v>
      </c>
      <c r="H8" t="e">
        <f>AND('boilerplate specs'!#REF!,"AAAAADv37Ac=")</f>
        <v>#REF!</v>
      </c>
      <c r="I8" t="e">
        <f>AND('boilerplate specs'!#REF!,"AAAAADv37Ag=")</f>
        <v>#REF!</v>
      </c>
      <c r="J8" t="e">
        <f>AND('boilerplate specs'!#REF!,"AAAAADv37Ak=")</f>
        <v>#REF!</v>
      </c>
      <c r="K8" t="e">
        <f>AND('boilerplate specs'!#REF!,"AAAAADv37Ao=")</f>
        <v>#REF!</v>
      </c>
      <c r="L8" t="e">
        <f>AND('boilerplate specs'!#REF!,"AAAAADv37As=")</f>
        <v>#REF!</v>
      </c>
      <c r="M8" t="e">
        <f>AND('boilerplate specs'!#REF!,"AAAAADv37Aw=")</f>
        <v>#REF!</v>
      </c>
      <c r="N8" t="e">
        <f>AND('boilerplate specs'!#REF!,"AAAAADv37A0=")</f>
        <v>#REF!</v>
      </c>
      <c r="O8" t="e">
        <f>AND('boilerplate specs'!#REF!,"AAAAADv37A4=")</f>
        <v>#REF!</v>
      </c>
      <c r="P8" t="e">
        <f>AND('boilerplate specs'!#REF!,"AAAAADv37A8=")</f>
        <v>#REF!</v>
      </c>
      <c r="Q8" t="e">
        <f>AND('boilerplate specs'!#REF!,"AAAAADv37BA=")</f>
        <v>#REF!</v>
      </c>
      <c r="R8" t="e">
        <f>AND('boilerplate specs'!#REF!,"AAAAADv37BE=")</f>
        <v>#REF!</v>
      </c>
      <c r="S8" t="e">
        <f>AND('boilerplate specs'!#REF!,"AAAAADv37BI=")</f>
        <v>#REF!</v>
      </c>
      <c r="T8" t="e">
        <f>AND('boilerplate specs'!#REF!,"AAAAADv37BM=")</f>
        <v>#REF!</v>
      </c>
      <c r="U8" t="e">
        <f>AND('boilerplate specs'!#REF!,"AAAAADv37BQ=")</f>
        <v>#REF!</v>
      </c>
      <c r="V8" t="e">
        <f>AND('boilerplate specs'!#REF!,"AAAAADv37BU=")</f>
        <v>#REF!</v>
      </c>
      <c r="W8" t="e">
        <f>AND('boilerplate specs'!#REF!,"AAAAADv37BY=")</f>
        <v>#REF!</v>
      </c>
      <c r="X8" t="e">
        <f>AND('boilerplate specs'!#REF!,"AAAAADv37Bc=")</f>
        <v>#REF!</v>
      </c>
      <c r="Y8" t="e">
        <f>AND('boilerplate specs'!#REF!,"AAAAADv37Bg=")</f>
        <v>#REF!</v>
      </c>
      <c r="Z8" t="e">
        <f>AND('boilerplate specs'!#REF!,"AAAAADv37Bk=")</f>
        <v>#REF!</v>
      </c>
      <c r="AA8" t="e">
        <f>AND('boilerplate specs'!#REF!,"AAAAADv37Bo=")</f>
        <v>#REF!</v>
      </c>
      <c r="AB8" t="e">
        <f>AND('boilerplate specs'!#REF!,"AAAAADv37Bs=")</f>
        <v>#REF!</v>
      </c>
      <c r="AC8" t="e">
        <f>AND('boilerplate specs'!#REF!,"AAAAADv37Bw=")</f>
        <v>#REF!</v>
      </c>
      <c r="AD8" t="e">
        <f>AND('boilerplate specs'!#REF!,"AAAAADv37B0=")</f>
        <v>#REF!</v>
      </c>
      <c r="AE8" t="e">
        <f>AND('boilerplate specs'!#REF!,"AAAAADv37B4=")</f>
        <v>#REF!</v>
      </c>
      <c r="AF8" t="e">
        <f>AND('boilerplate specs'!#REF!,"AAAAADv37B8=")</f>
        <v>#REF!</v>
      </c>
      <c r="AG8" t="e">
        <f>AND('boilerplate specs'!#REF!,"AAAAADv37CA=")</f>
        <v>#REF!</v>
      </c>
      <c r="AH8" t="e">
        <f>AND('boilerplate specs'!#REF!,"AAAAADv37CE=")</f>
        <v>#REF!</v>
      </c>
      <c r="AI8" t="e">
        <f>AND('boilerplate specs'!#REF!,"AAAAADv37CI=")</f>
        <v>#REF!</v>
      </c>
      <c r="AJ8" t="e">
        <f>AND('boilerplate specs'!#REF!,"AAAAADv37CM=")</f>
        <v>#REF!</v>
      </c>
      <c r="AK8" t="e">
        <f>IF('boilerplate specs'!#REF!,"AAAAADv37CQ=",0)</f>
        <v>#REF!</v>
      </c>
      <c r="AL8" t="e">
        <f>AND('boilerplate specs'!#REF!,"AAAAADv37CU=")</f>
        <v>#REF!</v>
      </c>
      <c r="AM8" t="e">
        <f>AND('boilerplate specs'!#REF!,"AAAAADv37CY=")</f>
        <v>#REF!</v>
      </c>
      <c r="AN8" t="e">
        <f>AND('boilerplate specs'!#REF!,"AAAAADv37Cc=")</f>
        <v>#REF!</v>
      </c>
      <c r="AO8" t="e">
        <f>AND('boilerplate specs'!#REF!,"AAAAADv37Cg=")</f>
        <v>#REF!</v>
      </c>
      <c r="AP8" t="e">
        <f>AND('boilerplate specs'!#REF!,"AAAAADv37Ck=")</f>
        <v>#REF!</v>
      </c>
      <c r="AQ8" t="e">
        <f>AND('boilerplate specs'!#REF!,"AAAAADv37Co=")</f>
        <v>#REF!</v>
      </c>
      <c r="AR8" t="e">
        <f>AND('boilerplate specs'!#REF!,"AAAAADv37Cs=")</f>
        <v>#REF!</v>
      </c>
      <c r="AS8" t="e">
        <f>AND('boilerplate specs'!#REF!,"AAAAADv37Cw=")</f>
        <v>#REF!</v>
      </c>
      <c r="AT8" t="e">
        <f>AND('boilerplate specs'!#REF!,"AAAAADv37C0=")</f>
        <v>#REF!</v>
      </c>
      <c r="AU8" t="e">
        <f>AND('boilerplate specs'!#REF!,"AAAAADv37C4=")</f>
        <v>#REF!</v>
      </c>
      <c r="AV8" t="e">
        <f>AND('boilerplate specs'!#REF!,"AAAAADv37C8=")</f>
        <v>#REF!</v>
      </c>
      <c r="AW8" t="e">
        <f>AND('boilerplate specs'!#REF!,"AAAAADv37DA=")</f>
        <v>#REF!</v>
      </c>
      <c r="AX8" t="e">
        <f>AND('boilerplate specs'!#REF!,"AAAAADv37DE=")</f>
        <v>#REF!</v>
      </c>
      <c r="AY8" t="e">
        <f>AND('boilerplate specs'!#REF!,"AAAAADv37DI=")</f>
        <v>#REF!</v>
      </c>
      <c r="AZ8" t="e">
        <f>AND('boilerplate specs'!#REF!,"AAAAADv37DM=")</f>
        <v>#REF!</v>
      </c>
      <c r="BA8" t="e">
        <f>AND('boilerplate specs'!#REF!,"AAAAADv37DQ=")</f>
        <v>#REF!</v>
      </c>
      <c r="BB8" t="e">
        <f>AND('boilerplate specs'!#REF!,"AAAAADv37DU=")</f>
        <v>#REF!</v>
      </c>
      <c r="BC8" t="e">
        <f>AND('boilerplate specs'!#REF!,"AAAAADv37DY=")</f>
        <v>#REF!</v>
      </c>
      <c r="BD8" t="e">
        <f>AND('boilerplate specs'!#REF!,"AAAAADv37Dc=")</f>
        <v>#REF!</v>
      </c>
      <c r="BE8" t="e">
        <f>AND('boilerplate specs'!#REF!,"AAAAADv37Dg=")</f>
        <v>#REF!</v>
      </c>
      <c r="BF8" t="e">
        <f>AND('boilerplate specs'!#REF!,"AAAAADv37Dk=")</f>
        <v>#REF!</v>
      </c>
      <c r="BG8" t="e">
        <f>AND('boilerplate specs'!#REF!,"AAAAADv37Do=")</f>
        <v>#REF!</v>
      </c>
      <c r="BH8" t="e">
        <f>AND('boilerplate specs'!#REF!,"AAAAADv37Ds=")</f>
        <v>#REF!</v>
      </c>
      <c r="BI8" t="e">
        <f>AND('boilerplate specs'!#REF!,"AAAAADv37Dw=")</f>
        <v>#REF!</v>
      </c>
      <c r="BJ8" t="e">
        <f>AND('boilerplate specs'!#REF!,"AAAAADv37D0=")</f>
        <v>#REF!</v>
      </c>
      <c r="BK8" t="e">
        <f>AND('boilerplate specs'!#REF!,"AAAAADv37D4=")</f>
        <v>#REF!</v>
      </c>
      <c r="BL8" t="e">
        <f>AND('boilerplate specs'!#REF!,"AAAAADv37D8=")</f>
        <v>#REF!</v>
      </c>
      <c r="BM8" t="e">
        <f>AND('boilerplate specs'!#REF!,"AAAAADv37EA=")</f>
        <v>#REF!</v>
      </c>
      <c r="BN8" t="e">
        <f>AND('boilerplate specs'!#REF!,"AAAAADv37EE=")</f>
        <v>#REF!</v>
      </c>
      <c r="BO8" t="e">
        <f>AND('boilerplate specs'!#REF!,"AAAAADv37EI=")</f>
        <v>#REF!</v>
      </c>
      <c r="BP8" t="e">
        <f>AND('boilerplate specs'!#REF!,"AAAAADv37EM=")</f>
        <v>#REF!</v>
      </c>
      <c r="BQ8" t="e">
        <f>AND('boilerplate specs'!#REF!,"AAAAADv37EQ=")</f>
        <v>#REF!</v>
      </c>
      <c r="BR8" t="e">
        <f>IF('boilerplate specs'!#REF!,"AAAAADv37EU=",0)</f>
        <v>#REF!</v>
      </c>
      <c r="BS8" t="e">
        <f>AND('boilerplate specs'!#REF!,"AAAAADv37EY=")</f>
        <v>#REF!</v>
      </c>
      <c r="BT8" t="e">
        <f>AND('boilerplate specs'!#REF!,"AAAAADv37Ec=")</f>
        <v>#REF!</v>
      </c>
      <c r="BU8" t="e">
        <f>AND('boilerplate specs'!#REF!,"AAAAADv37Eg=")</f>
        <v>#REF!</v>
      </c>
      <c r="BV8" t="e">
        <f>AND('boilerplate specs'!#REF!,"AAAAADv37Ek=")</f>
        <v>#REF!</v>
      </c>
      <c r="BW8" t="e">
        <f>AND('boilerplate specs'!#REF!,"AAAAADv37Eo=")</f>
        <v>#REF!</v>
      </c>
      <c r="BX8" t="e">
        <f>AND('boilerplate specs'!#REF!,"AAAAADv37Es=")</f>
        <v>#REF!</v>
      </c>
      <c r="BY8" t="e">
        <f>AND('boilerplate specs'!#REF!,"AAAAADv37Ew=")</f>
        <v>#REF!</v>
      </c>
      <c r="BZ8" t="e">
        <f>AND('boilerplate specs'!#REF!,"AAAAADv37E0=")</f>
        <v>#REF!</v>
      </c>
      <c r="CA8" t="e">
        <f>AND('boilerplate specs'!#REF!,"AAAAADv37E4=")</f>
        <v>#REF!</v>
      </c>
      <c r="CB8" t="e">
        <f>AND('boilerplate specs'!#REF!,"AAAAADv37E8=")</f>
        <v>#REF!</v>
      </c>
      <c r="CC8" t="e">
        <f>AND('boilerplate specs'!#REF!,"AAAAADv37FA=")</f>
        <v>#REF!</v>
      </c>
      <c r="CD8" t="e">
        <f>AND('boilerplate specs'!#REF!,"AAAAADv37FE=")</f>
        <v>#REF!</v>
      </c>
      <c r="CE8" t="e">
        <f>AND('boilerplate specs'!#REF!,"AAAAADv37FI=")</f>
        <v>#REF!</v>
      </c>
      <c r="CF8" t="e">
        <f>AND('boilerplate specs'!#REF!,"AAAAADv37FM=")</f>
        <v>#REF!</v>
      </c>
      <c r="CG8" t="e">
        <f>AND('boilerplate specs'!#REF!,"AAAAADv37FQ=")</f>
        <v>#REF!</v>
      </c>
      <c r="CH8" t="e">
        <f>AND('boilerplate specs'!#REF!,"AAAAADv37FU=")</f>
        <v>#REF!</v>
      </c>
      <c r="CI8" t="e">
        <f>AND('boilerplate specs'!#REF!,"AAAAADv37FY=")</f>
        <v>#REF!</v>
      </c>
      <c r="CJ8" t="e">
        <f>AND('boilerplate specs'!#REF!,"AAAAADv37Fc=")</f>
        <v>#REF!</v>
      </c>
      <c r="CK8" t="e">
        <f>AND('boilerplate specs'!#REF!,"AAAAADv37Fg=")</f>
        <v>#REF!</v>
      </c>
      <c r="CL8" t="e">
        <f>AND('boilerplate specs'!#REF!,"AAAAADv37Fk=")</f>
        <v>#REF!</v>
      </c>
      <c r="CM8" t="e">
        <f>AND('boilerplate specs'!#REF!,"AAAAADv37Fo=")</f>
        <v>#REF!</v>
      </c>
      <c r="CN8" t="e">
        <f>AND('boilerplate specs'!#REF!,"AAAAADv37Fs=")</f>
        <v>#REF!</v>
      </c>
      <c r="CO8" t="e">
        <f>AND('boilerplate specs'!#REF!,"AAAAADv37Fw=")</f>
        <v>#REF!</v>
      </c>
      <c r="CP8" t="e">
        <f>AND('boilerplate specs'!#REF!,"AAAAADv37F0=")</f>
        <v>#REF!</v>
      </c>
      <c r="CQ8" t="e">
        <f>AND('boilerplate specs'!#REF!,"AAAAADv37F4=")</f>
        <v>#REF!</v>
      </c>
      <c r="CR8" t="e">
        <f>AND('boilerplate specs'!#REF!,"AAAAADv37F8=")</f>
        <v>#REF!</v>
      </c>
      <c r="CS8" t="e">
        <f>AND('boilerplate specs'!#REF!,"AAAAADv37GA=")</f>
        <v>#REF!</v>
      </c>
      <c r="CT8" t="e">
        <f>AND('boilerplate specs'!#REF!,"AAAAADv37GE=")</f>
        <v>#REF!</v>
      </c>
      <c r="CU8" t="e">
        <f>AND('boilerplate specs'!#REF!,"AAAAADv37GI=")</f>
        <v>#REF!</v>
      </c>
      <c r="CV8" t="e">
        <f>AND('boilerplate specs'!#REF!,"AAAAADv37GM=")</f>
        <v>#REF!</v>
      </c>
      <c r="CW8" t="e">
        <f>AND('boilerplate specs'!#REF!,"AAAAADv37GQ=")</f>
        <v>#REF!</v>
      </c>
      <c r="CX8" t="e">
        <f>AND('boilerplate specs'!#REF!,"AAAAADv37GU=")</f>
        <v>#REF!</v>
      </c>
      <c r="CY8" t="e">
        <f>IF('boilerplate specs'!#REF!,"AAAAADv37GY=",0)</f>
        <v>#REF!</v>
      </c>
      <c r="CZ8" t="e">
        <f>AND('boilerplate specs'!#REF!,"AAAAADv37Gc=")</f>
        <v>#REF!</v>
      </c>
      <c r="DA8" t="e">
        <f>AND('boilerplate specs'!#REF!,"AAAAADv37Gg=")</f>
        <v>#REF!</v>
      </c>
      <c r="DB8" t="e">
        <f>AND('boilerplate specs'!#REF!,"AAAAADv37Gk=")</f>
        <v>#REF!</v>
      </c>
      <c r="DC8" t="e">
        <f>AND('boilerplate specs'!#REF!,"AAAAADv37Go=")</f>
        <v>#REF!</v>
      </c>
      <c r="DD8" t="e">
        <f>AND('boilerplate specs'!#REF!,"AAAAADv37Gs=")</f>
        <v>#REF!</v>
      </c>
      <c r="DE8" t="e">
        <f>AND('boilerplate specs'!#REF!,"AAAAADv37Gw=")</f>
        <v>#REF!</v>
      </c>
      <c r="DF8" t="e">
        <f>AND('boilerplate specs'!#REF!,"AAAAADv37G0=")</f>
        <v>#REF!</v>
      </c>
      <c r="DG8" t="e">
        <f>AND('boilerplate specs'!#REF!,"AAAAADv37G4=")</f>
        <v>#REF!</v>
      </c>
      <c r="DH8" t="e">
        <f>AND('boilerplate specs'!#REF!,"AAAAADv37G8=")</f>
        <v>#REF!</v>
      </c>
      <c r="DI8" t="e">
        <f>AND('boilerplate specs'!#REF!,"AAAAADv37HA=")</f>
        <v>#REF!</v>
      </c>
      <c r="DJ8" t="e">
        <f>AND('boilerplate specs'!#REF!,"AAAAADv37HE=")</f>
        <v>#REF!</v>
      </c>
      <c r="DK8" t="e">
        <f>AND('boilerplate specs'!#REF!,"AAAAADv37HI=")</f>
        <v>#REF!</v>
      </c>
      <c r="DL8" t="e">
        <f>AND('boilerplate specs'!#REF!,"AAAAADv37HM=")</f>
        <v>#REF!</v>
      </c>
      <c r="DM8" t="e">
        <f>AND('boilerplate specs'!#REF!,"AAAAADv37HQ=")</f>
        <v>#REF!</v>
      </c>
      <c r="DN8" t="e">
        <f>AND('boilerplate specs'!#REF!,"AAAAADv37HU=")</f>
        <v>#REF!</v>
      </c>
      <c r="DO8" t="e">
        <f>AND('boilerplate specs'!#REF!,"AAAAADv37HY=")</f>
        <v>#REF!</v>
      </c>
      <c r="DP8" t="e">
        <f>AND('boilerplate specs'!#REF!,"AAAAADv37Hc=")</f>
        <v>#REF!</v>
      </c>
      <c r="DQ8" t="e">
        <f>AND('boilerplate specs'!#REF!,"AAAAADv37Hg=")</f>
        <v>#REF!</v>
      </c>
      <c r="DR8" t="e">
        <f>AND('boilerplate specs'!#REF!,"AAAAADv37Hk=")</f>
        <v>#REF!</v>
      </c>
      <c r="DS8" t="e">
        <f>AND('boilerplate specs'!#REF!,"AAAAADv37Ho=")</f>
        <v>#REF!</v>
      </c>
      <c r="DT8" t="e">
        <f>AND('boilerplate specs'!#REF!,"AAAAADv37Hs=")</f>
        <v>#REF!</v>
      </c>
      <c r="DU8" t="e">
        <f>AND('boilerplate specs'!#REF!,"AAAAADv37Hw=")</f>
        <v>#REF!</v>
      </c>
      <c r="DV8" t="e">
        <f>AND('boilerplate specs'!#REF!,"AAAAADv37H0=")</f>
        <v>#REF!</v>
      </c>
      <c r="DW8" t="e">
        <f>AND('boilerplate specs'!#REF!,"AAAAADv37H4=")</f>
        <v>#REF!</v>
      </c>
      <c r="DX8" t="e">
        <f>AND('boilerplate specs'!#REF!,"AAAAADv37H8=")</f>
        <v>#REF!</v>
      </c>
      <c r="DY8" t="e">
        <f>AND('boilerplate specs'!#REF!,"AAAAADv37IA=")</f>
        <v>#REF!</v>
      </c>
      <c r="DZ8" t="e">
        <f>AND('boilerplate specs'!#REF!,"AAAAADv37IE=")</f>
        <v>#REF!</v>
      </c>
      <c r="EA8" t="e">
        <f>AND('boilerplate specs'!#REF!,"AAAAADv37II=")</f>
        <v>#REF!</v>
      </c>
      <c r="EB8" t="e">
        <f>AND('boilerplate specs'!#REF!,"AAAAADv37IM=")</f>
        <v>#REF!</v>
      </c>
      <c r="EC8" t="e">
        <f>AND('boilerplate specs'!#REF!,"AAAAADv37IQ=")</f>
        <v>#REF!</v>
      </c>
      <c r="ED8" t="e">
        <f>AND('boilerplate specs'!#REF!,"AAAAADv37IU=")</f>
        <v>#REF!</v>
      </c>
      <c r="EE8" t="e">
        <f>AND('boilerplate specs'!#REF!,"AAAAADv37IY=")</f>
        <v>#REF!</v>
      </c>
      <c r="EF8" t="e">
        <f>IF('boilerplate specs'!#REF!,"AAAAADv37Ic=",0)</f>
        <v>#REF!</v>
      </c>
      <c r="EG8" t="e">
        <f>AND('boilerplate specs'!#REF!,"AAAAADv37Ig=")</f>
        <v>#REF!</v>
      </c>
      <c r="EH8" t="e">
        <f>AND('boilerplate specs'!#REF!,"AAAAADv37Ik=")</f>
        <v>#REF!</v>
      </c>
      <c r="EI8" t="e">
        <f>AND('boilerplate specs'!#REF!,"AAAAADv37Io=")</f>
        <v>#REF!</v>
      </c>
      <c r="EJ8" t="e">
        <f>AND('boilerplate specs'!#REF!,"AAAAADv37Is=")</f>
        <v>#REF!</v>
      </c>
      <c r="EK8" t="e">
        <f>AND('boilerplate specs'!#REF!,"AAAAADv37Iw=")</f>
        <v>#REF!</v>
      </c>
      <c r="EL8" t="e">
        <f>AND('boilerplate specs'!#REF!,"AAAAADv37I0=")</f>
        <v>#REF!</v>
      </c>
      <c r="EM8" t="e">
        <f>AND('boilerplate specs'!#REF!,"AAAAADv37I4=")</f>
        <v>#REF!</v>
      </c>
      <c r="EN8" t="e">
        <f>AND('boilerplate specs'!#REF!,"AAAAADv37I8=")</f>
        <v>#REF!</v>
      </c>
      <c r="EO8" t="e">
        <f>AND('boilerplate specs'!#REF!,"AAAAADv37JA=")</f>
        <v>#REF!</v>
      </c>
      <c r="EP8" t="e">
        <f>AND('boilerplate specs'!#REF!,"AAAAADv37JE=")</f>
        <v>#REF!</v>
      </c>
      <c r="EQ8" t="e">
        <f>AND('boilerplate specs'!#REF!,"AAAAADv37JI=")</f>
        <v>#REF!</v>
      </c>
      <c r="ER8" t="e">
        <f>AND('boilerplate specs'!#REF!,"AAAAADv37JM=")</f>
        <v>#REF!</v>
      </c>
      <c r="ES8" t="e">
        <f>AND('boilerplate specs'!#REF!,"AAAAADv37JQ=")</f>
        <v>#REF!</v>
      </c>
      <c r="ET8" t="e">
        <f>AND('boilerplate specs'!#REF!,"AAAAADv37JU=")</f>
        <v>#REF!</v>
      </c>
      <c r="EU8" t="e">
        <f>AND('boilerplate specs'!#REF!,"AAAAADv37JY=")</f>
        <v>#REF!</v>
      </c>
      <c r="EV8" t="e">
        <f>AND('boilerplate specs'!#REF!,"AAAAADv37Jc=")</f>
        <v>#REF!</v>
      </c>
      <c r="EW8" t="e">
        <f>AND('boilerplate specs'!#REF!,"AAAAADv37Jg=")</f>
        <v>#REF!</v>
      </c>
      <c r="EX8" t="e">
        <f>AND('boilerplate specs'!#REF!,"AAAAADv37Jk=")</f>
        <v>#REF!</v>
      </c>
      <c r="EY8" t="e">
        <f>AND('boilerplate specs'!#REF!,"AAAAADv37Jo=")</f>
        <v>#REF!</v>
      </c>
      <c r="EZ8" t="e">
        <f>AND('boilerplate specs'!#REF!,"AAAAADv37Js=")</f>
        <v>#REF!</v>
      </c>
      <c r="FA8" t="e">
        <f>AND('boilerplate specs'!#REF!,"AAAAADv37Jw=")</f>
        <v>#REF!</v>
      </c>
      <c r="FB8" t="e">
        <f>AND('boilerplate specs'!#REF!,"AAAAADv37J0=")</f>
        <v>#REF!</v>
      </c>
      <c r="FC8" t="e">
        <f>AND('boilerplate specs'!#REF!,"AAAAADv37J4=")</f>
        <v>#REF!</v>
      </c>
      <c r="FD8" t="e">
        <f>AND('boilerplate specs'!#REF!,"AAAAADv37J8=")</f>
        <v>#REF!</v>
      </c>
      <c r="FE8" t="e">
        <f>AND('boilerplate specs'!#REF!,"AAAAADv37KA=")</f>
        <v>#REF!</v>
      </c>
      <c r="FF8" t="e">
        <f>AND('boilerplate specs'!#REF!,"AAAAADv37KE=")</f>
        <v>#REF!</v>
      </c>
      <c r="FG8" t="e">
        <f>AND('boilerplate specs'!#REF!,"AAAAADv37KI=")</f>
        <v>#REF!</v>
      </c>
      <c r="FH8" t="e">
        <f>AND('boilerplate specs'!#REF!,"AAAAADv37KM=")</f>
        <v>#REF!</v>
      </c>
      <c r="FI8" t="e">
        <f>AND('boilerplate specs'!#REF!,"AAAAADv37KQ=")</f>
        <v>#REF!</v>
      </c>
      <c r="FJ8" t="e">
        <f>AND('boilerplate specs'!#REF!,"AAAAADv37KU=")</f>
        <v>#REF!</v>
      </c>
      <c r="FK8" t="e">
        <f>AND('boilerplate specs'!#REF!,"AAAAADv37KY=")</f>
        <v>#REF!</v>
      </c>
      <c r="FL8" t="e">
        <f>AND('boilerplate specs'!#REF!,"AAAAADv37Kc=")</f>
        <v>#REF!</v>
      </c>
      <c r="FM8" t="e">
        <f>IF('boilerplate specs'!#REF!,"AAAAADv37Kg=",0)</f>
        <v>#REF!</v>
      </c>
      <c r="FN8" t="e">
        <f>AND('boilerplate specs'!#REF!,"AAAAADv37Kk=")</f>
        <v>#REF!</v>
      </c>
      <c r="FO8" t="e">
        <f>AND('boilerplate specs'!#REF!,"AAAAADv37Ko=")</f>
        <v>#REF!</v>
      </c>
      <c r="FP8" t="e">
        <f>AND('boilerplate specs'!#REF!,"AAAAADv37Ks=")</f>
        <v>#REF!</v>
      </c>
      <c r="FQ8" t="e">
        <f>AND('boilerplate specs'!#REF!,"AAAAADv37Kw=")</f>
        <v>#REF!</v>
      </c>
      <c r="FR8" t="e">
        <f>AND('boilerplate specs'!#REF!,"AAAAADv37K0=")</f>
        <v>#REF!</v>
      </c>
      <c r="FS8" t="e">
        <f>AND('boilerplate specs'!#REF!,"AAAAADv37K4=")</f>
        <v>#REF!</v>
      </c>
      <c r="FT8" t="e">
        <f>AND('boilerplate specs'!#REF!,"AAAAADv37K8=")</f>
        <v>#REF!</v>
      </c>
      <c r="FU8" t="e">
        <f>AND('boilerplate specs'!#REF!,"AAAAADv37LA=")</f>
        <v>#REF!</v>
      </c>
      <c r="FV8" t="e">
        <f>AND('boilerplate specs'!#REF!,"AAAAADv37LE=")</f>
        <v>#REF!</v>
      </c>
      <c r="FW8" t="e">
        <f>AND('boilerplate specs'!#REF!,"AAAAADv37LI=")</f>
        <v>#REF!</v>
      </c>
      <c r="FX8" t="e">
        <f>AND('boilerplate specs'!#REF!,"AAAAADv37LM=")</f>
        <v>#REF!</v>
      </c>
      <c r="FY8" t="e">
        <f>AND('boilerplate specs'!#REF!,"AAAAADv37LQ=")</f>
        <v>#REF!</v>
      </c>
      <c r="FZ8" t="e">
        <f>AND('boilerplate specs'!#REF!,"AAAAADv37LU=")</f>
        <v>#REF!</v>
      </c>
      <c r="GA8" t="e">
        <f>AND('boilerplate specs'!#REF!,"AAAAADv37LY=")</f>
        <v>#REF!</v>
      </c>
      <c r="GB8" t="e">
        <f>AND('boilerplate specs'!#REF!,"AAAAADv37Lc=")</f>
        <v>#REF!</v>
      </c>
      <c r="GC8" t="e">
        <f>AND('boilerplate specs'!#REF!,"AAAAADv37Lg=")</f>
        <v>#REF!</v>
      </c>
      <c r="GD8" t="e">
        <f>AND('boilerplate specs'!#REF!,"AAAAADv37Lk=")</f>
        <v>#REF!</v>
      </c>
      <c r="GE8" t="e">
        <f>AND('boilerplate specs'!#REF!,"AAAAADv37Lo=")</f>
        <v>#REF!</v>
      </c>
      <c r="GF8" t="e">
        <f>AND('boilerplate specs'!#REF!,"AAAAADv37Ls=")</f>
        <v>#REF!</v>
      </c>
      <c r="GG8" t="e">
        <f>AND('boilerplate specs'!#REF!,"AAAAADv37Lw=")</f>
        <v>#REF!</v>
      </c>
      <c r="GH8" t="e">
        <f>AND('boilerplate specs'!#REF!,"AAAAADv37L0=")</f>
        <v>#REF!</v>
      </c>
      <c r="GI8" t="e">
        <f>AND('boilerplate specs'!#REF!,"AAAAADv37L4=")</f>
        <v>#REF!</v>
      </c>
      <c r="GJ8" t="e">
        <f>AND('boilerplate specs'!#REF!,"AAAAADv37L8=")</f>
        <v>#REF!</v>
      </c>
      <c r="GK8" t="e">
        <f>AND('boilerplate specs'!#REF!,"AAAAADv37MA=")</f>
        <v>#REF!</v>
      </c>
      <c r="GL8" t="e">
        <f>AND('boilerplate specs'!#REF!,"AAAAADv37ME=")</f>
        <v>#REF!</v>
      </c>
      <c r="GM8" t="e">
        <f>AND('boilerplate specs'!#REF!,"AAAAADv37MI=")</f>
        <v>#REF!</v>
      </c>
      <c r="GN8" t="e">
        <f>AND('boilerplate specs'!#REF!,"AAAAADv37MM=")</f>
        <v>#REF!</v>
      </c>
      <c r="GO8" t="e">
        <f>AND('boilerplate specs'!#REF!,"AAAAADv37MQ=")</f>
        <v>#REF!</v>
      </c>
      <c r="GP8" t="e">
        <f>AND('boilerplate specs'!#REF!,"AAAAADv37MU=")</f>
        <v>#REF!</v>
      </c>
      <c r="GQ8" t="e">
        <f>AND('boilerplate specs'!#REF!,"AAAAADv37MY=")</f>
        <v>#REF!</v>
      </c>
      <c r="GR8" t="e">
        <f>AND('boilerplate specs'!#REF!,"AAAAADv37Mc=")</f>
        <v>#REF!</v>
      </c>
      <c r="GS8" t="e">
        <f>AND('boilerplate specs'!#REF!,"AAAAADv37Mg=")</f>
        <v>#REF!</v>
      </c>
      <c r="GT8" t="e">
        <f>IF('boilerplate specs'!#REF!,"AAAAADv37Mk=",0)</f>
        <v>#REF!</v>
      </c>
      <c r="GU8" t="e">
        <f>AND('boilerplate specs'!#REF!,"AAAAADv37Mo=")</f>
        <v>#REF!</v>
      </c>
      <c r="GV8" t="e">
        <f>AND('boilerplate specs'!#REF!,"AAAAADv37Ms=")</f>
        <v>#REF!</v>
      </c>
      <c r="GW8" t="e">
        <f>AND('boilerplate specs'!#REF!,"AAAAADv37Mw=")</f>
        <v>#REF!</v>
      </c>
      <c r="GX8" t="e">
        <f>AND('boilerplate specs'!#REF!,"AAAAADv37M0=")</f>
        <v>#REF!</v>
      </c>
      <c r="GY8" t="e">
        <f>AND('boilerplate specs'!#REF!,"AAAAADv37M4=")</f>
        <v>#REF!</v>
      </c>
      <c r="GZ8" t="e">
        <f>AND('boilerplate specs'!#REF!,"AAAAADv37M8=")</f>
        <v>#REF!</v>
      </c>
      <c r="HA8" t="e">
        <f>AND('boilerplate specs'!#REF!,"AAAAADv37NA=")</f>
        <v>#REF!</v>
      </c>
      <c r="HB8" t="e">
        <f>AND('boilerplate specs'!#REF!,"AAAAADv37NE=")</f>
        <v>#REF!</v>
      </c>
      <c r="HC8" t="e">
        <f>AND('boilerplate specs'!#REF!,"AAAAADv37NI=")</f>
        <v>#REF!</v>
      </c>
      <c r="HD8" t="e">
        <f>AND('boilerplate specs'!#REF!,"AAAAADv37NM=")</f>
        <v>#REF!</v>
      </c>
      <c r="HE8" t="e">
        <f>AND('boilerplate specs'!#REF!,"AAAAADv37NQ=")</f>
        <v>#REF!</v>
      </c>
      <c r="HF8" t="e">
        <f>AND('boilerplate specs'!#REF!,"AAAAADv37NU=")</f>
        <v>#REF!</v>
      </c>
      <c r="HG8" t="e">
        <f>AND('boilerplate specs'!#REF!,"AAAAADv37NY=")</f>
        <v>#REF!</v>
      </c>
      <c r="HH8" t="e">
        <f>AND('boilerplate specs'!#REF!,"AAAAADv37Nc=")</f>
        <v>#REF!</v>
      </c>
      <c r="HI8" t="e">
        <f>AND('boilerplate specs'!#REF!,"AAAAADv37Ng=")</f>
        <v>#REF!</v>
      </c>
      <c r="HJ8" t="e">
        <f>AND('boilerplate specs'!#REF!,"AAAAADv37Nk=")</f>
        <v>#REF!</v>
      </c>
      <c r="HK8" t="e">
        <f>AND('boilerplate specs'!#REF!,"AAAAADv37No=")</f>
        <v>#REF!</v>
      </c>
      <c r="HL8" t="e">
        <f>AND('boilerplate specs'!#REF!,"AAAAADv37Ns=")</f>
        <v>#REF!</v>
      </c>
      <c r="HM8" t="e">
        <f>AND('boilerplate specs'!#REF!,"AAAAADv37Nw=")</f>
        <v>#REF!</v>
      </c>
      <c r="HN8" t="e">
        <f>AND('boilerplate specs'!#REF!,"AAAAADv37N0=")</f>
        <v>#REF!</v>
      </c>
      <c r="HO8" t="e">
        <f>AND('boilerplate specs'!#REF!,"AAAAADv37N4=")</f>
        <v>#REF!</v>
      </c>
      <c r="HP8" t="e">
        <f>AND('boilerplate specs'!#REF!,"AAAAADv37N8=")</f>
        <v>#REF!</v>
      </c>
      <c r="HQ8" t="e">
        <f>AND('boilerplate specs'!#REF!,"AAAAADv37OA=")</f>
        <v>#REF!</v>
      </c>
      <c r="HR8" t="e">
        <f>AND('boilerplate specs'!#REF!,"AAAAADv37OE=")</f>
        <v>#REF!</v>
      </c>
      <c r="HS8" t="e">
        <f>AND('boilerplate specs'!#REF!,"AAAAADv37OI=")</f>
        <v>#REF!</v>
      </c>
      <c r="HT8" t="e">
        <f>AND('boilerplate specs'!#REF!,"AAAAADv37OM=")</f>
        <v>#REF!</v>
      </c>
      <c r="HU8" t="e">
        <f>AND('boilerplate specs'!#REF!,"AAAAADv37OQ=")</f>
        <v>#REF!</v>
      </c>
      <c r="HV8" t="e">
        <f>AND('boilerplate specs'!#REF!,"AAAAADv37OU=")</f>
        <v>#REF!</v>
      </c>
      <c r="HW8" t="e">
        <f>AND('boilerplate specs'!#REF!,"AAAAADv37OY=")</f>
        <v>#REF!</v>
      </c>
      <c r="HX8" t="e">
        <f>AND('boilerplate specs'!#REF!,"AAAAADv37Oc=")</f>
        <v>#REF!</v>
      </c>
      <c r="HY8" t="e">
        <f>AND('boilerplate specs'!#REF!,"AAAAADv37Og=")</f>
        <v>#REF!</v>
      </c>
      <c r="HZ8" t="e">
        <f>AND('boilerplate specs'!#REF!,"AAAAADv37Ok=")</f>
        <v>#REF!</v>
      </c>
      <c r="IA8" t="e">
        <f>IF('boilerplate specs'!#REF!,"AAAAADv37Oo=",0)</f>
        <v>#REF!</v>
      </c>
      <c r="IB8" t="e">
        <f>AND('boilerplate specs'!#REF!,"AAAAADv37Os=")</f>
        <v>#REF!</v>
      </c>
      <c r="IC8" t="e">
        <f>AND('boilerplate specs'!#REF!,"AAAAADv37Ow=")</f>
        <v>#REF!</v>
      </c>
      <c r="ID8" t="e">
        <f>AND('boilerplate specs'!#REF!,"AAAAADv37O0=")</f>
        <v>#REF!</v>
      </c>
      <c r="IE8" t="e">
        <f>AND('boilerplate specs'!#REF!,"AAAAADv37O4=")</f>
        <v>#REF!</v>
      </c>
      <c r="IF8" t="e">
        <f>AND('boilerplate specs'!#REF!,"AAAAADv37O8=")</f>
        <v>#REF!</v>
      </c>
      <c r="IG8" t="e">
        <f>AND('boilerplate specs'!#REF!,"AAAAADv37PA=")</f>
        <v>#REF!</v>
      </c>
      <c r="IH8" t="e">
        <f>AND('boilerplate specs'!#REF!,"AAAAADv37PE=")</f>
        <v>#REF!</v>
      </c>
      <c r="II8" t="e">
        <f>AND('boilerplate specs'!#REF!,"AAAAADv37PI=")</f>
        <v>#REF!</v>
      </c>
      <c r="IJ8" t="e">
        <f>AND('boilerplate specs'!#REF!,"AAAAADv37PM=")</f>
        <v>#REF!</v>
      </c>
      <c r="IK8" t="e">
        <f>AND('boilerplate specs'!#REF!,"AAAAADv37PQ=")</f>
        <v>#REF!</v>
      </c>
      <c r="IL8" t="e">
        <f>AND('boilerplate specs'!#REF!,"AAAAADv37PU=")</f>
        <v>#REF!</v>
      </c>
      <c r="IM8" t="e">
        <f>AND('boilerplate specs'!#REF!,"AAAAADv37PY=")</f>
        <v>#REF!</v>
      </c>
      <c r="IN8" t="e">
        <f>AND('boilerplate specs'!#REF!,"AAAAADv37Pc=")</f>
        <v>#REF!</v>
      </c>
      <c r="IO8" t="e">
        <f>AND('boilerplate specs'!#REF!,"AAAAADv37Pg=")</f>
        <v>#REF!</v>
      </c>
      <c r="IP8" t="e">
        <f>AND('boilerplate specs'!#REF!,"AAAAADv37Pk=")</f>
        <v>#REF!</v>
      </c>
      <c r="IQ8" t="e">
        <f>AND('boilerplate specs'!#REF!,"AAAAADv37Po=")</f>
        <v>#REF!</v>
      </c>
      <c r="IR8" t="e">
        <f>AND('boilerplate specs'!#REF!,"AAAAADv37Ps=")</f>
        <v>#REF!</v>
      </c>
      <c r="IS8" t="e">
        <f>AND('boilerplate specs'!#REF!,"AAAAADv37Pw=")</f>
        <v>#REF!</v>
      </c>
      <c r="IT8" t="e">
        <f>AND('boilerplate specs'!#REF!,"AAAAADv37P0=")</f>
        <v>#REF!</v>
      </c>
      <c r="IU8" t="e">
        <f>AND('boilerplate specs'!#REF!,"AAAAADv37P4=")</f>
        <v>#REF!</v>
      </c>
      <c r="IV8" t="e">
        <f>AND('boilerplate specs'!#REF!,"AAAAADv37P8=")</f>
        <v>#REF!</v>
      </c>
    </row>
    <row r="9" spans="1:256" x14ac:dyDescent="0.35">
      <c r="A9" t="e">
        <f>AND('boilerplate specs'!#REF!,"AAAAAHv44QA=")</f>
        <v>#REF!</v>
      </c>
      <c r="B9" t="e">
        <f>AND('boilerplate specs'!#REF!,"AAAAAHv44QE=")</f>
        <v>#REF!</v>
      </c>
      <c r="C9" t="e">
        <f>AND('boilerplate specs'!#REF!,"AAAAAHv44QI=")</f>
        <v>#REF!</v>
      </c>
      <c r="D9" t="e">
        <f>AND('boilerplate specs'!#REF!,"AAAAAHv44QM=")</f>
        <v>#REF!</v>
      </c>
      <c r="E9" t="e">
        <f>AND('boilerplate specs'!#REF!,"AAAAAHv44QQ=")</f>
        <v>#REF!</v>
      </c>
      <c r="F9" t="e">
        <f>AND('boilerplate specs'!#REF!,"AAAAAHv44QU=")</f>
        <v>#REF!</v>
      </c>
      <c r="G9" t="e">
        <f>AND('boilerplate specs'!#REF!,"AAAAAHv44QY=")</f>
        <v>#REF!</v>
      </c>
      <c r="H9" t="e">
        <f>AND('boilerplate specs'!#REF!,"AAAAAHv44Qc=")</f>
        <v>#REF!</v>
      </c>
      <c r="I9" t="e">
        <f>AND('boilerplate specs'!#REF!,"AAAAAHv44Qg=")</f>
        <v>#REF!</v>
      </c>
      <c r="J9" t="e">
        <f>AND('boilerplate specs'!#REF!,"AAAAAHv44Qk=")</f>
        <v>#REF!</v>
      </c>
      <c r="K9" t="e">
        <f>AND('boilerplate specs'!#REF!,"AAAAAHv44Qo=")</f>
        <v>#REF!</v>
      </c>
      <c r="L9" t="e">
        <f>IF('boilerplate specs'!#REF!,"AAAAAHv44Qs=",0)</f>
        <v>#REF!</v>
      </c>
      <c r="M9" t="e">
        <f>AND('boilerplate specs'!#REF!,"AAAAAHv44Qw=")</f>
        <v>#REF!</v>
      </c>
      <c r="N9" t="e">
        <f>AND('boilerplate specs'!#REF!,"AAAAAHv44Q0=")</f>
        <v>#REF!</v>
      </c>
      <c r="O9" t="e">
        <f>AND('boilerplate specs'!#REF!,"AAAAAHv44Q4=")</f>
        <v>#REF!</v>
      </c>
      <c r="P9" t="e">
        <f>AND('boilerplate specs'!#REF!,"AAAAAHv44Q8=")</f>
        <v>#REF!</v>
      </c>
      <c r="Q9" t="e">
        <f>AND('boilerplate specs'!#REF!,"AAAAAHv44RA=")</f>
        <v>#REF!</v>
      </c>
      <c r="R9" t="e">
        <f>AND('boilerplate specs'!#REF!,"AAAAAHv44RE=")</f>
        <v>#REF!</v>
      </c>
      <c r="S9" t="e">
        <f>AND('boilerplate specs'!#REF!,"AAAAAHv44RI=")</f>
        <v>#REF!</v>
      </c>
      <c r="T9" t="e">
        <f>AND('boilerplate specs'!#REF!,"AAAAAHv44RM=")</f>
        <v>#REF!</v>
      </c>
      <c r="U9" t="e">
        <f>AND('boilerplate specs'!#REF!,"AAAAAHv44RQ=")</f>
        <v>#REF!</v>
      </c>
      <c r="V9" t="e">
        <f>AND('boilerplate specs'!#REF!,"AAAAAHv44RU=")</f>
        <v>#REF!</v>
      </c>
      <c r="W9" t="e">
        <f>AND('boilerplate specs'!#REF!,"AAAAAHv44RY=")</f>
        <v>#REF!</v>
      </c>
      <c r="X9" t="e">
        <f>AND('boilerplate specs'!#REF!,"AAAAAHv44Rc=")</f>
        <v>#REF!</v>
      </c>
      <c r="Y9" t="e">
        <f>AND('boilerplate specs'!#REF!,"AAAAAHv44Rg=")</f>
        <v>#REF!</v>
      </c>
      <c r="Z9" t="e">
        <f>AND('boilerplate specs'!#REF!,"AAAAAHv44Rk=")</f>
        <v>#REF!</v>
      </c>
      <c r="AA9" t="e">
        <f>AND('boilerplate specs'!#REF!,"AAAAAHv44Ro=")</f>
        <v>#REF!</v>
      </c>
      <c r="AB9" t="e">
        <f>AND('boilerplate specs'!#REF!,"AAAAAHv44Rs=")</f>
        <v>#REF!</v>
      </c>
      <c r="AC9" t="e">
        <f>AND('boilerplate specs'!#REF!,"AAAAAHv44Rw=")</f>
        <v>#REF!</v>
      </c>
      <c r="AD9" t="e">
        <f>AND('boilerplate specs'!#REF!,"AAAAAHv44R0=")</f>
        <v>#REF!</v>
      </c>
      <c r="AE9" t="e">
        <f>AND('boilerplate specs'!#REF!,"AAAAAHv44R4=")</f>
        <v>#REF!</v>
      </c>
      <c r="AF9" t="e">
        <f>AND('boilerplate specs'!#REF!,"AAAAAHv44R8=")</f>
        <v>#REF!</v>
      </c>
      <c r="AG9" t="e">
        <f>AND('boilerplate specs'!#REF!,"AAAAAHv44SA=")</f>
        <v>#REF!</v>
      </c>
      <c r="AH9" t="e">
        <f>AND('boilerplate specs'!#REF!,"AAAAAHv44SE=")</f>
        <v>#REF!</v>
      </c>
      <c r="AI9" t="e">
        <f>AND('boilerplate specs'!#REF!,"AAAAAHv44SI=")</f>
        <v>#REF!</v>
      </c>
      <c r="AJ9" t="e">
        <f>AND('boilerplate specs'!#REF!,"AAAAAHv44SM=")</f>
        <v>#REF!</v>
      </c>
      <c r="AK9" t="e">
        <f>AND('boilerplate specs'!#REF!,"AAAAAHv44SQ=")</f>
        <v>#REF!</v>
      </c>
      <c r="AL9" t="e">
        <f>AND('boilerplate specs'!#REF!,"AAAAAHv44SU=")</f>
        <v>#REF!</v>
      </c>
      <c r="AM9" t="e">
        <f>AND('boilerplate specs'!#REF!,"AAAAAHv44SY=")</f>
        <v>#REF!</v>
      </c>
      <c r="AN9" t="e">
        <f>AND('boilerplate specs'!#REF!,"AAAAAHv44Sc=")</f>
        <v>#REF!</v>
      </c>
      <c r="AO9" t="e">
        <f>AND('boilerplate specs'!#REF!,"AAAAAHv44Sg=")</f>
        <v>#REF!</v>
      </c>
      <c r="AP9" t="e">
        <f>AND('boilerplate specs'!#REF!,"AAAAAHv44Sk=")</f>
        <v>#REF!</v>
      </c>
      <c r="AQ9" t="e">
        <f>AND('boilerplate specs'!#REF!,"AAAAAHv44So=")</f>
        <v>#REF!</v>
      </c>
      <c r="AR9" t="e">
        <f>AND('boilerplate specs'!#REF!,"AAAAAHv44Ss=")</f>
        <v>#REF!</v>
      </c>
      <c r="AS9" t="e">
        <f>IF('boilerplate specs'!#REF!,"AAAAAHv44Sw=",0)</f>
        <v>#REF!</v>
      </c>
      <c r="AT9" t="e">
        <f>AND('boilerplate specs'!#REF!,"AAAAAHv44S0=")</f>
        <v>#REF!</v>
      </c>
      <c r="AU9" t="e">
        <f>AND('boilerplate specs'!#REF!,"AAAAAHv44S4=")</f>
        <v>#REF!</v>
      </c>
      <c r="AV9" t="e">
        <f>AND('boilerplate specs'!#REF!,"AAAAAHv44S8=")</f>
        <v>#REF!</v>
      </c>
      <c r="AW9" t="e">
        <f>AND('boilerplate specs'!#REF!,"AAAAAHv44TA=")</f>
        <v>#REF!</v>
      </c>
      <c r="AX9" t="e">
        <f>AND('boilerplate specs'!#REF!,"AAAAAHv44TE=")</f>
        <v>#REF!</v>
      </c>
      <c r="AY9" t="e">
        <f>AND('boilerplate specs'!#REF!,"AAAAAHv44TI=")</f>
        <v>#REF!</v>
      </c>
      <c r="AZ9" t="e">
        <f>AND('boilerplate specs'!#REF!,"AAAAAHv44TM=")</f>
        <v>#REF!</v>
      </c>
      <c r="BA9" t="e">
        <f>AND('boilerplate specs'!#REF!,"AAAAAHv44TQ=")</f>
        <v>#REF!</v>
      </c>
      <c r="BB9" t="e">
        <f>AND('boilerplate specs'!#REF!,"AAAAAHv44TU=")</f>
        <v>#REF!</v>
      </c>
      <c r="BC9" t="e">
        <f>AND('boilerplate specs'!#REF!,"AAAAAHv44TY=")</f>
        <v>#REF!</v>
      </c>
      <c r="BD9" t="e">
        <f>AND('boilerplate specs'!#REF!,"AAAAAHv44Tc=")</f>
        <v>#REF!</v>
      </c>
      <c r="BE9" t="e">
        <f>AND('boilerplate specs'!#REF!,"AAAAAHv44Tg=")</f>
        <v>#REF!</v>
      </c>
      <c r="BF9" t="e">
        <f>AND('boilerplate specs'!#REF!,"AAAAAHv44Tk=")</f>
        <v>#REF!</v>
      </c>
      <c r="BG9" t="e">
        <f>AND('boilerplate specs'!#REF!,"AAAAAHv44To=")</f>
        <v>#REF!</v>
      </c>
      <c r="BH9" t="e">
        <f>AND('boilerplate specs'!#REF!,"AAAAAHv44Ts=")</f>
        <v>#REF!</v>
      </c>
      <c r="BI9" t="e">
        <f>AND('boilerplate specs'!#REF!,"AAAAAHv44Tw=")</f>
        <v>#REF!</v>
      </c>
      <c r="BJ9" t="e">
        <f>AND('boilerplate specs'!#REF!,"AAAAAHv44T0=")</f>
        <v>#REF!</v>
      </c>
      <c r="BK9" t="e">
        <f>AND('boilerplate specs'!#REF!,"AAAAAHv44T4=")</f>
        <v>#REF!</v>
      </c>
      <c r="BL9" t="e">
        <f>AND('boilerplate specs'!#REF!,"AAAAAHv44T8=")</f>
        <v>#REF!</v>
      </c>
      <c r="BM9" t="e">
        <f>AND('boilerplate specs'!#REF!,"AAAAAHv44UA=")</f>
        <v>#REF!</v>
      </c>
      <c r="BN9" t="e">
        <f>AND('boilerplate specs'!#REF!,"AAAAAHv44UE=")</f>
        <v>#REF!</v>
      </c>
      <c r="BO9" t="e">
        <f>AND('boilerplate specs'!#REF!,"AAAAAHv44UI=")</f>
        <v>#REF!</v>
      </c>
      <c r="BP9" t="e">
        <f>AND('boilerplate specs'!#REF!,"AAAAAHv44UM=")</f>
        <v>#REF!</v>
      </c>
      <c r="BQ9" t="e">
        <f>AND('boilerplate specs'!#REF!,"AAAAAHv44UQ=")</f>
        <v>#REF!</v>
      </c>
      <c r="BR9" t="e">
        <f>AND('boilerplate specs'!#REF!,"AAAAAHv44UU=")</f>
        <v>#REF!</v>
      </c>
      <c r="BS9" t="e">
        <f>AND('boilerplate specs'!#REF!,"AAAAAHv44UY=")</f>
        <v>#REF!</v>
      </c>
      <c r="BT9" t="e">
        <f>AND('boilerplate specs'!#REF!,"AAAAAHv44Uc=")</f>
        <v>#REF!</v>
      </c>
      <c r="BU9" t="e">
        <f>AND('boilerplate specs'!#REF!,"AAAAAHv44Ug=")</f>
        <v>#REF!</v>
      </c>
      <c r="BV9" t="e">
        <f>AND('boilerplate specs'!#REF!,"AAAAAHv44Uk=")</f>
        <v>#REF!</v>
      </c>
      <c r="BW9" t="e">
        <f>AND('boilerplate specs'!#REF!,"AAAAAHv44Uo=")</f>
        <v>#REF!</v>
      </c>
      <c r="BX9" t="e">
        <f>AND('boilerplate specs'!#REF!,"AAAAAHv44Us=")</f>
        <v>#REF!</v>
      </c>
      <c r="BY9" t="e">
        <f>AND('boilerplate specs'!#REF!,"AAAAAHv44Uw=")</f>
        <v>#REF!</v>
      </c>
      <c r="BZ9" t="e">
        <f>IF('boilerplate specs'!#REF!,"AAAAAHv44U0=",0)</f>
        <v>#REF!</v>
      </c>
      <c r="CA9" t="e">
        <f>AND('boilerplate specs'!#REF!,"AAAAAHv44U4=")</f>
        <v>#REF!</v>
      </c>
      <c r="CB9" t="e">
        <f>AND('boilerplate specs'!#REF!,"AAAAAHv44U8=")</f>
        <v>#REF!</v>
      </c>
      <c r="CC9" t="e">
        <f>AND('boilerplate specs'!#REF!,"AAAAAHv44VA=")</f>
        <v>#REF!</v>
      </c>
      <c r="CD9" t="e">
        <f>AND('boilerplate specs'!#REF!,"AAAAAHv44VE=")</f>
        <v>#REF!</v>
      </c>
      <c r="CE9" t="e">
        <f>AND('boilerplate specs'!#REF!,"AAAAAHv44VI=")</f>
        <v>#REF!</v>
      </c>
      <c r="CF9" t="e">
        <f>AND('boilerplate specs'!#REF!,"AAAAAHv44VM=")</f>
        <v>#REF!</v>
      </c>
      <c r="CG9" t="e">
        <f>AND('boilerplate specs'!#REF!,"AAAAAHv44VQ=")</f>
        <v>#REF!</v>
      </c>
      <c r="CH9" t="e">
        <f>AND('boilerplate specs'!#REF!,"AAAAAHv44VU=")</f>
        <v>#REF!</v>
      </c>
      <c r="CI9" t="e">
        <f>AND('boilerplate specs'!#REF!,"AAAAAHv44VY=")</f>
        <v>#REF!</v>
      </c>
      <c r="CJ9" t="e">
        <f>AND('boilerplate specs'!#REF!,"AAAAAHv44Vc=")</f>
        <v>#REF!</v>
      </c>
      <c r="CK9" t="e">
        <f>AND('boilerplate specs'!#REF!,"AAAAAHv44Vg=")</f>
        <v>#REF!</v>
      </c>
      <c r="CL9" t="e">
        <f>AND('boilerplate specs'!#REF!,"AAAAAHv44Vk=")</f>
        <v>#REF!</v>
      </c>
      <c r="CM9" t="e">
        <f>AND('boilerplate specs'!#REF!,"AAAAAHv44Vo=")</f>
        <v>#REF!</v>
      </c>
      <c r="CN9" t="e">
        <f>AND('boilerplate specs'!#REF!,"AAAAAHv44Vs=")</f>
        <v>#REF!</v>
      </c>
      <c r="CO9" t="e">
        <f>AND('boilerplate specs'!#REF!,"AAAAAHv44Vw=")</f>
        <v>#REF!</v>
      </c>
      <c r="CP9" t="e">
        <f>AND('boilerplate specs'!#REF!,"AAAAAHv44V0=")</f>
        <v>#REF!</v>
      </c>
      <c r="CQ9" t="e">
        <f>AND('boilerplate specs'!#REF!,"AAAAAHv44V4=")</f>
        <v>#REF!</v>
      </c>
      <c r="CR9" t="e">
        <f>AND('boilerplate specs'!#REF!,"AAAAAHv44V8=")</f>
        <v>#REF!</v>
      </c>
      <c r="CS9" t="e">
        <f>AND('boilerplate specs'!#REF!,"AAAAAHv44WA=")</f>
        <v>#REF!</v>
      </c>
      <c r="CT9" t="e">
        <f>AND('boilerplate specs'!#REF!,"AAAAAHv44WE=")</f>
        <v>#REF!</v>
      </c>
      <c r="CU9" t="e">
        <f>AND('boilerplate specs'!#REF!,"AAAAAHv44WI=")</f>
        <v>#REF!</v>
      </c>
      <c r="CV9" t="e">
        <f>AND('boilerplate specs'!#REF!,"AAAAAHv44WM=")</f>
        <v>#REF!</v>
      </c>
      <c r="CW9" t="e">
        <f>AND('boilerplate specs'!#REF!,"AAAAAHv44WQ=")</f>
        <v>#REF!</v>
      </c>
      <c r="CX9" t="e">
        <f>AND('boilerplate specs'!#REF!,"AAAAAHv44WU=")</f>
        <v>#REF!</v>
      </c>
      <c r="CY9" t="e">
        <f>AND('boilerplate specs'!#REF!,"AAAAAHv44WY=")</f>
        <v>#REF!</v>
      </c>
      <c r="CZ9" t="e">
        <f>AND('boilerplate specs'!#REF!,"AAAAAHv44Wc=")</f>
        <v>#REF!</v>
      </c>
      <c r="DA9" t="e">
        <f>AND('boilerplate specs'!#REF!,"AAAAAHv44Wg=")</f>
        <v>#REF!</v>
      </c>
      <c r="DB9" t="e">
        <f>AND('boilerplate specs'!#REF!,"AAAAAHv44Wk=")</f>
        <v>#REF!</v>
      </c>
      <c r="DC9" t="e">
        <f>AND('boilerplate specs'!#REF!,"AAAAAHv44Wo=")</f>
        <v>#REF!</v>
      </c>
      <c r="DD9" t="e">
        <f>AND('boilerplate specs'!#REF!,"AAAAAHv44Ws=")</f>
        <v>#REF!</v>
      </c>
      <c r="DE9" t="e">
        <f>AND('boilerplate specs'!#REF!,"AAAAAHv44Ww=")</f>
        <v>#REF!</v>
      </c>
      <c r="DF9" t="e">
        <f>AND('boilerplate specs'!#REF!,"AAAAAHv44W0=")</f>
        <v>#REF!</v>
      </c>
      <c r="DG9" t="e">
        <f>IF('boilerplate specs'!#REF!,"AAAAAHv44W4=",0)</f>
        <v>#REF!</v>
      </c>
      <c r="DH9" t="e">
        <f>AND('boilerplate specs'!#REF!,"AAAAAHv44W8=")</f>
        <v>#REF!</v>
      </c>
      <c r="DI9" t="e">
        <f>AND('boilerplate specs'!#REF!,"AAAAAHv44XA=")</f>
        <v>#REF!</v>
      </c>
      <c r="DJ9" t="e">
        <f>AND('boilerplate specs'!#REF!,"AAAAAHv44XE=")</f>
        <v>#REF!</v>
      </c>
      <c r="DK9" t="e">
        <f>AND('boilerplate specs'!#REF!,"AAAAAHv44XI=")</f>
        <v>#REF!</v>
      </c>
      <c r="DL9" t="e">
        <f>AND('boilerplate specs'!#REF!,"AAAAAHv44XM=")</f>
        <v>#REF!</v>
      </c>
      <c r="DM9" t="e">
        <f>AND('boilerplate specs'!#REF!,"AAAAAHv44XQ=")</f>
        <v>#REF!</v>
      </c>
      <c r="DN9" t="e">
        <f>AND('boilerplate specs'!#REF!,"AAAAAHv44XU=")</f>
        <v>#REF!</v>
      </c>
      <c r="DO9" t="e">
        <f>AND('boilerplate specs'!#REF!,"AAAAAHv44XY=")</f>
        <v>#REF!</v>
      </c>
      <c r="DP9" t="e">
        <f>AND('boilerplate specs'!#REF!,"AAAAAHv44Xc=")</f>
        <v>#REF!</v>
      </c>
      <c r="DQ9" t="e">
        <f>AND('boilerplate specs'!#REF!,"AAAAAHv44Xg=")</f>
        <v>#REF!</v>
      </c>
      <c r="DR9" t="e">
        <f>AND('boilerplate specs'!#REF!,"AAAAAHv44Xk=")</f>
        <v>#REF!</v>
      </c>
      <c r="DS9" t="e">
        <f>AND('boilerplate specs'!#REF!,"AAAAAHv44Xo=")</f>
        <v>#REF!</v>
      </c>
      <c r="DT9" t="e">
        <f>AND('boilerplate specs'!#REF!,"AAAAAHv44Xs=")</f>
        <v>#REF!</v>
      </c>
      <c r="DU9" t="e">
        <f>AND('boilerplate specs'!#REF!,"AAAAAHv44Xw=")</f>
        <v>#REF!</v>
      </c>
      <c r="DV9" t="e">
        <f>AND('boilerplate specs'!#REF!,"AAAAAHv44X0=")</f>
        <v>#REF!</v>
      </c>
      <c r="DW9" t="e">
        <f>AND('boilerplate specs'!#REF!,"AAAAAHv44X4=")</f>
        <v>#REF!</v>
      </c>
      <c r="DX9" t="e">
        <f>AND('boilerplate specs'!#REF!,"AAAAAHv44X8=")</f>
        <v>#REF!</v>
      </c>
      <c r="DY9" t="e">
        <f>AND('boilerplate specs'!#REF!,"AAAAAHv44YA=")</f>
        <v>#REF!</v>
      </c>
      <c r="DZ9" t="e">
        <f>AND('boilerplate specs'!#REF!,"AAAAAHv44YE=")</f>
        <v>#REF!</v>
      </c>
      <c r="EA9" t="e">
        <f>AND('boilerplate specs'!#REF!,"AAAAAHv44YI=")</f>
        <v>#REF!</v>
      </c>
      <c r="EB9" t="e">
        <f>AND('boilerplate specs'!#REF!,"AAAAAHv44YM=")</f>
        <v>#REF!</v>
      </c>
      <c r="EC9" t="e">
        <f>AND('boilerplate specs'!#REF!,"AAAAAHv44YQ=")</f>
        <v>#REF!</v>
      </c>
      <c r="ED9" t="e">
        <f>AND('boilerplate specs'!#REF!,"AAAAAHv44YU=")</f>
        <v>#REF!</v>
      </c>
      <c r="EE9" t="e">
        <f>AND('boilerplate specs'!#REF!,"AAAAAHv44YY=")</f>
        <v>#REF!</v>
      </c>
      <c r="EF9" t="e">
        <f>AND('boilerplate specs'!#REF!,"AAAAAHv44Yc=")</f>
        <v>#REF!</v>
      </c>
      <c r="EG9" t="e">
        <f>AND('boilerplate specs'!#REF!,"AAAAAHv44Yg=")</f>
        <v>#REF!</v>
      </c>
      <c r="EH9" t="e">
        <f>AND('boilerplate specs'!#REF!,"AAAAAHv44Yk=")</f>
        <v>#REF!</v>
      </c>
      <c r="EI9" t="e">
        <f>AND('boilerplate specs'!#REF!,"AAAAAHv44Yo=")</f>
        <v>#REF!</v>
      </c>
      <c r="EJ9" t="e">
        <f>AND('boilerplate specs'!#REF!,"AAAAAHv44Ys=")</f>
        <v>#REF!</v>
      </c>
      <c r="EK9" t="e">
        <f>AND('boilerplate specs'!#REF!,"AAAAAHv44Yw=")</f>
        <v>#REF!</v>
      </c>
      <c r="EL9" t="e">
        <f>AND('boilerplate specs'!#REF!,"AAAAAHv44Y0=")</f>
        <v>#REF!</v>
      </c>
      <c r="EM9" t="e">
        <f>AND('boilerplate specs'!#REF!,"AAAAAHv44Y4=")</f>
        <v>#REF!</v>
      </c>
      <c r="EN9" t="e">
        <f>IF('boilerplate specs'!#REF!,"AAAAAHv44Y8=",0)</f>
        <v>#REF!</v>
      </c>
      <c r="EO9" t="e">
        <f>AND('boilerplate specs'!#REF!,"AAAAAHv44ZA=")</f>
        <v>#REF!</v>
      </c>
      <c r="EP9" t="e">
        <f>AND('boilerplate specs'!#REF!,"AAAAAHv44ZE=")</f>
        <v>#REF!</v>
      </c>
      <c r="EQ9" t="e">
        <f>AND('boilerplate specs'!#REF!,"AAAAAHv44ZI=")</f>
        <v>#REF!</v>
      </c>
      <c r="ER9" t="e">
        <f>AND('boilerplate specs'!#REF!,"AAAAAHv44ZM=")</f>
        <v>#REF!</v>
      </c>
      <c r="ES9" t="e">
        <f>AND('boilerplate specs'!#REF!,"AAAAAHv44ZQ=")</f>
        <v>#REF!</v>
      </c>
      <c r="ET9" t="e">
        <f>AND('boilerplate specs'!#REF!,"AAAAAHv44ZU=")</f>
        <v>#REF!</v>
      </c>
      <c r="EU9" t="e">
        <f>AND('boilerplate specs'!#REF!,"AAAAAHv44ZY=")</f>
        <v>#REF!</v>
      </c>
      <c r="EV9" t="e">
        <f>AND('boilerplate specs'!#REF!,"AAAAAHv44Zc=")</f>
        <v>#REF!</v>
      </c>
      <c r="EW9" t="e">
        <f>AND('boilerplate specs'!#REF!,"AAAAAHv44Zg=")</f>
        <v>#REF!</v>
      </c>
      <c r="EX9" t="e">
        <f>AND('boilerplate specs'!#REF!,"AAAAAHv44Zk=")</f>
        <v>#REF!</v>
      </c>
      <c r="EY9" t="e">
        <f>AND('boilerplate specs'!#REF!,"AAAAAHv44Zo=")</f>
        <v>#REF!</v>
      </c>
      <c r="EZ9" t="e">
        <f>AND('boilerplate specs'!#REF!,"AAAAAHv44Zs=")</f>
        <v>#REF!</v>
      </c>
      <c r="FA9" t="e">
        <f>AND('boilerplate specs'!#REF!,"AAAAAHv44Zw=")</f>
        <v>#REF!</v>
      </c>
      <c r="FB9" t="e">
        <f>AND('boilerplate specs'!#REF!,"AAAAAHv44Z0=")</f>
        <v>#REF!</v>
      </c>
      <c r="FC9" t="e">
        <f>AND('boilerplate specs'!#REF!,"AAAAAHv44Z4=")</f>
        <v>#REF!</v>
      </c>
      <c r="FD9" t="e">
        <f>AND('boilerplate specs'!#REF!,"AAAAAHv44Z8=")</f>
        <v>#REF!</v>
      </c>
      <c r="FE9" t="e">
        <f>AND('boilerplate specs'!#REF!,"AAAAAHv44aA=")</f>
        <v>#REF!</v>
      </c>
      <c r="FF9" t="e">
        <f>AND('boilerplate specs'!#REF!,"AAAAAHv44aE=")</f>
        <v>#REF!</v>
      </c>
      <c r="FG9" t="e">
        <f>AND('boilerplate specs'!#REF!,"AAAAAHv44aI=")</f>
        <v>#REF!</v>
      </c>
      <c r="FH9" t="e">
        <f>AND('boilerplate specs'!#REF!,"AAAAAHv44aM=")</f>
        <v>#REF!</v>
      </c>
      <c r="FI9" t="e">
        <f>AND('boilerplate specs'!#REF!,"AAAAAHv44aQ=")</f>
        <v>#REF!</v>
      </c>
      <c r="FJ9" t="e">
        <f>AND('boilerplate specs'!#REF!,"AAAAAHv44aU=")</f>
        <v>#REF!</v>
      </c>
      <c r="FK9" t="e">
        <f>AND('boilerplate specs'!#REF!,"AAAAAHv44aY=")</f>
        <v>#REF!</v>
      </c>
      <c r="FL9" t="e">
        <f>AND('boilerplate specs'!#REF!,"AAAAAHv44ac=")</f>
        <v>#REF!</v>
      </c>
      <c r="FM9" t="e">
        <f>AND('boilerplate specs'!#REF!,"AAAAAHv44ag=")</f>
        <v>#REF!</v>
      </c>
      <c r="FN9" t="e">
        <f>AND('boilerplate specs'!#REF!,"AAAAAHv44ak=")</f>
        <v>#REF!</v>
      </c>
      <c r="FO9" t="e">
        <f>AND('boilerplate specs'!#REF!,"AAAAAHv44ao=")</f>
        <v>#REF!</v>
      </c>
      <c r="FP9" t="e">
        <f>AND('boilerplate specs'!#REF!,"AAAAAHv44as=")</f>
        <v>#REF!</v>
      </c>
      <c r="FQ9" t="e">
        <f>AND('boilerplate specs'!#REF!,"AAAAAHv44aw=")</f>
        <v>#REF!</v>
      </c>
      <c r="FR9" t="e">
        <f>AND('boilerplate specs'!#REF!,"AAAAAHv44a0=")</f>
        <v>#REF!</v>
      </c>
      <c r="FS9" t="e">
        <f>AND('boilerplate specs'!#REF!,"AAAAAHv44a4=")</f>
        <v>#REF!</v>
      </c>
      <c r="FT9" t="e">
        <f>AND('boilerplate specs'!#REF!,"AAAAAHv44a8=")</f>
        <v>#REF!</v>
      </c>
      <c r="FU9" t="e">
        <f>IF('boilerplate specs'!#REF!,"AAAAAHv44bA=",0)</f>
        <v>#REF!</v>
      </c>
      <c r="FV9" t="e">
        <f>AND('boilerplate specs'!#REF!,"AAAAAHv44bE=")</f>
        <v>#REF!</v>
      </c>
      <c r="FW9" t="e">
        <f>AND('boilerplate specs'!#REF!,"AAAAAHv44bI=")</f>
        <v>#REF!</v>
      </c>
      <c r="FX9" t="e">
        <f>AND('boilerplate specs'!#REF!,"AAAAAHv44bM=")</f>
        <v>#REF!</v>
      </c>
      <c r="FY9" t="e">
        <f>AND('boilerplate specs'!#REF!,"AAAAAHv44bQ=")</f>
        <v>#REF!</v>
      </c>
      <c r="FZ9" t="e">
        <f>AND('boilerplate specs'!#REF!,"AAAAAHv44bU=")</f>
        <v>#REF!</v>
      </c>
      <c r="GA9" t="e">
        <f>AND('boilerplate specs'!#REF!,"AAAAAHv44bY=")</f>
        <v>#REF!</v>
      </c>
      <c r="GB9" t="e">
        <f>AND('boilerplate specs'!#REF!,"AAAAAHv44bc=")</f>
        <v>#REF!</v>
      </c>
      <c r="GC9" t="e">
        <f>AND('boilerplate specs'!#REF!,"AAAAAHv44bg=")</f>
        <v>#REF!</v>
      </c>
      <c r="GD9" t="e">
        <f>AND('boilerplate specs'!#REF!,"AAAAAHv44bk=")</f>
        <v>#REF!</v>
      </c>
      <c r="GE9" t="e">
        <f>AND('boilerplate specs'!#REF!,"AAAAAHv44bo=")</f>
        <v>#REF!</v>
      </c>
      <c r="GF9" t="e">
        <f>AND('boilerplate specs'!#REF!,"AAAAAHv44bs=")</f>
        <v>#REF!</v>
      </c>
      <c r="GG9" t="e">
        <f>AND('boilerplate specs'!#REF!,"AAAAAHv44bw=")</f>
        <v>#REF!</v>
      </c>
      <c r="GH9" t="e">
        <f>AND('boilerplate specs'!#REF!,"AAAAAHv44b0=")</f>
        <v>#REF!</v>
      </c>
      <c r="GI9" t="e">
        <f>AND('boilerplate specs'!#REF!,"AAAAAHv44b4=")</f>
        <v>#REF!</v>
      </c>
      <c r="GJ9" t="e">
        <f>AND('boilerplate specs'!#REF!,"AAAAAHv44b8=")</f>
        <v>#REF!</v>
      </c>
      <c r="GK9" t="e">
        <f>AND('boilerplate specs'!#REF!,"AAAAAHv44cA=")</f>
        <v>#REF!</v>
      </c>
      <c r="GL9" t="e">
        <f>AND('boilerplate specs'!#REF!,"AAAAAHv44cE=")</f>
        <v>#REF!</v>
      </c>
      <c r="GM9" t="e">
        <f>AND('boilerplate specs'!#REF!,"AAAAAHv44cI=")</f>
        <v>#REF!</v>
      </c>
      <c r="GN9" t="e">
        <f>AND('boilerplate specs'!#REF!,"AAAAAHv44cM=")</f>
        <v>#REF!</v>
      </c>
      <c r="GO9" t="e">
        <f>AND('boilerplate specs'!#REF!,"AAAAAHv44cQ=")</f>
        <v>#REF!</v>
      </c>
      <c r="GP9" t="e">
        <f>AND('boilerplate specs'!#REF!,"AAAAAHv44cU=")</f>
        <v>#REF!</v>
      </c>
      <c r="GQ9" t="e">
        <f>AND('boilerplate specs'!#REF!,"AAAAAHv44cY=")</f>
        <v>#REF!</v>
      </c>
      <c r="GR9" t="e">
        <f>AND('boilerplate specs'!#REF!,"AAAAAHv44cc=")</f>
        <v>#REF!</v>
      </c>
      <c r="GS9" t="e">
        <f>AND('boilerplate specs'!#REF!,"AAAAAHv44cg=")</f>
        <v>#REF!</v>
      </c>
      <c r="GT9" t="e">
        <f>AND('boilerplate specs'!#REF!,"AAAAAHv44ck=")</f>
        <v>#REF!</v>
      </c>
      <c r="GU9" t="e">
        <f>AND('boilerplate specs'!#REF!,"AAAAAHv44co=")</f>
        <v>#REF!</v>
      </c>
      <c r="GV9" t="e">
        <f>AND('boilerplate specs'!#REF!,"AAAAAHv44cs=")</f>
        <v>#REF!</v>
      </c>
      <c r="GW9" t="e">
        <f>AND('boilerplate specs'!#REF!,"AAAAAHv44cw=")</f>
        <v>#REF!</v>
      </c>
      <c r="GX9" t="e">
        <f>AND('boilerplate specs'!#REF!,"AAAAAHv44c0=")</f>
        <v>#REF!</v>
      </c>
      <c r="GY9" t="e">
        <f>AND('boilerplate specs'!#REF!,"AAAAAHv44c4=")</f>
        <v>#REF!</v>
      </c>
      <c r="GZ9" t="e">
        <f>AND('boilerplate specs'!#REF!,"AAAAAHv44c8=")</f>
        <v>#REF!</v>
      </c>
      <c r="HA9" t="e">
        <f>AND('boilerplate specs'!#REF!,"AAAAAHv44dA=")</f>
        <v>#REF!</v>
      </c>
      <c r="HB9" t="e">
        <f>IF('boilerplate specs'!#REF!,"AAAAAHv44dE=",0)</f>
        <v>#REF!</v>
      </c>
      <c r="HC9" t="e">
        <f>AND('boilerplate specs'!#REF!,"AAAAAHv44dI=")</f>
        <v>#REF!</v>
      </c>
      <c r="HD9" t="e">
        <f>AND('boilerplate specs'!#REF!,"AAAAAHv44dM=")</f>
        <v>#REF!</v>
      </c>
      <c r="HE9" t="e">
        <f>AND('boilerplate specs'!#REF!,"AAAAAHv44dQ=")</f>
        <v>#REF!</v>
      </c>
      <c r="HF9" t="e">
        <f>AND('boilerplate specs'!#REF!,"AAAAAHv44dU=")</f>
        <v>#REF!</v>
      </c>
      <c r="HG9" t="e">
        <f>AND('boilerplate specs'!#REF!,"AAAAAHv44dY=")</f>
        <v>#REF!</v>
      </c>
      <c r="HH9" t="e">
        <f>AND('boilerplate specs'!#REF!,"AAAAAHv44dc=")</f>
        <v>#REF!</v>
      </c>
      <c r="HI9" t="e">
        <f>AND('boilerplate specs'!#REF!,"AAAAAHv44dg=")</f>
        <v>#REF!</v>
      </c>
      <c r="HJ9" t="e">
        <f>AND('boilerplate specs'!#REF!,"AAAAAHv44dk=")</f>
        <v>#REF!</v>
      </c>
      <c r="HK9" t="e">
        <f>AND('boilerplate specs'!#REF!,"AAAAAHv44do=")</f>
        <v>#REF!</v>
      </c>
      <c r="HL9" t="e">
        <f>AND('boilerplate specs'!#REF!,"AAAAAHv44ds=")</f>
        <v>#REF!</v>
      </c>
      <c r="HM9" t="e">
        <f>AND('boilerplate specs'!#REF!,"AAAAAHv44dw=")</f>
        <v>#REF!</v>
      </c>
      <c r="HN9" t="e">
        <f>AND('boilerplate specs'!#REF!,"AAAAAHv44d0=")</f>
        <v>#REF!</v>
      </c>
      <c r="HO9" t="e">
        <f>AND('boilerplate specs'!#REF!,"AAAAAHv44d4=")</f>
        <v>#REF!</v>
      </c>
      <c r="HP9" t="e">
        <f>AND('boilerplate specs'!#REF!,"AAAAAHv44d8=")</f>
        <v>#REF!</v>
      </c>
      <c r="HQ9" t="e">
        <f>AND('boilerplate specs'!#REF!,"AAAAAHv44eA=")</f>
        <v>#REF!</v>
      </c>
      <c r="HR9" t="e">
        <f>AND('boilerplate specs'!#REF!,"AAAAAHv44eE=")</f>
        <v>#REF!</v>
      </c>
      <c r="HS9" t="e">
        <f>AND('boilerplate specs'!#REF!,"AAAAAHv44eI=")</f>
        <v>#REF!</v>
      </c>
      <c r="HT9" t="e">
        <f>AND('boilerplate specs'!#REF!,"AAAAAHv44eM=")</f>
        <v>#REF!</v>
      </c>
      <c r="HU9" t="e">
        <f>AND('boilerplate specs'!#REF!,"AAAAAHv44eQ=")</f>
        <v>#REF!</v>
      </c>
      <c r="HV9" t="e">
        <f>AND('boilerplate specs'!#REF!,"AAAAAHv44eU=")</f>
        <v>#REF!</v>
      </c>
      <c r="HW9" t="e">
        <f>AND('boilerplate specs'!#REF!,"AAAAAHv44eY=")</f>
        <v>#REF!</v>
      </c>
      <c r="HX9" t="e">
        <f>AND('boilerplate specs'!#REF!,"AAAAAHv44ec=")</f>
        <v>#REF!</v>
      </c>
      <c r="HY9" t="e">
        <f>AND('boilerplate specs'!#REF!,"AAAAAHv44eg=")</f>
        <v>#REF!</v>
      </c>
      <c r="HZ9" t="e">
        <f>AND('boilerplate specs'!#REF!,"AAAAAHv44ek=")</f>
        <v>#REF!</v>
      </c>
      <c r="IA9" t="e">
        <f>AND('boilerplate specs'!#REF!,"AAAAAHv44eo=")</f>
        <v>#REF!</v>
      </c>
      <c r="IB9" t="e">
        <f>AND('boilerplate specs'!#REF!,"AAAAAHv44es=")</f>
        <v>#REF!</v>
      </c>
      <c r="IC9" t="e">
        <f>AND('boilerplate specs'!#REF!,"AAAAAHv44ew=")</f>
        <v>#REF!</v>
      </c>
      <c r="ID9" t="e">
        <f>AND('boilerplate specs'!#REF!,"AAAAAHv44e0=")</f>
        <v>#REF!</v>
      </c>
      <c r="IE9" t="e">
        <f>AND('boilerplate specs'!#REF!,"AAAAAHv44e4=")</f>
        <v>#REF!</v>
      </c>
      <c r="IF9" t="e">
        <f>AND('boilerplate specs'!#REF!,"AAAAAHv44e8=")</f>
        <v>#REF!</v>
      </c>
      <c r="IG9" t="e">
        <f>AND('boilerplate specs'!#REF!,"AAAAAHv44fA=")</f>
        <v>#REF!</v>
      </c>
      <c r="IH9" t="e">
        <f>AND('boilerplate specs'!#REF!,"AAAAAHv44fE=")</f>
        <v>#REF!</v>
      </c>
      <c r="II9" t="e">
        <f>IF('boilerplate specs'!#REF!,"AAAAAHv44fI=",0)</f>
        <v>#REF!</v>
      </c>
      <c r="IJ9" t="e">
        <f>AND('boilerplate specs'!#REF!,"AAAAAHv44fM=")</f>
        <v>#REF!</v>
      </c>
      <c r="IK9" t="e">
        <f>AND('boilerplate specs'!#REF!,"AAAAAHv44fQ=")</f>
        <v>#REF!</v>
      </c>
      <c r="IL9" t="e">
        <f>AND('boilerplate specs'!#REF!,"AAAAAHv44fU=")</f>
        <v>#REF!</v>
      </c>
      <c r="IM9" t="e">
        <f>AND('boilerplate specs'!#REF!,"AAAAAHv44fY=")</f>
        <v>#REF!</v>
      </c>
      <c r="IN9" t="e">
        <f>AND('boilerplate specs'!#REF!,"AAAAAHv44fc=")</f>
        <v>#REF!</v>
      </c>
      <c r="IO9" t="e">
        <f>AND('boilerplate specs'!#REF!,"AAAAAHv44fg=")</f>
        <v>#REF!</v>
      </c>
      <c r="IP9" t="e">
        <f>AND('boilerplate specs'!#REF!,"AAAAAHv44fk=")</f>
        <v>#REF!</v>
      </c>
      <c r="IQ9" t="e">
        <f>AND('boilerplate specs'!#REF!,"AAAAAHv44fo=")</f>
        <v>#REF!</v>
      </c>
      <c r="IR9" t="e">
        <f>AND('boilerplate specs'!#REF!,"AAAAAHv44fs=")</f>
        <v>#REF!</v>
      </c>
      <c r="IS9" t="e">
        <f>AND('boilerplate specs'!#REF!,"AAAAAHv44fw=")</f>
        <v>#REF!</v>
      </c>
      <c r="IT9" t="e">
        <f>AND('boilerplate specs'!#REF!,"AAAAAHv44f0=")</f>
        <v>#REF!</v>
      </c>
      <c r="IU9" t="e">
        <f>AND('boilerplate specs'!#REF!,"AAAAAHv44f4=")</f>
        <v>#REF!</v>
      </c>
      <c r="IV9" t="e">
        <f>AND('boilerplate specs'!#REF!,"AAAAAHv44f8=")</f>
        <v>#REF!</v>
      </c>
    </row>
    <row r="10" spans="1:256" x14ac:dyDescent="0.35">
      <c r="A10" t="e">
        <f>AND('boilerplate specs'!#REF!,"AAAAAHoLTgA=")</f>
        <v>#REF!</v>
      </c>
      <c r="B10" t="e">
        <f>AND('boilerplate specs'!#REF!,"AAAAAHoLTgE=")</f>
        <v>#REF!</v>
      </c>
      <c r="C10" t="e">
        <f>AND('boilerplate specs'!#REF!,"AAAAAHoLTgI=")</f>
        <v>#REF!</v>
      </c>
      <c r="D10" t="e">
        <f>AND('boilerplate specs'!#REF!,"AAAAAHoLTgM=")</f>
        <v>#REF!</v>
      </c>
      <c r="E10" t="e">
        <f>AND('boilerplate specs'!#REF!,"AAAAAHoLTgQ=")</f>
        <v>#REF!</v>
      </c>
      <c r="F10" t="e">
        <f>AND('boilerplate specs'!#REF!,"AAAAAHoLTgU=")</f>
        <v>#REF!</v>
      </c>
      <c r="G10" t="e">
        <f>AND('boilerplate specs'!#REF!,"AAAAAHoLTgY=")</f>
        <v>#REF!</v>
      </c>
      <c r="H10" t="e">
        <f>AND('boilerplate specs'!#REF!,"AAAAAHoLTgc=")</f>
        <v>#REF!</v>
      </c>
      <c r="I10" t="e">
        <f>AND('boilerplate specs'!#REF!,"AAAAAHoLTgg=")</f>
        <v>#REF!</v>
      </c>
      <c r="J10" t="e">
        <f>AND('boilerplate specs'!#REF!,"AAAAAHoLTgk=")</f>
        <v>#REF!</v>
      </c>
      <c r="K10" t="e">
        <f>AND('boilerplate specs'!#REF!,"AAAAAHoLTgo=")</f>
        <v>#REF!</v>
      </c>
      <c r="L10" t="e">
        <f>AND('boilerplate specs'!#REF!,"AAAAAHoLTgs=")</f>
        <v>#REF!</v>
      </c>
      <c r="M10" t="e">
        <f>AND('boilerplate specs'!#REF!,"AAAAAHoLTgw=")</f>
        <v>#REF!</v>
      </c>
      <c r="N10" t="e">
        <f>AND('boilerplate specs'!#REF!,"AAAAAHoLTg0=")</f>
        <v>#REF!</v>
      </c>
      <c r="O10" t="e">
        <f>AND('boilerplate specs'!#REF!,"AAAAAHoLTg4=")</f>
        <v>#REF!</v>
      </c>
      <c r="P10" t="e">
        <f>AND('boilerplate specs'!#REF!,"AAAAAHoLTg8=")</f>
        <v>#REF!</v>
      </c>
      <c r="Q10" t="e">
        <f>AND('boilerplate specs'!#REF!,"AAAAAHoLThA=")</f>
        <v>#REF!</v>
      </c>
      <c r="R10" t="e">
        <f>AND('boilerplate specs'!#REF!,"AAAAAHoLThE=")</f>
        <v>#REF!</v>
      </c>
      <c r="S10" t="e">
        <f>AND('boilerplate specs'!#REF!,"AAAAAHoLThI=")</f>
        <v>#REF!</v>
      </c>
      <c r="T10" t="e">
        <f>IF('boilerplate specs'!#REF!,"AAAAAHoLThM=",0)</f>
        <v>#REF!</v>
      </c>
      <c r="U10" t="e">
        <f>AND('boilerplate specs'!#REF!,"AAAAAHoLThQ=")</f>
        <v>#REF!</v>
      </c>
      <c r="V10" t="e">
        <f>AND('boilerplate specs'!#REF!,"AAAAAHoLThU=")</f>
        <v>#REF!</v>
      </c>
      <c r="W10" t="e">
        <f>AND('boilerplate specs'!#REF!,"AAAAAHoLThY=")</f>
        <v>#REF!</v>
      </c>
      <c r="X10" t="e">
        <f>AND('boilerplate specs'!#REF!,"AAAAAHoLThc=")</f>
        <v>#REF!</v>
      </c>
      <c r="Y10" t="e">
        <f>AND('boilerplate specs'!#REF!,"AAAAAHoLThg=")</f>
        <v>#REF!</v>
      </c>
      <c r="Z10" t="e">
        <f>AND('boilerplate specs'!#REF!,"AAAAAHoLThk=")</f>
        <v>#REF!</v>
      </c>
      <c r="AA10" t="e">
        <f>AND('boilerplate specs'!#REF!,"AAAAAHoLTho=")</f>
        <v>#REF!</v>
      </c>
      <c r="AB10" t="e">
        <f>AND('boilerplate specs'!#REF!,"AAAAAHoLThs=")</f>
        <v>#REF!</v>
      </c>
      <c r="AC10" t="e">
        <f>AND('boilerplate specs'!#REF!,"AAAAAHoLThw=")</f>
        <v>#REF!</v>
      </c>
      <c r="AD10" t="e">
        <f>AND('boilerplate specs'!#REF!,"AAAAAHoLTh0=")</f>
        <v>#REF!</v>
      </c>
      <c r="AE10" t="e">
        <f>AND('boilerplate specs'!#REF!,"AAAAAHoLTh4=")</f>
        <v>#REF!</v>
      </c>
      <c r="AF10" t="e">
        <f>AND('boilerplate specs'!#REF!,"AAAAAHoLTh8=")</f>
        <v>#REF!</v>
      </c>
      <c r="AG10" t="e">
        <f>AND('boilerplate specs'!#REF!,"AAAAAHoLTiA=")</f>
        <v>#REF!</v>
      </c>
      <c r="AH10" t="e">
        <f>AND('boilerplate specs'!#REF!,"AAAAAHoLTiE=")</f>
        <v>#REF!</v>
      </c>
      <c r="AI10" t="e">
        <f>AND('boilerplate specs'!#REF!,"AAAAAHoLTiI=")</f>
        <v>#REF!</v>
      </c>
      <c r="AJ10" t="e">
        <f>AND('boilerplate specs'!#REF!,"AAAAAHoLTiM=")</f>
        <v>#REF!</v>
      </c>
      <c r="AK10" t="e">
        <f>AND('boilerplate specs'!#REF!,"AAAAAHoLTiQ=")</f>
        <v>#REF!</v>
      </c>
      <c r="AL10" t="e">
        <f>AND('boilerplate specs'!#REF!,"AAAAAHoLTiU=")</f>
        <v>#REF!</v>
      </c>
      <c r="AM10" t="e">
        <f>AND('boilerplate specs'!#REF!,"AAAAAHoLTiY=")</f>
        <v>#REF!</v>
      </c>
      <c r="AN10" t="e">
        <f>AND('boilerplate specs'!#REF!,"AAAAAHoLTic=")</f>
        <v>#REF!</v>
      </c>
      <c r="AO10" t="e">
        <f>AND('boilerplate specs'!#REF!,"AAAAAHoLTig=")</f>
        <v>#REF!</v>
      </c>
      <c r="AP10" t="e">
        <f>AND('boilerplate specs'!#REF!,"AAAAAHoLTik=")</f>
        <v>#REF!</v>
      </c>
      <c r="AQ10" t="e">
        <f>AND('boilerplate specs'!#REF!,"AAAAAHoLTio=")</f>
        <v>#REF!</v>
      </c>
      <c r="AR10" t="e">
        <f>AND('boilerplate specs'!#REF!,"AAAAAHoLTis=")</f>
        <v>#REF!</v>
      </c>
      <c r="AS10" t="e">
        <f>AND('boilerplate specs'!#REF!,"AAAAAHoLTiw=")</f>
        <v>#REF!</v>
      </c>
      <c r="AT10" t="e">
        <f>AND('boilerplate specs'!#REF!,"AAAAAHoLTi0=")</f>
        <v>#REF!</v>
      </c>
      <c r="AU10" t="e">
        <f>AND('boilerplate specs'!#REF!,"AAAAAHoLTi4=")</f>
        <v>#REF!</v>
      </c>
      <c r="AV10" t="e">
        <f>AND('boilerplate specs'!#REF!,"AAAAAHoLTi8=")</f>
        <v>#REF!</v>
      </c>
      <c r="AW10" t="e">
        <f>AND('boilerplate specs'!#REF!,"AAAAAHoLTjA=")</f>
        <v>#REF!</v>
      </c>
      <c r="AX10" t="e">
        <f>AND('boilerplate specs'!#REF!,"AAAAAHoLTjE=")</f>
        <v>#REF!</v>
      </c>
      <c r="AY10" t="e">
        <f>AND('boilerplate specs'!#REF!,"AAAAAHoLTjI=")</f>
        <v>#REF!</v>
      </c>
      <c r="AZ10" t="e">
        <f>AND('boilerplate specs'!#REF!,"AAAAAHoLTjM=")</f>
        <v>#REF!</v>
      </c>
      <c r="BA10" t="e">
        <f>IF('boilerplate specs'!#REF!,"AAAAAHoLTjQ=",0)</f>
        <v>#REF!</v>
      </c>
      <c r="BB10" t="e">
        <f>AND('boilerplate specs'!#REF!,"AAAAAHoLTjU=")</f>
        <v>#REF!</v>
      </c>
      <c r="BC10" t="e">
        <f>AND('boilerplate specs'!#REF!,"AAAAAHoLTjY=")</f>
        <v>#REF!</v>
      </c>
      <c r="BD10" t="e">
        <f>AND('boilerplate specs'!#REF!,"AAAAAHoLTjc=")</f>
        <v>#REF!</v>
      </c>
      <c r="BE10" t="e">
        <f>AND('boilerplate specs'!#REF!,"AAAAAHoLTjg=")</f>
        <v>#REF!</v>
      </c>
      <c r="BF10" t="e">
        <f>AND('boilerplate specs'!#REF!,"AAAAAHoLTjk=")</f>
        <v>#REF!</v>
      </c>
      <c r="BG10" t="e">
        <f>AND('boilerplate specs'!#REF!,"AAAAAHoLTjo=")</f>
        <v>#REF!</v>
      </c>
      <c r="BH10" t="e">
        <f>AND('boilerplate specs'!#REF!,"AAAAAHoLTjs=")</f>
        <v>#REF!</v>
      </c>
      <c r="BI10" t="e">
        <f>AND('boilerplate specs'!#REF!,"AAAAAHoLTjw=")</f>
        <v>#REF!</v>
      </c>
      <c r="BJ10" t="e">
        <f>AND('boilerplate specs'!#REF!,"AAAAAHoLTj0=")</f>
        <v>#REF!</v>
      </c>
      <c r="BK10" t="e">
        <f>AND('boilerplate specs'!#REF!,"AAAAAHoLTj4=")</f>
        <v>#REF!</v>
      </c>
      <c r="BL10" t="e">
        <f>AND('boilerplate specs'!#REF!,"AAAAAHoLTj8=")</f>
        <v>#REF!</v>
      </c>
      <c r="BM10" t="e">
        <f>AND('boilerplate specs'!#REF!,"AAAAAHoLTkA=")</f>
        <v>#REF!</v>
      </c>
      <c r="BN10" t="e">
        <f>AND('boilerplate specs'!#REF!,"AAAAAHoLTkE=")</f>
        <v>#REF!</v>
      </c>
      <c r="BO10" t="e">
        <f>AND('boilerplate specs'!#REF!,"AAAAAHoLTkI=")</f>
        <v>#REF!</v>
      </c>
      <c r="BP10" t="e">
        <f>AND('boilerplate specs'!#REF!,"AAAAAHoLTkM=")</f>
        <v>#REF!</v>
      </c>
      <c r="BQ10" t="e">
        <f>AND('boilerplate specs'!#REF!,"AAAAAHoLTkQ=")</f>
        <v>#REF!</v>
      </c>
      <c r="BR10" t="e">
        <f>AND('boilerplate specs'!#REF!,"AAAAAHoLTkU=")</f>
        <v>#REF!</v>
      </c>
      <c r="BS10" t="e">
        <f>AND('boilerplate specs'!#REF!,"AAAAAHoLTkY=")</f>
        <v>#REF!</v>
      </c>
      <c r="BT10" t="e">
        <f>AND('boilerplate specs'!#REF!,"AAAAAHoLTkc=")</f>
        <v>#REF!</v>
      </c>
      <c r="BU10" t="e">
        <f>AND('boilerplate specs'!#REF!,"AAAAAHoLTkg=")</f>
        <v>#REF!</v>
      </c>
      <c r="BV10" t="e">
        <f>AND('boilerplate specs'!#REF!,"AAAAAHoLTkk=")</f>
        <v>#REF!</v>
      </c>
      <c r="BW10" t="e">
        <f>AND('boilerplate specs'!#REF!,"AAAAAHoLTko=")</f>
        <v>#REF!</v>
      </c>
      <c r="BX10" t="e">
        <f>AND('boilerplate specs'!#REF!,"AAAAAHoLTks=")</f>
        <v>#REF!</v>
      </c>
      <c r="BY10" t="e">
        <f>AND('boilerplate specs'!#REF!,"AAAAAHoLTkw=")</f>
        <v>#REF!</v>
      </c>
      <c r="BZ10" t="e">
        <f>AND('boilerplate specs'!#REF!,"AAAAAHoLTk0=")</f>
        <v>#REF!</v>
      </c>
      <c r="CA10" t="e">
        <f>AND('boilerplate specs'!#REF!,"AAAAAHoLTk4=")</f>
        <v>#REF!</v>
      </c>
      <c r="CB10" t="e">
        <f>AND('boilerplate specs'!#REF!,"AAAAAHoLTk8=")</f>
        <v>#REF!</v>
      </c>
      <c r="CC10" t="e">
        <f>AND('boilerplate specs'!#REF!,"AAAAAHoLTlA=")</f>
        <v>#REF!</v>
      </c>
      <c r="CD10" t="e">
        <f>AND('boilerplate specs'!#REF!,"AAAAAHoLTlE=")</f>
        <v>#REF!</v>
      </c>
      <c r="CE10" t="e">
        <f>AND('boilerplate specs'!#REF!,"AAAAAHoLTlI=")</f>
        <v>#REF!</v>
      </c>
      <c r="CF10" t="e">
        <f>AND('boilerplate specs'!#REF!,"AAAAAHoLTlM=")</f>
        <v>#REF!</v>
      </c>
      <c r="CG10" t="e">
        <f>AND('boilerplate specs'!#REF!,"AAAAAHoLTlQ=")</f>
        <v>#REF!</v>
      </c>
      <c r="CH10" t="e">
        <f>IF('boilerplate specs'!#REF!,"AAAAAHoLTlU=",0)</f>
        <v>#REF!</v>
      </c>
      <c r="CI10" t="e">
        <f>AND('boilerplate specs'!#REF!,"AAAAAHoLTlY=")</f>
        <v>#REF!</v>
      </c>
      <c r="CJ10" t="e">
        <f>AND('boilerplate specs'!#REF!,"AAAAAHoLTlc=")</f>
        <v>#REF!</v>
      </c>
      <c r="CK10" t="e">
        <f>AND('boilerplate specs'!#REF!,"AAAAAHoLTlg=")</f>
        <v>#REF!</v>
      </c>
      <c r="CL10" t="e">
        <f>AND('boilerplate specs'!#REF!,"AAAAAHoLTlk=")</f>
        <v>#REF!</v>
      </c>
      <c r="CM10" t="e">
        <f>AND('boilerplate specs'!#REF!,"AAAAAHoLTlo=")</f>
        <v>#REF!</v>
      </c>
      <c r="CN10" t="e">
        <f>AND('boilerplate specs'!#REF!,"AAAAAHoLTls=")</f>
        <v>#REF!</v>
      </c>
      <c r="CO10" t="e">
        <f>AND('boilerplate specs'!#REF!,"AAAAAHoLTlw=")</f>
        <v>#REF!</v>
      </c>
      <c r="CP10" t="e">
        <f>AND('boilerplate specs'!#REF!,"AAAAAHoLTl0=")</f>
        <v>#REF!</v>
      </c>
      <c r="CQ10" t="e">
        <f>AND('boilerplate specs'!#REF!,"AAAAAHoLTl4=")</f>
        <v>#REF!</v>
      </c>
      <c r="CR10" t="e">
        <f>AND('boilerplate specs'!#REF!,"AAAAAHoLTl8=")</f>
        <v>#REF!</v>
      </c>
      <c r="CS10" t="e">
        <f>AND('boilerplate specs'!#REF!,"AAAAAHoLTmA=")</f>
        <v>#REF!</v>
      </c>
      <c r="CT10" t="e">
        <f>AND('boilerplate specs'!#REF!,"AAAAAHoLTmE=")</f>
        <v>#REF!</v>
      </c>
      <c r="CU10" t="e">
        <f>AND('boilerplate specs'!#REF!,"AAAAAHoLTmI=")</f>
        <v>#REF!</v>
      </c>
      <c r="CV10" t="e">
        <f>AND('boilerplate specs'!#REF!,"AAAAAHoLTmM=")</f>
        <v>#REF!</v>
      </c>
      <c r="CW10" t="e">
        <f>AND('boilerplate specs'!#REF!,"AAAAAHoLTmQ=")</f>
        <v>#REF!</v>
      </c>
      <c r="CX10" t="e">
        <f>AND('boilerplate specs'!#REF!,"AAAAAHoLTmU=")</f>
        <v>#REF!</v>
      </c>
      <c r="CY10" t="e">
        <f>AND('boilerplate specs'!#REF!,"AAAAAHoLTmY=")</f>
        <v>#REF!</v>
      </c>
      <c r="CZ10" t="e">
        <f>AND('boilerplate specs'!#REF!,"AAAAAHoLTmc=")</f>
        <v>#REF!</v>
      </c>
      <c r="DA10" t="e">
        <f>AND('boilerplate specs'!#REF!,"AAAAAHoLTmg=")</f>
        <v>#REF!</v>
      </c>
      <c r="DB10" t="e">
        <f>AND('boilerplate specs'!#REF!,"AAAAAHoLTmk=")</f>
        <v>#REF!</v>
      </c>
      <c r="DC10" t="e">
        <f>AND('boilerplate specs'!#REF!,"AAAAAHoLTmo=")</f>
        <v>#REF!</v>
      </c>
      <c r="DD10" t="e">
        <f>AND('boilerplate specs'!#REF!,"AAAAAHoLTms=")</f>
        <v>#REF!</v>
      </c>
      <c r="DE10" t="e">
        <f>AND('boilerplate specs'!#REF!,"AAAAAHoLTmw=")</f>
        <v>#REF!</v>
      </c>
      <c r="DF10" t="e">
        <f>AND('boilerplate specs'!#REF!,"AAAAAHoLTm0=")</f>
        <v>#REF!</v>
      </c>
      <c r="DG10" t="e">
        <f>AND('boilerplate specs'!#REF!,"AAAAAHoLTm4=")</f>
        <v>#REF!</v>
      </c>
      <c r="DH10" t="e">
        <f>AND('boilerplate specs'!#REF!,"AAAAAHoLTm8=")</f>
        <v>#REF!</v>
      </c>
      <c r="DI10" t="e">
        <f>AND('boilerplate specs'!#REF!,"AAAAAHoLTnA=")</f>
        <v>#REF!</v>
      </c>
      <c r="DJ10" t="e">
        <f>AND('boilerplate specs'!#REF!,"AAAAAHoLTnE=")</f>
        <v>#REF!</v>
      </c>
      <c r="DK10" t="e">
        <f>AND('boilerplate specs'!#REF!,"AAAAAHoLTnI=")</f>
        <v>#REF!</v>
      </c>
      <c r="DL10" t="e">
        <f>AND('boilerplate specs'!#REF!,"AAAAAHoLTnM=")</f>
        <v>#REF!</v>
      </c>
      <c r="DM10" t="e">
        <f>AND('boilerplate specs'!#REF!,"AAAAAHoLTnQ=")</f>
        <v>#REF!</v>
      </c>
      <c r="DN10" t="e">
        <f>AND('boilerplate specs'!#REF!,"AAAAAHoLTnU=")</f>
        <v>#REF!</v>
      </c>
      <c r="DO10" t="e">
        <f>IF('boilerplate specs'!#REF!,"AAAAAHoLTnY=",0)</f>
        <v>#REF!</v>
      </c>
      <c r="DP10" t="e">
        <f>AND('boilerplate specs'!#REF!,"AAAAAHoLTnc=")</f>
        <v>#REF!</v>
      </c>
      <c r="DQ10" t="e">
        <f>AND('boilerplate specs'!#REF!,"AAAAAHoLTng=")</f>
        <v>#REF!</v>
      </c>
      <c r="DR10" t="e">
        <f>AND('boilerplate specs'!#REF!,"AAAAAHoLTnk=")</f>
        <v>#REF!</v>
      </c>
      <c r="DS10" t="e">
        <f>AND('boilerplate specs'!#REF!,"AAAAAHoLTno=")</f>
        <v>#REF!</v>
      </c>
      <c r="DT10" t="e">
        <f>AND('boilerplate specs'!#REF!,"AAAAAHoLTns=")</f>
        <v>#REF!</v>
      </c>
      <c r="DU10" t="e">
        <f>AND('boilerplate specs'!#REF!,"AAAAAHoLTnw=")</f>
        <v>#REF!</v>
      </c>
      <c r="DV10" t="e">
        <f>AND('boilerplate specs'!#REF!,"AAAAAHoLTn0=")</f>
        <v>#REF!</v>
      </c>
      <c r="DW10" t="e">
        <f>AND('boilerplate specs'!#REF!,"AAAAAHoLTn4=")</f>
        <v>#REF!</v>
      </c>
      <c r="DX10" t="e">
        <f>AND('boilerplate specs'!#REF!,"AAAAAHoLTn8=")</f>
        <v>#REF!</v>
      </c>
      <c r="DY10" t="e">
        <f>AND('boilerplate specs'!#REF!,"AAAAAHoLToA=")</f>
        <v>#REF!</v>
      </c>
      <c r="DZ10" t="e">
        <f>AND('boilerplate specs'!#REF!,"AAAAAHoLToE=")</f>
        <v>#REF!</v>
      </c>
      <c r="EA10" t="e">
        <f>AND('boilerplate specs'!#REF!,"AAAAAHoLToI=")</f>
        <v>#REF!</v>
      </c>
      <c r="EB10" t="e">
        <f>AND('boilerplate specs'!#REF!,"AAAAAHoLToM=")</f>
        <v>#REF!</v>
      </c>
      <c r="EC10" t="e">
        <f>AND('boilerplate specs'!#REF!,"AAAAAHoLToQ=")</f>
        <v>#REF!</v>
      </c>
      <c r="ED10" t="e">
        <f>AND('boilerplate specs'!#REF!,"AAAAAHoLToU=")</f>
        <v>#REF!</v>
      </c>
      <c r="EE10" t="e">
        <f>AND('boilerplate specs'!#REF!,"AAAAAHoLToY=")</f>
        <v>#REF!</v>
      </c>
      <c r="EF10" t="e">
        <f>AND('boilerplate specs'!#REF!,"AAAAAHoLToc=")</f>
        <v>#REF!</v>
      </c>
      <c r="EG10" t="e">
        <f>AND('boilerplate specs'!#REF!,"AAAAAHoLTog=")</f>
        <v>#REF!</v>
      </c>
      <c r="EH10" t="e">
        <f>AND('boilerplate specs'!#REF!,"AAAAAHoLTok=")</f>
        <v>#REF!</v>
      </c>
      <c r="EI10" t="e">
        <f>AND('boilerplate specs'!#REF!,"AAAAAHoLToo=")</f>
        <v>#REF!</v>
      </c>
      <c r="EJ10" t="e">
        <f>AND('boilerplate specs'!#REF!,"AAAAAHoLTos=")</f>
        <v>#REF!</v>
      </c>
      <c r="EK10" t="e">
        <f>AND('boilerplate specs'!#REF!,"AAAAAHoLTow=")</f>
        <v>#REF!</v>
      </c>
      <c r="EL10" t="e">
        <f>AND('boilerplate specs'!#REF!,"AAAAAHoLTo0=")</f>
        <v>#REF!</v>
      </c>
      <c r="EM10" t="e">
        <f>AND('boilerplate specs'!#REF!,"AAAAAHoLTo4=")</f>
        <v>#REF!</v>
      </c>
      <c r="EN10" t="e">
        <f>AND('boilerplate specs'!#REF!,"AAAAAHoLTo8=")</f>
        <v>#REF!</v>
      </c>
      <c r="EO10" t="e">
        <f>AND('boilerplate specs'!#REF!,"AAAAAHoLTpA=")</f>
        <v>#REF!</v>
      </c>
      <c r="EP10" t="e">
        <f>AND('boilerplate specs'!#REF!,"AAAAAHoLTpE=")</f>
        <v>#REF!</v>
      </c>
      <c r="EQ10" t="e">
        <f>AND('boilerplate specs'!#REF!,"AAAAAHoLTpI=")</f>
        <v>#REF!</v>
      </c>
      <c r="ER10" t="e">
        <f>AND('boilerplate specs'!#REF!,"AAAAAHoLTpM=")</f>
        <v>#REF!</v>
      </c>
      <c r="ES10" t="e">
        <f>AND('boilerplate specs'!#REF!,"AAAAAHoLTpQ=")</f>
        <v>#REF!</v>
      </c>
      <c r="ET10" t="e">
        <f>AND('boilerplate specs'!#REF!,"AAAAAHoLTpU=")</f>
        <v>#REF!</v>
      </c>
      <c r="EU10" t="e">
        <f>AND('boilerplate specs'!#REF!,"AAAAAHoLTpY=")</f>
        <v>#REF!</v>
      </c>
      <c r="EV10" t="e">
        <f>IF('boilerplate specs'!#REF!,"AAAAAHoLTpc=",0)</f>
        <v>#REF!</v>
      </c>
      <c r="EW10" t="e">
        <f>AND('boilerplate specs'!#REF!,"AAAAAHoLTpg=")</f>
        <v>#REF!</v>
      </c>
      <c r="EX10" t="e">
        <f>AND('boilerplate specs'!#REF!,"AAAAAHoLTpk=")</f>
        <v>#REF!</v>
      </c>
      <c r="EY10" t="e">
        <f>AND('boilerplate specs'!#REF!,"AAAAAHoLTpo=")</f>
        <v>#REF!</v>
      </c>
      <c r="EZ10" t="e">
        <f>AND('boilerplate specs'!#REF!,"AAAAAHoLTps=")</f>
        <v>#REF!</v>
      </c>
      <c r="FA10" t="e">
        <f>AND('boilerplate specs'!#REF!,"AAAAAHoLTpw=")</f>
        <v>#REF!</v>
      </c>
      <c r="FB10" t="e">
        <f>AND('boilerplate specs'!#REF!,"AAAAAHoLTp0=")</f>
        <v>#REF!</v>
      </c>
      <c r="FC10" t="e">
        <f>AND('boilerplate specs'!#REF!,"AAAAAHoLTp4=")</f>
        <v>#REF!</v>
      </c>
      <c r="FD10" t="e">
        <f>AND('boilerplate specs'!#REF!,"AAAAAHoLTp8=")</f>
        <v>#REF!</v>
      </c>
      <c r="FE10" t="e">
        <f>AND('boilerplate specs'!#REF!,"AAAAAHoLTqA=")</f>
        <v>#REF!</v>
      </c>
      <c r="FF10" t="e">
        <f>AND('boilerplate specs'!#REF!,"AAAAAHoLTqE=")</f>
        <v>#REF!</v>
      </c>
      <c r="FG10" t="e">
        <f>AND('boilerplate specs'!#REF!,"AAAAAHoLTqI=")</f>
        <v>#REF!</v>
      </c>
      <c r="FH10" t="e">
        <f>AND('boilerplate specs'!#REF!,"AAAAAHoLTqM=")</f>
        <v>#REF!</v>
      </c>
      <c r="FI10" t="e">
        <f>AND('boilerplate specs'!#REF!,"AAAAAHoLTqQ=")</f>
        <v>#REF!</v>
      </c>
      <c r="FJ10" t="e">
        <f>AND('boilerplate specs'!#REF!,"AAAAAHoLTqU=")</f>
        <v>#REF!</v>
      </c>
      <c r="FK10" t="e">
        <f>AND('boilerplate specs'!#REF!,"AAAAAHoLTqY=")</f>
        <v>#REF!</v>
      </c>
      <c r="FL10" t="e">
        <f>AND('boilerplate specs'!#REF!,"AAAAAHoLTqc=")</f>
        <v>#REF!</v>
      </c>
      <c r="FM10" t="e">
        <f>AND('boilerplate specs'!#REF!,"AAAAAHoLTqg=")</f>
        <v>#REF!</v>
      </c>
      <c r="FN10" t="e">
        <f>AND('boilerplate specs'!#REF!,"AAAAAHoLTqk=")</f>
        <v>#REF!</v>
      </c>
      <c r="FO10" t="e">
        <f>AND('boilerplate specs'!#REF!,"AAAAAHoLTqo=")</f>
        <v>#REF!</v>
      </c>
      <c r="FP10" t="e">
        <f>AND('boilerplate specs'!#REF!,"AAAAAHoLTqs=")</f>
        <v>#REF!</v>
      </c>
      <c r="FQ10" t="e">
        <f>AND('boilerplate specs'!#REF!,"AAAAAHoLTqw=")</f>
        <v>#REF!</v>
      </c>
      <c r="FR10" t="e">
        <f>AND('boilerplate specs'!#REF!,"AAAAAHoLTq0=")</f>
        <v>#REF!</v>
      </c>
      <c r="FS10" t="e">
        <f>AND('boilerplate specs'!#REF!,"AAAAAHoLTq4=")</f>
        <v>#REF!</v>
      </c>
      <c r="FT10" t="e">
        <f>AND('boilerplate specs'!#REF!,"AAAAAHoLTq8=")</f>
        <v>#REF!</v>
      </c>
      <c r="FU10" t="e">
        <f>AND('boilerplate specs'!#REF!,"AAAAAHoLTrA=")</f>
        <v>#REF!</v>
      </c>
      <c r="FV10" t="e">
        <f>AND('boilerplate specs'!#REF!,"AAAAAHoLTrE=")</f>
        <v>#REF!</v>
      </c>
      <c r="FW10" t="e">
        <f>AND('boilerplate specs'!#REF!,"AAAAAHoLTrI=")</f>
        <v>#REF!</v>
      </c>
      <c r="FX10" t="e">
        <f>AND('boilerplate specs'!#REF!,"AAAAAHoLTrM=")</f>
        <v>#REF!</v>
      </c>
      <c r="FY10" t="e">
        <f>AND('boilerplate specs'!#REF!,"AAAAAHoLTrQ=")</f>
        <v>#REF!</v>
      </c>
      <c r="FZ10" t="e">
        <f>AND('boilerplate specs'!#REF!,"AAAAAHoLTrU=")</f>
        <v>#REF!</v>
      </c>
      <c r="GA10" t="e">
        <f>AND('boilerplate specs'!#REF!,"AAAAAHoLTrY=")</f>
        <v>#REF!</v>
      </c>
      <c r="GB10" t="e">
        <f>AND('boilerplate specs'!#REF!,"AAAAAHoLTrc=")</f>
        <v>#REF!</v>
      </c>
      <c r="GC10" t="e">
        <f>IF('boilerplate specs'!#REF!,"AAAAAHoLTrg=",0)</f>
        <v>#REF!</v>
      </c>
      <c r="GD10" t="e">
        <f>AND('boilerplate specs'!#REF!,"AAAAAHoLTrk=")</f>
        <v>#REF!</v>
      </c>
      <c r="GE10" t="e">
        <f>AND('boilerplate specs'!#REF!,"AAAAAHoLTro=")</f>
        <v>#REF!</v>
      </c>
      <c r="GF10" t="e">
        <f>AND('boilerplate specs'!#REF!,"AAAAAHoLTrs=")</f>
        <v>#REF!</v>
      </c>
      <c r="GG10" t="e">
        <f>AND('boilerplate specs'!#REF!,"AAAAAHoLTrw=")</f>
        <v>#REF!</v>
      </c>
      <c r="GH10" t="e">
        <f>AND('boilerplate specs'!#REF!,"AAAAAHoLTr0=")</f>
        <v>#REF!</v>
      </c>
      <c r="GI10" t="e">
        <f>AND('boilerplate specs'!#REF!,"AAAAAHoLTr4=")</f>
        <v>#REF!</v>
      </c>
      <c r="GJ10" t="e">
        <f>AND('boilerplate specs'!#REF!,"AAAAAHoLTr8=")</f>
        <v>#REF!</v>
      </c>
      <c r="GK10" t="e">
        <f>AND('boilerplate specs'!#REF!,"AAAAAHoLTsA=")</f>
        <v>#REF!</v>
      </c>
      <c r="GL10" t="e">
        <f>AND('boilerplate specs'!#REF!,"AAAAAHoLTsE=")</f>
        <v>#REF!</v>
      </c>
      <c r="GM10" t="e">
        <f>AND('boilerplate specs'!#REF!,"AAAAAHoLTsI=")</f>
        <v>#REF!</v>
      </c>
      <c r="GN10" t="e">
        <f>AND('boilerplate specs'!#REF!,"AAAAAHoLTsM=")</f>
        <v>#REF!</v>
      </c>
      <c r="GO10" t="e">
        <f>AND('boilerplate specs'!#REF!,"AAAAAHoLTsQ=")</f>
        <v>#REF!</v>
      </c>
      <c r="GP10" t="e">
        <f>AND('boilerplate specs'!#REF!,"AAAAAHoLTsU=")</f>
        <v>#REF!</v>
      </c>
      <c r="GQ10" t="e">
        <f>AND('boilerplate specs'!#REF!,"AAAAAHoLTsY=")</f>
        <v>#REF!</v>
      </c>
      <c r="GR10" t="e">
        <f>AND('boilerplate specs'!#REF!,"AAAAAHoLTsc=")</f>
        <v>#REF!</v>
      </c>
      <c r="GS10" t="e">
        <f>AND('boilerplate specs'!#REF!,"AAAAAHoLTsg=")</f>
        <v>#REF!</v>
      </c>
      <c r="GT10" t="e">
        <f>AND('boilerplate specs'!#REF!,"AAAAAHoLTsk=")</f>
        <v>#REF!</v>
      </c>
      <c r="GU10" t="e">
        <f>AND('boilerplate specs'!#REF!,"AAAAAHoLTso=")</f>
        <v>#REF!</v>
      </c>
      <c r="GV10" t="e">
        <f>AND('boilerplate specs'!#REF!,"AAAAAHoLTss=")</f>
        <v>#REF!</v>
      </c>
      <c r="GW10" t="e">
        <f>AND('boilerplate specs'!#REF!,"AAAAAHoLTsw=")</f>
        <v>#REF!</v>
      </c>
      <c r="GX10" t="e">
        <f>AND('boilerplate specs'!#REF!,"AAAAAHoLTs0=")</f>
        <v>#REF!</v>
      </c>
      <c r="GY10" t="e">
        <f>AND('boilerplate specs'!#REF!,"AAAAAHoLTs4=")</f>
        <v>#REF!</v>
      </c>
      <c r="GZ10" t="e">
        <f>AND('boilerplate specs'!#REF!,"AAAAAHoLTs8=")</f>
        <v>#REF!</v>
      </c>
      <c r="HA10" t="e">
        <f>AND('boilerplate specs'!#REF!,"AAAAAHoLTtA=")</f>
        <v>#REF!</v>
      </c>
      <c r="HB10" t="e">
        <f>AND('boilerplate specs'!#REF!,"AAAAAHoLTtE=")</f>
        <v>#REF!</v>
      </c>
      <c r="HC10" t="e">
        <f>AND('boilerplate specs'!#REF!,"AAAAAHoLTtI=")</f>
        <v>#REF!</v>
      </c>
      <c r="HD10" t="e">
        <f>AND('boilerplate specs'!#REF!,"AAAAAHoLTtM=")</f>
        <v>#REF!</v>
      </c>
      <c r="HE10" t="e">
        <f>AND('boilerplate specs'!#REF!,"AAAAAHoLTtQ=")</f>
        <v>#REF!</v>
      </c>
      <c r="HF10" t="e">
        <f>AND('boilerplate specs'!#REF!,"AAAAAHoLTtU=")</f>
        <v>#REF!</v>
      </c>
      <c r="HG10" t="e">
        <f>AND('boilerplate specs'!#REF!,"AAAAAHoLTtY=")</f>
        <v>#REF!</v>
      </c>
      <c r="HH10" t="e">
        <f>AND('boilerplate specs'!#REF!,"AAAAAHoLTtc=")</f>
        <v>#REF!</v>
      </c>
      <c r="HI10" t="e">
        <f>AND('boilerplate specs'!#REF!,"AAAAAHoLTtg=")</f>
        <v>#REF!</v>
      </c>
      <c r="HJ10" t="e">
        <f>IF('boilerplate specs'!#REF!,"AAAAAHoLTtk=",0)</f>
        <v>#REF!</v>
      </c>
      <c r="HK10" t="e">
        <f>AND('boilerplate specs'!#REF!,"AAAAAHoLTto=")</f>
        <v>#REF!</v>
      </c>
      <c r="HL10" t="e">
        <f>AND('boilerplate specs'!#REF!,"AAAAAHoLTts=")</f>
        <v>#REF!</v>
      </c>
      <c r="HM10" t="e">
        <f>AND('boilerplate specs'!#REF!,"AAAAAHoLTtw=")</f>
        <v>#REF!</v>
      </c>
      <c r="HN10" t="e">
        <f>AND('boilerplate specs'!#REF!,"AAAAAHoLTt0=")</f>
        <v>#REF!</v>
      </c>
      <c r="HO10" t="e">
        <f>AND('boilerplate specs'!#REF!,"AAAAAHoLTt4=")</f>
        <v>#REF!</v>
      </c>
      <c r="HP10" t="e">
        <f>AND('boilerplate specs'!#REF!,"AAAAAHoLTt8=")</f>
        <v>#REF!</v>
      </c>
      <c r="HQ10" t="e">
        <f>AND('boilerplate specs'!#REF!,"AAAAAHoLTuA=")</f>
        <v>#REF!</v>
      </c>
      <c r="HR10" t="e">
        <f>AND('boilerplate specs'!#REF!,"AAAAAHoLTuE=")</f>
        <v>#REF!</v>
      </c>
      <c r="HS10" t="e">
        <f>AND('boilerplate specs'!#REF!,"AAAAAHoLTuI=")</f>
        <v>#REF!</v>
      </c>
      <c r="HT10" t="e">
        <f>AND('boilerplate specs'!#REF!,"AAAAAHoLTuM=")</f>
        <v>#REF!</v>
      </c>
      <c r="HU10" t="e">
        <f>AND('boilerplate specs'!#REF!,"AAAAAHoLTuQ=")</f>
        <v>#REF!</v>
      </c>
      <c r="HV10" t="e">
        <f>AND('boilerplate specs'!#REF!,"AAAAAHoLTuU=")</f>
        <v>#REF!</v>
      </c>
      <c r="HW10" t="e">
        <f>AND('boilerplate specs'!#REF!,"AAAAAHoLTuY=")</f>
        <v>#REF!</v>
      </c>
      <c r="HX10" t="e">
        <f>AND('boilerplate specs'!#REF!,"AAAAAHoLTuc=")</f>
        <v>#REF!</v>
      </c>
      <c r="HY10" t="e">
        <f>AND('boilerplate specs'!#REF!,"AAAAAHoLTug=")</f>
        <v>#REF!</v>
      </c>
      <c r="HZ10" t="e">
        <f>AND('boilerplate specs'!#REF!,"AAAAAHoLTuk=")</f>
        <v>#REF!</v>
      </c>
      <c r="IA10" t="e">
        <f>AND('boilerplate specs'!#REF!,"AAAAAHoLTuo=")</f>
        <v>#REF!</v>
      </c>
      <c r="IB10" t="e">
        <f>AND('boilerplate specs'!#REF!,"AAAAAHoLTus=")</f>
        <v>#REF!</v>
      </c>
      <c r="IC10" t="e">
        <f>AND('boilerplate specs'!#REF!,"AAAAAHoLTuw=")</f>
        <v>#REF!</v>
      </c>
      <c r="ID10" t="e">
        <f>AND('boilerplate specs'!#REF!,"AAAAAHoLTu0=")</f>
        <v>#REF!</v>
      </c>
      <c r="IE10" t="e">
        <f>AND('boilerplate specs'!#REF!,"AAAAAHoLTu4=")</f>
        <v>#REF!</v>
      </c>
      <c r="IF10" t="e">
        <f>AND('boilerplate specs'!#REF!,"AAAAAHoLTu8=")</f>
        <v>#REF!</v>
      </c>
      <c r="IG10" t="e">
        <f>AND('boilerplate specs'!#REF!,"AAAAAHoLTvA=")</f>
        <v>#REF!</v>
      </c>
      <c r="IH10" t="e">
        <f>AND('boilerplate specs'!#REF!,"AAAAAHoLTvE=")</f>
        <v>#REF!</v>
      </c>
      <c r="II10" t="e">
        <f>AND('boilerplate specs'!#REF!,"AAAAAHoLTvI=")</f>
        <v>#REF!</v>
      </c>
      <c r="IJ10" t="e">
        <f>AND('boilerplate specs'!#REF!,"AAAAAHoLTvM=")</f>
        <v>#REF!</v>
      </c>
      <c r="IK10" t="e">
        <f>AND('boilerplate specs'!#REF!,"AAAAAHoLTvQ=")</f>
        <v>#REF!</v>
      </c>
      <c r="IL10" t="e">
        <f>AND('boilerplate specs'!#REF!,"AAAAAHoLTvU=")</f>
        <v>#REF!</v>
      </c>
      <c r="IM10" t="e">
        <f>AND('boilerplate specs'!#REF!,"AAAAAHoLTvY=")</f>
        <v>#REF!</v>
      </c>
      <c r="IN10" t="e">
        <f>AND('boilerplate specs'!#REF!,"AAAAAHoLTvc=")</f>
        <v>#REF!</v>
      </c>
      <c r="IO10" t="e">
        <f>AND('boilerplate specs'!#REF!,"AAAAAHoLTvg=")</f>
        <v>#REF!</v>
      </c>
      <c r="IP10" t="e">
        <f>AND('boilerplate specs'!#REF!,"AAAAAHoLTvk=")</f>
        <v>#REF!</v>
      </c>
      <c r="IQ10" t="e">
        <f>IF('boilerplate specs'!#REF!,"AAAAAHoLTvo=",0)</f>
        <v>#REF!</v>
      </c>
      <c r="IR10" t="e">
        <f>AND('boilerplate specs'!#REF!,"AAAAAHoLTvs=")</f>
        <v>#REF!</v>
      </c>
      <c r="IS10" t="e">
        <f>AND('boilerplate specs'!#REF!,"AAAAAHoLTvw=")</f>
        <v>#REF!</v>
      </c>
      <c r="IT10" t="e">
        <f>AND('boilerplate specs'!#REF!,"AAAAAHoLTv0=")</f>
        <v>#REF!</v>
      </c>
      <c r="IU10" t="e">
        <f>AND('boilerplate specs'!#REF!,"AAAAAHoLTv4=")</f>
        <v>#REF!</v>
      </c>
      <c r="IV10" t="e">
        <f>AND('boilerplate specs'!#REF!,"AAAAAHoLTv8=")</f>
        <v>#REF!</v>
      </c>
    </row>
    <row r="11" spans="1:256" x14ac:dyDescent="0.35">
      <c r="A11" t="e">
        <f>AND('boilerplate specs'!#REF!,"AAAAAHX3twA=")</f>
        <v>#REF!</v>
      </c>
      <c r="B11" t="e">
        <f>AND('boilerplate specs'!#REF!,"AAAAAHX3twE=")</f>
        <v>#REF!</v>
      </c>
      <c r="C11" t="e">
        <f>AND('boilerplate specs'!#REF!,"AAAAAHX3twI=")</f>
        <v>#REF!</v>
      </c>
      <c r="D11" t="e">
        <f>AND('boilerplate specs'!#REF!,"AAAAAHX3twM=")</f>
        <v>#REF!</v>
      </c>
      <c r="E11" t="e">
        <f>AND('boilerplate specs'!#REF!,"AAAAAHX3twQ=")</f>
        <v>#REF!</v>
      </c>
      <c r="F11" t="e">
        <f>AND('boilerplate specs'!#REF!,"AAAAAHX3twU=")</f>
        <v>#REF!</v>
      </c>
      <c r="G11" t="e">
        <f>AND('boilerplate specs'!#REF!,"AAAAAHX3twY=")</f>
        <v>#REF!</v>
      </c>
      <c r="H11" t="e">
        <f>AND('boilerplate specs'!#REF!,"AAAAAHX3twc=")</f>
        <v>#REF!</v>
      </c>
      <c r="I11" t="e">
        <f>AND('boilerplate specs'!#REF!,"AAAAAHX3twg=")</f>
        <v>#REF!</v>
      </c>
      <c r="J11" t="e">
        <f>AND('boilerplate specs'!#REF!,"AAAAAHX3twk=")</f>
        <v>#REF!</v>
      </c>
      <c r="K11" t="e">
        <f>AND('boilerplate specs'!#REF!,"AAAAAHX3two=")</f>
        <v>#REF!</v>
      </c>
      <c r="L11" t="e">
        <f>AND('boilerplate specs'!#REF!,"AAAAAHX3tws=")</f>
        <v>#REF!</v>
      </c>
      <c r="M11" t="e">
        <f>AND('boilerplate specs'!#REF!,"AAAAAHX3tww=")</f>
        <v>#REF!</v>
      </c>
      <c r="N11" t="e">
        <f>AND('boilerplate specs'!#REF!,"AAAAAHX3tw0=")</f>
        <v>#REF!</v>
      </c>
      <c r="O11" t="e">
        <f>AND('boilerplate specs'!#REF!,"AAAAAHX3tw4=")</f>
        <v>#REF!</v>
      </c>
      <c r="P11" t="e">
        <f>AND('boilerplate specs'!#REF!,"AAAAAHX3tw8=")</f>
        <v>#REF!</v>
      </c>
      <c r="Q11" t="e">
        <f>AND('boilerplate specs'!#REF!,"AAAAAHX3txA=")</f>
        <v>#REF!</v>
      </c>
      <c r="R11" t="e">
        <f>AND('boilerplate specs'!#REF!,"AAAAAHX3txE=")</f>
        <v>#REF!</v>
      </c>
      <c r="S11" t="e">
        <f>AND('boilerplate specs'!#REF!,"AAAAAHX3txI=")</f>
        <v>#REF!</v>
      </c>
      <c r="T11" t="e">
        <f>AND('boilerplate specs'!#REF!,"AAAAAHX3txM=")</f>
        <v>#REF!</v>
      </c>
      <c r="U11" t="e">
        <f>AND('boilerplate specs'!#REF!,"AAAAAHX3txQ=")</f>
        <v>#REF!</v>
      </c>
      <c r="V11" t="e">
        <f>AND('boilerplate specs'!#REF!,"AAAAAHX3txU=")</f>
        <v>#REF!</v>
      </c>
      <c r="W11" t="e">
        <f>AND('boilerplate specs'!#REF!,"AAAAAHX3txY=")</f>
        <v>#REF!</v>
      </c>
      <c r="X11" t="e">
        <f>AND('boilerplate specs'!#REF!,"AAAAAHX3txc=")</f>
        <v>#REF!</v>
      </c>
      <c r="Y11" t="e">
        <f>AND('boilerplate specs'!#REF!,"AAAAAHX3txg=")</f>
        <v>#REF!</v>
      </c>
      <c r="Z11" t="e">
        <f>AND('boilerplate specs'!#REF!,"AAAAAHX3txk=")</f>
        <v>#REF!</v>
      </c>
      <c r="AA11" t="e">
        <f>AND('boilerplate specs'!#REF!,"AAAAAHX3txo=")</f>
        <v>#REF!</v>
      </c>
      <c r="AB11" t="e">
        <f>IF('boilerplate specs'!#REF!,"AAAAAHX3txs=",0)</f>
        <v>#REF!</v>
      </c>
      <c r="AC11" t="e">
        <f>AND('boilerplate specs'!#REF!,"AAAAAHX3txw=")</f>
        <v>#REF!</v>
      </c>
      <c r="AD11" t="e">
        <f>AND('boilerplate specs'!#REF!,"AAAAAHX3tx0=")</f>
        <v>#REF!</v>
      </c>
      <c r="AE11" t="e">
        <f>AND('boilerplate specs'!#REF!,"AAAAAHX3tx4=")</f>
        <v>#REF!</v>
      </c>
      <c r="AF11" t="e">
        <f>AND('boilerplate specs'!#REF!,"AAAAAHX3tx8=")</f>
        <v>#REF!</v>
      </c>
      <c r="AG11" t="e">
        <f>AND('boilerplate specs'!#REF!,"AAAAAHX3tyA=")</f>
        <v>#REF!</v>
      </c>
      <c r="AH11" t="e">
        <f>AND('boilerplate specs'!#REF!,"AAAAAHX3tyE=")</f>
        <v>#REF!</v>
      </c>
      <c r="AI11" t="e">
        <f>AND('boilerplate specs'!#REF!,"AAAAAHX3tyI=")</f>
        <v>#REF!</v>
      </c>
      <c r="AJ11" t="e">
        <f>AND('boilerplate specs'!#REF!,"AAAAAHX3tyM=")</f>
        <v>#REF!</v>
      </c>
      <c r="AK11" t="e">
        <f>AND('boilerplate specs'!#REF!,"AAAAAHX3tyQ=")</f>
        <v>#REF!</v>
      </c>
      <c r="AL11" t="e">
        <f>AND('boilerplate specs'!#REF!,"AAAAAHX3tyU=")</f>
        <v>#REF!</v>
      </c>
      <c r="AM11" t="e">
        <f>AND('boilerplate specs'!#REF!,"AAAAAHX3tyY=")</f>
        <v>#REF!</v>
      </c>
      <c r="AN11" t="e">
        <f>AND('boilerplate specs'!#REF!,"AAAAAHX3tyc=")</f>
        <v>#REF!</v>
      </c>
      <c r="AO11" t="e">
        <f>AND('boilerplate specs'!#REF!,"AAAAAHX3tyg=")</f>
        <v>#REF!</v>
      </c>
      <c r="AP11" t="e">
        <f>AND('boilerplate specs'!#REF!,"AAAAAHX3tyk=")</f>
        <v>#REF!</v>
      </c>
      <c r="AQ11" t="e">
        <f>AND('boilerplate specs'!#REF!,"AAAAAHX3tyo=")</f>
        <v>#REF!</v>
      </c>
      <c r="AR11" t="e">
        <f>AND('boilerplate specs'!#REF!,"AAAAAHX3tys=")</f>
        <v>#REF!</v>
      </c>
      <c r="AS11" t="e">
        <f>AND('boilerplate specs'!#REF!,"AAAAAHX3tyw=")</f>
        <v>#REF!</v>
      </c>
      <c r="AT11" t="e">
        <f>AND('boilerplate specs'!#REF!,"AAAAAHX3ty0=")</f>
        <v>#REF!</v>
      </c>
      <c r="AU11" t="e">
        <f>AND('boilerplate specs'!#REF!,"AAAAAHX3ty4=")</f>
        <v>#REF!</v>
      </c>
      <c r="AV11" t="e">
        <f>AND('boilerplate specs'!#REF!,"AAAAAHX3ty8=")</f>
        <v>#REF!</v>
      </c>
      <c r="AW11" t="e">
        <f>AND('boilerplate specs'!#REF!,"AAAAAHX3tzA=")</f>
        <v>#REF!</v>
      </c>
      <c r="AX11" t="e">
        <f>AND('boilerplate specs'!#REF!,"AAAAAHX3tzE=")</f>
        <v>#REF!</v>
      </c>
      <c r="AY11" t="e">
        <f>AND('boilerplate specs'!#REF!,"AAAAAHX3tzI=")</f>
        <v>#REF!</v>
      </c>
      <c r="AZ11" t="e">
        <f>AND('boilerplate specs'!#REF!,"AAAAAHX3tzM=")</f>
        <v>#REF!</v>
      </c>
      <c r="BA11" t="e">
        <f>AND('boilerplate specs'!#REF!,"AAAAAHX3tzQ=")</f>
        <v>#REF!</v>
      </c>
      <c r="BB11" t="e">
        <f>AND('boilerplate specs'!#REF!,"AAAAAHX3tzU=")</f>
        <v>#REF!</v>
      </c>
      <c r="BC11" t="e">
        <f>AND('boilerplate specs'!#REF!,"AAAAAHX3tzY=")</f>
        <v>#REF!</v>
      </c>
      <c r="BD11" t="e">
        <f>AND('boilerplate specs'!#REF!,"AAAAAHX3tzc=")</f>
        <v>#REF!</v>
      </c>
      <c r="BE11" t="e">
        <f>AND('boilerplate specs'!#REF!,"AAAAAHX3tzg=")</f>
        <v>#REF!</v>
      </c>
      <c r="BF11" t="e">
        <f>AND('boilerplate specs'!#REF!,"AAAAAHX3tzk=")</f>
        <v>#REF!</v>
      </c>
      <c r="BG11" t="e">
        <f>AND('boilerplate specs'!#REF!,"AAAAAHX3tzo=")</f>
        <v>#REF!</v>
      </c>
      <c r="BH11" t="e">
        <f>AND('boilerplate specs'!#REF!,"AAAAAHX3tzs=")</f>
        <v>#REF!</v>
      </c>
      <c r="BI11" t="e">
        <f>IF('boilerplate specs'!#REF!,"AAAAAHX3tzw=",0)</f>
        <v>#REF!</v>
      </c>
      <c r="BJ11" t="e">
        <f>AND('boilerplate specs'!#REF!,"AAAAAHX3tz0=")</f>
        <v>#REF!</v>
      </c>
      <c r="BK11" t="e">
        <f>AND('boilerplate specs'!#REF!,"AAAAAHX3tz4=")</f>
        <v>#REF!</v>
      </c>
      <c r="BL11" t="e">
        <f>AND('boilerplate specs'!#REF!,"AAAAAHX3tz8=")</f>
        <v>#REF!</v>
      </c>
      <c r="BM11" t="e">
        <f>AND('boilerplate specs'!#REF!,"AAAAAHX3t0A=")</f>
        <v>#REF!</v>
      </c>
      <c r="BN11" t="e">
        <f>AND('boilerplate specs'!#REF!,"AAAAAHX3t0E=")</f>
        <v>#REF!</v>
      </c>
      <c r="BO11" t="e">
        <f>AND('boilerplate specs'!#REF!,"AAAAAHX3t0I=")</f>
        <v>#REF!</v>
      </c>
      <c r="BP11" t="e">
        <f>AND('boilerplate specs'!#REF!,"AAAAAHX3t0M=")</f>
        <v>#REF!</v>
      </c>
      <c r="BQ11" t="e">
        <f>AND('boilerplate specs'!#REF!,"AAAAAHX3t0Q=")</f>
        <v>#REF!</v>
      </c>
      <c r="BR11" t="e">
        <f>AND('boilerplate specs'!#REF!,"AAAAAHX3t0U=")</f>
        <v>#REF!</v>
      </c>
      <c r="BS11" t="e">
        <f>AND('boilerplate specs'!#REF!,"AAAAAHX3t0Y=")</f>
        <v>#REF!</v>
      </c>
      <c r="BT11" t="e">
        <f>AND('boilerplate specs'!#REF!,"AAAAAHX3t0c=")</f>
        <v>#REF!</v>
      </c>
      <c r="BU11" t="e">
        <f>AND('boilerplate specs'!#REF!,"AAAAAHX3t0g=")</f>
        <v>#REF!</v>
      </c>
      <c r="BV11" t="e">
        <f>AND('boilerplate specs'!#REF!,"AAAAAHX3t0k=")</f>
        <v>#REF!</v>
      </c>
      <c r="BW11" t="e">
        <f>AND('boilerplate specs'!#REF!,"AAAAAHX3t0o=")</f>
        <v>#REF!</v>
      </c>
      <c r="BX11" t="e">
        <f>AND('boilerplate specs'!#REF!,"AAAAAHX3t0s=")</f>
        <v>#REF!</v>
      </c>
      <c r="BY11" t="e">
        <f>AND('boilerplate specs'!#REF!,"AAAAAHX3t0w=")</f>
        <v>#REF!</v>
      </c>
      <c r="BZ11" t="e">
        <f>AND('boilerplate specs'!#REF!,"AAAAAHX3t00=")</f>
        <v>#REF!</v>
      </c>
      <c r="CA11" t="e">
        <f>AND('boilerplate specs'!#REF!,"AAAAAHX3t04=")</f>
        <v>#REF!</v>
      </c>
      <c r="CB11" t="e">
        <f>AND('boilerplate specs'!#REF!,"AAAAAHX3t08=")</f>
        <v>#REF!</v>
      </c>
      <c r="CC11" t="e">
        <f>AND('boilerplate specs'!#REF!,"AAAAAHX3t1A=")</f>
        <v>#REF!</v>
      </c>
      <c r="CD11" t="e">
        <f>AND('boilerplate specs'!#REF!,"AAAAAHX3t1E=")</f>
        <v>#REF!</v>
      </c>
      <c r="CE11" t="e">
        <f>AND('boilerplate specs'!#REF!,"AAAAAHX3t1I=")</f>
        <v>#REF!</v>
      </c>
      <c r="CF11" t="e">
        <f>AND('boilerplate specs'!#REF!,"AAAAAHX3t1M=")</f>
        <v>#REF!</v>
      </c>
      <c r="CG11" t="e">
        <f>AND('boilerplate specs'!#REF!,"AAAAAHX3t1Q=")</f>
        <v>#REF!</v>
      </c>
      <c r="CH11" t="e">
        <f>AND('boilerplate specs'!#REF!,"AAAAAHX3t1U=")</f>
        <v>#REF!</v>
      </c>
      <c r="CI11" t="e">
        <f>AND('boilerplate specs'!#REF!,"AAAAAHX3t1Y=")</f>
        <v>#REF!</v>
      </c>
      <c r="CJ11" t="e">
        <f>AND('boilerplate specs'!#REF!,"AAAAAHX3t1c=")</f>
        <v>#REF!</v>
      </c>
      <c r="CK11" t="e">
        <f>AND('boilerplate specs'!#REF!,"AAAAAHX3t1g=")</f>
        <v>#REF!</v>
      </c>
      <c r="CL11" t="e">
        <f>AND('boilerplate specs'!#REF!,"AAAAAHX3t1k=")</f>
        <v>#REF!</v>
      </c>
      <c r="CM11" t="e">
        <f>AND('boilerplate specs'!#REF!,"AAAAAHX3t1o=")</f>
        <v>#REF!</v>
      </c>
      <c r="CN11" t="e">
        <f>AND('boilerplate specs'!#REF!,"AAAAAHX3t1s=")</f>
        <v>#REF!</v>
      </c>
      <c r="CO11" t="e">
        <f>AND('boilerplate specs'!#REF!,"AAAAAHX3t1w=")</f>
        <v>#REF!</v>
      </c>
      <c r="CP11" t="e">
        <f>IF('boilerplate specs'!#REF!,"AAAAAHX3t10=",0)</f>
        <v>#REF!</v>
      </c>
      <c r="CQ11" t="e">
        <f>AND('boilerplate specs'!#REF!,"AAAAAHX3t14=")</f>
        <v>#REF!</v>
      </c>
      <c r="CR11" t="e">
        <f>AND('boilerplate specs'!#REF!,"AAAAAHX3t18=")</f>
        <v>#REF!</v>
      </c>
      <c r="CS11" t="e">
        <f>AND('boilerplate specs'!#REF!,"AAAAAHX3t2A=")</f>
        <v>#REF!</v>
      </c>
      <c r="CT11" t="e">
        <f>AND('boilerplate specs'!#REF!,"AAAAAHX3t2E=")</f>
        <v>#REF!</v>
      </c>
      <c r="CU11" t="e">
        <f>AND('boilerplate specs'!#REF!,"AAAAAHX3t2I=")</f>
        <v>#REF!</v>
      </c>
      <c r="CV11" t="e">
        <f>AND('boilerplate specs'!#REF!,"AAAAAHX3t2M=")</f>
        <v>#REF!</v>
      </c>
      <c r="CW11" t="e">
        <f>AND('boilerplate specs'!#REF!,"AAAAAHX3t2Q=")</f>
        <v>#REF!</v>
      </c>
      <c r="CX11" t="e">
        <f>AND('boilerplate specs'!#REF!,"AAAAAHX3t2U=")</f>
        <v>#REF!</v>
      </c>
      <c r="CY11" t="e">
        <f>AND('boilerplate specs'!#REF!,"AAAAAHX3t2Y=")</f>
        <v>#REF!</v>
      </c>
      <c r="CZ11" t="e">
        <f>AND('boilerplate specs'!#REF!,"AAAAAHX3t2c=")</f>
        <v>#REF!</v>
      </c>
      <c r="DA11" t="e">
        <f>AND('boilerplate specs'!#REF!,"AAAAAHX3t2g=")</f>
        <v>#REF!</v>
      </c>
      <c r="DB11" t="e">
        <f>AND('boilerplate specs'!#REF!,"AAAAAHX3t2k=")</f>
        <v>#REF!</v>
      </c>
      <c r="DC11" t="e">
        <f>AND('boilerplate specs'!#REF!,"AAAAAHX3t2o=")</f>
        <v>#REF!</v>
      </c>
      <c r="DD11" t="e">
        <f>AND('boilerplate specs'!#REF!,"AAAAAHX3t2s=")</f>
        <v>#REF!</v>
      </c>
      <c r="DE11" t="e">
        <f>AND('boilerplate specs'!#REF!,"AAAAAHX3t2w=")</f>
        <v>#REF!</v>
      </c>
      <c r="DF11" t="e">
        <f>AND('boilerplate specs'!#REF!,"AAAAAHX3t20=")</f>
        <v>#REF!</v>
      </c>
      <c r="DG11" t="e">
        <f>AND('boilerplate specs'!#REF!,"AAAAAHX3t24=")</f>
        <v>#REF!</v>
      </c>
      <c r="DH11" t="e">
        <f>AND('boilerplate specs'!#REF!,"AAAAAHX3t28=")</f>
        <v>#REF!</v>
      </c>
      <c r="DI11" t="e">
        <f>AND('boilerplate specs'!#REF!,"AAAAAHX3t3A=")</f>
        <v>#REF!</v>
      </c>
      <c r="DJ11" t="e">
        <f>AND('boilerplate specs'!#REF!,"AAAAAHX3t3E=")</f>
        <v>#REF!</v>
      </c>
      <c r="DK11" t="e">
        <f>AND('boilerplate specs'!#REF!,"AAAAAHX3t3I=")</f>
        <v>#REF!</v>
      </c>
      <c r="DL11" t="e">
        <f>AND('boilerplate specs'!#REF!,"AAAAAHX3t3M=")</f>
        <v>#REF!</v>
      </c>
      <c r="DM11" t="e">
        <f>AND('boilerplate specs'!#REF!,"AAAAAHX3t3Q=")</f>
        <v>#REF!</v>
      </c>
      <c r="DN11" t="e">
        <f>AND('boilerplate specs'!#REF!,"AAAAAHX3t3U=")</f>
        <v>#REF!</v>
      </c>
      <c r="DO11" t="e">
        <f>AND('boilerplate specs'!#REF!,"AAAAAHX3t3Y=")</f>
        <v>#REF!</v>
      </c>
      <c r="DP11" t="e">
        <f>AND('boilerplate specs'!#REF!,"AAAAAHX3t3c=")</f>
        <v>#REF!</v>
      </c>
      <c r="DQ11" t="e">
        <f>AND('boilerplate specs'!#REF!,"AAAAAHX3t3g=")</f>
        <v>#REF!</v>
      </c>
      <c r="DR11" t="e">
        <f>AND('boilerplate specs'!#REF!,"AAAAAHX3t3k=")</f>
        <v>#REF!</v>
      </c>
      <c r="DS11" t="e">
        <f>AND('boilerplate specs'!#REF!,"AAAAAHX3t3o=")</f>
        <v>#REF!</v>
      </c>
      <c r="DT11" t="e">
        <f>AND('boilerplate specs'!#REF!,"AAAAAHX3t3s=")</f>
        <v>#REF!</v>
      </c>
      <c r="DU11" t="e">
        <f>AND('boilerplate specs'!#REF!,"AAAAAHX3t3w=")</f>
        <v>#REF!</v>
      </c>
      <c r="DV11" t="e">
        <f>AND('boilerplate specs'!#REF!,"AAAAAHX3t30=")</f>
        <v>#REF!</v>
      </c>
      <c r="DW11" t="e">
        <f>IF('boilerplate specs'!#REF!,"AAAAAHX3t34=",0)</f>
        <v>#REF!</v>
      </c>
      <c r="DX11" t="e">
        <f>AND('boilerplate specs'!#REF!,"AAAAAHX3t38=")</f>
        <v>#REF!</v>
      </c>
      <c r="DY11" t="e">
        <f>AND('boilerplate specs'!#REF!,"AAAAAHX3t4A=")</f>
        <v>#REF!</v>
      </c>
      <c r="DZ11" t="e">
        <f>AND('boilerplate specs'!#REF!,"AAAAAHX3t4E=")</f>
        <v>#REF!</v>
      </c>
      <c r="EA11" t="e">
        <f>AND('boilerplate specs'!#REF!,"AAAAAHX3t4I=")</f>
        <v>#REF!</v>
      </c>
      <c r="EB11" t="e">
        <f>AND('boilerplate specs'!#REF!,"AAAAAHX3t4M=")</f>
        <v>#REF!</v>
      </c>
      <c r="EC11" t="e">
        <f>AND('boilerplate specs'!#REF!,"AAAAAHX3t4Q=")</f>
        <v>#REF!</v>
      </c>
      <c r="ED11" t="e">
        <f>AND('boilerplate specs'!#REF!,"AAAAAHX3t4U=")</f>
        <v>#REF!</v>
      </c>
      <c r="EE11" t="e">
        <f>AND('boilerplate specs'!#REF!,"AAAAAHX3t4Y=")</f>
        <v>#REF!</v>
      </c>
      <c r="EF11" t="e">
        <f>AND('boilerplate specs'!#REF!,"AAAAAHX3t4c=")</f>
        <v>#REF!</v>
      </c>
      <c r="EG11" t="e">
        <f>AND('boilerplate specs'!#REF!,"AAAAAHX3t4g=")</f>
        <v>#REF!</v>
      </c>
      <c r="EH11" t="e">
        <f>AND('boilerplate specs'!#REF!,"AAAAAHX3t4k=")</f>
        <v>#REF!</v>
      </c>
      <c r="EI11" t="e">
        <f>AND('boilerplate specs'!#REF!,"AAAAAHX3t4o=")</f>
        <v>#REF!</v>
      </c>
      <c r="EJ11" t="e">
        <f>AND('boilerplate specs'!#REF!,"AAAAAHX3t4s=")</f>
        <v>#REF!</v>
      </c>
      <c r="EK11" t="e">
        <f>AND('boilerplate specs'!#REF!,"AAAAAHX3t4w=")</f>
        <v>#REF!</v>
      </c>
      <c r="EL11" t="e">
        <f>AND('boilerplate specs'!#REF!,"AAAAAHX3t40=")</f>
        <v>#REF!</v>
      </c>
      <c r="EM11" t="e">
        <f>AND('boilerplate specs'!#REF!,"AAAAAHX3t44=")</f>
        <v>#REF!</v>
      </c>
      <c r="EN11" t="e">
        <f>AND('boilerplate specs'!#REF!,"AAAAAHX3t48=")</f>
        <v>#REF!</v>
      </c>
      <c r="EO11" t="e">
        <f>AND('boilerplate specs'!#REF!,"AAAAAHX3t5A=")</f>
        <v>#REF!</v>
      </c>
      <c r="EP11" t="e">
        <f>AND('boilerplate specs'!#REF!,"AAAAAHX3t5E=")</f>
        <v>#REF!</v>
      </c>
      <c r="EQ11" t="e">
        <f>AND('boilerplate specs'!#REF!,"AAAAAHX3t5I=")</f>
        <v>#REF!</v>
      </c>
      <c r="ER11" t="e">
        <f>AND('boilerplate specs'!#REF!,"AAAAAHX3t5M=")</f>
        <v>#REF!</v>
      </c>
      <c r="ES11" t="e">
        <f>AND('boilerplate specs'!#REF!,"AAAAAHX3t5Q=")</f>
        <v>#REF!</v>
      </c>
      <c r="ET11" t="e">
        <f>AND('boilerplate specs'!#REF!,"AAAAAHX3t5U=")</f>
        <v>#REF!</v>
      </c>
      <c r="EU11" t="e">
        <f>AND('boilerplate specs'!#REF!,"AAAAAHX3t5Y=")</f>
        <v>#REF!</v>
      </c>
      <c r="EV11" t="e">
        <f>AND('boilerplate specs'!#REF!,"AAAAAHX3t5c=")</f>
        <v>#REF!</v>
      </c>
      <c r="EW11" t="e">
        <f>AND('boilerplate specs'!#REF!,"AAAAAHX3t5g=")</f>
        <v>#REF!</v>
      </c>
      <c r="EX11" t="e">
        <f>AND('boilerplate specs'!#REF!,"AAAAAHX3t5k=")</f>
        <v>#REF!</v>
      </c>
      <c r="EY11" t="e">
        <f>AND('boilerplate specs'!#REF!,"AAAAAHX3t5o=")</f>
        <v>#REF!</v>
      </c>
      <c r="EZ11" t="e">
        <f>AND('boilerplate specs'!#REF!,"AAAAAHX3t5s=")</f>
        <v>#REF!</v>
      </c>
      <c r="FA11" t="e">
        <f>AND('boilerplate specs'!#REF!,"AAAAAHX3t5w=")</f>
        <v>#REF!</v>
      </c>
      <c r="FB11" t="e">
        <f>AND('boilerplate specs'!#REF!,"AAAAAHX3t50=")</f>
        <v>#REF!</v>
      </c>
      <c r="FC11" t="e">
        <f>AND('boilerplate specs'!#REF!,"AAAAAHX3t54=")</f>
        <v>#REF!</v>
      </c>
      <c r="FD11" t="e">
        <f>IF('boilerplate specs'!#REF!,"AAAAAHX3t58=",0)</f>
        <v>#REF!</v>
      </c>
      <c r="FE11" t="e">
        <f>AND('boilerplate specs'!#REF!,"AAAAAHX3t6A=")</f>
        <v>#REF!</v>
      </c>
      <c r="FF11" t="e">
        <f>AND('boilerplate specs'!#REF!,"AAAAAHX3t6E=")</f>
        <v>#REF!</v>
      </c>
      <c r="FG11" t="e">
        <f>AND('boilerplate specs'!#REF!,"AAAAAHX3t6I=")</f>
        <v>#REF!</v>
      </c>
      <c r="FH11" t="e">
        <f>AND('boilerplate specs'!#REF!,"AAAAAHX3t6M=")</f>
        <v>#REF!</v>
      </c>
      <c r="FI11" t="e">
        <f>AND('boilerplate specs'!#REF!,"AAAAAHX3t6Q=")</f>
        <v>#REF!</v>
      </c>
      <c r="FJ11" t="e">
        <f>AND('boilerplate specs'!#REF!,"AAAAAHX3t6U=")</f>
        <v>#REF!</v>
      </c>
      <c r="FK11" t="e">
        <f>AND('boilerplate specs'!#REF!,"AAAAAHX3t6Y=")</f>
        <v>#REF!</v>
      </c>
      <c r="FL11" t="e">
        <f>AND('boilerplate specs'!#REF!,"AAAAAHX3t6c=")</f>
        <v>#REF!</v>
      </c>
      <c r="FM11" t="e">
        <f>AND('boilerplate specs'!#REF!,"AAAAAHX3t6g=")</f>
        <v>#REF!</v>
      </c>
      <c r="FN11" t="e">
        <f>AND('boilerplate specs'!#REF!,"AAAAAHX3t6k=")</f>
        <v>#REF!</v>
      </c>
      <c r="FO11" t="e">
        <f>AND('boilerplate specs'!#REF!,"AAAAAHX3t6o=")</f>
        <v>#REF!</v>
      </c>
      <c r="FP11" t="e">
        <f>AND('boilerplate specs'!#REF!,"AAAAAHX3t6s=")</f>
        <v>#REF!</v>
      </c>
      <c r="FQ11" t="e">
        <f>AND('boilerplate specs'!#REF!,"AAAAAHX3t6w=")</f>
        <v>#REF!</v>
      </c>
      <c r="FR11" t="e">
        <f>AND('boilerplate specs'!#REF!,"AAAAAHX3t60=")</f>
        <v>#REF!</v>
      </c>
      <c r="FS11" t="e">
        <f>AND('boilerplate specs'!#REF!,"AAAAAHX3t64=")</f>
        <v>#REF!</v>
      </c>
      <c r="FT11" t="e">
        <f>AND('boilerplate specs'!#REF!,"AAAAAHX3t68=")</f>
        <v>#REF!</v>
      </c>
      <c r="FU11" t="e">
        <f>AND('boilerplate specs'!#REF!,"AAAAAHX3t7A=")</f>
        <v>#REF!</v>
      </c>
      <c r="FV11" t="e">
        <f>AND('boilerplate specs'!#REF!,"AAAAAHX3t7E=")</f>
        <v>#REF!</v>
      </c>
      <c r="FW11" t="e">
        <f>AND('boilerplate specs'!#REF!,"AAAAAHX3t7I=")</f>
        <v>#REF!</v>
      </c>
      <c r="FX11" t="e">
        <f>AND('boilerplate specs'!#REF!,"AAAAAHX3t7M=")</f>
        <v>#REF!</v>
      </c>
      <c r="FY11" t="e">
        <f>AND('boilerplate specs'!#REF!,"AAAAAHX3t7Q=")</f>
        <v>#REF!</v>
      </c>
      <c r="FZ11" t="e">
        <f>AND('boilerplate specs'!#REF!,"AAAAAHX3t7U=")</f>
        <v>#REF!</v>
      </c>
      <c r="GA11" t="e">
        <f>AND('boilerplate specs'!#REF!,"AAAAAHX3t7Y=")</f>
        <v>#REF!</v>
      </c>
      <c r="GB11" t="e">
        <f>AND('boilerplate specs'!#REF!,"AAAAAHX3t7c=")</f>
        <v>#REF!</v>
      </c>
      <c r="GC11" t="e">
        <f>AND('boilerplate specs'!#REF!,"AAAAAHX3t7g=")</f>
        <v>#REF!</v>
      </c>
      <c r="GD11" t="e">
        <f>AND('boilerplate specs'!#REF!,"AAAAAHX3t7k=")</f>
        <v>#REF!</v>
      </c>
      <c r="GE11" t="e">
        <f>AND('boilerplate specs'!#REF!,"AAAAAHX3t7o=")</f>
        <v>#REF!</v>
      </c>
      <c r="GF11" t="e">
        <f>AND('boilerplate specs'!#REF!,"AAAAAHX3t7s=")</f>
        <v>#REF!</v>
      </c>
      <c r="GG11" t="e">
        <f>AND('boilerplate specs'!#REF!,"AAAAAHX3t7w=")</f>
        <v>#REF!</v>
      </c>
      <c r="GH11" t="e">
        <f>AND('boilerplate specs'!#REF!,"AAAAAHX3t70=")</f>
        <v>#REF!</v>
      </c>
      <c r="GI11" t="e">
        <f>AND('boilerplate specs'!#REF!,"AAAAAHX3t74=")</f>
        <v>#REF!</v>
      </c>
      <c r="GJ11" t="e">
        <f>AND('boilerplate specs'!#REF!,"AAAAAHX3t78=")</f>
        <v>#REF!</v>
      </c>
      <c r="GK11" t="e">
        <f>IF('boilerplate specs'!#REF!,"AAAAAHX3t8A=",0)</f>
        <v>#REF!</v>
      </c>
      <c r="GL11" t="e">
        <f>AND('boilerplate specs'!#REF!,"AAAAAHX3t8E=")</f>
        <v>#REF!</v>
      </c>
      <c r="GM11" t="e">
        <f>AND('boilerplate specs'!#REF!,"AAAAAHX3t8I=")</f>
        <v>#REF!</v>
      </c>
      <c r="GN11" t="e">
        <f>AND('boilerplate specs'!#REF!,"AAAAAHX3t8M=")</f>
        <v>#REF!</v>
      </c>
      <c r="GO11" t="e">
        <f>AND('boilerplate specs'!#REF!,"AAAAAHX3t8Q=")</f>
        <v>#REF!</v>
      </c>
      <c r="GP11" t="e">
        <f>AND('boilerplate specs'!#REF!,"AAAAAHX3t8U=")</f>
        <v>#REF!</v>
      </c>
      <c r="GQ11" t="e">
        <f>AND('boilerplate specs'!#REF!,"AAAAAHX3t8Y=")</f>
        <v>#REF!</v>
      </c>
      <c r="GR11" t="e">
        <f>AND('boilerplate specs'!#REF!,"AAAAAHX3t8c=")</f>
        <v>#REF!</v>
      </c>
      <c r="GS11" t="e">
        <f>AND('boilerplate specs'!#REF!,"AAAAAHX3t8g=")</f>
        <v>#REF!</v>
      </c>
      <c r="GT11" t="e">
        <f>AND('boilerplate specs'!#REF!,"AAAAAHX3t8k=")</f>
        <v>#REF!</v>
      </c>
      <c r="GU11" t="e">
        <f>AND('boilerplate specs'!#REF!,"AAAAAHX3t8o=")</f>
        <v>#REF!</v>
      </c>
      <c r="GV11" t="e">
        <f>AND('boilerplate specs'!#REF!,"AAAAAHX3t8s=")</f>
        <v>#REF!</v>
      </c>
      <c r="GW11" t="e">
        <f>AND('boilerplate specs'!#REF!,"AAAAAHX3t8w=")</f>
        <v>#REF!</v>
      </c>
      <c r="GX11" t="e">
        <f>AND('boilerplate specs'!#REF!,"AAAAAHX3t80=")</f>
        <v>#REF!</v>
      </c>
      <c r="GY11" t="e">
        <f>AND('boilerplate specs'!#REF!,"AAAAAHX3t84=")</f>
        <v>#REF!</v>
      </c>
      <c r="GZ11" t="e">
        <f>AND('boilerplate specs'!#REF!,"AAAAAHX3t88=")</f>
        <v>#REF!</v>
      </c>
      <c r="HA11" t="e">
        <f>AND('boilerplate specs'!#REF!,"AAAAAHX3t9A=")</f>
        <v>#REF!</v>
      </c>
      <c r="HB11" t="e">
        <f>AND('boilerplate specs'!#REF!,"AAAAAHX3t9E=")</f>
        <v>#REF!</v>
      </c>
      <c r="HC11" t="e">
        <f>AND('boilerplate specs'!#REF!,"AAAAAHX3t9I=")</f>
        <v>#REF!</v>
      </c>
      <c r="HD11" t="e">
        <f>AND('boilerplate specs'!#REF!,"AAAAAHX3t9M=")</f>
        <v>#REF!</v>
      </c>
      <c r="HE11" t="e">
        <f>AND('boilerplate specs'!#REF!,"AAAAAHX3t9Q=")</f>
        <v>#REF!</v>
      </c>
      <c r="HF11" t="e">
        <f>AND('boilerplate specs'!#REF!,"AAAAAHX3t9U=")</f>
        <v>#REF!</v>
      </c>
      <c r="HG11" t="e">
        <f>AND('boilerplate specs'!#REF!,"AAAAAHX3t9Y=")</f>
        <v>#REF!</v>
      </c>
      <c r="HH11" t="e">
        <f>AND('boilerplate specs'!#REF!,"AAAAAHX3t9c=")</f>
        <v>#REF!</v>
      </c>
      <c r="HI11" t="e">
        <f>AND('boilerplate specs'!#REF!,"AAAAAHX3t9g=")</f>
        <v>#REF!</v>
      </c>
      <c r="HJ11" t="e">
        <f>AND('boilerplate specs'!#REF!,"AAAAAHX3t9k=")</f>
        <v>#REF!</v>
      </c>
      <c r="HK11" t="e">
        <f>AND('boilerplate specs'!#REF!,"AAAAAHX3t9o=")</f>
        <v>#REF!</v>
      </c>
      <c r="HL11" t="e">
        <f>AND('boilerplate specs'!#REF!,"AAAAAHX3t9s=")</f>
        <v>#REF!</v>
      </c>
      <c r="HM11" t="e">
        <f>AND('boilerplate specs'!#REF!,"AAAAAHX3t9w=")</f>
        <v>#REF!</v>
      </c>
      <c r="HN11" t="e">
        <f>AND('boilerplate specs'!#REF!,"AAAAAHX3t90=")</f>
        <v>#REF!</v>
      </c>
      <c r="HO11" t="e">
        <f>AND('boilerplate specs'!#REF!,"AAAAAHX3t94=")</f>
        <v>#REF!</v>
      </c>
      <c r="HP11" t="e">
        <f>AND('boilerplate specs'!#REF!,"AAAAAHX3t98=")</f>
        <v>#REF!</v>
      </c>
      <c r="HQ11" t="e">
        <f>AND('boilerplate specs'!#REF!,"AAAAAHX3t+A=")</f>
        <v>#REF!</v>
      </c>
      <c r="HR11">
        <f>IF('boilerplate specs'!24:24,"AAAAAHX3t+E=",0)</f>
        <v>0</v>
      </c>
      <c r="HS11" t="e">
        <f>AND('boilerplate specs'!A24,"AAAAAHX3t+I=")</f>
        <v>#VALUE!</v>
      </c>
      <c r="HT11" t="e">
        <f>AND('boilerplate specs'!B24,"AAAAAHX3t+M=")</f>
        <v>#VALUE!</v>
      </c>
      <c r="HU11" t="e">
        <f>AND('boilerplate specs'!C24,"AAAAAHX3t+Q=")</f>
        <v>#VALUE!</v>
      </c>
      <c r="HV11" t="e">
        <f>AND('boilerplate specs'!D24,"AAAAAHX3t+U=")</f>
        <v>#VALUE!</v>
      </c>
      <c r="HW11" t="e">
        <f>AND('boilerplate specs'!E24,"AAAAAHX3t+Y=")</f>
        <v>#VALUE!</v>
      </c>
      <c r="HX11" t="e">
        <f>AND('boilerplate specs'!F24,"AAAAAHX3t+c=")</f>
        <v>#VALUE!</v>
      </c>
      <c r="HY11" t="e">
        <f>AND('boilerplate specs'!G24,"AAAAAHX3t+g=")</f>
        <v>#VALUE!</v>
      </c>
      <c r="HZ11" t="e">
        <f>AND('boilerplate specs'!H24,"AAAAAHX3t+k=")</f>
        <v>#VALUE!</v>
      </c>
      <c r="IA11" t="e">
        <f>AND('boilerplate specs'!I24,"AAAAAHX3t+o=")</f>
        <v>#VALUE!</v>
      </c>
      <c r="IB11" t="e">
        <f>AND('boilerplate specs'!J24,"AAAAAHX3t+s=")</f>
        <v>#VALUE!</v>
      </c>
      <c r="IC11" t="e">
        <f>AND('boilerplate specs'!#REF!,"AAAAAHX3t+w=")</f>
        <v>#REF!</v>
      </c>
      <c r="ID11" t="e">
        <f>AND('boilerplate specs'!#REF!,"AAAAAHX3t+0=")</f>
        <v>#REF!</v>
      </c>
      <c r="IE11" t="e">
        <f>AND('boilerplate specs'!#REF!,"AAAAAHX3t+4=")</f>
        <v>#REF!</v>
      </c>
      <c r="IF11" t="e">
        <f>AND('boilerplate specs'!#REF!,"AAAAAHX3t+8=")</f>
        <v>#REF!</v>
      </c>
      <c r="IG11" t="e">
        <f>AND('boilerplate specs'!#REF!,"AAAAAHX3t/A=")</f>
        <v>#REF!</v>
      </c>
      <c r="IH11" t="e">
        <f>AND('boilerplate specs'!#REF!,"AAAAAHX3t/E=")</f>
        <v>#REF!</v>
      </c>
      <c r="II11" t="e">
        <f>AND('boilerplate specs'!#REF!,"AAAAAHX3t/I=")</f>
        <v>#REF!</v>
      </c>
      <c r="IJ11" t="e">
        <f>AND('boilerplate specs'!#REF!,"AAAAAHX3t/M=")</f>
        <v>#REF!</v>
      </c>
      <c r="IK11" t="e">
        <f>AND('boilerplate specs'!#REF!,"AAAAAHX3t/Q=")</f>
        <v>#REF!</v>
      </c>
      <c r="IL11" t="e">
        <f>AND('boilerplate specs'!#REF!,"AAAAAHX3t/U=")</f>
        <v>#REF!</v>
      </c>
      <c r="IM11" t="e">
        <f>AND('boilerplate specs'!#REF!,"AAAAAHX3t/Y=")</f>
        <v>#REF!</v>
      </c>
      <c r="IN11" t="e">
        <f>AND('boilerplate specs'!#REF!,"AAAAAHX3t/c=")</f>
        <v>#REF!</v>
      </c>
      <c r="IO11" t="e">
        <f>AND('boilerplate specs'!#REF!,"AAAAAHX3t/g=")</f>
        <v>#REF!</v>
      </c>
      <c r="IP11" t="e">
        <f>AND('boilerplate specs'!#REF!,"AAAAAHX3t/k=")</f>
        <v>#REF!</v>
      </c>
      <c r="IQ11" t="e">
        <f>AND('boilerplate specs'!#REF!,"AAAAAHX3t/o=")</f>
        <v>#REF!</v>
      </c>
      <c r="IR11" t="e">
        <f>AND('boilerplate specs'!#REF!,"AAAAAHX3t/s=")</f>
        <v>#REF!</v>
      </c>
      <c r="IS11" t="e">
        <f>AND('boilerplate specs'!#REF!,"AAAAAHX3t/w=")</f>
        <v>#REF!</v>
      </c>
      <c r="IT11" t="e">
        <f>AND('boilerplate specs'!#REF!,"AAAAAHX3t/0=")</f>
        <v>#REF!</v>
      </c>
      <c r="IU11" t="e">
        <f>AND('boilerplate specs'!#REF!,"AAAAAHX3t/4=")</f>
        <v>#REF!</v>
      </c>
      <c r="IV11" t="e">
        <f>AND('boilerplate specs'!#REF!,"AAAAAHX3t/8=")</f>
        <v>#REF!</v>
      </c>
    </row>
    <row r="12" spans="1:256" x14ac:dyDescent="0.35">
      <c r="A12" t="e">
        <f>AND('boilerplate specs'!#REF!,"AAAAAD8vPwA=")</f>
        <v>#REF!</v>
      </c>
      <c r="B12" t="e">
        <f>AND('boilerplate specs'!#REF!,"AAAAAD8vPwE=")</f>
        <v>#REF!</v>
      </c>
      <c r="C12" t="e">
        <f>IF('boilerplate specs'!25:25,"AAAAAD8vPwI=",0)</f>
        <v>#VALUE!</v>
      </c>
      <c r="D12" t="e">
        <f>AND('boilerplate specs'!A25,"AAAAAD8vPwM=")</f>
        <v>#VALUE!</v>
      </c>
      <c r="E12" t="e">
        <f>AND('boilerplate specs'!B25,"AAAAAD8vPwQ=")</f>
        <v>#VALUE!</v>
      </c>
      <c r="F12" t="e">
        <f>AND('boilerplate specs'!C25,"AAAAAD8vPwU=")</f>
        <v>#VALUE!</v>
      </c>
      <c r="G12" t="e">
        <f>AND('boilerplate specs'!D25,"AAAAAD8vPwY=")</f>
        <v>#VALUE!</v>
      </c>
      <c r="H12" t="e">
        <f>AND('boilerplate specs'!E25,"AAAAAD8vPwc=")</f>
        <v>#VALUE!</v>
      </c>
      <c r="I12" t="e">
        <f>AND('boilerplate specs'!F25,"AAAAAD8vPwg=")</f>
        <v>#VALUE!</v>
      </c>
      <c r="J12" t="e">
        <f>AND('boilerplate specs'!G25,"AAAAAD8vPwk=")</f>
        <v>#VALUE!</v>
      </c>
      <c r="K12" t="e">
        <f>AND('boilerplate specs'!H25,"AAAAAD8vPwo=")</f>
        <v>#VALUE!</v>
      </c>
      <c r="L12" t="e">
        <f>AND('boilerplate specs'!I25,"AAAAAD8vPws=")</f>
        <v>#VALUE!</v>
      </c>
      <c r="M12" t="e">
        <f>AND('boilerplate specs'!J25,"AAAAAD8vPww=")</f>
        <v>#VALUE!</v>
      </c>
      <c r="N12" t="e">
        <f>AND('boilerplate specs'!#REF!,"AAAAAD8vPw0=")</f>
        <v>#REF!</v>
      </c>
      <c r="O12" t="e">
        <f>AND('boilerplate specs'!#REF!,"AAAAAD8vPw4=")</f>
        <v>#REF!</v>
      </c>
      <c r="P12" t="e">
        <f>AND('boilerplate specs'!#REF!,"AAAAAD8vPw8=")</f>
        <v>#REF!</v>
      </c>
      <c r="Q12" t="e">
        <f>AND('boilerplate specs'!#REF!,"AAAAAD8vPxA=")</f>
        <v>#REF!</v>
      </c>
      <c r="R12" t="e">
        <f>AND('boilerplate specs'!#REF!,"AAAAAD8vPxE=")</f>
        <v>#REF!</v>
      </c>
      <c r="S12" t="e">
        <f>AND('boilerplate specs'!#REF!,"AAAAAD8vPxI=")</f>
        <v>#REF!</v>
      </c>
      <c r="T12" t="e">
        <f>AND('boilerplate specs'!#REF!,"AAAAAD8vPxM=")</f>
        <v>#REF!</v>
      </c>
      <c r="U12" t="e">
        <f>AND('boilerplate specs'!#REF!,"AAAAAD8vPxQ=")</f>
        <v>#REF!</v>
      </c>
      <c r="V12" t="e">
        <f>AND('boilerplate specs'!#REF!,"AAAAAD8vPxU=")</f>
        <v>#REF!</v>
      </c>
      <c r="W12" t="e">
        <f>AND('boilerplate specs'!#REF!,"AAAAAD8vPxY=")</f>
        <v>#REF!</v>
      </c>
      <c r="X12" t="e">
        <f>AND('boilerplate specs'!#REF!,"AAAAAD8vPxc=")</f>
        <v>#REF!</v>
      </c>
      <c r="Y12" t="e">
        <f>AND('boilerplate specs'!#REF!,"AAAAAD8vPxg=")</f>
        <v>#REF!</v>
      </c>
      <c r="Z12" t="e">
        <f>AND('boilerplate specs'!#REF!,"AAAAAD8vPxk=")</f>
        <v>#REF!</v>
      </c>
      <c r="AA12" t="e">
        <f>AND('boilerplate specs'!#REF!,"AAAAAD8vPxo=")</f>
        <v>#REF!</v>
      </c>
      <c r="AB12" t="e">
        <f>AND('boilerplate specs'!#REF!,"AAAAAD8vPxs=")</f>
        <v>#REF!</v>
      </c>
      <c r="AC12" t="e">
        <f>AND('boilerplate specs'!#REF!,"AAAAAD8vPxw=")</f>
        <v>#REF!</v>
      </c>
      <c r="AD12" t="e">
        <f>AND('boilerplate specs'!#REF!,"AAAAAD8vPx0=")</f>
        <v>#REF!</v>
      </c>
      <c r="AE12" t="e">
        <f>AND('boilerplate specs'!#REF!,"AAAAAD8vPx4=")</f>
        <v>#REF!</v>
      </c>
      <c r="AF12" t="e">
        <f>AND('boilerplate specs'!#REF!,"AAAAAD8vPx8=")</f>
        <v>#REF!</v>
      </c>
      <c r="AG12" t="e">
        <f>AND('boilerplate specs'!#REF!,"AAAAAD8vPyA=")</f>
        <v>#REF!</v>
      </c>
      <c r="AH12" t="e">
        <f>AND('boilerplate specs'!#REF!,"AAAAAD8vPyE=")</f>
        <v>#REF!</v>
      </c>
      <c r="AI12" t="e">
        <f>AND('boilerplate specs'!#REF!,"AAAAAD8vPyI=")</f>
        <v>#REF!</v>
      </c>
      <c r="AJ12">
        <f>IF('boilerplate specs'!26:26,"AAAAAD8vPyM=",0)</f>
        <v>0</v>
      </c>
      <c r="AK12" t="e">
        <f>AND('boilerplate specs'!A26,"AAAAAD8vPyQ=")</f>
        <v>#VALUE!</v>
      </c>
      <c r="AL12" t="e">
        <f>AND('boilerplate specs'!B26,"AAAAAD8vPyU=")</f>
        <v>#VALUE!</v>
      </c>
      <c r="AM12" t="e">
        <f>AND('boilerplate specs'!C26,"AAAAAD8vPyY=")</f>
        <v>#VALUE!</v>
      </c>
      <c r="AN12" t="e">
        <f>AND('boilerplate specs'!D26,"AAAAAD8vPyc=")</f>
        <v>#VALUE!</v>
      </c>
      <c r="AO12" t="e">
        <f>AND('boilerplate specs'!E26,"AAAAAD8vPyg=")</f>
        <v>#VALUE!</v>
      </c>
      <c r="AP12" t="e">
        <f>AND('boilerplate specs'!F26,"AAAAAD8vPyk=")</f>
        <v>#VALUE!</v>
      </c>
      <c r="AQ12" t="e">
        <f>AND('boilerplate specs'!G26,"AAAAAD8vPyo=")</f>
        <v>#VALUE!</v>
      </c>
      <c r="AR12" t="e">
        <f>AND('boilerplate specs'!H26,"AAAAAD8vPys=")</f>
        <v>#VALUE!</v>
      </c>
      <c r="AS12" t="e">
        <f>AND('boilerplate specs'!I26,"AAAAAD8vPyw=")</f>
        <v>#VALUE!</v>
      </c>
      <c r="AT12" t="e">
        <f>AND('boilerplate specs'!J26,"AAAAAD8vPy0=")</f>
        <v>#VALUE!</v>
      </c>
      <c r="AU12" t="e">
        <f>AND('boilerplate specs'!#REF!,"AAAAAD8vPy4=")</f>
        <v>#REF!</v>
      </c>
      <c r="AV12" t="e">
        <f>AND('boilerplate specs'!#REF!,"AAAAAD8vPy8=")</f>
        <v>#REF!</v>
      </c>
      <c r="AW12" t="e">
        <f>AND('boilerplate specs'!#REF!,"AAAAAD8vPzA=")</f>
        <v>#REF!</v>
      </c>
      <c r="AX12" t="e">
        <f>AND('boilerplate specs'!#REF!,"AAAAAD8vPzE=")</f>
        <v>#REF!</v>
      </c>
      <c r="AY12" t="e">
        <f>AND('boilerplate specs'!#REF!,"AAAAAD8vPzI=")</f>
        <v>#REF!</v>
      </c>
      <c r="AZ12" t="e">
        <f>AND('boilerplate specs'!#REF!,"AAAAAD8vPzM=")</f>
        <v>#REF!</v>
      </c>
      <c r="BA12" t="e">
        <f>AND('boilerplate specs'!#REF!,"AAAAAD8vPzQ=")</f>
        <v>#REF!</v>
      </c>
      <c r="BB12" t="e">
        <f>AND('boilerplate specs'!#REF!,"AAAAAD8vPzU=")</f>
        <v>#REF!</v>
      </c>
      <c r="BC12" t="e">
        <f>AND('boilerplate specs'!#REF!,"AAAAAD8vPzY=")</f>
        <v>#REF!</v>
      </c>
      <c r="BD12" t="e">
        <f>AND('boilerplate specs'!#REF!,"AAAAAD8vPzc=")</f>
        <v>#REF!</v>
      </c>
      <c r="BE12" t="e">
        <f>AND('boilerplate specs'!#REF!,"AAAAAD8vPzg=")</f>
        <v>#REF!</v>
      </c>
      <c r="BF12" t="e">
        <f>AND('boilerplate specs'!#REF!,"AAAAAD8vPzk=")</f>
        <v>#REF!</v>
      </c>
      <c r="BG12" t="e">
        <f>AND('boilerplate specs'!#REF!,"AAAAAD8vPzo=")</f>
        <v>#REF!</v>
      </c>
      <c r="BH12" t="e">
        <f>AND('boilerplate specs'!#REF!,"AAAAAD8vPzs=")</f>
        <v>#REF!</v>
      </c>
      <c r="BI12" t="e">
        <f>AND('boilerplate specs'!#REF!,"AAAAAD8vPzw=")</f>
        <v>#REF!</v>
      </c>
      <c r="BJ12" t="e">
        <f>AND('boilerplate specs'!#REF!,"AAAAAD8vPz0=")</f>
        <v>#REF!</v>
      </c>
      <c r="BK12" t="e">
        <f>AND('boilerplate specs'!#REF!,"AAAAAD8vPz4=")</f>
        <v>#REF!</v>
      </c>
      <c r="BL12" t="e">
        <f>AND('boilerplate specs'!#REF!,"AAAAAD8vPz8=")</f>
        <v>#REF!</v>
      </c>
      <c r="BM12" t="e">
        <f>AND('boilerplate specs'!#REF!,"AAAAAD8vP0A=")</f>
        <v>#REF!</v>
      </c>
      <c r="BN12" t="e">
        <f>AND('boilerplate specs'!#REF!,"AAAAAD8vP0E=")</f>
        <v>#REF!</v>
      </c>
      <c r="BO12" t="e">
        <f>AND('boilerplate specs'!#REF!,"AAAAAD8vP0I=")</f>
        <v>#REF!</v>
      </c>
      <c r="BP12" t="e">
        <f>AND('boilerplate specs'!#REF!,"AAAAAD8vP0M=")</f>
        <v>#REF!</v>
      </c>
      <c r="BQ12">
        <f>IF('boilerplate specs'!27:27,"AAAAAD8vP0Q=",0)</f>
        <v>0</v>
      </c>
      <c r="BR12" t="e">
        <f>AND('boilerplate specs'!A27,"AAAAAD8vP0U=")</f>
        <v>#VALUE!</v>
      </c>
      <c r="BS12" t="e">
        <f>AND('boilerplate specs'!B27,"AAAAAD8vP0Y=")</f>
        <v>#VALUE!</v>
      </c>
      <c r="BT12" t="e">
        <f>AND('boilerplate specs'!C27,"AAAAAD8vP0c=")</f>
        <v>#VALUE!</v>
      </c>
      <c r="BU12" t="e">
        <f>AND('boilerplate specs'!D27,"AAAAAD8vP0g=")</f>
        <v>#VALUE!</v>
      </c>
      <c r="BV12" t="e">
        <f>AND('boilerplate specs'!E27,"AAAAAD8vP0k=")</f>
        <v>#VALUE!</v>
      </c>
      <c r="BW12" t="e">
        <f>AND('boilerplate specs'!F27,"AAAAAD8vP0o=")</f>
        <v>#VALUE!</v>
      </c>
      <c r="BX12" t="e">
        <f>AND('boilerplate specs'!G27,"AAAAAD8vP0s=")</f>
        <v>#VALUE!</v>
      </c>
      <c r="BY12" t="e">
        <f>AND('boilerplate specs'!H27,"AAAAAD8vP0w=")</f>
        <v>#VALUE!</v>
      </c>
      <c r="BZ12" t="e">
        <f>AND('boilerplate specs'!I27,"AAAAAD8vP00=")</f>
        <v>#VALUE!</v>
      </c>
      <c r="CA12" t="e">
        <f>AND('boilerplate specs'!J27,"AAAAAD8vP04=")</f>
        <v>#VALUE!</v>
      </c>
      <c r="CB12" t="e">
        <f>AND('boilerplate specs'!#REF!,"AAAAAD8vP08=")</f>
        <v>#REF!</v>
      </c>
      <c r="CC12" t="e">
        <f>AND('boilerplate specs'!#REF!,"AAAAAD8vP1A=")</f>
        <v>#REF!</v>
      </c>
      <c r="CD12" t="e">
        <f>AND('boilerplate specs'!#REF!,"AAAAAD8vP1E=")</f>
        <v>#REF!</v>
      </c>
      <c r="CE12" t="e">
        <f>AND('boilerplate specs'!#REF!,"AAAAAD8vP1I=")</f>
        <v>#REF!</v>
      </c>
      <c r="CF12" t="e">
        <f>AND('boilerplate specs'!#REF!,"AAAAAD8vP1M=")</f>
        <v>#REF!</v>
      </c>
      <c r="CG12" t="e">
        <f>AND('boilerplate specs'!#REF!,"AAAAAD8vP1Q=")</f>
        <v>#REF!</v>
      </c>
      <c r="CH12" t="e">
        <f>AND('boilerplate specs'!#REF!,"AAAAAD8vP1U=")</f>
        <v>#REF!</v>
      </c>
      <c r="CI12" t="e">
        <f>AND('boilerplate specs'!#REF!,"AAAAAD8vP1Y=")</f>
        <v>#REF!</v>
      </c>
      <c r="CJ12" t="e">
        <f>AND('boilerplate specs'!#REF!,"AAAAAD8vP1c=")</f>
        <v>#REF!</v>
      </c>
      <c r="CK12" t="e">
        <f>AND('boilerplate specs'!#REF!,"AAAAAD8vP1g=")</f>
        <v>#REF!</v>
      </c>
      <c r="CL12" t="e">
        <f>AND('boilerplate specs'!#REF!,"AAAAAD8vP1k=")</f>
        <v>#REF!</v>
      </c>
      <c r="CM12" t="e">
        <f>AND('boilerplate specs'!#REF!,"AAAAAD8vP1o=")</f>
        <v>#REF!</v>
      </c>
      <c r="CN12" t="e">
        <f>AND('boilerplate specs'!#REF!,"AAAAAD8vP1s=")</f>
        <v>#REF!</v>
      </c>
      <c r="CO12" t="e">
        <f>AND('boilerplate specs'!#REF!,"AAAAAD8vP1w=")</f>
        <v>#REF!</v>
      </c>
      <c r="CP12" t="e">
        <f>AND('boilerplate specs'!#REF!,"AAAAAD8vP10=")</f>
        <v>#REF!</v>
      </c>
      <c r="CQ12" t="e">
        <f>AND('boilerplate specs'!#REF!,"AAAAAD8vP14=")</f>
        <v>#REF!</v>
      </c>
      <c r="CR12" t="e">
        <f>AND('boilerplate specs'!#REF!,"AAAAAD8vP18=")</f>
        <v>#REF!</v>
      </c>
      <c r="CS12" t="e">
        <f>AND('boilerplate specs'!#REF!,"AAAAAD8vP2A=")</f>
        <v>#REF!</v>
      </c>
      <c r="CT12" t="e">
        <f>AND('boilerplate specs'!#REF!,"AAAAAD8vP2E=")</f>
        <v>#REF!</v>
      </c>
      <c r="CU12" t="e">
        <f>AND('boilerplate specs'!#REF!,"AAAAAD8vP2I=")</f>
        <v>#REF!</v>
      </c>
      <c r="CV12" t="e">
        <f>AND('boilerplate specs'!#REF!,"AAAAAD8vP2M=")</f>
        <v>#REF!</v>
      </c>
      <c r="CW12" t="e">
        <f>AND('boilerplate specs'!#REF!,"AAAAAD8vP2Q=")</f>
        <v>#REF!</v>
      </c>
      <c r="CX12">
        <f>IF('boilerplate specs'!28:28,"AAAAAD8vP2U=",0)</f>
        <v>0</v>
      </c>
      <c r="CY12" t="e">
        <f>AND('boilerplate specs'!A28,"AAAAAD8vP2Y=")</f>
        <v>#VALUE!</v>
      </c>
      <c r="CZ12" t="e">
        <f>AND('boilerplate specs'!B28,"AAAAAD8vP2c=")</f>
        <v>#VALUE!</v>
      </c>
      <c r="DA12" t="e">
        <f>AND('boilerplate specs'!C28,"AAAAAD8vP2g=")</f>
        <v>#VALUE!</v>
      </c>
      <c r="DB12" t="e">
        <f>AND('boilerplate specs'!D28,"AAAAAD8vP2k=")</f>
        <v>#VALUE!</v>
      </c>
      <c r="DC12" t="e">
        <f>AND('boilerplate specs'!E28,"AAAAAD8vP2o=")</f>
        <v>#VALUE!</v>
      </c>
      <c r="DD12" t="e">
        <f>AND('boilerplate specs'!F28,"AAAAAD8vP2s=")</f>
        <v>#VALUE!</v>
      </c>
      <c r="DE12" t="e">
        <f>AND('boilerplate specs'!G28,"AAAAAD8vP2w=")</f>
        <v>#VALUE!</v>
      </c>
      <c r="DF12" t="e">
        <f>AND('boilerplate specs'!H28,"AAAAAD8vP20=")</f>
        <v>#VALUE!</v>
      </c>
      <c r="DG12" t="e">
        <f>AND('boilerplate specs'!I28,"AAAAAD8vP24=")</f>
        <v>#VALUE!</v>
      </c>
      <c r="DH12" t="e">
        <f>AND('boilerplate specs'!J28,"AAAAAD8vP28=")</f>
        <v>#VALUE!</v>
      </c>
      <c r="DI12" t="e">
        <f>AND('boilerplate specs'!#REF!,"AAAAAD8vP3A=")</f>
        <v>#REF!</v>
      </c>
      <c r="DJ12" t="e">
        <f>AND('boilerplate specs'!#REF!,"AAAAAD8vP3E=")</f>
        <v>#REF!</v>
      </c>
      <c r="DK12" t="e">
        <f>AND('boilerplate specs'!#REF!,"AAAAAD8vP3I=")</f>
        <v>#REF!</v>
      </c>
      <c r="DL12" t="e">
        <f>AND('boilerplate specs'!#REF!,"AAAAAD8vP3M=")</f>
        <v>#REF!</v>
      </c>
      <c r="DM12" t="e">
        <f>AND('boilerplate specs'!#REF!,"AAAAAD8vP3Q=")</f>
        <v>#REF!</v>
      </c>
      <c r="DN12" t="e">
        <f>AND('boilerplate specs'!#REF!,"AAAAAD8vP3U=")</f>
        <v>#REF!</v>
      </c>
      <c r="DO12" t="e">
        <f>AND('boilerplate specs'!#REF!,"AAAAAD8vP3Y=")</f>
        <v>#REF!</v>
      </c>
      <c r="DP12" t="e">
        <f>AND('boilerplate specs'!#REF!,"AAAAAD8vP3c=")</f>
        <v>#REF!</v>
      </c>
      <c r="DQ12" t="e">
        <f>AND('boilerplate specs'!#REF!,"AAAAAD8vP3g=")</f>
        <v>#REF!</v>
      </c>
      <c r="DR12" t="e">
        <f>AND('boilerplate specs'!#REF!,"AAAAAD8vP3k=")</f>
        <v>#REF!</v>
      </c>
      <c r="DS12" t="e">
        <f>AND('boilerplate specs'!#REF!,"AAAAAD8vP3o=")</f>
        <v>#REF!</v>
      </c>
      <c r="DT12" t="e">
        <f>AND('boilerplate specs'!#REF!,"AAAAAD8vP3s=")</f>
        <v>#REF!</v>
      </c>
      <c r="DU12" t="e">
        <f>AND('boilerplate specs'!#REF!,"AAAAAD8vP3w=")</f>
        <v>#REF!</v>
      </c>
      <c r="DV12" t="e">
        <f>AND('boilerplate specs'!#REF!,"AAAAAD8vP30=")</f>
        <v>#REF!</v>
      </c>
      <c r="DW12" t="e">
        <f>AND('boilerplate specs'!#REF!,"AAAAAD8vP34=")</f>
        <v>#REF!</v>
      </c>
      <c r="DX12" t="e">
        <f>AND('boilerplate specs'!#REF!,"AAAAAD8vP38=")</f>
        <v>#REF!</v>
      </c>
      <c r="DY12" t="e">
        <f>AND('boilerplate specs'!#REF!,"AAAAAD8vP4A=")</f>
        <v>#REF!</v>
      </c>
      <c r="DZ12" t="e">
        <f>AND('boilerplate specs'!#REF!,"AAAAAD8vP4E=")</f>
        <v>#REF!</v>
      </c>
      <c r="EA12" t="e">
        <f>AND('boilerplate specs'!#REF!,"AAAAAD8vP4I=")</f>
        <v>#REF!</v>
      </c>
      <c r="EB12" t="e">
        <f>AND('boilerplate specs'!#REF!,"AAAAAD8vP4M=")</f>
        <v>#REF!</v>
      </c>
      <c r="EC12" t="e">
        <f>AND('boilerplate specs'!#REF!,"AAAAAD8vP4Q=")</f>
        <v>#REF!</v>
      </c>
      <c r="ED12" t="e">
        <f>AND('boilerplate specs'!#REF!,"AAAAAD8vP4U=")</f>
        <v>#REF!</v>
      </c>
      <c r="EE12">
        <f>IF('boilerplate specs'!29:29,"AAAAAD8vP4Y=",0)</f>
        <v>0</v>
      </c>
      <c r="EF12" t="e">
        <f>AND('boilerplate specs'!A29,"AAAAAD8vP4c=")</f>
        <v>#VALUE!</v>
      </c>
      <c r="EG12" t="e">
        <f>AND('boilerplate specs'!B29,"AAAAAD8vP4g=")</f>
        <v>#VALUE!</v>
      </c>
      <c r="EH12" t="e">
        <f>AND('boilerplate specs'!C29,"AAAAAD8vP4k=")</f>
        <v>#VALUE!</v>
      </c>
      <c r="EI12" t="e">
        <f>AND('boilerplate specs'!D29,"AAAAAD8vP4o=")</f>
        <v>#VALUE!</v>
      </c>
      <c r="EJ12" t="e">
        <f>AND('boilerplate specs'!E29,"AAAAAD8vP4s=")</f>
        <v>#VALUE!</v>
      </c>
      <c r="EK12" t="e">
        <f>AND('boilerplate specs'!F29,"AAAAAD8vP4w=")</f>
        <v>#VALUE!</v>
      </c>
      <c r="EL12" t="e">
        <f>AND('boilerplate specs'!G29,"AAAAAD8vP40=")</f>
        <v>#VALUE!</v>
      </c>
      <c r="EM12" t="e">
        <f>AND('boilerplate specs'!H29,"AAAAAD8vP44=")</f>
        <v>#VALUE!</v>
      </c>
      <c r="EN12" t="e">
        <f>AND('boilerplate specs'!I29,"AAAAAD8vP48=")</f>
        <v>#VALUE!</v>
      </c>
      <c r="EO12" t="e">
        <f>AND('boilerplate specs'!J29,"AAAAAD8vP5A=")</f>
        <v>#VALUE!</v>
      </c>
      <c r="EP12" t="e">
        <f>AND('boilerplate specs'!#REF!,"AAAAAD8vP5E=")</f>
        <v>#REF!</v>
      </c>
      <c r="EQ12" t="e">
        <f>AND('boilerplate specs'!#REF!,"AAAAAD8vP5I=")</f>
        <v>#REF!</v>
      </c>
      <c r="ER12" t="e">
        <f>AND('boilerplate specs'!#REF!,"AAAAAD8vP5M=")</f>
        <v>#REF!</v>
      </c>
      <c r="ES12" t="e">
        <f>AND('boilerplate specs'!#REF!,"AAAAAD8vP5Q=")</f>
        <v>#REF!</v>
      </c>
      <c r="ET12" t="e">
        <f>AND('boilerplate specs'!#REF!,"AAAAAD8vP5U=")</f>
        <v>#REF!</v>
      </c>
      <c r="EU12" t="e">
        <f>AND('boilerplate specs'!#REF!,"AAAAAD8vP5Y=")</f>
        <v>#REF!</v>
      </c>
      <c r="EV12" t="e">
        <f>AND('boilerplate specs'!#REF!,"AAAAAD8vP5c=")</f>
        <v>#REF!</v>
      </c>
      <c r="EW12" t="e">
        <f>AND('boilerplate specs'!#REF!,"AAAAAD8vP5g=")</f>
        <v>#REF!</v>
      </c>
      <c r="EX12" t="e">
        <f>AND('boilerplate specs'!#REF!,"AAAAAD8vP5k=")</f>
        <v>#REF!</v>
      </c>
      <c r="EY12" t="e">
        <f>AND('boilerplate specs'!#REF!,"AAAAAD8vP5o=")</f>
        <v>#REF!</v>
      </c>
      <c r="EZ12" t="e">
        <f>AND('boilerplate specs'!#REF!,"AAAAAD8vP5s=")</f>
        <v>#REF!</v>
      </c>
      <c r="FA12" t="e">
        <f>AND('boilerplate specs'!#REF!,"AAAAAD8vP5w=")</f>
        <v>#REF!</v>
      </c>
      <c r="FB12" t="e">
        <f>AND('boilerplate specs'!#REF!,"AAAAAD8vP50=")</f>
        <v>#REF!</v>
      </c>
      <c r="FC12" t="e">
        <f>AND('boilerplate specs'!#REF!,"AAAAAD8vP54=")</f>
        <v>#REF!</v>
      </c>
      <c r="FD12" t="e">
        <f>AND('boilerplate specs'!#REF!,"AAAAAD8vP58=")</f>
        <v>#REF!</v>
      </c>
      <c r="FE12" t="e">
        <f>AND('boilerplate specs'!#REF!,"AAAAAD8vP6A=")</f>
        <v>#REF!</v>
      </c>
      <c r="FF12" t="e">
        <f>AND('boilerplate specs'!#REF!,"AAAAAD8vP6E=")</f>
        <v>#REF!</v>
      </c>
      <c r="FG12" t="e">
        <f>AND('boilerplate specs'!#REF!,"AAAAAD8vP6I=")</f>
        <v>#REF!</v>
      </c>
      <c r="FH12" t="e">
        <f>AND('boilerplate specs'!#REF!,"AAAAAD8vP6M=")</f>
        <v>#REF!</v>
      </c>
      <c r="FI12" t="e">
        <f>AND('boilerplate specs'!#REF!,"AAAAAD8vP6Q=")</f>
        <v>#REF!</v>
      </c>
      <c r="FJ12" t="e">
        <f>AND('boilerplate specs'!#REF!,"AAAAAD8vP6U=")</f>
        <v>#REF!</v>
      </c>
      <c r="FK12" t="e">
        <f>AND('boilerplate specs'!#REF!,"AAAAAD8vP6Y=")</f>
        <v>#REF!</v>
      </c>
      <c r="FL12">
        <f>IF('boilerplate specs'!30:30,"AAAAAD8vP6c=",0)</f>
        <v>0</v>
      </c>
      <c r="FM12" t="e">
        <f>AND('boilerplate specs'!A30,"AAAAAD8vP6g=")</f>
        <v>#VALUE!</v>
      </c>
      <c r="FN12" t="e">
        <f>AND('boilerplate specs'!B30,"AAAAAD8vP6k=")</f>
        <v>#VALUE!</v>
      </c>
      <c r="FO12" t="e">
        <f>AND('boilerplate specs'!C30,"AAAAAD8vP6o=")</f>
        <v>#VALUE!</v>
      </c>
      <c r="FP12" t="e">
        <f>AND('boilerplate specs'!D30,"AAAAAD8vP6s=")</f>
        <v>#VALUE!</v>
      </c>
      <c r="FQ12" t="e">
        <f>AND('boilerplate specs'!E30,"AAAAAD8vP6w=")</f>
        <v>#VALUE!</v>
      </c>
      <c r="FR12" t="e">
        <f>AND('boilerplate specs'!F30,"AAAAAD8vP60=")</f>
        <v>#VALUE!</v>
      </c>
      <c r="FS12" t="e">
        <f>AND('boilerplate specs'!G30,"AAAAAD8vP64=")</f>
        <v>#VALUE!</v>
      </c>
      <c r="FT12" t="e">
        <f>AND('boilerplate specs'!H30,"AAAAAD8vP68=")</f>
        <v>#VALUE!</v>
      </c>
      <c r="FU12" t="e">
        <f>AND('boilerplate specs'!I30,"AAAAAD8vP7A=")</f>
        <v>#VALUE!</v>
      </c>
      <c r="FV12" t="e">
        <f>AND('boilerplate specs'!J30,"AAAAAD8vP7E=")</f>
        <v>#VALUE!</v>
      </c>
      <c r="FW12" t="e">
        <f>AND('boilerplate specs'!#REF!,"AAAAAD8vP7I=")</f>
        <v>#REF!</v>
      </c>
      <c r="FX12" t="e">
        <f>AND('boilerplate specs'!#REF!,"AAAAAD8vP7M=")</f>
        <v>#REF!</v>
      </c>
      <c r="FY12" t="e">
        <f>AND('boilerplate specs'!#REF!,"AAAAAD8vP7Q=")</f>
        <v>#REF!</v>
      </c>
      <c r="FZ12" t="e">
        <f>AND('boilerplate specs'!#REF!,"AAAAAD8vP7U=")</f>
        <v>#REF!</v>
      </c>
      <c r="GA12" t="e">
        <f>AND('boilerplate specs'!#REF!,"AAAAAD8vP7Y=")</f>
        <v>#REF!</v>
      </c>
      <c r="GB12" t="e">
        <f>AND('boilerplate specs'!#REF!,"AAAAAD8vP7c=")</f>
        <v>#REF!</v>
      </c>
      <c r="GC12" t="e">
        <f>AND('boilerplate specs'!#REF!,"AAAAAD8vP7g=")</f>
        <v>#REF!</v>
      </c>
      <c r="GD12" t="e">
        <f>AND('boilerplate specs'!#REF!,"AAAAAD8vP7k=")</f>
        <v>#REF!</v>
      </c>
      <c r="GE12" t="e">
        <f>AND('boilerplate specs'!#REF!,"AAAAAD8vP7o=")</f>
        <v>#REF!</v>
      </c>
      <c r="GF12" t="e">
        <f>AND('boilerplate specs'!#REF!,"AAAAAD8vP7s=")</f>
        <v>#REF!</v>
      </c>
      <c r="GG12" t="e">
        <f>AND('boilerplate specs'!#REF!,"AAAAAD8vP7w=")</f>
        <v>#REF!</v>
      </c>
      <c r="GH12" t="e">
        <f>AND('boilerplate specs'!#REF!,"AAAAAD8vP70=")</f>
        <v>#REF!</v>
      </c>
      <c r="GI12" t="e">
        <f>AND('boilerplate specs'!#REF!,"AAAAAD8vP74=")</f>
        <v>#REF!</v>
      </c>
      <c r="GJ12" t="e">
        <f>AND('boilerplate specs'!#REF!,"AAAAAD8vP78=")</f>
        <v>#REF!</v>
      </c>
      <c r="GK12" t="e">
        <f>AND('boilerplate specs'!#REF!,"AAAAAD8vP8A=")</f>
        <v>#REF!</v>
      </c>
      <c r="GL12" t="e">
        <f>AND('boilerplate specs'!#REF!,"AAAAAD8vP8E=")</f>
        <v>#REF!</v>
      </c>
      <c r="GM12" t="e">
        <f>AND('boilerplate specs'!#REF!,"AAAAAD8vP8I=")</f>
        <v>#REF!</v>
      </c>
      <c r="GN12" t="e">
        <f>AND('boilerplate specs'!#REF!,"AAAAAD8vP8M=")</f>
        <v>#REF!</v>
      </c>
      <c r="GO12" t="e">
        <f>AND('boilerplate specs'!#REF!,"AAAAAD8vP8Q=")</f>
        <v>#REF!</v>
      </c>
      <c r="GP12" t="e">
        <f>AND('boilerplate specs'!#REF!,"AAAAAD8vP8U=")</f>
        <v>#REF!</v>
      </c>
      <c r="GQ12" t="e">
        <f>AND('boilerplate specs'!#REF!,"AAAAAD8vP8Y=")</f>
        <v>#REF!</v>
      </c>
      <c r="GR12" t="e">
        <f>AND('boilerplate specs'!#REF!,"AAAAAD8vP8c=")</f>
        <v>#REF!</v>
      </c>
      <c r="GS12">
        <f>IF('boilerplate specs'!31:31,"AAAAAD8vP8g=",0)</f>
        <v>0</v>
      </c>
      <c r="GT12" t="e">
        <f>AND('boilerplate specs'!A31,"AAAAAD8vP8k=")</f>
        <v>#VALUE!</v>
      </c>
      <c r="GU12" t="e">
        <f>AND('boilerplate specs'!B31,"AAAAAD8vP8o=")</f>
        <v>#VALUE!</v>
      </c>
      <c r="GV12" t="e">
        <f>AND('boilerplate specs'!C31,"AAAAAD8vP8s=")</f>
        <v>#VALUE!</v>
      </c>
      <c r="GW12" t="e">
        <f>AND('boilerplate specs'!D31,"AAAAAD8vP8w=")</f>
        <v>#VALUE!</v>
      </c>
      <c r="GX12" t="e">
        <f>AND('boilerplate specs'!E31,"AAAAAD8vP80=")</f>
        <v>#VALUE!</v>
      </c>
      <c r="GY12" t="e">
        <f>AND('boilerplate specs'!F31,"AAAAAD8vP84=")</f>
        <v>#VALUE!</v>
      </c>
      <c r="GZ12" t="e">
        <f>AND('boilerplate specs'!G31,"AAAAAD8vP88=")</f>
        <v>#VALUE!</v>
      </c>
      <c r="HA12" t="e">
        <f>AND('boilerplate specs'!H31,"AAAAAD8vP9A=")</f>
        <v>#VALUE!</v>
      </c>
      <c r="HB12" t="e">
        <f>AND('boilerplate specs'!I31,"AAAAAD8vP9E=")</f>
        <v>#VALUE!</v>
      </c>
      <c r="HC12" t="e">
        <f>AND('boilerplate specs'!J31,"AAAAAD8vP9I=")</f>
        <v>#VALUE!</v>
      </c>
      <c r="HD12" t="e">
        <f>AND('boilerplate specs'!#REF!,"AAAAAD8vP9M=")</f>
        <v>#REF!</v>
      </c>
      <c r="HE12" t="e">
        <f>AND('boilerplate specs'!#REF!,"AAAAAD8vP9Q=")</f>
        <v>#REF!</v>
      </c>
      <c r="HF12" t="e">
        <f>AND('boilerplate specs'!#REF!,"AAAAAD8vP9U=")</f>
        <v>#REF!</v>
      </c>
      <c r="HG12" t="e">
        <f>AND('boilerplate specs'!#REF!,"AAAAAD8vP9Y=")</f>
        <v>#REF!</v>
      </c>
      <c r="HH12" t="e">
        <f>AND('boilerplate specs'!#REF!,"AAAAAD8vP9c=")</f>
        <v>#REF!</v>
      </c>
      <c r="HI12" t="e">
        <f>AND('boilerplate specs'!#REF!,"AAAAAD8vP9g=")</f>
        <v>#REF!</v>
      </c>
      <c r="HJ12" t="e">
        <f>AND('boilerplate specs'!#REF!,"AAAAAD8vP9k=")</f>
        <v>#REF!</v>
      </c>
      <c r="HK12" t="e">
        <f>AND('boilerplate specs'!#REF!,"AAAAAD8vP9o=")</f>
        <v>#REF!</v>
      </c>
      <c r="HL12" t="e">
        <f>AND('boilerplate specs'!#REF!,"AAAAAD8vP9s=")</f>
        <v>#REF!</v>
      </c>
      <c r="HM12" t="e">
        <f>AND('boilerplate specs'!#REF!,"AAAAAD8vP9w=")</f>
        <v>#REF!</v>
      </c>
      <c r="HN12" t="e">
        <f>AND('boilerplate specs'!#REF!,"AAAAAD8vP90=")</f>
        <v>#REF!</v>
      </c>
      <c r="HO12" t="e">
        <f>AND('boilerplate specs'!#REF!,"AAAAAD8vP94=")</f>
        <v>#REF!</v>
      </c>
      <c r="HP12" t="e">
        <f>AND('boilerplate specs'!#REF!,"AAAAAD8vP98=")</f>
        <v>#REF!</v>
      </c>
      <c r="HQ12" t="e">
        <f>AND('boilerplate specs'!#REF!,"AAAAAD8vP+A=")</f>
        <v>#REF!</v>
      </c>
      <c r="HR12" t="e">
        <f>AND('boilerplate specs'!#REF!,"AAAAAD8vP+E=")</f>
        <v>#REF!</v>
      </c>
      <c r="HS12" t="e">
        <f>AND('boilerplate specs'!#REF!,"AAAAAD8vP+I=")</f>
        <v>#REF!</v>
      </c>
      <c r="HT12" t="e">
        <f>AND('boilerplate specs'!#REF!,"AAAAAD8vP+M=")</f>
        <v>#REF!</v>
      </c>
      <c r="HU12" t="e">
        <f>AND('boilerplate specs'!#REF!,"AAAAAD8vP+Q=")</f>
        <v>#REF!</v>
      </c>
      <c r="HV12" t="e">
        <f>AND('boilerplate specs'!#REF!,"AAAAAD8vP+U=")</f>
        <v>#REF!</v>
      </c>
      <c r="HW12" t="e">
        <f>AND('boilerplate specs'!#REF!,"AAAAAD8vP+Y=")</f>
        <v>#REF!</v>
      </c>
      <c r="HX12" t="e">
        <f>AND('boilerplate specs'!#REF!,"AAAAAD8vP+c=")</f>
        <v>#REF!</v>
      </c>
      <c r="HY12" t="e">
        <f>AND('boilerplate specs'!#REF!,"AAAAAD8vP+g=")</f>
        <v>#REF!</v>
      </c>
      <c r="HZ12">
        <f>IF('boilerplate specs'!32:32,"AAAAAD8vP+k=",0)</f>
        <v>0</v>
      </c>
      <c r="IA12" t="e">
        <f>AND('boilerplate specs'!A32,"AAAAAD8vP+o=")</f>
        <v>#VALUE!</v>
      </c>
      <c r="IB12" t="e">
        <f>AND('boilerplate specs'!B32,"AAAAAD8vP+s=")</f>
        <v>#VALUE!</v>
      </c>
      <c r="IC12" t="e">
        <f>AND('boilerplate specs'!C32,"AAAAAD8vP+w=")</f>
        <v>#VALUE!</v>
      </c>
      <c r="ID12" t="e">
        <f>AND('boilerplate specs'!D32,"AAAAAD8vP+0=")</f>
        <v>#VALUE!</v>
      </c>
      <c r="IE12" t="e">
        <f>AND('boilerplate specs'!E32,"AAAAAD8vP+4=")</f>
        <v>#VALUE!</v>
      </c>
      <c r="IF12" t="e">
        <f>AND('boilerplate specs'!F32,"AAAAAD8vP+8=")</f>
        <v>#VALUE!</v>
      </c>
      <c r="IG12" t="e">
        <f>AND('boilerplate specs'!G32,"AAAAAD8vP/A=")</f>
        <v>#VALUE!</v>
      </c>
      <c r="IH12" t="e">
        <f>AND('boilerplate specs'!H32,"AAAAAD8vP/E=")</f>
        <v>#VALUE!</v>
      </c>
      <c r="II12" t="e">
        <f>AND('boilerplate specs'!I32,"AAAAAD8vP/I=")</f>
        <v>#VALUE!</v>
      </c>
      <c r="IJ12" t="e">
        <f>AND('boilerplate specs'!J32,"AAAAAD8vP/M=")</f>
        <v>#VALUE!</v>
      </c>
      <c r="IK12" t="e">
        <f>AND('boilerplate specs'!#REF!,"AAAAAD8vP/Q=")</f>
        <v>#REF!</v>
      </c>
      <c r="IL12" t="e">
        <f>AND('boilerplate specs'!#REF!,"AAAAAD8vP/U=")</f>
        <v>#REF!</v>
      </c>
      <c r="IM12" t="e">
        <f>AND('boilerplate specs'!#REF!,"AAAAAD8vP/Y=")</f>
        <v>#REF!</v>
      </c>
      <c r="IN12" t="e">
        <f>AND('boilerplate specs'!#REF!,"AAAAAD8vP/c=")</f>
        <v>#REF!</v>
      </c>
      <c r="IO12" t="e">
        <f>AND('boilerplate specs'!#REF!,"AAAAAD8vP/g=")</f>
        <v>#REF!</v>
      </c>
      <c r="IP12" t="e">
        <f>AND('boilerplate specs'!#REF!,"AAAAAD8vP/k=")</f>
        <v>#REF!</v>
      </c>
      <c r="IQ12" t="e">
        <f>AND('boilerplate specs'!#REF!,"AAAAAD8vP/o=")</f>
        <v>#REF!</v>
      </c>
      <c r="IR12" t="e">
        <f>AND('boilerplate specs'!#REF!,"AAAAAD8vP/s=")</f>
        <v>#REF!</v>
      </c>
      <c r="IS12" t="e">
        <f>AND('boilerplate specs'!#REF!,"AAAAAD8vP/w=")</f>
        <v>#REF!</v>
      </c>
      <c r="IT12" t="e">
        <f>AND('boilerplate specs'!#REF!,"AAAAAD8vP/0=")</f>
        <v>#REF!</v>
      </c>
      <c r="IU12" t="e">
        <f>AND('boilerplate specs'!#REF!,"AAAAAD8vP/4=")</f>
        <v>#REF!</v>
      </c>
      <c r="IV12" t="e">
        <f>AND('boilerplate specs'!#REF!,"AAAAAD8vP/8=")</f>
        <v>#REF!</v>
      </c>
    </row>
    <row r="13" spans="1:256" x14ac:dyDescent="0.35">
      <c r="A13" t="e">
        <f>AND('boilerplate specs'!#REF!,"AAAAAD7/0AA=")</f>
        <v>#REF!</v>
      </c>
      <c r="B13" t="e">
        <f>AND('boilerplate specs'!#REF!,"AAAAAD7/0AE=")</f>
        <v>#REF!</v>
      </c>
      <c r="C13" t="e">
        <f>AND('boilerplate specs'!#REF!,"AAAAAD7/0AI=")</f>
        <v>#REF!</v>
      </c>
      <c r="D13" t="e">
        <f>AND('boilerplate specs'!#REF!,"AAAAAD7/0AM=")</f>
        <v>#REF!</v>
      </c>
      <c r="E13" t="e">
        <f>AND('boilerplate specs'!#REF!,"AAAAAD7/0AQ=")</f>
        <v>#REF!</v>
      </c>
      <c r="F13" t="e">
        <f>AND('boilerplate specs'!#REF!,"AAAAAD7/0AU=")</f>
        <v>#REF!</v>
      </c>
      <c r="G13" t="e">
        <f>AND('boilerplate specs'!#REF!,"AAAAAD7/0AY=")</f>
        <v>#REF!</v>
      </c>
      <c r="H13" t="e">
        <f>AND('boilerplate specs'!#REF!,"AAAAAD7/0Ac=")</f>
        <v>#REF!</v>
      </c>
      <c r="I13" t="e">
        <f>AND('boilerplate specs'!#REF!,"AAAAAD7/0Ag=")</f>
        <v>#REF!</v>
      </c>
      <c r="J13" t="e">
        <f>AND('boilerplate specs'!#REF!,"AAAAAD7/0Ak=")</f>
        <v>#REF!</v>
      </c>
      <c r="K13">
        <f>IF('boilerplate specs'!33:33,"AAAAAD7/0Ao=",0)</f>
        <v>0</v>
      </c>
      <c r="L13" t="e">
        <f>AND('boilerplate specs'!A33,"AAAAAD7/0As=")</f>
        <v>#VALUE!</v>
      </c>
      <c r="M13" t="e">
        <f>AND('boilerplate specs'!B33,"AAAAAD7/0Aw=")</f>
        <v>#VALUE!</v>
      </c>
      <c r="N13" t="e">
        <f>AND('boilerplate specs'!C33,"AAAAAD7/0A0=")</f>
        <v>#VALUE!</v>
      </c>
      <c r="O13" t="e">
        <f>AND('boilerplate specs'!D33,"AAAAAD7/0A4=")</f>
        <v>#VALUE!</v>
      </c>
      <c r="P13" t="e">
        <f>AND('boilerplate specs'!E33,"AAAAAD7/0A8=")</f>
        <v>#VALUE!</v>
      </c>
      <c r="Q13" t="e">
        <f>AND('boilerplate specs'!F33,"AAAAAD7/0BA=")</f>
        <v>#VALUE!</v>
      </c>
      <c r="R13" t="e">
        <f>AND('boilerplate specs'!G33,"AAAAAD7/0BE=")</f>
        <v>#VALUE!</v>
      </c>
      <c r="S13" t="e">
        <f>AND('boilerplate specs'!H33,"AAAAAD7/0BI=")</f>
        <v>#VALUE!</v>
      </c>
      <c r="T13" t="e">
        <f>AND('boilerplate specs'!I33,"AAAAAD7/0BM=")</f>
        <v>#VALUE!</v>
      </c>
      <c r="U13" t="e">
        <f>AND('boilerplate specs'!J33,"AAAAAD7/0BQ=")</f>
        <v>#VALUE!</v>
      </c>
      <c r="V13" t="e">
        <f>AND('boilerplate specs'!#REF!,"AAAAAD7/0BU=")</f>
        <v>#REF!</v>
      </c>
      <c r="W13" t="e">
        <f>AND('boilerplate specs'!#REF!,"AAAAAD7/0BY=")</f>
        <v>#REF!</v>
      </c>
      <c r="X13" t="e">
        <f>AND('boilerplate specs'!#REF!,"AAAAAD7/0Bc=")</f>
        <v>#REF!</v>
      </c>
      <c r="Y13" t="e">
        <f>AND('boilerplate specs'!#REF!,"AAAAAD7/0Bg=")</f>
        <v>#REF!</v>
      </c>
      <c r="Z13" t="e">
        <f>AND('boilerplate specs'!#REF!,"AAAAAD7/0Bk=")</f>
        <v>#REF!</v>
      </c>
      <c r="AA13" t="e">
        <f>AND('boilerplate specs'!#REF!,"AAAAAD7/0Bo=")</f>
        <v>#REF!</v>
      </c>
      <c r="AB13" t="e">
        <f>AND('boilerplate specs'!#REF!,"AAAAAD7/0Bs=")</f>
        <v>#REF!</v>
      </c>
      <c r="AC13" t="e">
        <f>AND('boilerplate specs'!#REF!,"AAAAAD7/0Bw=")</f>
        <v>#REF!</v>
      </c>
      <c r="AD13" t="e">
        <f>AND('boilerplate specs'!#REF!,"AAAAAD7/0B0=")</f>
        <v>#REF!</v>
      </c>
      <c r="AE13" t="e">
        <f>AND('boilerplate specs'!#REF!,"AAAAAD7/0B4=")</f>
        <v>#REF!</v>
      </c>
      <c r="AF13" t="e">
        <f>AND('boilerplate specs'!#REF!,"AAAAAD7/0B8=")</f>
        <v>#REF!</v>
      </c>
      <c r="AG13" t="e">
        <f>AND('boilerplate specs'!#REF!,"AAAAAD7/0CA=")</f>
        <v>#REF!</v>
      </c>
      <c r="AH13" t="e">
        <f>AND('boilerplate specs'!#REF!,"AAAAAD7/0CE=")</f>
        <v>#REF!</v>
      </c>
      <c r="AI13" t="e">
        <f>AND('boilerplate specs'!#REF!,"AAAAAD7/0CI=")</f>
        <v>#REF!</v>
      </c>
      <c r="AJ13" t="e">
        <f>AND('boilerplate specs'!#REF!,"AAAAAD7/0CM=")</f>
        <v>#REF!</v>
      </c>
      <c r="AK13" t="e">
        <f>AND('boilerplate specs'!#REF!,"AAAAAD7/0CQ=")</f>
        <v>#REF!</v>
      </c>
      <c r="AL13" t="e">
        <f>AND('boilerplate specs'!#REF!,"AAAAAD7/0CU=")</f>
        <v>#REF!</v>
      </c>
      <c r="AM13" t="e">
        <f>AND('boilerplate specs'!#REF!,"AAAAAD7/0CY=")</f>
        <v>#REF!</v>
      </c>
      <c r="AN13" t="e">
        <f>AND('boilerplate specs'!#REF!,"AAAAAD7/0Cc=")</f>
        <v>#REF!</v>
      </c>
      <c r="AO13" t="e">
        <f>AND('boilerplate specs'!#REF!,"AAAAAD7/0Cg=")</f>
        <v>#REF!</v>
      </c>
      <c r="AP13" t="e">
        <f>AND('boilerplate specs'!#REF!,"AAAAAD7/0Ck=")</f>
        <v>#REF!</v>
      </c>
      <c r="AQ13" t="e">
        <f>AND('boilerplate specs'!#REF!,"AAAAAD7/0Co=")</f>
        <v>#REF!</v>
      </c>
      <c r="AR13">
        <f>IF('boilerplate specs'!34:34,"AAAAAD7/0Cs=",0)</f>
        <v>0</v>
      </c>
      <c r="AS13" t="e">
        <f>AND('boilerplate specs'!A34,"AAAAAD7/0Cw=")</f>
        <v>#VALUE!</v>
      </c>
      <c r="AT13" t="e">
        <f>AND('boilerplate specs'!B34,"AAAAAD7/0C0=")</f>
        <v>#VALUE!</v>
      </c>
      <c r="AU13" t="e">
        <f>AND('boilerplate specs'!C34,"AAAAAD7/0C4=")</f>
        <v>#VALUE!</v>
      </c>
      <c r="AV13" t="e">
        <f>AND('boilerplate specs'!D34,"AAAAAD7/0C8=")</f>
        <v>#VALUE!</v>
      </c>
      <c r="AW13" t="e">
        <f>AND('boilerplate specs'!E34,"AAAAAD7/0DA=")</f>
        <v>#VALUE!</v>
      </c>
      <c r="AX13" t="e">
        <f>AND('boilerplate specs'!F34,"AAAAAD7/0DE=")</f>
        <v>#VALUE!</v>
      </c>
      <c r="AY13" t="e">
        <f>AND('boilerplate specs'!G34,"AAAAAD7/0DI=")</f>
        <v>#VALUE!</v>
      </c>
      <c r="AZ13" t="e">
        <f>AND('boilerplate specs'!H34,"AAAAAD7/0DM=")</f>
        <v>#VALUE!</v>
      </c>
      <c r="BA13" t="e">
        <f>AND('boilerplate specs'!I34,"AAAAAD7/0DQ=")</f>
        <v>#VALUE!</v>
      </c>
      <c r="BB13" t="e">
        <f>AND('boilerplate specs'!J34,"AAAAAD7/0DU=")</f>
        <v>#VALUE!</v>
      </c>
      <c r="BC13" t="e">
        <f>AND('boilerplate specs'!#REF!,"AAAAAD7/0DY=")</f>
        <v>#REF!</v>
      </c>
      <c r="BD13" t="e">
        <f>AND('boilerplate specs'!#REF!,"AAAAAD7/0Dc=")</f>
        <v>#REF!</v>
      </c>
      <c r="BE13" t="e">
        <f>AND('boilerplate specs'!#REF!,"AAAAAD7/0Dg=")</f>
        <v>#REF!</v>
      </c>
      <c r="BF13" t="e">
        <f>AND('boilerplate specs'!#REF!,"AAAAAD7/0Dk=")</f>
        <v>#REF!</v>
      </c>
      <c r="BG13" t="e">
        <f>AND('boilerplate specs'!#REF!,"AAAAAD7/0Do=")</f>
        <v>#REF!</v>
      </c>
      <c r="BH13" t="e">
        <f>AND('boilerplate specs'!#REF!,"AAAAAD7/0Ds=")</f>
        <v>#REF!</v>
      </c>
      <c r="BI13" t="e">
        <f>AND('boilerplate specs'!#REF!,"AAAAAD7/0Dw=")</f>
        <v>#REF!</v>
      </c>
      <c r="BJ13" t="e">
        <f>AND('boilerplate specs'!#REF!,"AAAAAD7/0D0=")</f>
        <v>#REF!</v>
      </c>
      <c r="BK13" t="e">
        <f>AND('boilerplate specs'!#REF!,"AAAAAD7/0D4=")</f>
        <v>#REF!</v>
      </c>
      <c r="BL13" t="e">
        <f>AND('boilerplate specs'!#REF!,"AAAAAD7/0D8=")</f>
        <v>#REF!</v>
      </c>
      <c r="BM13" t="e">
        <f>AND('boilerplate specs'!#REF!,"AAAAAD7/0EA=")</f>
        <v>#REF!</v>
      </c>
      <c r="BN13" t="e">
        <f>AND('boilerplate specs'!#REF!,"AAAAAD7/0EE=")</f>
        <v>#REF!</v>
      </c>
      <c r="BO13" t="e">
        <f>AND('boilerplate specs'!#REF!,"AAAAAD7/0EI=")</f>
        <v>#REF!</v>
      </c>
      <c r="BP13" t="e">
        <f>AND('boilerplate specs'!#REF!,"AAAAAD7/0EM=")</f>
        <v>#REF!</v>
      </c>
      <c r="BQ13" t="e">
        <f>AND('boilerplate specs'!#REF!,"AAAAAD7/0EQ=")</f>
        <v>#REF!</v>
      </c>
      <c r="BR13" t="e">
        <f>AND('boilerplate specs'!#REF!,"AAAAAD7/0EU=")</f>
        <v>#REF!</v>
      </c>
      <c r="BS13" t="e">
        <f>AND('boilerplate specs'!#REF!,"AAAAAD7/0EY=")</f>
        <v>#REF!</v>
      </c>
      <c r="BT13" t="e">
        <f>AND('boilerplate specs'!#REF!,"AAAAAD7/0Ec=")</f>
        <v>#REF!</v>
      </c>
      <c r="BU13" t="e">
        <f>AND('boilerplate specs'!#REF!,"AAAAAD7/0Eg=")</f>
        <v>#REF!</v>
      </c>
      <c r="BV13" t="e">
        <f>AND('boilerplate specs'!#REF!,"AAAAAD7/0Ek=")</f>
        <v>#REF!</v>
      </c>
      <c r="BW13" t="e">
        <f>AND('boilerplate specs'!#REF!,"AAAAAD7/0Eo=")</f>
        <v>#REF!</v>
      </c>
      <c r="BX13" t="e">
        <f>AND('boilerplate specs'!#REF!,"AAAAAD7/0Es=")</f>
        <v>#REF!</v>
      </c>
      <c r="BY13">
        <f>IF('boilerplate specs'!35:35,"AAAAAD7/0Ew=",0)</f>
        <v>0</v>
      </c>
      <c r="BZ13" t="e">
        <f>AND('boilerplate specs'!A35,"AAAAAD7/0E0=")</f>
        <v>#VALUE!</v>
      </c>
      <c r="CA13" t="e">
        <f>AND('boilerplate specs'!B35,"AAAAAD7/0E4=")</f>
        <v>#VALUE!</v>
      </c>
      <c r="CB13" t="e">
        <f>AND('boilerplate specs'!C35,"AAAAAD7/0E8=")</f>
        <v>#VALUE!</v>
      </c>
      <c r="CC13" t="e">
        <f>AND('boilerplate specs'!D35,"AAAAAD7/0FA=")</f>
        <v>#VALUE!</v>
      </c>
      <c r="CD13" t="e">
        <f>AND('boilerplate specs'!E35,"AAAAAD7/0FE=")</f>
        <v>#VALUE!</v>
      </c>
      <c r="CE13" t="e">
        <f>AND('boilerplate specs'!F35,"AAAAAD7/0FI=")</f>
        <v>#VALUE!</v>
      </c>
      <c r="CF13" t="e">
        <f>AND('boilerplate specs'!G35,"AAAAAD7/0FM=")</f>
        <v>#VALUE!</v>
      </c>
      <c r="CG13" t="e">
        <f>AND('boilerplate specs'!H35,"AAAAAD7/0FQ=")</f>
        <v>#VALUE!</v>
      </c>
      <c r="CH13" t="e">
        <f>AND('boilerplate specs'!I35,"AAAAAD7/0FU=")</f>
        <v>#VALUE!</v>
      </c>
      <c r="CI13" t="e">
        <f>AND('boilerplate specs'!J35,"AAAAAD7/0FY=")</f>
        <v>#VALUE!</v>
      </c>
      <c r="CJ13" t="e">
        <f>AND('boilerplate specs'!#REF!,"AAAAAD7/0Fc=")</f>
        <v>#REF!</v>
      </c>
      <c r="CK13" t="e">
        <f>AND('boilerplate specs'!#REF!,"AAAAAD7/0Fg=")</f>
        <v>#REF!</v>
      </c>
      <c r="CL13" t="e">
        <f>AND('boilerplate specs'!#REF!,"AAAAAD7/0Fk=")</f>
        <v>#REF!</v>
      </c>
      <c r="CM13" t="e">
        <f>AND('boilerplate specs'!#REF!,"AAAAAD7/0Fo=")</f>
        <v>#REF!</v>
      </c>
      <c r="CN13" t="e">
        <f>AND('boilerplate specs'!#REF!,"AAAAAD7/0Fs=")</f>
        <v>#REF!</v>
      </c>
      <c r="CO13" t="e">
        <f>AND('boilerplate specs'!#REF!,"AAAAAD7/0Fw=")</f>
        <v>#REF!</v>
      </c>
      <c r="CP13" t="e">
        <f>AND('boilerplate specs'!#REF!,"AAAAAD7/0F0=")</f>
        <v>#REF!</v>
      </c>
      <c r="CQ13" t="e">
        <f>AND('boilerplate specs'!#REF!,"AAAAAD7/0F4=")</f>
        <v>#REF!</v>
      </c>
      <c r="CR13" t="e">
        <f>AND('boilerplate specs'!#REF!,"AAAAAD7/0F8=")</f>
        <v>#REF!</v>
      </c>
      <c r="CS13" t="e">
        <f>AND('boilerplate specs'!#REF!,"AAAAAD7/0GA=")</f>
        <v>#REF!</v>
      </c>
      <c r="CT13" t="e">
        <f>AND('boilerplate specs'!#REF!,"AAAAAD7/0GE=")</f>
        <v>#REF!</v>
      </c>
      <c r="CU13" t="e">
        <f>AND('boilerplate specs'!#REF!,"AAAAAD7/0GI=")</f>
        <v>#REF!</v>
      </c>
      <c r="CV13" t="e">
        <f>AND('boilerplate specs'!#REF!,"AAAAAD7/0GM=")</f>
        <v>#REF!</v>
      </c>
      <c r="CW13" t="e">
        <f>AND('boilerplate specs'!#REF!,"AAAAAD7/0GQ=")</f>
        <v>#REF!</v>
      </c>
      <c r="CX13" t="e">
        <f>AND('boilerplate specs'!#REF!,"AAAAAD7/0GU=")</f>
        <v>#REF!</v>
      </c>
      <c r="CY13" t="e">
        <f>AND('boilerplate specs'!#REF!,"AAAAAD7/0GY=")</f>
        <v>#REF!</v>
      </c>
      <c r="CZ13" t="e">
        <f>AND('boilerplate specs'!#REF!,"AAAAAD7/0Gc=")</f>
        <v>#REF!</v>
      </c>
      <c r="DA13" t="e">
        <f>AND('boilerplate specs'!#REF!,"AAAAAD7/0Gg=")</f>
        <v>#REF!</v>
      </c>
      <c r="DB13" t="e">
        <f>AND('boilerplate specs'!#REF!,"AAAAAD7/0Gk=")</f>
        <v>#REF!</v>
      </c>
      <c r="DC13" t="e">
        <f>AND('boilerplate specs'!#REF!,"AAAAAD7/0Go=")</f>
        <v>#REF!</v>
      </c>
      <c r="DD13" t="e">
        <f>AND('boilerplate specs'!#REF!,"AAAAAD7/0Gs=")</f>
        <v>#REF!</v>
      </c>
      <c r="DE13" t="e">
        <f>AND('boilerplate specs'!#REF!,"AAAAAD7/0Gw=")</f>
        <v>#REF!</v>
      </c>
      <c r="DF13">
        <f>IF('boilerplate specs'!36:36,"AAAAAD7/0G0=",0)</f>
        <v>0</v>
      </c>
      <c r="DG13" t="e">
        <f>AND('boilerplate specs'!A36,"AAAAAD7/0G4=")</f>
        <v>#VALUE!</v>
      </c>
      <c r="DH13" t="e">
        <f>AND('boilerplate specs'!B36,"AAAAAD7/0G8=")</f>
        <v>#VALUE!</v>
      </c>
      <c r="DI13" t="e">
        <f>AND('boilerplate specs'!C36,"AAAAAD7/0HA=")</f>
        <v>#VALUE!</v>
      </c>
      <c r="DJ13" t="e">
        <f>AND('boilerplate specs'!D36,"AAAAAD7/0HE=")</f>
        <v>#VALUE!</v>
      </c>
      <c r="DK13" t="e">
        <f>AND('boilerplate specs'!E36,"AAAAAD7/0HI=")</f>
        <v>#VALUE!</v>
      </c>
      <c r="DL13" t="e">
        <f>AND('boilerplate specs'!F36,"AAAAAD7/0HM=")</f>
        <v>#VALUE!</v>
      </c>
      <c r="DM13" t="e">
        <f>AND('boilerplate specs'!G36,"AAAAAD7/0HQ=")</f>
        <v>#VALUE!</v>
      </c>
      <c r="DN13" t="e">
        <f>AND('boilerplate specs'!H36,"AAAAAD7/0HU=")</f>
        <v>#VALUE!</v>
      </c>
      <c r="DO13" t="e">
        <f>AND('boilerplate specs'!I36,"AAAAAD7/0HY=")</f>
        <v>#VALUE!</v>
      </c>
      <c r="DP13" t="e">
        <f>AND('boilerplate specs'!J36,"AAAAAD7/0Hc=")</f>
        <v>#VALUE!</v>
      </c>
      <c r="DQ13" t="e">
        <f>AND('boilerplate specs'!#REF!,"AAAAAD7/0Hg=")</f>
        <v>#REF!</v>
      </c>
      <c r="DR13" t="e">
        <f>AND('boilerplate specs'!#REF!,"AAAAAD7/0Hk=")</f>
        <v>#REF!</v>
      </c>
      <c r="DS13" t="e">
        <f>AND('boilerplate specs'!#REF!,"AAAAAD7/0Ho=")</f>
        <v>#REF!</v>
      </c>
      <c r="DT13" t="e">
        <f>AND('boilerplate specs'!#REF!,"AAAAAD7/0Hs=")</f>
        <v>#REF!</v>
      </c>
      <c r="DU13" t="e">
        <f>AND('boilerplate specs'!#REF!,"AAAAAD7/0Hw=")</f>
        <v>#REF!</v>
      </c>
      <c r="DV13" t="e">
        <f>AND('boilerplate specs'!#REF!,"AAAAAD7/0H0=")</f>
        <v>#REF!</v>
      </c>
      <c r="DW13" t="e">
        <f>AND('boilerplate specs'!#REF!,"AAAAAD7/0H4=")</f>
        <v>#REF!</v>
      </c>
      <c r="DX13" t="e">
        <f>AND('boilerplate specs'!#REF!,"AAAAAD7/0H8=")</f>
        <v>#REF!</v>
      </c>
      <c r="DY13" t="e">
        <f>AND('boilerplate specs'!#REF!,"AAAAAD7/0IA=")</f>
        <v>#REF!</v>
      </c>
      <c r="DZ13" t="e">
        <f>AND('boilerplate specs'!#REF!,"AAAAAD7/0IE=")</f>
        <v>#REF!</v>
      </c>
      <c r="EA13" t="e">
        <f>AND('boilerplate specs'!#REF!,"AAAAAD7/0II=")</f>
        <v>#REF!</v>
      </c>
      <c r="EB13" t="e">
        <f>AND('boilerplate specs'!#REF!,"AAAAAD7/0IM=")</f>
        <v>#REF!</v>
      </c>
      <c r="EC13" t="e">
        <f>AND('boilerplate specs'!#REF!,"AAAAAD7/0IQ=")</f>
        <v>#REF!</v>
      </c>
      <c r="ED13" t="e">
        <f>AND('boilerplate specs'!#REF!,"AAAAAD7/0IU=")</f>
        <v>#REF!</v>
      </c>
      <c r="EE13" t="e">
        <f>AND('boilerplate specs'!#REF!,"AAAAAD7/0IY=")</f>
        <v>#REF!</v>
      </c>
      <c r="EF13" t="e">
        <f>AND('boilerplate specs'!#REF!,"AAAAAD7/0Ic=")</f>
        <v>#REF!</v>
      </c>
      <c r="EG13" t="e">
        <f>AND('boilerplate specs'!#REF!,"AAAAAD7/0Ig=")</f>
        <v>#REF!</v>
      </c>
      <c r="EH13" t="e">
        <f>AND('boilerplate specs'!#REF!,"AAAAAD7/0Ik=")</f>
        <v>#REF!</v>
      </c>
      <c r="EI13" t="e">
        <f>AND('boilerplate specs'!#REF!,"AAAAAD7/0Io=")</f>
        <v>#REF!</v>
      </c>
      <c r="EJ13" t="e">
        <f>AND('boilerplate specs'!#REF!,"AAAAAD7/0Is=")</f>
        <v>#REF!</v>
      </c>
      <c r="EK13" t="e">
        <f>AND('boilerplate specs'!#REF!,"AAAAAD7/0Iw=")</f>
        <v>#REF!</v>
      </c>
      <c r="EL13" t="e">
        <f>AND('boilerplate specs'!#REF!,"AAAAAD7/0I0=")</f>
        <v>#REF!</v>
      </c>
      <c r="EM13">
        <f>IF('boilerplate specs'!37:37,"AAAAAD7/0I4=",0)</f>
        <v>0</v>
      </c>
      <c r="EN13" t="e">
        <f>AND('boilerplate specs'!A37,"AAAAAD7/0I8=")</f>
        <v>#VALUE!</v>
      </c>
      <c r="EO13" t="e">
        <f>AND('boilerplate specs'!B37,"AAAAAD7/0JA=")</f>
        <v>#VALUE!</v>
      </c>
      <c r="EP13" t="e">
        <f>AND('boilerplate specs'!C37,"AAAAAD7/0JE=")</f>
        <v>#VALUE!</v>
      </c>
      <c r="EQ13" t="e">
        <f>AND('boilerplate specs'!D37,"AAAAAD7/0JI=")</f>
        <v>#VALUE!</v>
      </c>
      <c r="ER13" t="e">
        <f>AND('boilerplate specs'!E37,"AAAAAD7/0JM=")</f>
        <v>#VALUE!</v>
      </c>
      <c r="ES13" t="e">
        <f>AND('boilerplate specs'!F37,"AAAAAD7/0JQ=")</f>
        <v>#VALUE!</v>
      </c>
      <c r="ET13" t="e">
        <f>AND('boilerplate specs'!G37,"AAAAAD7/0JU=")</f>
        <v>#VALUE!</v>
      </c>
      <c r="EU13" t="e">
        <f>AND('boilerplate specs'!H37,"AAAAAD7/0JY=")</f>
        <v>#VALUE!</v>
      </c>
      <c r="EV13" t="e">
        <f>AND('boilerplate specs'!I37,"AAAAAD7/0Jc=")</f>
        <v>#VALUE!</v>
      </c>
      <c r="EW13" t="e">
        <f>AND('boilerplate specs'!J37,"AAAAAD7/0Jg=")</f>
        <v>#VALUE!</v>
      </c>
      <c r="EX13" t="e">
        <f>AND('boilerplate specs'!#REF!,"AAAAAD7/0Jk=")</f>
        <v>#REF!</v>
      </c>
      <c r="EY13" t="e">
        <f>AND('boilerplate specs'!#REF!,"AAAAAD7/0Jo=")</f>
        <v>#REF!</v>
      </c>
      <c r="EZ13" t="e">
        <f>AND('boilerplate specs'!#REF!,"AAAAAD7/0Js=")</f>
        <v>#REF!</v>
      </c>
      <c r="FA13" t="e">
        <f>AND('boilerplate specs'!#REF!,"AAAAAD7/0Jw=")</f>
        <v>#REF!</v>
      </c>
      <c r="FB13" t="e">
        <f>AND('boilerplate specs'!#REF!,"AAAAAD7/0J0=")</f>
        <v>#REF!</v>
      </c>
      <c r="FC13" t="e">
        <f>AND('boilerplate specs'!#REF!,"AAAAAD7/0J4=")</f>
        <v>#REF!</v>
      </c>
      <c r="FD13" t="e">
        <f>AND('boilerplate specs'!#REF!,"AAAAAD7/0J8=")</f>
        <v>#REF!</v>
      </c>
      <c r="FE13" t="e">
        <f>AND('boilerplate specs'!#REF!,"AAAAAD7/0KA=")</f>
        <v>#REF!</v>
      </c>
      <c r="FF13" t="e">
        <f>AND('boilerplate specs'!#REF!,"AAAAAD7/0KE=")</f>
        <v>#REF!</v>
      </c>
      <c r="FG13" t="e">
        <f>AND('boilerplate specs'!#REF!,"AAAAAD7/0KI=")</f>
        <v>#REF!</v>
      </c>
      <c r="FH13" t="e">
        <f>AND('boilerplate specs'!#REF!,"AAAAAD7/0KM=")</f>
        <v>#REF!</v>
      </c>
      <c r="FI13" t="e">
        <f>AND('boilerplate specs'!#REF!,"AAAAAD7/0KQ=")</f>
        <v>#REF!</v>
      </c>
      <c r="FJ13" t="e">
        <f>AND('boilerplate specs'!#REF!,"AAAAAD7/0KU=")</f>
        <v>#REF!</v>
      </c>
      <c r="FK13" t="e">
        <f>AND('boilerplate specs'!#REF!,"AAAAAD7/0KY=")</f>
        <v>#REF!</v>
      </c>
      <c r="FL13" t="e">
        <f>AND('boilerplate specs'!#REF!,"AAAAAD7/0Kc=")</f>
        <v>#REF!</v>
      </c>
      <c r="FM13" t="e">
        <f>AND('boilerplate specs'!#REF!,"AAAAAD7/0Kg=")</f>
        <v>#REF!</v>
      </c>
      <c r="FN13" t="e">
        <f>AND('boilerplate specs'!#REF!,"AAAAAD7/0Kk=")</f>
        <v>#REF!</v>
      </c>
      <c r="FO13" t="e">
        <f>AND('boilerplate specs'!#REF!,"AAAAAD7/0Ko=")</f>
        <v>#REF!</v>
      </c>
      <c r="FP13" t="e">
        <f>AND('boilerplate specs'!#REF!,"AAAAAD7/0Ks=")</f>
        <v>#REF!</v>
      </c>
      <c r="FQ13" t="e">
        <f>AND('boilerplate specs'!#REF!,"AAAAAD7/0Kw=")</f>
        <v>#REF!</v>
      </c>
      <c r="FR13" t="e">
        <f>AND('boilerplate specs'!#REF!,"AAAAAD7/0K0=")</f>
        <v>#REF!</v>
      </c>
      <c r="FS13" t="e">
        <f>AND('boilerplate specs'!#REF!,"AAAAAD7/0K4=")</f>
        <v>#REF!</v>
      </c>
      <c r="FT13">
        <f>IF('boilerplate specs'!38:38,"AAAAAD7/0K8=",0)</f>
        <v>0</v>
      </c>
      <c r="FU13" t="e">
        <f>AND('boilerplate specs'!A38,"AAAAAD7/0LA=")</f>
        <v>#VALUE!</v>
      </c>
      <c r="FV13" t="e">
        <f>AND('boilerplate specs'!B38,"AAAAAD7/0LE=")</f>
        <v>#VALUE!</v>
      </c>
      <c r="FW13" t="e">
        <f>AND('boilerplate specs'!C38,"AAAAAD7/0LI=")</f>
        <v>#VALUE!</v>
      </c>
      <c r="FX13" t="e">
        <f>AND('boilerplate specs'!D38,"AAAAAD7/0LM=")</f>
        <v>#VALUE!</v>
      </c>
      <c r="FY13" t="e">
        <f>AND('boilerplate specs'!E38,"AAAAAD7/0LQ=")</f>
        <v>#VALUE!</v>
      </c>
      <c r="FZ13" t="e">
        <f>AND('boilerplate specs'!F38,"AAAAAD7/0LU=")</f>
        <v>#VALUE!</v>
      </c>
      <c r="GA13" t="e">
        <f>AND('boilerplate specs'!G38,"AAAAAD7/0LY=")</f>
        <v>#VALUE!</v>
      </c>
      <c r="GB13" t="e">
        <f>AND('boilerplate specs'!H38,"AAAAAD7/0Lc=")</f>
        <v>#VALUE!</v>
      </c>
      <c r="GC13" t="e">
        <f>AND('boilerplate specs'!I38,"AAAAAD7/0Lg=")</f>
        <v>#VALUE!</v>
      </c>
      <c r="GD13" t="e">
        <f>AND('boilerplate specs'!J38,"AAAAAD7/0Lk=")</f>
        <v>#VALUE!</v>
      </c>
      <c r="GE13" t="e">
        <f>AND('boilerplate specs'!#REF!,"AAAAAD7/0Lo=")</f>
        <v>#REF!</v>
      </c>
      <c r="GF13" t="e">
        <f>AND('boilerplate specs'!#REF!,"AAAAAD7/0Ls=")</f>
        <v>#REF!</v>
      </c>
      <c r="GG13" t="e">
        <f>AND('boilerplate specs'!#REF!,"AAAAAD7/0Lw=")</f>
        <v>#REF!</v>
      </c>
      <c r="GH13" t="e">
        <f>AND('boilerplate specs'!#REF!,"AAAAAD7/0L0=")</f>
        <v>#REF!</v>
      </c>
      <c r="GI13" t="e">
        <f>AND('boilerplate specs'!#REF!,"AAAAAD7/0L4=")</f>
        <v>#REF!</v>
      </c>
      <c r="GJ13" t="e">
        <f>AND('boilerplate specs'!#REF!,"AAAAAD7/0L8=")</f>
        <v>#REF!</v>
      </c>
      <c r="GK13" t="e">
        <f>AND('boilerplate specs'!#REF!,"AAAAAD7/0MA=")</f>
        <v>#REF!</v>
      </c>
      <c r="GL13" t="e">
        <f>AND('boilerplate specs'!#REF!,"AAAAAD7/0ME=")</f>
        <v>#REF!</v>
      </c>
      <c r="GM13" t="e">
        <f>AND('boilerplate specs'!#REF!,"AAAAAD7/0MI=")</f>
        <v>#REF!</v>
      </c>
      <c r="GN13" t="e">
        <f>AND('boilerplate specs'!#REF!,"AAAAAD7/0MM=")</f>
        <v>#REF!</v>
      </c>
      <c r="GO13" t="e">
        <f>AND('boilerplate specs'!#REF!,"AAAAAD7/0MQ=")</f>
        <v>#REF!</v>
      </c>
      <c r="GP13" t="e">
        <f>AND('boilerplate specs'!#REF!,"AAAAAD7/0MU=")</f>
        <v>#REF!</v>
      </c>
      <c r="GQ13" t="e">
        <f>AND('boilerplate specs'!#REF!,"AAAAAD7/0MY=")</f>
        <v>#REF!</v>
      </c>
      <c r="GR13" t="e">
        <f>AND('boilerplate specs'!#REF!,"AAAAAD7/0Mc=")</f>
        <v>#REF!</v>
      </c>
      <c r="GS13" t="e">
        <f>AND('boilerplate specs'!#REF!,"AAAAAD7/0Mg=")</f>
        <v>#REF!</v>
      </c>
      <c r="GT13" t="e">
        <f>AND('boilerplate specs'!#REF!,"AAAAAD7/0Mk=")</f>
        <v>#REF!</v>
      </c>
      <c r="GU13" t="e">
        <f>AND('boilerplate specs'!#REF!,"AAAAAD7/0Mo=")</f>
        <v>#REF!</v>
      </c>
      <c r="GV13" t="e">
        <f>AND('boilerplate specs'!#REF!,"AAAAAD7/0Ms=")</f>
        <v>#REF!</v>
      </c>
      <c r="GW13" t="e">
        <f>AND('boilerplate specs'!#REF!,"AAAAAD7/0Mw=")</f>
        <v>#REF!</v>
      </c>
      <c r="GX13" t="e">
        <f>AND('boilerplate specs'!#REF!,"AAAAAD7/0M0=")</f>
        <v>#REF!</v>
      </c>
      <c r="GY13" t="e">
        <f>AND('boilerplate specs'!#REF!,"AAAAAD7/0M4=")</f>
        <v>#REF!</v>
      </c>
      <c r="GZ13" t="e">
        <f>AND('boilerplate specs'!#REF!,"AAAAAD7/0M8=")</f>
        <v>#REF!</v>
      </c>
      <c r="HA13">
        <f>IF('boilerplate specs'!39:39,"AAAAAD7/0NA=",0)</f>
        <v>0</v>
      </c>
      <c r="HB13" t="e">
        <f>AND('boilerplate specs'!A39,"AAAAAD7/0NE=")</f>
        <v>#VALUE!</v>
      </c>
      <c r="HC13" t="e">
        <f>AND('boilerplate specs'!B39,"AAAAAD7/0NI=")</f>
        <v>#VALUE!</v>
      </c>
      <c r="HD13" t="e">
        <f>AND('boilerplate specs'!C39,"AAAAAD7/0NM=")</f>
        <v>#VALUE!</v>
      </c>
      <c r="HE13" t="e">
        <f>AND('boilerplate specs'!D39,"AAAAAD7/0NQ=")</f>
        <v>#VALUE!</v>
      </c>
      <c r="HF13" t="e">
        <f>AND('boilerplate specs'!E39,"AAAAAD7/0NU=")</f>
        <v>#VALUE!</v>
      </c>
      <c r="HG13" t="e">
        <f>AND('boilerplate specs'!F39,"AAAAAD7/0NY=")</f>
        <v>#VALUE!</v>
      </c>
      <c r="HH13" t="e">
        <f>AND('boilerplate specs'!G39,"AAAAAD7/0Nc=")</f>
        <v>#VALUE!</v>
      </c>
      <c r="HI13" t="e">
        <f>AND('boilerplate specs'!H39,"AAAAAD7/0Ng=")</f>
        <v>#VALUE!</v>
      </c>
      <c r="HJ13" t="e">
        <f>AND('boilerplate specs'!I39,"AAAAAD7/0Nk=")</f>
        <v>#VALUE!</v>
      </c>
      <c r="HK13" t="e">
        <f>AND('boilerplate specs'!J39,"AAAAAD7/0No=")</f>
        <v>#VALUE!</v>
      </c>
      <c r="HL13" t="e">
        <f>AND('boilerplate specs'!#REF!,"AAAAAD7/0Ns=")</f>
        <v>#REF!</v>
      </c>
      <c r="HM13" t="e">
        <f>AND('boilerplate specs'!#REF!,"AAAAAD7/0Nw=")</f>
        <v>#REF!</v>
      </c>
      <c r="HN13" t="e">
        <f>AND('boilerplate specs'!#REF!,"AAAAAD7/0N0=")</f>
        <v>#REF!</v>
      </c>
      <c r="HO13" t="e">
        <f>AND('boilerplate specs'!#REF!,"AAAAAD7/0N4=")</f>
        <v>#REF!</v>
      </c>
      <c r="HP13" t="e">
        <f>AND('boilerplate specs'!#REF!,"AAAAAD7/0N8=")</f>
        <v>#REF!</v>
      </c>
      <c r="HQ13" t="e">
        <f>AND('boilerplate specs'!#REF!,"AAAAAD7/0OA=")</f>
        <v>#REF!</v>
      </c>
      <c r="HR13" t="e">
        <f>AND('boilerplate specs'!#REF!,"AAAAAD7/0OE=")</f>
        <v>#REF!</v>
      </c>
      <c r="HS13" t="e">
        <f>AND('boilerplate specs'!#REF!,"AAAAAD7/0OI=")</f>
        <v>#REF!</v>
      </c>
      <c r="HT13" t="e">
        <f>AND('boilerplate specs'!#REF!,"AAAAAD7/0OM=")</f>
        <v>#REF!</v>
      </c>
      <c r="HU13" t="e">
        <f>AND('boilerplate specs'!#REF!,"AAAAAD7/0OQ=")</f>
        <v>#REF!</v>
      </c>
      <c r="HV13" t="e">
        <f>AND('boilerplate specs'!#REF!,"AAAAAD7/0OU=")</f>
        <v>#REF!</v>
      </c>
      <c r="HW13" t="e">
        <f>AND('boilerplate specs'!#REF!,"AAAAAD7/0OY=")</f>
        <v>#REF!</v>
      </c>
      <c r="HX13" t="e">
        <f>AND('boilerplate specs'!#REF!,"AAAAAD7/0Oc=")</f>
        <v>#REF!</v>
      </c>
      <c r="HY13" t="e">
        <f>AND('boilerplate specs'!#REF!,"AAAAAD7/0Og=")</f>
        <v>#REF!</v>
      </c>
      <c r="HZ13" t="e">
        <f>AND('boilerplate specs'!#REF!,"AAAAAD7/0Ok=")</f>
        <v>#REF!</v>
      </c>
      <c r="IA13" t="e">
        <f>AND('boilerplate specs'!#REF!,"AAAAAD7/0Oo=")</f>
        <v>#REF!</v>
      </c>
      <c r="IB13" t="e">
        <f>AND('boilerplate specs'!#REF!,"AAAAAD7/0Os=")</f>
        <v>#REF!</v>
      </c>
      <c r="IC13" t="e">
        <f>AND('boilerplate specs'!#REF!,"AAAAAD7/0Ow=")</f>
        <v>#REF!</v>
      </c>
      <c r="ID13" t="e">
        <f>AND('boilerplate specs'!#REF!,"AAAAAD7/0O0=")</f>
        <v>#REF!</v>
      </c>
      <c r="IE13" t="e">
        <f>AND('boilerplate specs'!#REF!,"AAAAAD7/0O4=")</f>
        <v>#REF!</v>
      </c>
      <c r="IF13" t="e">
        <f>AND('boilerplate specs'!#REF!,"AAAAAD7/0O8=")</f>
        <v>#REF!</v>
      </c>
      <c r="IG13" t="e">
        <f>AND('boilerplate specs'!#REF!,"AAAAAD7/0PA=")</f>
        <v>#REF!</v>
      </c>
      <c r="IH13">
        <f>IF('boilerplate specs'!40:40,"AAAAAD7/0PE=",0)</f>
        <v>0</v>
      </c>
      <c r="II13" t="e">
        <f>AND('boilerplate specs'!A40,"AAAAAD7/0PI=")</f>
        <v>#VALUE!</v>
      </c>
      <c r="IJ13" t="e">
        <f>AND('boilerplate specs'!B40,"AAAAAD7/0PM=")</f>
        <v>#VALUE!</v>
      </c>
      <c r="IK13" t="e">
        <f>AND('boilerplate specs'!C40,"AAAAAD7/0PQ=")</f>
        <v>#VALUE!</v>
      </c>
      <c r="IL13" t="e">
        <f>AND('boilerplate specs'!D40,"AAAAAD7/0PU=")</f>
        <v>#VALUE!</v>
      </c>
      <c r="IM13" t="e">
        <f>AND('boilerplate specs'!E40,"AAAAAD7/0PY=")</f>
        <v>#VALUE!</v>
      </c>
      <c r="IN13" t="e">
        <f>AND('boilerplate specs'!F40,"AAAAAD7/0Pc=")</f>
        <v>#VALUE!</v>
      </c>
      <c r="IO13" t="e">
        <f>AND('boilerplate specs'!G40,"AAAAAD7/0Pg=")</f>
        <v>#VALUE!</v>
      </c>
      <c r="IP13" t="e">
        <f>AND('boilerplate specs'!H40,"AAAAAD7/0Pk=")</f>
        <v>#VALUE!</v>
      </c>
      <c r="IQ13" t="e">
        <f>AND('boilerplate specs'!I40,"AAAAAD7/0Po=")</f>
        <v>#VALUE!</v>
      </c>
      <c r="IR13" t="e">
        <f>AND('boilerplate specs'!J40,"AAAAAD7/0Ps=")</f>
        <v>#VALUE!</v>
      </c>
      <c r="IS13" t="e">
        <f>AND('boilerplate specs'!#REF!,"AAAAAD7/0Pw=")</f>
        <v>#REF!</v>
      </c>
      <c r="IT13" t="e">
        <f>AND('boilerplate specs'!#REF!,"AAAAAD7/0P0=")</f>
        <v>#REF!</v>
      </c>
      <c r="IU13" t="e">
        <f>AND('boilerplate specs'!#REF!,"AAAAAD7/0P4=")</f>
        <v>#REF!</v>
      </c>
      <c r="IV13" t="e">
        <f>AND('boilerplate specs'!#REF!,"AAAAAD7/0P8=")</f>
        <v>#REF!</v>
      </c>
    </row>
    <row r="14" spans="1:256" x14ac:dyDescent="0.35">
      <c r="A14" t="e">
        <f>AND('boilerplate specs'!#REF!,"AAAAAG/+/wA=")</f>
        <v>#REF!</v>
      </c>
      <c r="B14" t="e">
        <f>AND('boilerplate specs'!#REF!,"AAAAAG/+/wE=")</f>
        <v>#REF!</v>
      </c>
      <c r="C14" t="e">
        <f>AND('boilerplate specs'!#REF!,"AAAAAG/+/wI=")</f>
        <v>#REF!</v>
      </c>
      <c r="D14" t="e">
        <f>AND('boilerplate specs'!#REF!,"AAAAAG/+/wM=")</f>
        <v>#REF!</v>
      </c>
      <c r="E14" t="e">
        <f>AND('boilerplate specs'!#REF!,"AAAAAG/+/wQ=")</f>
        <v>#REF!</v>
      </c>
      <c r="F14" t="e">
        <f>AND('boilerplate specs'!#REF!,"AAAAAG/+/wU=")</f>
        <v>#REF!</v>
      </c>
      <c r="G14" t="e">
        <f>AND('boilerplate specs'!#REF!,"AAAAAG/+/wY=")</f>
        <v>#REF!</v>
      </c>
      <c r="H14" t="e">
        <f>AND('boilerplate specs'!#REF!,"AAAAAG/+/wc=")</f>
        <v>#REF!</v>
      </c>
      <c r="I14" t="e">
        <f>AND('boilerplate specs'!#REF!,"AAAAAG/+/wg=")</f>
        <v>#REF!</v>
      </c>
      <c r="J14" t="e">
        <f>AND('boilerplate specs'!#REF!,"AAAAAG/+/wk=")</f>
        <v>#REF!</v>
      </c>
      <c r="K14" t="e">
        <f>AND('boilerplate specs'!#REF!,"AAAAAG/+/wo=")</f>
        <v>#REF!</v>
      </c>
      <c r="L14" t="e">
        <f>AND('boilerplate specs'!#REF!,"AAAAAG/+/ws=")</f>
        <v>#REF!</v>
      </c>
      <c r="M14" t="e">
        <f>AND('boilerplate specs'!#REF!,"AAAAAG/+/ww=")</f>
        <v>#REF!</v>
      </c>
      <c r="N14" t="e">
        <f>AND('boilerplate specs'!#REF!,"AAAAAG/+/w0=")</f>
        <v>#REF!</v>
      </c>
      <c r="O14" t="e">
        <f>AND('boilerplate specs'!#REF!,"AAAAAG/+/w4=")</f>
        <v>#REF!</v>
      </c>
      <c r="P14" t="e">
        <f>AND('boilerplate specs'!#REF!,"AAAAAG/+/w8=")</f>
        <v>#REF!</v>
      </c>
      <c r="Q14" t="e">
        <f>AND('boilerplate specs'!#REF!,"AAAAAG/+/xA=")</f>
        <v>#REF!</v>
      </c>
      <c r="R14" t="e">
        <f>AND('boilerplate specs'!#REF!,"AAAAAG/+/xE=")</f>
        <v>#REF!</v>
      </c>
      <c r="S14">
        <f>IF('boilerplate specs'!41:41,"AAAAAG/+/xI=",0)</f>
        <v>0</v>
      </c>
      <c r="T14" t="e">
        <f>AND('boilerplate specs'!A41,"AAAAAG/+/xM=")</f>
        <v>#VALUE!</v>
      </c>
      <c r="U14" t="e">
        <f>AND('boilerplate specs'!B41,"AAAAAG/+/xQ=")</f>
        <v>#VALUE!</v>
      </c>
      <c r="V14" t="e">
        <f>AND('boilerplate specs'!C41,"AAAAAG/+/xU=")</f>
        <v>#VALUE!</v>
      </c>
      <c r="W14" t="e">
        <f>AND('boilerplate specs'!D41,"AAAAAG/+/xY=")</f>
        <v>#VALUE!</v>
      </c>
      <c r="X14" t="e">
        <f>AND('boilerplate specs'!E41,"AAAAAG/+/xc=")</f>
        <v>#VALUE!</v>
      </c>
      <c r="Y14" t="e">
        <f>AND('boilerplate specs'!F41,"AAAAAG/+/xg=")</f>
        <v>#VALUE!</v>
      </c>
      <c r="Z14" t="e">
        <f>AND('boilerplate specs'!G41,"AAAAAG/+/xk=")</f>
        <v>#VALUE!</v>
      </c>
      <c r="AA14" t="e">
        <f>AND('boilerplate specs'!H41,"AAAAAG/+/xo=")</f>
        <v>#VALUE!</v>
      </c>
      <c r="AB14" t="e">
        <f>AND('boilerplate specs'!I41,"AAAAAG/+/xs=")</f>
        <v>#VALUE!</v>
      </c>
      <c r="AC14" t="e">
        <f>AND('boilerplate specs'!J41,"AAAAAG/+/xw=")</f>
        <v>#VALUE!</v>
      </c>
      <c r="AD14" t="e">
        <f>AND('boilerplate specs'!#REF!,"AAAAAG/+/x0=")</f>
        <v>#REF!</v>
      </c>
      <c r="AE14" t="e">
        <f>AND('boilerplate specs'!#REF!,"AAAAAG/+/x4=")</f>
        <v>#REF!</v>
      </c>
      <c r="AF14" t="e">
        <f>AND('boilerplate specs'!#REF!,"AAAAAG/+/x8=")</f>
        <v>#REF!</v>
      </c>
      <c r="AG14" t="e">
        <f>AND('boilerplate specs'!#REF!,"AAAAAG/+/yA=")</f>
        <v>#REF!</v>
      </c>
      <c r="AH14" t="e">
        <f>AND('boilerplate specs'!#REF!,"AAAAAG/+/yE=")</f>
        <v>#REF!</v>
      </c>
      <c r="AI14" t="e">
        <f>AND('boilerplate specs'!#REF!,"AAAAAG/+/yI=")</f>
        <v>#REF!</v>
      </c>
      <c r="AJ14" t="e">
        <f>AND('boilerplate specs'!#REF!,"AAAAAG/+/yM=")</f>
        <v>#REF!</v>
      </c>
      <c r="AK14" t="e">
        <f>AND('boilerplate specs'!#REF!,"AAAAAG/+/yQ=")</f>
        <v>#REF!</v>
      </c>
      <c r="AL14" t="e">
        <f>AND('boilerplate specs'!#REF!,"AAAAAG/+/yU=")</f>
        <v>#REF!</v>
      </c>
      <c r="AM14" t="e">
        <f>AND('boilerplate specs'!#REF!,"AAAAAG/+/yY=")</f>
        <v>#REF!</v>
      </c>
      <c r="AN14" t="e">
        <f>AND('boilerplate specs'!#REF!,"AAAAAG/+/yc=")</f>
        <v>#REF!</v>
      </c>
      <c r="AO14" t="e">
        <f>AND('boilerplate specs'!#REF!,"AAAAAG/+/yg=")</f>
        <v>#REF!</v>
      </c>
      <c r="AP14" t="e">
        <f>AND('boilerplate specs'!#REF!,"AAAAAG/+/yk=")</f>
        <v>#REF!</v>
      </c>
      <c r="AQ14" t="e">
        <f>AND('boilerplate specs'!#REF!,"AAAAAG/+/yo=")</f>
        <v>#REF!</v>
      </c>
      <c r="AR14" t="e">
        <f>AND('boilerplate specs'!#REF!,"AAAAAG/+/ys=")</f>
        <v>#REF!</v>
      </c>
      <c r="AS14" t="e">
        <f>AND('boilerplate specs'!#REF!,"AAAAAG/+/yw=")</f>
        <v>#REF!</v>
      </c>
      <c r="AT14" t="e">
        <f>AND('boilerplate specs'!#REF!,"AAAAAG/+/y0=")</f>
        <v>#REF!</v>
      </c>
      <c r="AU14" t="e">
        <f>AND('boilerplate specs'!#REF!,"AAAAAG/+/y4=")</f>
        <v>#REF!</v>
      </c>
      <c r="AV14" t="e">
        <f>AND('boilerplate specs'!#REF!,"AAAAAG/+/y8=")</f>
        <v>#REF!</v>
      </c>
      <c r="AW14" t="e">
        <f>AND('boilerplate specs'!#REF!,"AAAAAG/+/zA=")</f>
        <v>#REF!</v>
      </c>
      <c r="AX14" t="e">
        <f>AND('boilerplate specs'!#REF!,"AAAAAG/+/zE=")</f>
        <v>#REF!</v>
      </c>
      <c r="AY14" t="e">
        <f>AND('boilerplate specs'!#REF!,"AAAAAG/+/zI=")</f>
        <v>#REF!</v>
      </c>
      <c r="AZ14">
        <f>IF('boilerplate specs'!42:42,"AAAAAG/+/zM=",0)</f>
        <v>0</v>
      </c>
      <c r="BA14" t="e">
        <f>AND('boilerplate specs'!A42,"AAAAAG/+/zQ=")</f>
        <v>#VALUE!</v>
      </c>
      <c r="BB14" t="e">
        <f>AND('boilerplate specs'!B42,"AAAAAG/+/zU=")</f>
        <v>#VALUE!</v>
      </c>
      <c r="BC14" t="e">
        <f>AND('boilerplate specs'!C42,"AAAAAG/+/zY=")</f>
        <v>#VALUE!</v>
      </c>
      <c r="BD14" t="e">
        <f>AND('boilerplate specs'!D42,"AAAAAG/+/zc=")</f>
        <v>#VALUE!</v>
      </c>
      <c r="BE14" t="e">
        <f>AND('boilerplate specs'!E42,"AAAAAG/+/zg=")</f>
        <v>#VALUE!</v>
      </c>
      <c r="BF14" t="e">
        <f>AND('boilerplate specs'!F42,"AAAAAG/+/zk=")</f>
        <v>#VALUE!</v>
      </c>
      <c r="BG14" t="e">
        <f>AND('boilerplate specs'!G42,"AAAAAG/+/zo=")</f>
        <v>#VALUE!</v>
      </c>
      <c r="BH14" t="e">
        <f>AND('boilerplate specs'!H42,"AAAAAG/+/zs=")</f>
        <v>#VALUE!</v>
      </c>
      <c r="BI14" t="e">
        <f>AND('boilerplate specs'!I42,"AAAAAG/+/zw=")</f>
        <v>#VALUE!</v>
      </c>
      <c r="BJ14" t="e">
        <f>AND('boilerplate specs'!J42,"AAAAAG/+/z0=")</f>
        <v>#VALUE!</v>
      </c>
      <c r="BK14" t="e">
        <f>AND('boilerplate specs'!#REF!,"AAAAAG/+/z4=")</f>
        <v>#REF!</v>
      </c>
      <c r="BL14" t="e">
        <f>AND('boilerplate specs'!#REF!,"AAAAAG/+/z8=")</f>
        <v>#REF!</v>
      </c>
      <c r="BM14" t="e">
        <f>AND('boilerplate specs'!#REF!,"AAAAAG/+/0A=")</f>
        <v>#REF!</v>
      </c>
      <c r="BN14" t="e">
        <f>AND('boilerplate specs'!#REF!,"AAAAAG/+/0E=")</f>
        <v>#REF!</v>
      </c>
      <c r="BO14" t="e">
        <f>AND('boilerplate specs'!#REF!,"AAAAAG/+/0I=")</f>
        <v>#REF!</v>
      </c>
      <c r="BP14" t="e">
        <f>AND('boilerplate specs'!#REF!,"AAAAAG/+/0M=")</f>
        <v>#REF!</v>
      </c>
      <c r="BQ14" t="e">
        <f>AND('boilerplate specs'!#REF!,"AAAAAG/+/0Q=")</f>
        <v>#REF!</v>
      </c>
      <c r="BR14" t="e">
        <f>AND('boilerplate specs'!#REF!,"AAAAAG/+/0U=")</f>
        <v>#REF!</v>
      </c>
      <c r="BS14" t="e">
        <f>AND('boilerplate specs'!#REF!,"AAAAAG/+/0Y=")</f>
        <v>#REF!</v>
      </c>
      <c r="BT14" t="e">
        <f>AND('boilerplate specs'!#REF!,"AAAAAG/+/0c=")</f>
        <v>#REF!</v>
      </c>
      <c r="BU14" t="e">
        <f>AND('boilerplate specs'!#REF!,"AAAAAG/+/0g=")</f>
        <v>#REF!</v>
      </c>
      <c r="BV14" t="e">
        <f>AND('boilerplate specs'!#REF!,"AAAAAG/+/0k=")</f>
        <v>#REF!</v>
      </c>
      <c r="BW14" t="e">
        <f>AND('boilerplate specs'!#REF!,"AAAAAG/+/0o=")</f>
        <v>#REF!</v>
      </c>
      <c r="BX14" t="e">
        <f>AND('boilerplate specs'!#REF!,"AAAAAG/+/0s=")</f>
        <v>#REF!</v>
      </c>
      <c r="BY14" t="e">
        <f>AND('boilerplate specs'!#REF!,"AAAAAG/+/0w=")</f>
        <v>#REF!</v>
      </c>
      <c r="BZ14" t="e">
        <f>AND('boilerplate specs'!#REF!,"AAAAAG/+/00=")</f>
        <v>#REF!</v>
      </c>
      <c r="CA14" t="e">
        <f>AND('boilerplate specs'!#REF!,"AAAAAG/+/04=")</f>
        <v>#REF!</v>
      </c>
      <c r="CB14" t="e">
        <f>AND('boilerplate specs'!#REF!,"AAAAAG/+/08=")</f>
        <v>#REF!</v>
      </c>
      <c r="CC14" t="e">
        <f>AND('boilerplate specs'!#REF!,"AAAAAG/+/1A=")</f>
        <v>#REF!</v>
      </c>
      <c r="CD14" t="e">
        <f>AND('boilerplate specs'!#REF!,"AAAAAG/+/1E=")</f>
        <v>#REF!</v>
      </c>
      <c r="CE14" t="e">
        <f>AND('boilerplate specs'!#REF!,"AAAAAG/+/1I=")</f>
        <v>#REF!</v>
      </c>
      <c r="CF14" t="e">
        <f>AND('boilerplate specs'!#REF!,"AAAAAG/+/1M=")</f>
        <v>#REF!</v>
      </c>
      <c r="CG14">
        <f>IF('boilerplate specs'!43:43,"AAAAAG/+/1Q=",0)</f>
        <v>0</v>
      </c>
      <c r="CH14" t="e">
        <f>AND('boilerplate specs'!A43,"AAAAAG/+/1U=")</f>
        <v>#VALUE!</v>
      </c>
      <c r="CI14" t="e">
        <f>AND('boilerplate specs'!B43,"AAAAAG/+/1Y=")</f>
        <v>#VALUE!</v>
      </c>
      <c r="CJ14" t="e">
        <f>AND('boilerplate specs'!C43,"AAAAAG/+/1c=")</f>
        <v>#VALUE!</v>
      </c>
      <c r="CK14" t="e">
        <f>AND('boilerplate specs'!D43,"AAAAAG/+/1g=")</f>
        <v>#VALUE!</v>
      </c>
      <c r="CL14" t="e">
        <f>AND('boilerplate specs'!E43,"AAAAAG/+/1k=")</f>
        <v>#VALUE!</v>
      </c>
      <c r="CM14" t="e">
        <f>AND('boilerplate specs'!F43,"AAAAAG/+/1o=")</f>
        <v>#VALUE!</v>
      </c>
      <c r="CN14" t="e">
        <f>AND('boilerplate specs'!G43,"AAAAAG/+/1s=")</f>
        <v>#VALUE!</v>
      </c>
      <c r="CO14" t="e">
        <f>AND('boilerplate specs'!H43,"AAAAAG/+/1w=")</f>
        <v>#VALUE!</v>
      </c>
      <c r="CP14" t="e">
        <f>AND('boilerplate specs'!I43,"AAAAAG/+/10=")</f>
        <v>#VALUE!</v>
      </c>
      <c r="CQ14" t="e">
        <f>AND('boilerplate specs'!J43,"AAAAAG/+/14=")</f>
        <v>#VALUE!</v>
      </c>
      <c r="CR14" t="e">
        <f>AND('boilerplate specs'!#REF!,"AAAAAG/+/18=")</f>
        <v>#REF!</v>
      </c>
      <c r="CS14" t="e">
        <f>AND('boilerplate specs'!#REF!,"AAAAAG/+/2A=")</f>
        <v>#REF!</v>
      </c>
      <c r="CT14" t="e">
        <f>AND('boilerplate specs'!#REF!,"AAAAAG/+/2E=")</f>
        <v>#REF!</v>
      </c>
      <c r="CU14" t="e">
        <f>AND('boilerplate specs'!#REF!,"AAAAAG/+/2I=")</f>
        <v>#REF!</v>
      </c>
      <c r="CV14" t="e">
        <f>AND('boilerplate specs'!#REF!,"AAAAAG/+/2M=")</f>
        <v>#REF!</v>
      </c>
      <c r="CW14" t="e">
        <f>AND('boilerplate specs'!#REF!,"AAAAAG/+/2Q=")</f>
        <v>#REF!</v>
      </c>
      <c r="CX14" t="e">
        <f>AND('boilerplate specs'!#REF!,"AAAAAG/+/2U=")</f>
        <v>#REF!</v>
      </c>
      <c r="CY14" t="e">
        <f>AND('boilerplate specs'!#REF!,"AAAAAG/+/2Y=")</f>
        <v>#REF!</v>
      </c>
      <c r="CZ14" t="e">
        <f>AND('boilerplate specs'!#REF!,"AAAAAG/+/2c=")</f>
        <v>#REF!</v>
      </c>
      <c r="DA14" t="e">
        <f>AND('boilerplate specs'!#REF!,"AAAAAG/+/2g=")</f>
        <v>#REF!</v>
      </c>
      <c r="DB14" t="e">
        <f>AND('boilerplate specs'!#REF!,"AAAAAG/+/2k=")</f>
        <v>#REF!</v>
      </c>
      <c r="DC14" t="e">
        <f>AND('boilerplate specs'!#REF!,"AAAAAG/+/2o=")</f>
        <v>#REF!</v>
      </c>
      <c r="DD14" t="e">
        <f>AND('boilerplate specs'!#REF!,"AAAAAG/+/2s=")</f>
        <v>#REF!</v>
      </c>
      <c r="DE14" t="e">
        <f>AND('boilerplate specs'!#REF!,"AAAAAG/+/2w=")</f>
        <v>#REF!</v>
      </c>
      <c r="DF14" t="e">
        <f>AND('boilerplate specs'!#REF!,"AAAAAG/+/20=")</f>
        <v>#REF!</v>
      </c>
      <c r="DG14" t="e">
        <f>AND('boilerplate specs'!#REF!,"AAAAAG/+/24=")</f>
        <v>#REF!</v>
      </c>
      <c r="DH14" t="e">
        <f>AND('boilerplate specs'!#REF!,"AAAAAG/+/28=")</f>
        <v>#REF!</v>
      </c>
      <c r="DI14" t="e">
        <f>AND('boilerplate specs'!#REF!,"AAAAAG/+/3A=")</f>
        <v>#REF!</v>
      </c>
      <c r="DJ14" t="e">
        <f>AND('boilerplate specs'!#REF!,"AAAAAG/+/3E=")</f>
        <v>#REF!</v>
      </c>
      <c r="DK14" t="e">
        <f>AND('boilerplate specs'!#REF!,"AAAAAG/+/3I=")</f>
        <v>#REF!</v>
      </c>
      <c r="DL14" t="e">
        <f>AND('boilerplate specs'!#REF!,"AAAAAG/+/3M=")</f>
        <v>#REF!</v>
      </c>
      <c r="DM14" t="e">
        <f>AND('boilerplate specs'!#REF!,"AAAAAG/+/3Q=")</f>
        <v>#REF!</v>
      </c>
      <c r="DN14">
        <f>IF('boilerplate specs'!44:44,"AAAAAG/+/3U=",0)</f>
        <v>0</v>
      </c>
      <c r="DO14" t="e">
        <f>AND('boilerplate specs'!A44,"AAAAAG/+/3Y=")</f>
        <v>#VALUE!</v>
      </c>
      <c r="DP14" t="e">
        <f>AND('boilerplate specs'!B44,"AAAAAG/+/3c=")</f>
        <v>#VALUE!</v>
      </c>
      <c r="DQ14" t="e">
        <f>AND('boilerplate specs'!C44,"AAAAAG/+/3g=")</f>
        <v>#VALUE!</v>
      </c>
      <c r="DR14" t="e">
        <f>AND('boilerplate specs'!D44,"AAAAAG/+/3k=")</f>
        <v>#VALUE!</v>
      </c>
      <c r="DS14" t="e">
        <f>AND('boilerplate specs'!E44,"AAAAAG/+/3o=")</f>
        <v>#VALUE!</v>
      </c>
      <c r="DT14" t="e">
        <f>AND('boilerplate specs'!F44,"AAAAAG/+/3s=")</f>
        <v>#VALUE!</v>
      </c>
      <c r="DU14" t="e">
        <f>AND('boilerplate specs'!G44,"AAAAAG/+/3w=")</f>
        <v>#VALUE!</v>
      </c>
      <c r="DV14" t="e">
        <f>AND('boilerplate specs'!H44,"AAAAAG/+/30=")</f>
        <v>#VALUE!</v>
      </c>
      <c r="DW14" t="e">
        <f>AND('boilerplate specs'!I44,"AAAAAG/+/34=")</f>
        <v>#VALUE!</v>
      </c>
      <c r="DX14" t="e">
        <f>AND('boilerplate specs'!J44,"AAAAAG/+/38=")</f>
        <v>#VALUE!</v>
      </c>
      <c r="DY14" t="e">
        <f>AND('boilerplate specs'!#REF!,"AAAAAG/+/4A=")</f>
        <v>#REF!</v>
      </c>
      <c r="DZ14" t="e">
        <f>AND('boilerplate specs'!#REF!,"AAAAAG/+/4E=")</f>
        <v>#REF!</v>
      </c>
      <c r="EA14" t="e">
        <f>AND('boilerplate specs'!#REF!,"AAAAAG/+/4I=")</f>
        <v>#REF!</v>
      </c>
      <c r="EB14" t="e">
        <f>AND('boilerplate specs'!#REF!,"AAAAAG/+/4M=")</f>
        <v>#REF!</v>
      </c>
      <c r="EC14" t="e">
        <f>AND('boilerplate specs'!#REF!,"AAAAAG/+/4Q=")</f>
        <v>#REF!</v>
      </c>
      <c r="ED14" t="e">
        <f>AND('boilerplate specs'!#REF!,"AAAAAG/+/4U=")</f>
        <v>#REF!</v>
      </c>
      <c r="EE14" t="e">
        <f>AND('boilerplate specs'!#REF!,"AAAAAG/+/4Y=")</f>
        <v>#REF!</v>
      </c>
      <c r="EF14" t="e">
        <f>AND('boilerplate specs'!#REF!,"AAAAAG/+/4c=")</f>
        <v>#REF!</v>
      </c>
      <c r="EG14" t="e">
        <f>AND('boilerplate specs'!#REF!,"AAAAAG/+/4g=")</f>
        <v>#REF!</v>
      </c>
      <c r="EH14" t="e">
        <f>AND('boilerplate specs'!#REF!,"AAAAAG/+/4k=")</f>
        <v>#REF!</v>
      </c>
      <c r="EI14" t="e">
        <f>AND('boilerplate specs'!#REF!,"AAAAAG/+/4o=")</f>
        <v>#REF!</v>
      </c>
      <c r="EJ14" t="e">
        <f>AND('boilerplate specs'!#REF!,"AAAAAG/+/4s=")</f>
        <v>#REF!</v>
      </c>
      <c r="EK14" t="e">
        <f>AND('boilerplate specs'!#REF!,"AAAAAG/+/4w=")</f>
        <v>#REF!</v>
      </c>
      <c r="EL14" t="e">
        <f>AND('boilerplate specs'!#REF!,"AAAAAG/+/40=")</f>
        <v>#REF!</v>
      </c>
      <c r="EM14" t="e">
        <f>AND('boilerplate specs'!#REF!,"AAAAAG/+/44=")</f>
        <v>#REF!</v>
      </c>
      <c r="EN14" t="e">
        <f>AND('boilerplate specs'!#REF!,"AAAAAG/+/48=")</f>
        <v>#REF!</v>
      </c>
      <c r="EO14" t="e">
        <f>AND('boilerplate specs'!#REF!,"AAAAAG/+/5A=")</f>
        <v>#REF!</v>
      </c>
      <c r="EP14" t="e">
        <f>AND('boilerplate specs'!#REF!,"AAAAAG/+/5E=")</f>
        <v>#REF!</v>
      </c>
      <c r="EQ14" t="e">
        <f>AND('boilerplate specs'!#REF!,"AAAAAG/+/5I=")</f>
        <v>#REF!</v>
      </c>
      <c r="ER14" t="e">
        <f>AND('boilerplate specs'!#REF!,"AAAAAG/+/5M=")</f>
        <v>#REF!</v>
      </c>
      <c r="ES14" t="e">
        <f>AND('boilerplate specs'!#REF!,"AAAAAG/+/5Q=")</f>
        <v>#REF!</v>
      </c>
      <c r="ET14" t="e">
        <f>AND('boilerplate specs'!#REF!,"AAAAAG/+/5U=")</f>
        <v>#REF!</v>
      </c>
      <c r="EU14">
        <f>IF('boilerplate specs'!45:45,"AAAAAG/+/5Y=",0)</f>
        <v>0</v>
      </c>
      <c r="EV14" t="e">
        <f>AND('boilerplate specs'!A45,"AAAAAG/+/5c=")</f>
        <v>#VALUE!</v>
      </c>
      <c r="EW14" t="e">
        <f>AND('boilerplate specs'!B45,"AAAAAG/+/5g=")</f>
        <v>#VALUE!</v>
      </c>
      <c r="EX14" t="e">
        <f>AND('boilerplate specs'!C45,"AAAAAG/+/5k=")</f>
        <v>#VALUE!</v>
      </c>
      <c r="EY14" t="e">
        <f>AND('boilerplate specs'!D45,"AAAAAG/+/5o=")</f>
        <v>#VALUE!</v>
      </c>
      <c r="EZ14" t="e">
        <f>AND('boilerplate specs'!E45,"AAAAAG/+/5s=")</f>
        <v>#VALUE!</v>
      </c>
      <c r="FA14" t="e">
        <f>AND('boilerplate specs'!F45,"AAAAAG/+/5w=")</f>
        <v>#VALUE!</v>
      </c>
      <c r="FB14" t="e">
        <f>AND('boilerplate specs'!G45,"AAAAAG/+/50=")</f>
        <v>#VALUE!</v>
      </c>
      <c r="FC14" t="e">
        <f>AND('boilerplate specs'!H45,"AAAAAG/+/54=")</f>
        <v>#VALUE!</v>
      </c>
      <c r="FD14" t="e">
        <f>AND('boilerplate specs'!I45,"AAAAAG/+/58=")</f>
        <v>#VALUE!</v>
      </c>
      <c r="FE14" t="e">
        <f>AND('boilerplate specs'!J45,"AAAAAG/+/6A=")</f>
        <v>#VALUE!</v>
      </c>
      <c r="FF14" t="e">
        <f>AND('boilerplate specs'!#REF!,"AAAAAG/+/6E=")</f>
        <v>#REF!</v>
      </c>
      <c r="FG14" t="e">
        <f>AND('boilerplate specs'!#REF!,"AAAAAG/+/6I=")</f>
        <v>#REF!</v>
      </c>
      <c r="FH14" t="e">
        <f>AND('boilerplate specs'!#REF!,"AAAAAG/+/6M=")</f>
        <v>#REF!</v>
      </c>
      <c r="FI14" t="e">
        <f>AND('boilerplate specs'!#REF!,"AAAAAG/+/6Q=")</f>
        <v>#REF!</v>
      </c>
      <c r="FJ14" t="e">
        <f>AND('boilerplate specs'!#REF!,"AAAAAG/+/6U=")</f>
        <v>#REF!</v>
      </c>
      <c r="FK14" t="e">
        <f>AND('boilerplate specs'!#REF!,"AAAAAG/+/6Y=")</f>
        <v>#REF!</v>
      </c>
      <c r="FL14" t="e">
        <f>AND('boilerplate specs'!#REF!,"AAAAAG/+/6c=")</f>
        <v>#REF!</v>
      </c>
      <c r="FM14" t="e">
        <f>AND('boilerplate specs'!#REF!,"AAAAAG/+/6g=")</f>
        <v>#REF!</v>
      </c>
      <c r="FN14" t="e">
        <f>AND('boilerplate specs'!#REF!,"AAAAAG/+/6k=")</f>
        <v>#REF!</v>
      </c>
      <c r="FO14" t="e">
        <f>AND('boilerplate specs'!#REF!,"AAAAAG/+/6o=")</f>
        <v>#REF!</v>
      </c>
      <c r="FP14" t="e">
        <f>AND('boilerplate specs'!#REF!,"AAAAAG/+/6s=")</f>
        <v>#REF!</v>
      </c>
      <c r="FQ14" t="e">
        <f>AND('boilerplate specs'!#REF!,"AAAAAG/+/6w=")</f>
        <v>#REF!</v>
      </c>
      <c r="FR14" t="e">
        <f>AND('boilerplate specs'!#REF!,"AAAAAG/+/60=")</f>
        <v>#REF!</v>
      </c>
      <c r="FS14" t="e">
        <f>AND('boilerplate specs'!#REF!,"AAAAAG/+/64=")</f>
        <v>#REF!</v>
      </c>
      <c r="FT14" t="e">
        <f>AND('boilerplate specs'!#REF!,"AAAAAG/+/68=")</f>
        <v>#REF!</v>
      </c>
      <c r="FU14" t="e">
        <f>AND('boilerplate specs'!#REF!,"AAAAAG/+/7A=")</f>
        <v>#REF!</v>
      </c>
      <c r="FV14" t="e">
        <f>AND('boilerplate specs'!#REF!,"AAAAAG/+/7E=")</f>
        <v>#REF!</v>
      </c>
      <c r="FW14" t="e">
        <f>AND('boilerplate specs'!#REF!,"AAAAAG/+/7I=")</f>
        <v>#REF!</v>
      </c>
      <c r="FX14" t="e">
        <f>AND('boilerplate specs'!#REF!,"AAAAAG/+/7M=")</f>
        <v>#REF!</v>
      </c>
      <c r="FY14" t="e">
        <f>AND('boilerplate specs'!#REF!,"AAAAAG/+/7Q=")</f>
        <v>#REF!</v>
      </c>
      <c r="FZ14" t="e">
        <f>AND('boilerplate specs'!#REF!,"AAAAAG/+/7U=")</f>
        <v>#REF!</v>
      </c>
      <c r="GA14" t="e">
        <f>AND('boilerplate specs'!#REF!,"AAAAAG/+/7Y=")</f>
        <v>#REF!</v>
      </c>
      <c r="GB14">
        <f>IF('boilerplate specs'!46:46,"AAAAAG/+/7c=",0)</f>
        <v>0</v>
      </c>
      <c r="GC14" t="e">
        <f>AND('boilerplate specs'!A46,"AAAAAG/+/7g=")</f>
        <v>#VALUE!</v>
      </c>
      <c r="GD14" t="e">
        <f>AND('boilerplate specs'!B46,"AAAAAG/+/7k=")</f>
        <v>#VALUE!</v>
      </c>
      <c r="GE14" t="e">
        <f>AND('boilerplate specs'!C46,"AAAAAG/+/7o=")</f>
        <v>#VALUE!</v>
      </c>
      <c r="GF14" t="e">
        <f>AND('boilerplate specs'!D46,"AAAAAG/+/7s=")</f>
        <v>#VALUE!</v>
      </c>
      <c r="GG14" t="e">
        <f>AND('boilerplate specs'!E46,"AAAAAG/+/7w=")</f>
        <v>#VALUE!</v>
      </c>
      <c r="GH14" t="e">
        <f>AND('boilerplate specs'!F46,"AAAAAG/+/70=")</f>
        <v>#VALUE!</v>
      </c>
      <c r="GI14" t="e">
        <f>AND('boilerplate specs'!G46,"AAAAAG/+/74=")</f>
        <v>#VALUE!</v>
      </c>
      <c r="GJ14" t="e">
        <f>AND('boilerplate specs'!H46,"AAAAAG/+/78=")</f>
        <v>#VALUE!</v>
      </c>
      <c r="GK14" t="e">
        <f>AND('boilerplate specs'!I46,"AAAAAG/+/8A=")</f>
        <v>#VALUE!</v>
      </c>
      <c r="GL14" t="e">
        <f>AND('boilerplate specs'!J46,"AAAAAG/+/8E=")</f>
        <v>#VALUE!</v>
      </c>
      <c r="GM14" t="e">
        <f>AND('boilerplate specs'!#REF!,"AAAAAG/+/8I=")</f>
        <v>#REF!</v>
      </c>
      <c r="GN14" t="e">
        <f>AND('boilerplate specs'!#REF!,"AAAAAG/+/8M=")</f>
        <v>#REF!</v>
      </c>
      <c r="GO14" t="e">
        <f>AND('boilerplate specs'!#REF!,"AAAAAG/+/8Q=")</f>
        <v>#REF!</v>
      </c>
      <c r="GP14" t="e">
        <f>AND('boilerplate specs'!#REF!,"AAAAAG/+/8U=")</f>
        <v>#REF!</v>
      </c>
      <c r="GQ14" t="e">
        <f>AND('boilerplate specs'!#REF!,"AAAAAG/+/8Y=")</f>
        <v>#REF!</v>
      </c>
      <c r="GR14" t="e">
        <f>AND('boilerplate specs'!#REF!,"AAAAAG/+/8c=")</f>
        <v>#REF!</v>
      </c>
      <c r="GS14" t="e">
        <f>AND('boilerplate specs'!#REF!,"AAAAAG/+/8g=")</f>
        <v>#REF!</v>
      </c>
      <c r="GT14" t="e">
        <f>AND('boilerplate specs'!#REF!,"AAAAAG/+/8k=")</f>
        <v>#REF!</v>
      </c>
      <c r="GU14" t="e">
        <f>AND('boilerplate specs'!#REF!,"AAAAAG/+/8o=")</f>
        <v>#REF!</v>
      </c>
      <c r="GV14" t="e">
        <f>AND('boilerplate specs'!#REF!,"AAAAAG/+/8s=")</f>
        <v>#REF!</v>
      </c>
      <c r="GW14" t="e">
        <f>AND('boilerplate specs'!#REF!,"AAAAAG/+/8w=")</f>
        <v>#REF!</v>
      </c>
      <c r="GX14" t="e">
        <f>AND('boilerplate specs'!#REF!,"AAAAAG/+/80=")</f>
        <v>#REF!</v>
      </c>
      <c r="GY14" t="e">
        <f>AND('boilerplate specs'!#REF!,"AAAAAG/+/84=")</f>
        <v>#REF!</v>
      </c>
      <c r="GZ14" t="e">
        <f>AND('boilerplate specs'!#REF!,"AAAAAG/+/88=")</f>
        <v>#REF!</v>
      </c>
      <c r="HA14" t="e">
        <f>AND('boilerplate specs'!#REF!,"AAAAAG/+/9A=")</f>
        <v>#REF!</v>
      </c>
      <c r="HB14" t="e">
        <f>AND('boilerplate specs'!#REF!,"AAAAAG/+/9E=")</f>
        <v>#REF!</v>
      </c>
      <c r="HC14" t="e">
        <f>AND('boilerplate specs'!#REF!,"AAAAAG/+/9I=")</f>
        <v>#REF!</v>
      </c>
      <c r="HD14" t="e">
        <f>AND('boilerplate specs'!#REF!,"AAAAAG/+/9M=")</f>
        <v>#REF!</v>
      </c>
      <c r="HE14" t="e">
        <f>AND('boilerplate specs'!#REF!,"AAAAAG/+/9Q=")</f>
        <v>#REF!</v>
      </c>
      <c r="HF14" t="e">
        <f>AND('boilerplate specs'!#REF!,"AAAAAG/+/9U=")</f>
        <v>#REF!</v>
      </c>
      <c r="HG14" t="e">
        <f>AND('boilerplate specs'!#REF!,"AAAAAG/+/9Y=")</f>
        <v>#REF!</v>
      </c>
      <c r="HH14" t="e">
        <f>AND('boilerplate specs'!#REF!,"AAAAAG/+/9c=")</f>
        <v>#REF!</v>
      </c>
      <c r="HI14">
        <f>IF('boilerplate specs'!47:47,"AAAAAG/+/9g=",0)</f>
        <v>0</v>
      </c>
      <c r="HJ14" t="e">
        <f>AND('boilerplate specs'!A47,"AAAAAG/+/9k=")</f>
        <v>#VALUE!</v>
      </c>
      <c r="HK14" t="e">
        <f>AND('boilerplate specs'!B47,"AAAAAG/+/9o=")</f>
        <v>#VALUE!</v>
      </c>
      <c r="HL14" t="e">
        <f>AND('boilerplate specs'!C47,"AAAAAG/+/9s=")</f>
        <v>#VALUE!</v>
      </c>
      <c r="HM14" t="e">
        <f>AND('boilerplate specs'!D47,"AAAAAG/+/9w=")</f>
        <v>#VALUE!</v>
      </c>
      <c r="HN14" t="e">
        <f>AND('boilerplate specs'!E47,"AAAAAG/+/90=")</f>
        <v>#VALUE!</v>
      </c>
      <c r="HO14" t="e">
        <f>AND('boilerplate specs'!F47,"AAAAAG/+/94=")</f>
        <v>#VALUE!</v>
      </c>
      <c r="HP14" t="e">
        <f>AND('boilerplate specs'!G47,"AAAAAG/+/98=")</f>
        <v>#VALUE!</v>
      </c>
      <c r="HQ14" t="e">
        <f>AND('boilerplate specs'!H47,"AAAAAG/+/+A=")</f>
        <v>#VALUE!</v>
      </c>
      <c r="HR14" t="e">
        <f>AND('boilerplate specs'!I47,"AAAAAG/+/+E=")</f>
        <v>#VALUE!</v>
      </c>
      <c r="HS14" t="e">
        <f>AND('boilerplate specs'!J47,"AAAAAG/+/+I=")</f>
        <v>#VALUE!</v>
      </c>
      <c r="HT14" t="e">
        <f>AND('boilerplate specs'!#REF!,"AAAAAG/+/+M=")</f>
        <v>#REF!</v>
      </c>
      <c r="HU14" t="e">
        <f>AND('boilerplate specs'!#REF!,"AAAAAG/+/+Q=")</f>
        <v>#REF!</v>
      </c>
      <c r="HV14" t="e">
        <f>AND('boilerplate specs'!#REF!,"AAAAAG/+/+U=")</f>
        <v>#REF!</v>
      </c>
      <c r="HW14" t="e">
        <f>AND('boilerplate specs'!#REF!,"AAAAAG/+/+Y=")</f>
        <v>#REF!</v>
      </c>
      <c r="HX14" t="e">
        <f>AND('boilerplate specs'!#REF!,"AAAAAG/+/+c=")</f>
        <v>#REF!</v>
      </c>
      <c r="HY14" t="e">
        <f>AND('boilerplate specs'!#REF!,"AAAAAG/+/+g=")</f>
        <v>#REF!</v>
      </c>
      <c r="HZ14" t="e">
        <f>AND('boilerplate specs'!#REF!,"AAAAAG/+/+k=")</f>
        <v>#REF!</v>
      </c>
      <c r="IA14" t="e">
        <f>AND('boilerplate specs'!#REF!,"AAAAAG/+/+o=")</f>
        <v>#REF!</v>
      </c>
      <c r="IB14" t="e">
        <f>AND('boilerplate specs'!#REF!,"AAAAAG/+/+s=")</f>
        <v>#REF!</v>
      </c>
      <c r="IC14" t="e">
        <f>AND('boilerplate specs'!#REF!,"AAAAAG/+/+w=")</f>
        <v>#REF!</v>
      </c>
      <c r="ID14" t="e">
        <f>AND('boilerplate specs'!#REF!,"AAAAAG/+/+0=")</f>
        <v>#REF!</v>
      </c>
      <c r="IE14" t="e">
        <f>AND('boilerplate specs'!#REF!,"AAAAAG/+/+4=")</f>
        <v>#REF!</v>
      </c>
      <c r="IF14" t="e">
        <f>AND('boilerplate specs'!#REF!,"AAAAAG/+/+8=")</f>
        <v>#REF!</v>
      </c>
      <c r="IG14" t="e">
        <f>AND('boilerplate specs'!#REF!,"AAAAAG/+//A=")</f>
        <v>#REF!</v>
      </c>
      <c r="IH14" t="e">
        <f>AND('boilerplate specs'!#REF!,"AAAAAG/+//E=")</f>
        <v>#REF!</v>
      </c>
      <c r="II14" t="e">
        <f>AND('boilerplate specs'!#REF!,"AAAAAG/+//I=")</f>
        <v>#REF!</v>
      </c>
      <c r="IJ14" t="e">
        <f>AND('boilerplate specs'!#REF!,"AAAAAG/+//M=")</f>
        <v>#REF!</v>
      </c>
      <c r="IK14" t="e">
        <f>AND('boilerplate specs'!#REF!,"AAAAAG/+//Q=")</f>
        <v>#REF!</v>
      </c>
      <c r="IL14" t="e">
        <f>AND('boilerplate specs'!#REF!,"AAAAAG/+//U=")</f>
        <v>#REF!</v>
      </c>
      <c r="IM14" t="e">
        <f>AND('boilerplate specs'!#REF!,"AAAAAG/+//Y=")</f>
        <v>#REF!</v>
      </c>
      <c r="IN14" t="e">
        <f>AND('boilerplate specs'!#REF!,"AAAAAG/+//c=")</f>
        <v>#REF!</v>
      </c>
      <c r="IO14" t="e">
        <f>AND('boilerplate specs'!#REF!,"AAAAAG/+//g=")</f>
        <v>#REF!</v>
      </c>
      <c r="IP14">
        <f>IF('boilerplate specs'!48:48,"AAAAAG/+//k=",0)</f>
        <v>0</v>
      </c>
      <c r="IQ14" t="e">
        <f>AND('boilerplate specs'!A48,"AAAAAG/+//o=")</f>
        <v>#VALUE!</v>
      </c>
      <c r="IR14" t="e">
        <f>AND('boilerplate specs'!B48,"AAAAAG/+//s=")</f>
        <v>#VALUE!</v>
      </c>
      <c r="IS14" t="e">
        <f>AND('boilerplate specs'!C48,"AAAAAG/+//w=")</f>
        <v>#VALUE!</v>
      </c>
      <c r="IT14" t="e">
        <f>AND('boilerplate specs'!D48,"AAAAAG/+//0=")</f>
        <v>#VALUE!</v>
      </c>
      <c r="IU14" t="e">
        <f>AND('boilerplate specs'!E48,"AAAAAG/+//4=")</f>
        <v>#VALUE!</v>
      </c>
      <c r="IV14" t="e">
        <f>AND('boilerplate specs'!F48,"AAAAAG/+//8=")</f>
        <v>#VALUE!</v>
      </c>
    </row>
    <row r="15" spans="1:256" x14ac:dyDescent="0.35">
      <c r="A15" t="e">
        <f>AND('boilerplate specs'!G48,"AAAAAH7/+wA=")</f>
        <v>#VALUE!</v>
      </c>
      <c r="B15" t="e">
        <f>AND('boilerplate specs'!H48,"AAAAAH7/+wE=")</f>
        <v>#VALUE!</v>
      </c>
      <c r="C15" t="e">
        <f>AND('boilerplate specs'!I48,"AAAAAH7/+wI=")</f>
        <v>#VALUE!</v>
      </c>
      <c r="D15" t="e">
        <f>AND('boilerplate specs'!J48,"AAAAAH7/+wM=")</f>
        <v>#VALUE!</v>
      </c>
      <c r="E15" t="e">
        <f>AND('boilerplate specs'!#REF!,"AAAAAH7/+wQ=")</f>
        <v>#REF!</v>
      </c>
      <c r="F15" t="e">
        <f>AND('boilerplate specs'!#REF!,"AAAAAH7/+wU=")</f>
        <v>#REF!</v>
      </c>
      <c r="G15" t="e">
        <f>AND('boilerplate specs'!#REF!,"AAAAAH7/+wY=")</f>
        <v>#REF!</v>
      </c>
      <c r="H15" t="e">
        <f>AND('boilerplate specs'!#REF!,"AAAAAH7/+wc=")</f>
        <v>#REF!</v>
      </c>
      <c r="I15" t="e">
        <f>AND('boilerplate specs'!#REF!,"AAAAAH7/+wg=")</f>
        <v>#REF!</v>
      </c>
      <c r="J15" t="e">
        <f>AND('boilerplate specs'!#REF!,"AAAAAH7/+wk=")</f>
        <v>#REF!</v>
      </c>
      <c r="K15" t="e">
        <f>AND('boilerplate specs'!#REF!,"AAAAAH7/+wo=")</f>
        <v>#REF!</v>
      </c>
      <c r="L15" t="e">
        <f>AND('boilerplate specs'!#REF!,"AAAAAH7/+ws=")</f>
        <v>#REF!</v>
      </c>
      <c r="M15" t="e">
        <f>AND('boilerplate specs'!#REF!,"AAAAAH7/+ww=")</f>
        <v>#REF!</v>
      </c>
      <c r="N15" t="e">
        <f>AND('boilerplate specs'!#REF!,"AAAAAH7/+w0=")</f>
        <v>#REF!</v>
      </c>
      <c r="O15" t="e">
        <f>AND('boilerplate specs'!#REF!,"AAAAAH7/+w4=")</f>
        <v>#REF!</v>
      </c>
      <c r="P15" t="e">
        <f>AND('boilerplate specs'!#REF!,"AAAAAH7/+w8=")</f>
        <v>#REF!</v>
      </c>
      <c r="Q15" t="e">
        <f>AND('boilerplate specs'!#REF!,"AAAAAH7/+xA=")</f>
        <v>#REF!</v>
      </c>
      <c r="R15" t="e">
        <f>AND('boilerplate specs'!#REF!,"AAAAAH7/+xE=")</f>
        <v>#REF!</v>
      </c>
      <c r="S15" t="e">
        <f>AND('boilerplate specs'!#REF!,"AAAAAH7/+xI=")</f>
        <v>#REF!</v>
      </c>
      <c r="T15" t="e">
        <f>AND('boilerplate specs'!#REF!,"AAAAAH7/+xM=")</f>
        <v>#REF!</v>
      </c>
      <c r="U15" t="e">
        <f>AND('boilerplate specs'!#REF!,"AAAAAH7/+xQ=")</f>
        <v>#REF!</v>
      </c>
      <c r="V15" t="e">
        <f>AND('boilerplate specs'!#REF!,"AAAAAH7/+xU=")</f>
        <v>#REF!</v>
      </c>
      <c r="W15" t="e">
        <f>AND('boilerplate specs'!#REF!,"AAAAAH7/+xY=")</f>
        <v>#REF!</v>
      </c>
      <c r="X15" t="e">
        <f>AND('boilerplate specs'!#REF!,"AAAAAH7/+xc=")</f>
        <v>#REF!</v>
      </c>
      <c r="Y15" t="e">
        <f>AND('boilerplate specs'!#REF!,"AAAAAH7/+xg=")</f>
        <v>#REF!</v>
      </c>
      <c r="Z15" t="e">
        <f>AND('boilerplate specs'!#REF!,"AAAAAH7/+xk=")</f>
        <v>#REF!</v>
      </c>
      <c r="AA15">
        <f>IF('boilerplate specs'!49:49,"AAAAAH7/+xo=",0)</f>
        <v>0</v>
      </c>
      <c r="AB15" t="e">
        <f>AND('boilerplate specs'!A49,"AAAAAH7/+xs=")</f>
        <v>#VALUE!</v>
      </c>
      <c r="AC15" t="e">
        <f>AND('boilerplate specs'!B49,"AAAAAH7/+xw=")</f>
        <v>#VALUE!</v>
      </c>
      <c r="AD15" t="e">
        <f>AND('boilerplate specs'!C49,"AAAAAH7/+x0=")</f>
        <v>#VALUE!</v>
      </c>
      <c r="AE15" t="e">
        <f>AND('boilerplate specs'!D49,"AAAAAH7/+x4=")</f>
        <v>#VALUE!</v>
      </c>
      <c r="AF15" t="e">
        <f>AND('boilerplate specs'!E49,"AAAAAH7/+x8=")</f>
        <v>#VALUE!</v>
      </c>
      <c r="AG15" t="e">
        <f>AND('boilerplate specs'!F49,"AAAAAH7/+yA=")</f>
        <v>#VALUE!</v>
      </c>
      <c r="AH15" t="e">
        <f>AND('boilerplate specs'!G49,"AAAAAH7/+yE=")</f>
        <v>#VALUE!</v>
      </c>
      <c r="AI15" t="e">
        <f>AND('boilerplate specs'!H49,"AAAAAH7/+yI=")</f>
        <v>#VALUE!</v>
      </c>
      <c r="AJ15" t="e">
        <f>AND('boilerplate specs'!I49,"AAAAAH7/+yM=")</f>
        <v>#VALUE!</v>
      </c>
      <c r="AK15" t="e">
        <f>AND('boilerplate specs'!J49,"AAAAAH7/+yQ=")</f>
        <v>#VALUE!</v>
      </c>
      <c r="AL15" t="e">
        <f>AND('boilerplate specs'!#REF!,"AAAAAH7/+yU=")</f>
        <v>#REF!</v>
      </c>
      <c r="AM15" t="e">
        <f>AND('boilerplate specs'!#REF!,"AAAAAH7/+yY=")</f>
        <v>#REF!</v>
      </c>
      <c r="AN15" t="e">
        <f>AND('boilerplate specs'!#REF!,"AAAAAH7/+yc=")</f>
        <v>#REF!</v>
      </c>
      <c r="AO15" t="e">
        <f>AND('boilerplate specs'!#REF!,"AAAAAH7/+yg=")</f>
        <v>#REF!</v>
      </c>
      <c r="AP15" t="e">
        <f>AND('boilerplate specs'!#REF!,"AAAAAH7/+yk=")</f>
        <v>#REF!</v>
      </c>
      <c r="AQ15" t="e">
        <f>AND('boilerplate specs'!#REF!,"AAAAAH7/+yo=")</f>
        <v>#REF!</v>
      </c>
      <c r="AR15" t="e">
        <f>AND('boilerplate specs'!#REF!,"AAAAAH7/+ys=")</f>
        <v>#REF!</v>
      </c>
      <c r="AS15" t="e">
        <f>AND('boilerplate specs'!#REF!,"AAAAAH7/+yw=")</f>
        <v>#REF!</v>
      </c>
      <c r="AT15" t="e">
        <f>AND('boilerplate specs'!#REF!,"AAAAAH7/+y0=")</f>
        <v>#REF!</v>
      </c>
      <c r="AU15" t="e">
        <f>AND('boilerplate specs'!#REF!,"AAAAAH7/+y4=")</f>
        <v>#REF!</v>
      </c>
      <c r="AV15" t="e">
        <f>AND('boilerplate specs'!#REF!,"AAAAAH7/+y8=")</f>
        <v>#REF!</v>
      </c>
      <c r="AW15" t="e">
        <f>AND('boilerplate specs'!#REF!,"AAAAAH7/+zA=")</f>
        <v>#REF!</v>
      </c>
      <c r="AX15" t="e">
        <f>AND('boilerplate specs'!#REF!,"AAAAAH7/+zE=")</f>
        <v>#REF!</v>
      </c>
      <c r="AY15" t="e">
        <f>AND('boilerplate specs'!#REF!,"AAAAAH7/+zI=")</f>
        <v>#REF!</v>
      </c>
      <c r="AZ15" t="e">
        <f>AND('boilerplate specs'!#REF!,"AAAAAH7/+zM=")</f>
        <v>#REF!</v>
      </c>
      <c r="BA15" t="e">
        <f>AND('boilerplate specs'!#REF!,"AAAAAH7/+zQ=")</f>
        <v>#REF!</v>
      </c>
      <c r="BB15" t="e">
        <f>AND('boilerplate specs'!#REF!,"AAAAAH7/+zU=")</f>
        <v>#REF!</v>
      </c>
      <c r="BC15" t="e">
        <f>AND('boilerplate specs'!#REF!,"AAAAAH7/+zY=")</f>
        <v>#REF!</v>
      </c>
      <c r="BD15" t="e">
        <f>AND('boilerplate specs'!#REF!,"AAAAAH7/+zc=")</f>
        <v>#REF!</v>
      </c>
      <c r="BE15" t="e">
        <f>AND('boilerplate specs'!#REF!,"AAAAAH7/+zg=")</f>
        <v>#REF!</v>
      </c>
      <c r="BF15" t="e">
        <f>AND('boilerplate specs'!#REF!,"AAAAAH7/+zk=")</f>
        <v>#REF!</v>
      </c>
      <c r="BG15" t="e">
        <f>AND('boilerplate specs'!#REF!,"AAAAAH7/+zo=")</f>
        <v>#REF!</v>
      </c>
      <c r="BH15">
        <f>IF('boilerplate specs'!50:50,"AAAAAH7/+zs=",0)</f>
        <v>0</v>
      </c>
      <c r="BI15" t="e">
        <f>AND('boilerplate specs'!A50,"AAAAAH7/+zw=")</f>
        <v>#VALUE!</v>
      </c>
      <c r="BJ15" t="e">
        <f>AND('boilerplate specs'!B50,"AAAAAH7/+z0=")</f>
        <v>#VALUE!</v>
      </c>
      <c r="BK15" t="e">
        <f>AND('boilerplate specs'!C50,"AAAAAH7/+z4=")</f>
        <v>#VALUE!</v>
      </c>
      <c r="BL15" t="e">
        <f>AND('boilerplate specs'!D50,"AAAAAH7/+z8=")</f>
        <v>#VALUE!</v>
      </c>
      <c r="BM15" t="e">
        <f>AND('boilerplate specs'!E50,"AAAAAH7/+0A=")</f>
        <v>#VALUE!</v>
      </c>
      <c r="BN15" t="e">
        <f>AND('boilerplate specs'!F50,"AAAAAH7/+0E=")</f>
        <v>#VALUE!</v>
      </c>
      <c r="BO15" t="e">
        <f>AND('boilerplate specs'!G50,"AAAAAH7/+0I=")</f>
        <v>#VALUE!</v>
      </c>
      <c r="BP15" t="e">
        <f>AND('boilerplate specs'!H50,"AAAAAH7/+0M=")</f>
        <v>#VALUE!</v>
      </c>
      <c r="BQ15" t="e">
        <f>AND('boilerplate specs'!I50,"AAAAAH7/+0Q=")</f>
        <v>#VALUE!</v>
      </c>
      <c r="BR15" t="e">
        <f>AND('boilerplate specs'!J50,"AAAAAH7/+0U=")</f>
        <v>#VALUE!</v>
      </c>
      <c r="BS15" t="e">
        <f>AND('boilerplate specs'!#REF!,"AAAAAH7/+0Y=")</f>
        <v>#REF!</v>
      </c>
      <c r="BT15" t="e">
        <f>AND('boilerplate specs'!#REF!,"AAAAAH7/+0c=")</f>
        <v>#REF!</v>
      </c>
      <c r="BU15" t="e">
        <f>AND('boilerplate specs'!#REF!,"AAAAAH7/+0g=")</f>
        <v>#REF!</v>
      </c>
      <c r="BV15" t="e">
        <f>AND('boilerplate specs'!#REF!,"AAAAAH7/+0k=")</f>
        <v>#REF!</v>
      </c>
      <c r="BW15" t="e">
        <f>AND('boilerplate specs'!#REF!,"AAAAAH7/+0o=")</f>
        <v>#REF!</v>
      </c>
      <c r="BX15" t="e">
        <f>AND('boilerplate specs'!#REF!,"AAAAAH7/+0s=")</f>
        <v>#REF!</v>
      </c>
      <c r="BY15" t="e">
        <f>AND('boilerplate specs'!#REF!,"AAAAAH7/+0w=")</f>
        <v>#REF!</v>
      </c>
      <c r="BZ15" t="e">
        <f>AND('boilerplate specs'!#REF!,"AAAAAH7/+00=")</f>
        <v>#REF!</v>
      </c>
      <c r="CA15" t="e">
        <f>AND('boilerplate specs'!#REF!,"AAAAAH7/+04=")</f>
        <v>#REF!</v>
      </c>
      <c r="CB15" t="e">
        <f>AND('boilerplate specs'!#REF!,"AAAAAH7/+08=")</f>
        <v>#REF!</v>
      </c>
      <c r="CC15" t="e">
        <f>AND('boilerplate specs'!#REF!,"AAAAAH7/+1A=")</f>
        <v>#REF!</v>
      </c>
      <c r="CD15" t="e">
        <f>AND('boilerplate specs'!#REF!,"AAAAAH7/+1E=")</f>
        <v>#REF!</v>
      </c>
      <c r="CE15" t="e">
        <f>AND('boilerplate specs'!#REF!,"AAAAAH7/+1I=")</f>
        <v>#REF!</v>
      </c>
      <c r="CF15" t="e">
        <f>AND('boilerplate specs'!#REF!,"AAAAAH7/+1M=")</f>
        <v>#REF!</v>
      </c>
      <c r="CG15" t="e">
        <f>AND('boilerplate specs'!#REF!,"AAAAAH7/+1Q=")</f>
        <v>#REF!</v>
      </c>
      <c r="CH15" t="e">
        <f>AND('boilerplate specs'!#REF!,"AAAAAH7/+1U=")</f>
        <v>#REF!</v>
      </c>
      <c r="CI15" t="e">
        <f>AND('boilerplate specs'!#REF!,"AAAAAH7/+1Y=")</f>
        <v>#REF!</v>
      </c>
      <c r="CJ15" t="e">
        <f>AND('boilerplate specs'!#REF!,"AAAAAH7/+1c=")</f>
        <v>#REF!</v>
      </c>
      <c r="CK15" t="e">
        <f>AND('boilerplate specs'!#REF!,"AAAAAH7/+1g=")</f>
        <v>#REF!</v>
      </c>
      <c r="CL15" t="e">
        <f>AND('boilerplate specs'!#REF!,"AAAAAH7/+1k=")</f>
        <v>#REF!</v>
      </c>
      <c r="CM15" t="e">
        <f>AND('boilerplate specs'!#REF!,"AAAAAH7/+1o=")</f>
        <v>#REF!</v>
      </c>
      <c r="CN15" t="e">
        <f>AND('boilerplate specs'!#REF!,"AAAAAH7/+1s=")</f>
        <v>#REF!</v>
      </c>
      <c r="CO15">
        <f>IF('boilerplate specs'!51:51,"AAAAAH7/+1w=",0)</f>
        <v>0</v>
      </c>
      <c r="CP15" t="e">
        <f>AND('boilerplate specs'!A51,"AAAAAH7/+10=")</f>
        <v>#VALUE!</v>
      </c>
      <c r="CQ15" t="e">
        <f>AND('boilerplate specs'!B51,"AAAAAH7/+14=")</f>
        <v>#VALUE!</v>
      </c>
      <c r="CR15" t="e">
        <f>AND('boilerplate specs'!C51,"AAAAAH7/+18=")</f>
        <v>#VALUE!</v>
      </c>
      <c r="CS15" t="e">
        <f>AND('boilerplate specs'!D51,"AAAAAH7/+2A=")</f>
        <v>#VALUE!</v>
      </c>
      <c r="CT15" t="e">
        <f>AND('boilerplate specs'!E51,"AAAAAH7/+2E=")</f>
        <v>#VALUE!</v>
      </c>
      <c r="CU15" t="e">
        <f>AND('boilerplate specs'!F51,"AAAAAH7/+2I=")</f>
        <v>#VALUE!</v>
      </c>
      <c r="CV15" t="e">
        <f>AND('boilerplate specs'!G51,"AAAAAH7/+2M=")</f>
        <v>#VALUE!</v>
      </c>
      <c r="CW15" t="e">
        <f>AND('boilerplate specs'!H51,"AAAAAH7/+2Q=")</f>
        <v>#VALUE!</v>
      </c>
      <c r="CX15" t="e">
        <f>AND('boilerplate specs'!I51,"AAAAAH7/+2U=")</f>
        <v>#VALUE!</v>
      </c>
      <c r="CY15" t="e">
        <f>AND('boilerplate specs'!J51,"AAAAAH7/+2Y=")</f>
        <v>#VALUE!</v>
      </c>
      <c r="CZ15" t="e">
        <f>AND('boilerplate specs'!#REF!,"AAAAAH7/+2c=")</f>
        <v>#REF!</v>
      </c>
      <c r="DA15" t="e">
        <f>AND('boilerplate specs'!#REF!,"AAAAAH7/+2g=")</f>
        <v>#REF!</v>
      </c>
      <c r="DB15" t="e">
        <f>AND('boilerplate specs'!#REF!,"AAAAAH7/+2k=")</f>
        <v>#REF!</v>
      </c>
      <c r="DC15" t="e">
        <f>AND('boilerplate specs'!#REF!,"AAAAAH7/+2o=")</f>
        <v>#REF!</v>
      </c>
      <c r="DD15" t="e">
        <f>AND('boilerplate specs'!#REF!,"AAAAAH7/+2s=")</f>
        <v>#REF!</v>
      </c>
      <c r="DE15" t="e">
        <f>AND('boilerplate specs'!#REF!,"AAAAAH7/+2w=")</f>
        <v>#REF!</v>
      </c>
      <c r="DF15" t="e">
        <f>AND('boilerplate specs'!#REF!,"AAAAAH7/+20=")</f>
        <v>#REF!</v>
      </c>
      <c r="DG15" t="e">
        <f>AND('boilerplate specs'!#REF!,"AAAAAH7/+24=")</f>
        <v>#REF!</v>
      </c>
      <c r="DH15" t="e">
        <f>AND('boilerplate specs'!#REF!,"AAAAAH7/+28=")</f>
        <v>#REF!</v>
      </c>
      <c r="DI15" t="e">
        <f>AND('boilerplate specs'!#REF!,"AAAAAH7/+3A=")</f>
        <v>#REF!</v>
      </c>
      <c r="DJ15" t="e">
        <f>AND('boilerplate specs'!#REF!,"AAAAAH7/+3E=")</f>
        <v>#REF!</v>
      </c>
      <c r="DK15" t="e">
        <f>AND('boilerplate specs'!#REF!,"AAAAAH7/+3I=")</f>
        <v>#REF!</v>
      </c>
      <c r="DL15" t="e">
        <f>AND('boilerplate specs'!#REF!,"AAAAAH7/+3M=")</f>
        <v>#REF!</v>
      </c>
      <c r="DM15" t="e">
        <f>AND('boilerplate specs'!#REF!,"AAAAAH7/+3Q=")</f>
        <v>#REF!</v>
      </c>
      <c r="DN15" t="e">
        <f>AND('boilerplate specs'!#REF!,"AAAAAH7/+3U=")</f>
        <v>#REF!</v>
      </c>
      <c r="DO15" t="e">
        <f>AND('boilerplate specs'!#REF!,"AAAAAH7/+3Y=")</f>
        <v>#REF!</v>
      </c>
      <c r="DP15" t="e">
        <f>AND('boilerplate specs'!#REF!,"AAAAAH7/+3c=")</f>
        <v>#REF!</v>
      </c>
      <c r="DQ15" t="e">
        <f>AND('boilerplate specs'!#REF!,"AAAAAH7/+3g=")</f>
        <v>#REF!</v>
      </c>
      <c r="DR15" t="e">
        <f>AND('boilerplate specs'!#REF!,"AAAAAH7/+3k=")</f>
        <v>#REF!</v>
      </c>
      <c r="DS15" t="e">
        <f>AND('boilerplate specs'!#REF!,"AAAAAH7/+3o=")</f>
        <v>#REF!</v>
      </c>
      <c r="DT15" t="e">
        <f>AND('boilerplate specs'!#REF!,"AAAAAH7/+3s=")</f>
        <v>#REF!</v>
      </c>
      <c r="DU15" t="e">
        <f>AND('boilerplate specs'!#REF!,"AAAAAH7/+3w=")</f>
        <v>#REF!</v>
      </c>
      <c r="DV15">
        <f>IF('boilerplate specs'!52:52,"AAAAAH7/+30=",0)</f>
        <v>0</v>
      </c>
      <c r="DW15" t="e">
        <f>AND('boilerplate specs'!A52,"AAAAAH7/+34=")</f>
        <v>#VALUE!</v>
      </c>
      <c r="DX15" t="e">
        <f>AND('boilerplate specs'!B52,"AAAAAH7/+38=")</f>
        <v>#VALUE!</v>
      </c>
      <c r="DY15" t="e">
        <f>AND('boilerplate specs'!C52,"AAAAAH7/+4A=")</f>
        <v>#VALUE!</v>
      </c>
      <c r="DZ15" t="e">
        <f>AND('boilerplate specs'!D52,"AAAAAH7/+4E=")</f>
        <v>#VALUE!</v>
      </c>
      <c r="EA15" t="e">
        <f>AND('boilerplate specs'!E52,"AAAAAH7/+4I=")</f>
        <v>#VALUE!</v>
      </c>
      <c r="EB15" t="e">
        <f>AND('boilerplate specs'!F52,"AAAAAH7/+4M=")</f>
        <v>#VALUE!</v>
      </c>
      <c r="EC15" t="e">
        <f>AND('boilerplate specs'!G52,"AAAAAH7/+4Q=")</f>
        <v>#VALUE!</v>
      </c>
      <c r="ED15" t="e">
        <f>AND('boilerplate specs'!H52,"AAAAAH7/+4U=")</f>
        <v>#VALUE!</v>
      </c>
      <c r="EE15" t="e">
        <f>AND('boilerplate specs'!I52,"AAAAAH7/+4Y=")</f>
        <v>#VALUE!</v>
      </c>
      <c r="EF15" t="e">
        <f>AND('boilerplate specs'!J52,"AAAAAH7/+4c=")</f>
        <v>#VALUE!</v>
      </c>
      <c r="EG15" t="e">
        <f>AND('boilerplate specs'!#REF!,"AAAAAH7/+4g=")</f>
        <v>#REF!</v>
      </c>
      <c r="EH15" t="e">
        <f>AND('boilerplate specs'!#REF!,"AAAAAH7/+4k=")</f>
        <v>#REF!</v>
      </c>
      <c r="EI15" t="e">
        <f>AND('boilerplate specs'!#REF!,"AAAAAH7/+4o=")</f>
        <v>#REF!</v>
      </c>
      <c r="EJ15" t="e">
        <f>AND('boilerplate specs'!#REF!,"AAAAAH7/+4s=")</f>
        <v>#REF!</v>
      </c>
      <c r="EK15" t="e">
        <f>AND('boilerplate specs'!#REF!,"AAAAAH7/+4w=")</f>
        <v>#REF!</v>
      </c>
      <c r="EL15" t="e">
        <f>AND('boilerplate specs'!#REF!,"AAAAAH7/+40=")</f>
        <v>#REF!</v>
      </c>
      <c r="EM15" t="e">
        <f>AND('boilerplate specs'!#REF!,"AAAAAH7/+44=")</f>
        <v>#REF!</v>
      </c>
      <c r="EN15" t="e">
        <f>AND('boilerplate specs'!#REF!,"AAAAAH7/+48=")</f>
        <v>#REF!</v>
      </c>
      <c r="EO15" t="e">
        <f>AND('boilerplate specs'!#REF!,"AAAAAH7/+5A=")</f>
        <v>#REF!</v>
      </c>
      <c r="EP15" t="e">
        <f>AND('boilerplate specs'!#REF!,"AAAAAH7/+5E=")</f>
        <v>#REF!</v>
      </c>
      <c r="EQ15" t="e">
        <f>AND('boilerplate specs'!#REF!,"AAAAAH7/+5I=")</f>
        <v>#REF!</v>
      </c>
      <c r="ER15" t="e">
        <f>AND('boilerplate specs'!#REF!,"AAAAAH7/+5M=")</f>
        <v>#REF!</v>
      </c>
      <c r="ES15" t="e">
        <f>AND('boilerplate specs'!#REF!,"AAAAAH7/+5Q=")</f>
        <v>#REF!</v>
      </c>
      <c r="ET15" t="e">
        <f>AND('boilerplate specs'!#REF!,"AAAAAH7/+5U=")</f>
        <v>#REF!</v>
      </c>
      <c r="EU15" t="e">
        <f>AND('boilerplate specs'!#REF!,"AAAAAH7/+5Y=")</f>
        <v>#REF!</v>
      </c>
      <c r="EV15" t="e">
        <f>AND('boilerplate specs'!#REF!,"AAAAAH7/+5c=")</f>
        <v>#REF!</v>
      </c>
      <c r="EW15" t="e">
        <f>AND('boilerplate specs'!#REF!,"AAAAAH7/+5g=")</f>
        <v>#REF!</v>
      </c>
      <c r="EX15" t="e">
        <f>AND('boilerplate specs'!#REF!,"AAAAAH7/+5k=")</f>
        <v>#REF!</v>
      </c>
      <c r="EY15" t="e">
        <f>AND('boilerplate specs'!#REF!,"AAAAAH7/+5o=")</f>
        <v>#REF!</v>
      </c>
      <c r="EZ15" t="e">
        <f>AND('boilerplate specs'!#REF!,"AAAAAH7/+5s=")</f>
        <v>#REF!</v>
      </c>
      <c r="FA15" t="e">
        <f>AND('boilerplate specs'!#REF!,"AAAAAH7/+5w=")</f>
        <v>#REF!</v>
      </c>
      <c r="FB15" t="e">
        <f>AND('boilerplate specs'!#REF!,"AAAAAH7/+50=")</f>
        <v>#REF!</v>
      </c>
      <c r="FC15">
        <f>IF('boilerplate specs'!53:53,"AAAAAH7/+54=",0)</f>
        <v>0</v>
      </c>
      <c r="FD15" t="e">
        <f>AND('boilerplate specs'!A53,"AAAAAH7/+58=")</f>
        <v>#VALUE!</v>
      </c>
      <c r="FE15" t="e">
        <f>AND('boilerplate specs'!B53,"AAAAAH7/+6A=")</f>
        <v>#VALUE!</v>
      </c>
      <c r="FF15" t="e">
        <f>AND('boilerplate specs'!C53,"AAAAAH7/+6E=")</f>
        <v>#VALUE!</v>
      </c>
      <c r="FG15" t="e">
        <f>AND('boilerplate specs'!D53,"AAAAAH7/+6I=")</f>
        <v>#VALUE!</v>
      </c>
      <c r="FH15" t="e">
        <f>AND('boilerplate specs'!E53,"AAAAAH7/+6M=")</f>
        <v>#VALUE!</v>
      </c>
      <c r="FI15" t="e">
        <f>AND('boilerplate specs'!F53,"AAAAAH7/+6Q=")</f>
        <v>#VALUE!</v>
      </c>
      <c r="FJ15" t="e">
        <f>AND('boilerplate specs'!G53,"AAAAAH7/+6U=")</f>
        <v>#VALUE!</v>
      </c>
      <c r="FK15" t="e">
        <f>AND('boilerplate specs'!H53,"AAAAAH7/+6Y=")</f>
        <v>#VALUE!</v>
      </c>
      <c r="FL15" t="e">
        <f>AND('boilerplate specs'!I53,"AAAAAH7/+6c=")</f>
        <v>#VALUE!</v>
      </c>
      <c r="FM15" t="e">
        <f>AND('boilerplate specs'!J53,"AAAAAH7/+6g=")</f>
        <v>#VALUE!</v>
      </c>
      <c r="FN15" t="e">
        <f>AND('boilerplate specs'!#REF!,"AAAAAH7/+6k=")</f>
        <v>#REF!</v>
      </c>
      <c r="FO15" t="e">
        <f>AND('boilerplate specs'!#REF!,"AAAAAH7/+6o=")</f>
        <v>#REF!</v>
      </c>
      <c r="FP15" t="e">
        <f>AND('boilerplate specs'!#REF!,"AAAAAH7/+6s=")</f>
        <v>#REF!</v>
      </c>
      <c r="FQ15" t="e">
        <f>AND('boilerplate specs'!#REF!,"AAAAAH7/+6w=")</f>
        <v>#REF!</v>
      </c>
      <c r="FR15" t="e">
        <f>AND('boilerplate specs'!#REF!,"AAAAAH7/+60=")</f>
        <v>#REF!</v>
      </c>
      <c r="FS15" t="e">
        <f>AND('boilerplate specs'!#REF!,"AAAAAH7/+64=")</f>
        <v>#REF!</v>
      </c>
      <c r="FT15" t="e">
        <f>AND('boilerplate specs'!#REF!,"AAAAAH7/+68=")</f>
        <v>#REF!</v>
      </c>
      <c r="FU15" t="e">
        <f>AND('boilerplate specs'!#REF!,"AAAAAH7/+7A=")</f>
        <v>#REF!</v>
      </c>
      <c r="FV15" t="e">
        <f>AND('boilerplate specs'!#REF!,"AAAAAH7/+7E=")</f>
        <v>#REF!</v>
      </c>
      <c r="FW15" t="e">
        <f>AND('boilerplate specs'!#REF!,"AAAAAH7/+7I=")</f>
        <v>#REF!</v>
      </c>
      <c r="FX15" t="e">
        <f>AND('boilerplate specs'!#REF!,"AAAAAH7/+7M=")</f>
        <v>#REF!</v>
      </c>
      <c r="FY15" t="e">
        <f>AND('boilerplate specs'!#REF!,"AAAAAH7/+7Q=")</f>
        <v>#REF!</v>
      </c>
      <c r="FZ15" t="e">
        <f>AND('boilerplate specs'!#REF!,"AAAAAH7/+7U=")</f>
        <v>#REF!</v>
      </c>
      <c r="GA15" t="e">
        <f>AND('boilerplate specs'!#REF!,"AAAAAH7/+7Y=")</f>
        <v>#REF!</v>
      </c>
      <c r="GB15" t="e">
        <f>AND('boilerplate specs'!#REF!,"AAAAAH7/+7c=")</f>
        <v>#REF!</v>
      </c>
      <c r="GC15" t="e">
        <f>AND('boilerplate specs'!#REF!,"AAAAAH7/+7g=")</f>
        <v>#REF!</v>
      </c>
      <c r="GD15" t="e">
        <f>AND('boilerplate specs'!#REF!,"AAAAAH7/+7k=")</f>
        <v>#REF!</v>
      </c>
      <c r="GE15" t="e">
        <f>AND('boilerplate specs'!#REF!,"AAAAAH7/+7o=")</f>
        <v>#REF!</v>
      </c>
      <c r="GF15" t="e">
        <f>AND('boilerplate specs'!#REF!,"AAAAAH7/+7s=")</f>
        <v>#REF!</v>
      </c>
      <c r="GG15" t="e">
        <f>AND('boilerplate specs'!#REF!,"AAAAAH7/+7w=")</f>
        <v>#REF!</v>
      </c>
      <c r="GH15" t="e">
        <f>AND('boilerplate specs'!#REF!,"AAAAAH7/+70=")</f>
        <v>#REF!</v>
      </c>
      <c r="GI15" t="e">
        <f>AND('boilerplate specs'!#REF!,"AAAAAH7/+74=")</f>
        <v>#REF!</v>
      </c>
      <c r="GJ15">
        <f>IF('boilerplate specs'!54:54,"AAAAAH7/+78=",0)</f>
        <v>0</v>
      </c>
      <c r="GK15" t="e">
        <f>AND('boilerplate specs'!A54,"AAAAAH7/+8A=")</f>
        <v>#VALUE!</v>
      </c>
      <c r="GL15" t="e">
        <f>AND('boilerplate specs'!B54,"AAAAAH7/+8E=")</f>
        <v>#VALUE!</v>
      </c>
      <c r="GM15" t="e">
        <f>AND('boilerplate specs'!C54,"AAAAAH7/+8I=")</f>
        <v>#VALUE!</v>
      </c>
      <c r="GN15" t="e">
        <f>AND('boilerplate specs'!D54,"AAAAAH7/+8M=")</f>
        <v>#VALUE!</v>
      </c>
      <c r="GO15" t="e">
        <f>AND('boilerplate specs'!E54,"AAAAAH7/+8Q=")</f>
        <v>#VALUE!</v>
      </c>
      <c r="GP15" t="e">
        <f>AND('boilerplate specs'!F54,"AAAAAH7/+8U=")</f>
        <v>#VALUE!</v>
      </c>
      <c r="GQ15" t="e">
        <f>AND('boilerplate specs'!G54,"AAAAAH7/+8Y=")</f>
        <v>#VALUE!</v>
      </c>
      <c r="GR15" t="e">
        <f>AND('boilerplate specs'!H54,"AAAAAH7/+8c=")</f>
        <v>#VALUE!</v>
      </c>
      <c r="GS15" t="e">
        <f>AND('boilerplate specs'!I54,"AAAAAH7/+8g=")</f>
        <v>#VALUE!</v>
      </c>
      <c r="GT15" t="e">
        <f>AND('boilerplate specs'!J54,"AAAAAH7/+8k=")</f>
        <v>#VALUE!</v>
      </c>
      <c r="GU15" t="e">
        <f>AND('boilerplate specs'!#REF!,"AAAAAH7/+8o=")</f>
        <v>#REF!</v>
      </c>
      <c r="GV15" t="e">
        <f>AND('boilerplate specs'!#REF!,"AAAAAH7/+8s=")</f>
        <v>#REF!</v>
      </c>
      <c r="GW15" t="e">
        <f>AND('boilerplate specs'!#REF!,"AAAAAH7/+8w=")</f>
        <v>#REF!</v>
      </c>
      <c r="GX15" t="e">
        <f>AND('boilerplate specs'!#REF!,"AAAAAH7/+80=")</f>
        <v>#REF!</v>
      </c>
      <c r="GY15" t="e">
        <f>AND('boilerplate specs'!#REF!,"AAAAAH7/+84=")</f>
        <v>#REF!</v>
      </c>
      <c r="GZ15" t="e">
        <f>AND('boilerplate specs'!#REF!,"AAAAAH7/+88=")</f>
        <v>#REF!</v>
      </c>
      <c r="HA15" t="e">
        <f>AND('boilerplate specs'!#REF!,"AAAAAH7/+9A=")</f>
        <v>#REF!</v>
      </c>
      <c r="HB15" t="e">
        <f>AND('boilerplate specs'!#REF!,"AAAAAH7/+9E=")</f>
        <v>#REF!</v>
      </c>
      <c r="HC15" t="e">
        <f>AND('boilerplate specs'!#REF!,"AAAAAH7/+9I=")</f>
        <v>#REF!</v>
      </c>
      <c r="HD15" t="e">
        <f>AND('boilerplate specs'!#REF!,"AAAAAH7/+9M=")</f>
        <v>#REF!</v>
      </c>
      <c r="HE15" t="e">
        <f>AND('boilerplate specs'!#REF!,"AAAAAH7/+9Q=")</f>
        <v>#REF!</v>
      </c>
      <c r="HF15" t="e">
        <f>AND('boilerplate specs'!#REF!,"AAAAAH7/+9U=")</f>
        <v>#REF!</v>
      </c>
      <c r="HG15" t="e">
        <f>AND('boilerplate specs'!#REF!,"AAAAAH7/+9Y=")</f>
        <v>#REF!</v>
      </c>
      <c r="HH15" t="e">
        <f>AND('boilerplate specs'!#REF!,"AAAAAH7/+9c=")</f>
        <v>#REF!</v>
      </c>
      <c r="HI15" t="e">
        <f>AND('boilerplate specs'!#REF!,"AAAAAH7/+9g=")</f>
        <v>#REF!</v>
      </c>
      <c r="HJ15" t="e">
        <f>AND('boilerplate specs'!#REF!,"AAAAAH7/+9k=")</f>
        <v>#REF!</v>
      </c>
      <c r="HK15" t="e">
        <f>AND('boilerplate specs'!#REF!,"AAAAAH7/+9o=")</f>
        <v>#REF!</v>
      </c>
      <c r="HL15" t="e">
        <f>AND('boilerplate specs'!#REF!,"AAAAAH7/+9s=")</f>
        <v>#REF!</v>
      </c>
      <c r="HM15" t="e">
        <f>AND('boilerplate specs'!#REF!,"AAAAAH7/+9w=")</f>
        <v>#REF!</v>
      </c>
      <c r="HN15" t="e">
        <f>AND('boilerplate specs'!#REF!,"AAAAAH7/+90=")</f>
        <v>#REF!</v>
      </c>
      <c r="HO15" t="e">
        <f>AND('boilerplate specs'!#REF!,"AAAAAH7/+94=")</f>
        <v>#REF!</v>
      </c>
      <c r="HP15" t="e">
        <f>AND('boilerplate specs'!#REF!,"AAAAAH7/+98=")</f>
        <v>#REF!</v>
      </c>
      <c r="HQ15">
        <f>IF('boilerplate specs'!55:55,"AAAAAH7/++A=",0)</f>
        <v>0</v>
      </c>
      <c r="HR15" t="e">
        <f>AND('boilerplate specs'!A55,"AAAAAH7/++E=")</f>
        <v>#VALUE!</v>
      </c>
      <c r="HS15" t="e">
        <f>AND('boilerplate specs'!B55,"AAAAAH7/++I=")</f>
        <v>#VALUE!</v>
      </c>
      <c r="HT15" t="e">
        <f>AND('boilerplate specs'!C55,"AAAAAH7/++M=")</f>
        <v>#VALUE!</v>
      </c>
      <c r="HU15" t="e">
        <f>AND('boilerplate specs'!D55,"AAAAAH7/++Q=")</f>
        <v>#VALUE!</v>
      </c>
      <c r="HV15" t="e">
        <f>AND('boilerplate specs'!E55,"AAAAAH7/++U=")</f>
        <v>#VALUE!</v>
      </c>
      <c r="HW15" t="e">
        <f>AND('boilerplate specs'!F55,"AAAAAH7/++Y=")</f>
        <v>#VALUE!</v>
      </c>
      <c r="HX15" t="e">
        <f>AND('boilerplate specs'!G55,"AAAAAH7/++c=")</f>
        <v>#VALUE!</v>
      </c>
      <c r="HY15" t="e">
        <f>AND('boilerplate specs'!H55,"AAAAAH7/++g=")</f>
        <v>#VALUE!</v>
      </c>
      <c r="HZ15" t="e">
        <f>AND('boilerplate specs'!I55,"AAAAAH7/++k=")</f>
        <v>#VALUE!</v>
      </c>
      <c r="IA15" t="e">
        <f>AND('boilerplate specs'!J55,"AAAAAH7/++o=")</f>
        <v>#VALUE!</v>
      </c>
      <c r="IB15" t="e">
        <f>AND('boilerplate specs'!#REF!,"AAAAAH7/++s=")</f>
        <v>#REF!</v>
      </c>
      <c r="IC15" t="e">
        <f>AND('boilerplate specs'!#REF!,"AAAAAH7/++w=")</f>
        <v>#REF!</v>
      </c>
      <c r="ID15" t="e">
        <f>AND('boilerplate specs'!#REF!,"AAAAAH7/++0=")</f>
        <v>#REF!</v>
      </c>
      <c r="IE15" t="e">
        <f>AND('boilerplate specs'!#REF!,"AAAAAH7/++4=")</f>
        <v>#REF!</v>
      </c>
      <c r="IF15" t="e">
        <f>AND('boilerplate specs'!#REF!,"AAAAAH7/++8=")</f>
        <v>#REF!</v>
      </c>
      <c r="IG15" t="e">
        <f>AND('boilerplate specs'!#REF!,"AAAAAH7/+/A=")</f>
        <v>#REF!</v>
      </c>
      <c r="IH15" t="e">
        <f>AND('boilerplate specs'!#REF!,"AAAAAH7/+/E=")</f>
        <v>#REF!</v>
      </c>
      <c r="II15" t="e">
        <f>AND('boilerplate specs'!#REF!,"AAAAAH7/+/I=")</f>
        <v>#REF!</v>
      </c>
      <c r="IJ15" t="e">
        <f>AND('boilerplate specs'!#REF!,"AAAAAH7/+/M=")</f>
        <v>#REF!</v>
      </c>
      <c r="IK15" t="e">
        <f>AND('boilerplate specs'!#REF!,"AAAAAH7/+/Q=")</f>
        <v>#REF!</v>
      </c>
      <c r="IL15" t="e">
        <f>AND('boilerplate specs'!#REF!,"AAAAAH7/+/U=")</f>
        <v>#REF!</v>
      </c>
      <c r="IM15" t="e">
        <f>AND('boilerplate specs'!#REF!,"AAAAAH7/+/Y=")</f>
        <v>#REF!</v>
      </c>
      <c r="IN15" t="e">
        <f>AND('boilerplate specs'!#REF!,"AAAAAH7/+/c=")</f>
        <v>#REF!</v>
      </c>
      <c r="IO15" t="e">
        <f>AND('boilerplate specs'!#REF!,"AAAAAH7/+/g=")</f>
        <v>#REF!</v>
      </c>
      <c r="IP15" t="e">
        <f>AND('boilerplate specs'!#REF!,"AAAAAH7/+/k=")</f>
        <v>#REF!</v>
      </c>
      <c r="IQ15" t="e">
        <f>AND('boilerplate specs'!#REF!,"AAAAAH7/+/o=")</f>
        <v>#REF!</v>
      </c>
      <c r="IR15" t="e">
        <f>AND('boilerplate specs'!#REF!,"AAAAAH7/+/s=")</f>
        <v>#REF!</v>
      </c>
      <c r="IS15" t="e">
        <f>AND('boilerplate specs'!#REF!,"AAAAAH7/+/w=")</f>
        <v>#REF!</v>
      </c>
      <c r="IT15" t="e">
        <f>AND('boilerplate specs'!#REF!,"AAAAAH7/+/0=")</f>
        <v>#REF!</v>
      </c>
      <c r="IU15" t="e">
        <f>AND('boilerplate specs'!#REF!,"AAAAAH7/+/4=")</f>
        <v>#REF!</v>
      </c>
      <c r="IV15" t="e">
        <f>AND('boilerplate specs'!#REF!,"AAAAAH7/+/8=")</f>
        <v>#REF!</v>
      </c>
    </row>
    <row r="16" spans="1:256" x14ac:dyDescent="0.35">
      <c r="A16" t="e">
        <f>AND('boilerplate specs'!#REF!,"AAAAAH/29QA=")</f>
        <v>#REF!</v>
      </c>
      <c r="B16" t="e">
        <f ca="1">IF('boilerplate specs'!56:56,"AAAAAH/29QE=",0)</f>
        <v>#VALUE!</v>
      </c>
      <c r="C16" t="e">
        <f>AND('boilerplate specs'!A56,"AAAAAH/29QI=")</f>
        <v>#VALUE!</v>
      </c>
      <c r="D16" t="e">
        <f>AND('boilerplate specs'!B56,"AAAAAH/29QM=")</f>
        <v>#VALUE!</v>
      </c>
      <c r="E16" t="e">
        <f>AND('boilerplate specs'!C56,"AAAAAH/29QQ=")</f>
        <v>#VALUE!</v>
      </c>
      <c r="F16" t="e">
        <f>AND('boilerplate specs'!D56,"AAAAAH/29QU=")</f>
        <v>#VALUE!</v>
      </c>
      <c r="G16" t="e">
        <f>AND('boilerplate specs'!E56,"AAAAAH/29QY=")</f>
        <v>#VALUE!</v>
      </c>
      <c r="H16" t="e">
        <f>AND('boilerplate specs'!F56,"AAAAAH/29Qc=")</f>
        <v>#VALUE!</v>
      </c>
      <c r="I16" t="e">
        <f>AND('boilerplate specs'!G56,"AAAAAH/29Qg=")</f>
        <v>#VALUE!</v>
      </c>
      <c r="J16" t="e">
        <f>AND('boilerplate specs'!H56,"AAAAAH/29Qk=")</f>
        <v>#VALUE!</v>
      </c>
      <c r="K16" t="e">
        <f>AND('boilerplate specs'!I56,"AAAAAH/29Qo=")</f>
        <v>#VALUE!</v>
      </c>
      <c r="L16" t="e">
        <f>AND('boilerplate specs'!J56,"AAAAAH/29Qs=")</f>
        <v>#VALUE!</v>
      </c>
      <c r="M16" t="e">
        <f>AND('boilerplate specs'!#REF!,"AAAAAH/29Qw=")</f>
        <v>#REF!</v>
      </c>
      <c r="N16" t="e">
        <f>AND('boilerplate specs'!#REF!,"AAAAAH/29Q0=")</f>
        <v>#REF!</v>
      </c>
      <c r="O16" t="e">
        <f>AND('boilerplate specs'!#REF!,"AAAAAH/29Q4=")</f>
        <v>#REF!</v>
      </c>
      <c r="P16" t="e">
        <f>AND('boilerplate specs'!#REF!,"AAAAAH/29Q8=")</f>
        <v>#REF!</v>
      </c>
      <c r="Q16" t="e">
        <f>AND('boilerplate specs'!#REF!,"AAAAAH/29RA=")</f>
        <v>#REF!</v>
      </c>
      <c r="R16" t="e">
        <f>AND('boilerplate specs'!#REF!,"AAAAAH/29RE=")</f>
        <v>#REF!</v>
      </c>
      <c r="S16" t="e">
        <f>AND('boilerplate specs'!#REF!,"AAAAAH/29RI=")</f>
        <v>#REF!</v>
      </c>
      <c r="T16" t="e">
        <f>AND('boilerplate specs'!#REF!,"AAAAAH/29RM=")</f>
        <v>#REF!</v>
      </c>
      <c r="U16" t="e">
        <f>AND('boilerplate specs'!#REF!,"AAAAAH/29RQ=")</f>
        <v>#REF!</v>
      </c>
      <c r="V16" t="e">
        <f>AND('boilerplate specs'!#REF!,"AAAAAH/29RU=")</f>
        <v>#REF!</v>
      </c>
      <c r="W16" t="e">
        <f>AND('boilerplate specs'!#REF!,"AAAAAH/29RY=")</f>
        <v>#REF!</v>
      </c>
      <c r="X16" t="e">
        <f>AND('boilerplate specs'!#REF!,"AAAAAH/29Rc=")</f>
        <v>#REF!</v>
      </c>
      <c r="Y16" t="e">
        <f>AND('boilerplate specs'!#REF!,"AAAAAH/29Rg=")</f>
        <v>#REF!</v>
      </c>
      <c r="Z16" t="e">
        <f>AND('boilerplate specs'!#REF!,"AAAAAH/29Rk=")</f>
        <v>#REF!</v>
      </c>
      <c r="AA16" t="e">
        <f>AND('boilerplate specs'!#REF!,"AAAAAH/29Ro=")</f>
        <v>#REF!</v>
      </c>
      <c r="AB16" t="e">
        <f>AND('boilerplate specs'!#REF!,"AAAAAH/29Rs=")</f>
        <v>#REF!</v>
      </c>
      <c r="AC16" t="e">
        <f>AND('boilerplate specs'!#REF!,"AAAAAH/29Rw=")</f>
        <v>#REF!</v>
      </c>
      <c r="AD16" t="e">
        <f>AND('boilerplate specs'!#REF!,"AAAAAH/29R0=")</f>
        <v>#REF!</v>
      </c>
      <c r="AE16" t="e">
        <f>AND('boilerplate specs'!#REF!,"AAAAAH/29R4=")</f>
        <v>#REF!</v>
      </c>
      <c r="AF16" t="e">
        <f>AND('boilerplate specs'!#REF!,"AAAAAH/29R8=")</f>
        <v>#REF!</v>
      </c>
      <c r="AG16" t="e">
        <f>AND('boilerplate specs'!#REF!,"AAAAAH/29SA=")</f>
        <v>#REF!</v>
      </c>
      <c r="AH16" t="e">
        <f>AND('boilerplate specs'!#REF!,"AAAAAH/29SE=")</f>
        <v>#REF!</v>
      </c>
      <c r="AI16">
        <f>IF('boilerplate specs'!57:57,"AAAAAH/29SI=",0)</f>
        <v>0</v>
      </c>
      <c r="AJ16" t="e">
        <f>AND('boilerplate specs'!A57,"AAAAAH/29SM=")</f>
        <v>#VALUE!</v>
      </c>
      <c r="AK16" t="e">
        <f>AND('boilerplate specs'!B57,"AAAAAH/29SQ=")</f>
        <v>#VALUE!</v>
      </c>
      <c r="AL16" t="e">
        <f>AND('boilerplate specs'!C57,"AAAAAH/29SU=")</f>
        <v>#VALUE!</v>
      </c>
      <c r="AM16" t="e">
        <f>AND('boilerplate specs'!D57,"AAAAAH/29SY=")</f>
        <v>#VALUE!</v>
      </c>
      <c r="AN16" t="e">
        <f>AND('boilerplate specs'!E57,"AAAAAH/29Sc=")</f>
        <v>#VALUE!</v>
      </c>
      <c r="AO16" t="e">
        <f>AND('boilerplate specs'!F57,"AAAAAH/29Sg=")</f>
        <v>#VALUE!</v>
      </c>
      <c r="AP16" t="e">
        <f>AND('boilerplate specs'!G57,"AAAAAH/29Sk=")</f>
        <v>#VALUE!</v>
      </c>
      <c r="AQ16" t="e">
        <f>AND('boilerplate specs'!H57,"AAAAAH/29So=")</f>
        <v>#VALUE!</v>
      </c>
      <c r="AR16" t="e">
        <f>AND('boilerplate specs'!I57,"AAAAAH/29Ss=")</f>
        <v>#VALUE!</v>
      </c>
      <c r="AS16" t="e">
        <f>AND('boilerplate specs'!J57,"AAAAAH/29Sw=")</f>
        <v>#VALUE!</v>
      </c>
      <c r="AT16" t="e">
        <f>AND('boilerplate specs'!#REF!,"AAAAAH/29S0=")</f>
        <v>#REF!</v>
      </c>
      <c r="AU16" t="e">
        <f>AND('boilerplate specs'!#REF!,"AAAAAH/29S4=")</f>
        <v>#REF!</v>
      </c>
      <c r="AV16" t="e">
        <f>AND('boilerplate specs'!#REF!,"AAAAAH/29S8=")</f>
        <v>#REF!</v>
      </c>
      <c r="AW16" t="e">
        <f>AND('boilerplate specs'!#REF!,"AAAAAH/29TA=")</f>
        <v>#REF!</v>
      </c>
      <c r="AX16" t="e">
        <f>AND('boilerplate specs'!#REF!,"AAAAAH/29TE=")</f>
        <v>#REF!</v>
      </c>
      <c r="AY16" t="e">
        <f>AND('boilerplate specs'!#REF!,"AAAAAH/29TI=")</f>
        <v>#REF!</v>
      </c>
      <c r="AZ16" t="e">
        <f>AND('boilerplate specs'!#REF!,"AAAAAH/29TM=")</f>
        <v>#REF!</v>
      </c>
      <c r="BA16" t="e">
        <f>AND('boilerplate specs'!#REF!,"AAAAAH/29TQ=")</f>
        <v>#REF!</v>
      </c>
      <c r="BB16" t="e">
        <f>AND('boilerplate specs'!#REF!,"AAAAAH/29TU=")</f>
        <v>#REF!</v>
      </c>
      <c r="BC16" t="e">
        <f>AND('boilerplate specs'!#REF!,"AAAAAH/29TY=")</f>
        <v>#REF!</v>
      </c>
      <c r="BD16" t="e">
        <f>AND('boilerplate specs'!#REF!,"AAAAAH/29Tc=")</f>
        <v>#REF!</v>
      </c>
      <c r="BE16" t="e">
        <f>AND('boilerplate specs'!#REF!,"AAAAAH/29Tg=")</f>
        <v>#REF!</v>
      </c>
      <c r="BF16" t="e">
        <f>AND('boilerplate specs'!#REF!,"AAAAAH/29Tk=")</f>
        <v>#REF!</v>
      </c>
      <c r="BG16" t="e">
        <f>AND('boilerplate specs'!#REF!,"AAAAAH/29To=")</f>
        <v>#REF!</v>
      </c>
      <c r="BH16" t="e">
        <f>AND('boilerplate specs'!#REF!,"AAAAAH/29Ts=")</f>
        <v>#REF!</v>
      </c>
      <c r="BI16" t="e">
        <f>AND('boilerplate specs'!#REF!,"AAAAAH/29Tw=")</f>
        <v>#REF!</v>
      </c>
      <c r="BJ16" t="e">
        <f>AND('boilerplate specs'!#REF!,"AAAAAH/29T0=")</f>
        <v>#REF!</v>
      </c>
      <c r="BK16" t="e">
        <f>AND('boilerplate specs'!#REF!,"AAAAAH/29T4=")</f>
        <v>#REF!</v>
      </c>
      <c r="BL16" t="e">
        <f>AND('boilerplate specs'!#REF!,"AAAAAH/29T8=")</f>
        <v>#REF!</v>
      </c>
      <c r="BM16" t="e">
        <f>AND('boilerplate specs'!#REF!,"AAAAAH/29UA=")</f>
        <v>#REF!</v>
      </c>
      <c r="BN16" t="e">
        <f>AND('boilerplate specs'!#REF!,"AAAAAH/29UE=")</f>
        <v>#REF!</v>
      </c>
      <c r="BO16" t="e">
        <f>AND('boilerplate specs'!#REF!,"AAAAAH/29UI=")</f>
        <v>#REF!</v>
      </c>
      <c r="BP16">
        <f>IF('boilerplate specs'!58:58,"AAAAAH/29UM=",0)</f>
        <v>0</v>
      </c>
      <c r="BQ16" t="e">
        <f>AND('boilerplate specs'!A58,"AAAAAH/29UQ=")</f>
        <v>#VALUE!</v>
      </c>
      <c r="BR16" t="e">
        <f>AND('boilerplate specs'!B58,"AAAAAH/29UU=")</f>
        <v>#VALUE!</v>
      </c>
      <c r="BS16" t="e">
        <f>AND('boilerplate specs'!C58,"AAAAAH/29UY=")</f>
        <v>#VALUE!</v>
      </c>
      <c r="BT16" t="e">
        <f>AND('boilerplate specs'!D58,"AAAAAH/29Uc=")</f>
        <v>#VALUE!</v>
      </c>
      <c r="BU16" t="e">
        <f>AND('boilerplate specs'!E58,"AAAAAH/29Ug=")</f>
        <v>#VALUE!</v>
      </c>
      <c r="BV16" t="e">
        <f>AND('boilerplate specs'!F58,"AAAAAH/29Uk=")</f>
        <v>#VALUE!</v>
      </c>
      <c r="BW16" t="e">
        <f>AND('boilerplate specs'!G58,"AAAAAH/29Uo=")</f>
        <v>#VALUE!</v>
      </c>
      <c r="BX16" t="e">
        <f>AND('boilerplate specs'!H58,"AAAAAH/29Us=")</f>
        <v>#VALUE!</v>
      </c>
      <c r="BY16" t="e">
        <f>AND('boilerplate specs'!I58,"AAAAAH/29Uw=")</f>
        <v>#VALUE!</v>
      </c>
      <c r="BZ16" t="e">
        <f>AND('boilerplate specs'!J58,"AAAAAH/29U0=")</f>
        <v>#VALUE!</v>
      </c>
      <c r="CA16" t="e">
        <f>AND('boilerplate specs'!#REF!,"AAAAAH/29U4=")</f>
        <v>#REF!</v>
      </c>
      <c r="CB16" t="e">
        <f>AND('boilerplate specs'!#REF!,"AAAAAH/29U8=")</f>
        <v>#REF!</v>
      </c>
      <c r="CC16" t="e">
        <f>AND('boilerplate specs'!#REF!,"AAAAAH/29VA=")</f>
        <v>#REF!</v>
      </c>
      <c r="CD16" t="e">
        <f>AND('boilerplate specs'!#REF!,"AAAAAH/29VE=")</f>
        <v>#REF!</v>
      </c>
      <c r="CE16" t="e">
        <f>AND('boilerplate specs'!#REF!,"AAAAAH/29VI=")</f>
        <v>#REF!</v>
      </c>
      <c r="CF16" t="e">
        <f>AND('boilerplate specs'!#REF!,"AAAAAH/29VM=")</f>
        <v>#REF!</v>
      </c>
      <c r="CG16" t="e">
        <f>AND('boilerplate specs'!#REF!,"AAAAAH/29VQ=")</f>
        <v>#REF!</v>
      </c>
      <c r="CH16" t="e">
        <f>AND('boilerplate specs'!#REF!,"AAAAAH/29VU=")</f>
        <v>#REF!</v>
      </c>
      <c r="CI16" t="e">
        <f>AND('boilerplate specs'!#REF!,"AAAAAH/29VY=")</f>
        <v>#REF!</v>
      </c>
      <c r="CJ16" t="e">
        <f>AND('boilerplate specs'!#REF!,"AAAAAH/29Vc=")</f>
        <v>#REF!</v>
      </c>
      <c r="CK16" t="e">
        <f>AND('boilerplate specs'!#REF!,"AAAAAH/29Vg=")</f>
        <v>#REF!</v>
      </c>
      <c r="CL16" t="e">
        <f>AND('boilerplate specs'!#REF!,"AAAAAH/29Vk=")</f>
        <v>#REF!</v>
      </c>
      <c r="CM16" t="e">
        <f>AND('boilerplate specs'!#REF!,"AAAAAH/29Vo=")</f>
        <v>#REF!</v>
      </c>
      <c r="CN16" t="e">
        <f>AND('boilerplate specs'!#REF!,"AAAAAH/29Vs=")</f>
        <v>#REF!</v>
      </c>
      <c r="CO16" t="e">
        <f>AND('boilerplate specs'!#REF!,"AAAAAH/29Vw=")</f>
        <v>#REF!</v>
      </c>
      <c r="CP16" t="e">
        <f>AND('boilerplate specs'!#REF!,"AAAAAH/29V0=")</f>
        <v>#REF!</v>
      </c>
      <c r="CQ16" t="e">
        <f>AND('boilerplate specs'!#REF!,"AAAAAH/29V4=")</f>
        <v>#REF!</v>
      </c>
      <c r="CR16" t="e">
        <f>AND('boilerplate specs'!#REF!,"AAAAAH/29V8=")</f>
        <v>#REF!</v>
      </c>
      <c r="CS16" t="e">
        <f>AND('boilerplate specs'!#REF!,"AAAAAH/29WA=")</f>
        <v>#REF!</v>
      </c>
      <c r="CT16" t="e">
        <f>AND('boilerplate specs'!#REF!,"AAAAAH/29WE=")</f>
        <v>#REF!</v>
      </c>
      <c r="CU16" t="e">
        <f>AND('boilerplate specs'!#REF!,"AAAAAH/29WI=")</f>
        <v>#REF!</v>
      </c>
      <c r="CV16" t="e">
        <f>AND('boilerplate specs'!#REF!,"AAAAAH/29WM=")</f>
        <v>#REF!</v>
      </c>
      <c r="CW16">
        <f>IF('boilerplate specs'!59:59,"AAAAAH/29WQ=",0)</f>
        <v>0</v>
      </c>
      <c r="CX16" t="e">
        <f>AND('boilerplate specs'!A59,"AAAAAH/29WU=")</f>
        <v>#VALUE!</v>
      </c>
      <c r="CY16" t="e">
        <f>AND('boilerplate specs'!B59,"AAAAAH/29WY=")</f>
        <v>#VALUE!</v>
      </c>
      <c r="CZ16" t="e">
        <f>AND('boilerplate specs'!C59,"AAAAAH/29Wc=")</f>
        <v>#VALUE!</v>
      </c>
      <c r="DA16" t="e">
        <f>AND('boilerplate specs'!D59,"AAAAAH/29Wg=")</f>
        <v>#VALUE!</v>
      </c>
      <c r="DB16" t="e">
        <f>AND('boilerplate specs'!E59,"AAAAAH/29Wk=")</f>
        <v>#VALUE!</v>
      </c>
      <c r="DC16" t="e">
        <f>AND('boilerplate specs'!F59,"AAAAAH/29Wo=")</f>
        <v>#VALUE!</v>
      </c>
      <c r="DD16" t="e">
        <f>AND('boilerplate specs'!G59,"AAAAAH/29Ws=")</f>
        <v>#VALUE!</v>
      </c>
      <c r="DE16" t="e">
        <f>AND('boilerplate specs'!H59,"AAAAAH/29Ww=")</f>
        <v>#VALUE!</v>
      </c>
      <c r="DF16" t="e">
        <f>AND('boilerplate specs'!I59,"AAAAAH/29W0=")</f>
        <v>#VALUE!</v>
      </c>
      <c r="DG16" t="e">
        <f>AND('boilerplate specs'!J59,"AAAAAH/29W4=")</f>
        <v>#VALUE!</v>
      </c>
      <c r="DH16" t="e">
        <f>AND('boilerplate specs'!#REF!,"AAAAAH/29W8=")</f>
        <v>#REF!</v>
      </c>
      <c r="DI16" t="e">
        <f>AND('boilerplate specs'!#REF!,"AAAAAH/29XA=")</f>
        <v>#REF!</v>
      </c>
      <c r="DJ16" t="e">
        <f>AND('boilerplate specs'!#REF!,"AAAAAH/29XE=")</f>
        <v>#REF!</v>
      </c>
      <c r="DK16" t="e">
        <f>AND('boilerplate specs'!#REF!,"AAAAAH/29XI=")</f>
        <v>#REF!</v>
      </c>
      <c r="DL16" t="e">
        <f>AND('boilerplate specs'!#REF!,"AAAAAH/29XM=")</f>
        <v>#REF!</v>
      </c>
      <c r="DM16" t="e">
        <f>AND('boilerplate specs'!#REF!,"AAAAAH/29XQ=")</f>
        <v>#REF!</v>
      </c>
      <c r="DN16" t="e">
        <f>AND('boilerplate specs'!#REF!,"AAAAAH/29XU=")</f>
        <v>#REF!</v>
      </c>
      <c r="DO16" t="e">
        <f>AND('boilerplate specs'!#REF!,"AAAAAH/29XY=")</f>
        <v>#REF!</v>
      </c>
      <c r="DP16" t="e">
        <f>AND('boilerplate specs'!#REF!,"AAAAAH/29Xc=")</f>
        <v>#REF!</v>
      </c>
      <c r="DQ16" t="e">
        <f>AND('boilerplate specs'!#REF!,"AAAAAH/29Xg=")</f>
        <v>#REF!</v>
      </c>
      <c r="DR16" t="e">
        <f>AND('boilerplate specs'!#REF!,"AAAAAH/29Xk=")</f>
        <v>#REF!</v>
      </c>
      <c r="DS16" t="e">
        <f>AND('boilerplate specs'!#REF!,"AAAAAH/29Xo=")</f>
        <v>#REF!</v>
      </c>
      <c r="DT16" t="e">
        <f>AND('boilerplate specs'!#REF!,"AAAAAH/29Xs=")</f>
        <v>#REF!</v>
      </c>
      <c r="DU16" t="e">
        <f>AND('boilerplate specs'!#REF!,"AAAAAH/29Xw=")</f>
        <v>#REF!</v>
      </c>
      <c r="DV16" t="e">
        <f>AND('boilerplate specs'!#REF!,"AAAAAH/29X0=")</f>
        <v>#REF!</v>
      </c>
      <c r="DW16" t="e">
        <f>AND('boilerplate specs'!#REF!,"AAAAAH/29X4=")</f>
        <v>#REF!</v>
      </c>
      <c r="DX16" t="e">
        <f>AND('boilerplate specs'!#REF!,"AAAAAH/29X8=")</f>
        <v>#REF!</v>
      </c>
      <c r="DY16" t="e">
        <f>AND('boilerplate specs'!#REF!,"AAAAAH/29YA=")</f>
        <v>#REF!</v>
      </c>
      <c r="DZ16" t="e">
        <f>AND('boilerplate specs'!#REF!,"AAAAAH/29YE=")</f>
        <v>#REF!</v>
      </c>
      <c r="EA16" t="e">
        <f>AND('boilerplate specs'!#REF!,"AAAAAH/29YI=")</f>
        <v>#REF!</v>
      </c>
      <c r="EB16" t="e">
        <f>AND('boilerplate specs'!#REF!,"AAAAAH/29YM=")</f>
        <v>#REF!</v>
      </c>
      <c r="EC16" t="e">
        <f>AND('boilerplate specs'!#REF!,"AAAAAH/29YQ=")</f>
        <v>#REF!</v>
      </c>
      <c r="ED16">
        <f>IF('boilerplate specs'!60:60,"AAAAAH/29YU=",0)</f>
        <v>0</v>
      </c>
      <c r="EE16" t="e">
        <f>AND('boilerplate specs'!A60,"AAAAAH/29YY=")</f>
        <v>#VALUE!</v>
      </c>
      <c r="EF16" t="e">
        <f>AND('boilerplate specs'!B60,"AAAAAH/29Yc=")</f>
        <v>#VALUE!</v>
      </c>
      <c r="EG16" t="e">
        <f>AND('boilerplate specs'!C60,"AAAAAH/29Yg=")</f>
        <v>#VALUE!</v>
      </c>
      <c r="EH16" t="e">
        <f>AND('boilerplate specs'!D60,"AAAAAH/29Yk=")</f>
        <v>#VALUE!</v>
      </c>
      <c r="EI16" t="e">
        <f>AND('boilerplate specs'!E60,"AAAAAH/29Yo=")</f>
        <v>#VALUE!</v>
      </c>
      <c r="EJ16" t="e">
        <f>AND('boilerplate specs'!F60,"AAAAAH/29Ys=")</f>
        <v>#VALUE!</v>
      </c>
      <c r="EK16" t="e">
        <f>AND('boilerplate specs'!G60,"AAAAAH/29Yw=")</f>
        <v>#VALUE!</v>
      </c>
      <c r="EL16" t="e">
        <f>AND('boilerplate specs'!H60,"AAAAAH/29Y0=")</f>
        <v>#VALUE!</v>
      </c>
      <c r="EM16" t="e">
        <f>AND('boilerplate specs'!I60,"AAAAAH/29Y4=")</f>
        <v>#VALUE!</v>
      </c>
      <c r="EN16" t="e">
        <f>AND('boilerplate specs'!J60,"AAAAAH/29Y8=")</f>
        <v>#VALUE!</v>
      </c>
      <c r="EO16" t="e">
        <f>AND('boilerplate specs'!#REF!,"AAAAAH/29ZA=")</f>
        <v>#REF!</v>
      </c>
      <c r="EP16" t="e">
        <f>AND('boilerplate specs'!#REF!,"AAAAAH/29ZE=")</f>
        <v>#REF!</v>
      </c>
      <c r="EQ16" t="e">
        <f>AND('boilerplate specs'!#REF!,"AAAAAH/29ZI=")</f>
        <v>#REF!</v>
      </c>
      <c r="ER16" t="e">
        <f>AND('boilerplate specs'!#REF!,"AAAAAH/29ZM=")</f>
        <v>#REF!</v>
      </c>
      <c r="ES16" t="e">
        <f>AND('boilerplate specs'!#REF!,"AAAAAH/29ZQ=")</f>
        <v>#REF!</v>
      </c>
      <c r="ET16" t="e">
        <f>AND('boilerplate specs'!#REF!,"AAAAAH/29ZU=")</f>
        <v>#REF!</v>
      </c>
      <c r="EU16" t="e">
        <f>AND('boilerplate specs'!#REF!,"AAAAAH/29ZY=")</f>
        <v>#REF!</v>
      </c>
      <c r="EV16" t="e">
        <f>AND('boilerplate specs'!#REF!,"AAAAAH/29Zc=")</f>
        <v>#REF!</v>
      </c>
      <c r="EW16" t="e">
        <f>AND('boilerplate specs'!#REF!,"AAAAAH/29Zg=")</f>
        <v>#REF!</v>
      </c>
      <c r="EX16" t="e">
        <f>AND('boilerplate specs'!#REF!,"AAAAAH/29Zk=")</f>
        <v>#REF!</v>
      </c>
      <c r="EY16" t="e">
        <f>AND('boilerplate specs'!#REF!,"AAAAAH/29Zo=")</f>
        <v>#REF!</v>
      </c>
      <c r="EZ16" t="e">
        <f>AND('boilerplate specs'!#REF!,"AAAAAH/29Zs=")</f>
        <v>#REF!</v>
      </c>
      <c r="FA16" t="e">
        <f>AND('boilerplate specs'!#REF!,"AAAAAH/29Zw=")</f>
        <v>#REF!</v>
      </c>
      <c r="FB16" t="e">
        <f>AND('boilerplate specs'!#REF!,"AAAAAH/29Z0=")</f>
        <v>#REF!</v>
      </c>
      <c r="FC16" t="e">
        <f>AND('boilerplate specs'!#REF!,"AAAAAH/29Z4=")</f>
        <v>#REF!</v>
      </c>
      <c r="FD16" t="e">
        <f>AND('boilerplate specs'!#REF!,"AAAAAH/29Z8=")</f>
        <v>#REF!</v>
      </c>
      <c r="FE16" t="e">
        <f>AND('boilerplate specs'!#REF!,"AAAAAH/29aA=")</f>
        <v>#REF!</v>
      </c>
      <c r="FF16" t="e">
        <f>AND('boilerplate specs'!#REF!,"AAAAAH/29aE=")</f>
        <v>#REF!</v>
      </c>
      <c r="FG16" t="e">
        <f>AND('boilerplate specs'!#REF!,"AAAAAH/29aI=")</f>
        <v>#REF!</v>
      </c>
      <c r="FH16" t="e">
        <f>AND('boilerplate specs'!#REF!,"AAAAAH/29aM=")</f>
        <v>#REF!</v>
      </c>
      <c r="FI16" t="e">
        <f>AND('boilerplate specs'!#REF!,"AAAAAH/29aQ=")</f>
        <v>#REF!</v>
      </c>
      <c r="FJ16" t="e">
        <f>AND('boilerplate specs'!#REF!,"AAAAAH/29aU=")</f>
        <v>#REF!</v>
      </c>
      <c r="FK16">
        <f>IF('boilerplate specs'!61:61,"AAAAAH/29aY=",0)</f>
        <v>0</v>
      </c>
      <c r="FL16" t="e">
        <f>AND('boilerplate specs'!A61,"AAAAAH/29ac=")</f>
        <v>#VALUE!</v>
      </c>
      <c r="FM16" t="e">
        <f>AND('boilerplate specs'!B61,"AAAAAH/29ag=")</f>
        <v>#VALUE!</v>
      </c>
      <c r="FN16" t="e">
        <f>AND('boilerplate specs'!C61,"AAAAAH/29ak=")</f>
        <v>#VALUE!</v>
      </c>
      <c r="FO16" t="e">
        <f>AND('boilerplate specs'!D61,"AAAAAH/29ao=")</f>
        <v>#VALUE!</v>
      </c>
      <c r="FP16" t="e">
        <f>AND('boilerplate specs'!E61,"AAAAAH/29as=")</f>
        <v>#VALUE!</v>
      </c>
      <c r="FQ16" t="e">
        <f>AND('boilerplate specs'!F61,"AAAAAH/29aw=")</f>
        <v>#VALUE!</v>
      </c>
      <c r="FR16" t="e">
        <f>AND('boilerplate specs'!G61,"AAAAAH/29a0=")</f>
        <v>#VALUE!</v>
      </c>
      <c r="FS16" t="e">
        <f>AND('boilerplate specs'!H61,"AAAAAH/29a4=")</f>
        <v>#VALUE!</v>
      </c>
      <c r="FT16" t="e">
        <f>AND('boilerplate specs'!I61,"AAAAAH/29a8=")</f>
        <v>#VALUE!</v>
      </c>
      <c r="FU16" t="e">
        <f>AND('boilerplate specs'!J61,"AAAAAH/29bA=")</f>
        <v>#VALUE!</v>
      </c>
      <c r="FV16" t="e">
        <f>AND('boilerplate specs'!#REF!,"AAAAAH/29bE=")</f>
        <v>#REF!</v>
      </c>
      <c r="FW16" t="e">
        <f>AND('boilerplate specs'!#REF!,"AAAAAH/29bI=")</f>
        <v>#REF!</v>
      </c>
      <c r="FX16" t="e">
        <f>AND('boilerplate specs'!#REF!,"AAAAAH/29bM=")</f>
        <v>#REF!</v>
      </c>
      <c r="FY16" t="e">
        <f>AND('boilerplate specs'!#REF!,"AAAAAH/29bQ=")</f>
        <v>#REF!</v>
      </c>
      <c r="FZ16" t="e">
        <f>AND('boilerplate specs'!#REF!,"AAAAAH/29bU=")</f>
        <v>#REF!</v>
      </c>
      <c r="GA16" t="e">
        <f>AND('boilerplate specs'!#REF!,"AAAAAH/29bY=")</f>
        <v>#REF!</v>
      </c>
      <c r="GB16" t="e">
        <f>AND('boilerplate specs'!#REF!,"AAAAAH/29bc=")</f>
        <v>#REF!</v>
      </c>
      <c r="GC16" t="e">
        <f>AND('boilerplate specs'!#REF!,"AAAAAH/29bg=")</f>
        <v>#REF!</v>
      </c>
      <c r="GD16" t="e">
        <f>AND('boilerplate specs'!#REF!,"AAAAAH/29bk=")</f>
        <v>#REF!</v>
      </c>
      <c r="GE16" t="e">
        <f>AND('boilerplate specs'!#REF!,"AAAAAH/29bo=")</f>
        <v>#REF!</v>
      </c>
      <c r="GF16" t="e">
        <f>AND('boilerplate specs'!#REF!,"AAAAAH/29bs=")</f>
        <v>#REF!</v>
      </c>
      <c r="GG16" t="e">
        <f>AND('boilerplate specs'!#REF!,"AAAAAH/29bw=")</f>
        <v>#REF!</v>
      </c>
      <c r="GH16" t="e">
        <f>AND('boilerplate specs'!#REF!,"AAAAAH/29b0=")</f>
        <v>#REF!</v>
      </c>
      <c r="GI16" t="e">
        <f>AND('boilerplate specs'!#REF!,"AAAAAH/29b4=")</f>
        <v>#REF!</v>
      </c>
      <c r="GJ16" t="e">
        <f>AND('boilerplate specs'!#REF!,"AAAAAH/29b8=")</f>
        <v>#REF!</v>
      </c>
      <c r="GK16" t="e">
        <f>AND('boilerplate specs'!#REF!,"AAAAAH/29cA=")</f>
        <v>#REF!</v>
      </c>
      <c r="GL16" t="e">
        <f>AND('boilerplate specs'!#REF!,"AAAAAH/29cE=")</f>
        <v>#REF!</v>
      </c>
      <c r="GM16" t="e">
        <f>AND('boilerplate specs'!#REF!,"AAAAAH/29cI=")</f>
        <v>#REF!</v>
      </c>
      <c r="GN16" t="e">
        <f>AND('boilerplate specs'!#REF!,"AAAAAH/29cM=")</f>
        <v>#REF!</v>
      </c>
      <c r="GO16" t="e">
        <f>AND('boilerplate specs'!#REF!,"AAAAAH/29cQ=")</f>
        <v>#REF!</v>
      </c>
      <c r="GP16" t="e">
        <f>AND('boilerplate specs'!#REF!,"AAAAAH/29cU=")</f>
        <v>#REF!</v>
      </c>
      <c r="GQ16" t="e">
        <f>AND('boilerplate specs'!#REF!,"AAAAAH/29cY=")</f>
        <v>#REF!</v>
      </c>
      <c r="GR16">
        <f>IF('boilerplate specs'!62:62,"AAAAAH/29cc=",0)</f>
        <v>0</v>
      </c>
      <c r="GS16" t="e">
        <f>AND('boilerplate specs'!A62,"AAAAAH/29cg=")</f>
        <v>#VALUE!</v>
      </c>
      <c r="GT16" t="e">
        <f>AND('boilerplate specs'!B62,"AAAAAH/29ck=")</f>
        <v>#VALUE!</v>
      </c>
      <c r="GU16" t="e">
        <f>AND('boilerplate specs'!C62,"AAAAAH/29co=")</f>
        <v>#VALUE!</v>
      </c>
      <c r="GV16" t="e">
        <f>AND('boilerplate specs'!D62,"AAAAAH/29cs=")</f>
        <v>#VALUE!</v>
      </c>
      <c r="GW16" t="e">
        <f>AND('boilerplate specs'!E62,"AAAAAH/29cw=")</f>
        <v>#VALUE!</v>
      </c>
      <c r="GX16" t="e">
        <f>AND('boilerplate specs'!F62,"AAAAAH/29c0=")</f>
        <v>#VALUE!</v>
      </c>
      <c r="GY16" t="e">
        <f>AND('boilerplate specs'!G62,"AAAAAH/29c4=")</f>
        <v>#VALUE!</v>
      </c>
      <c r="GZ16" t="e">
        <f>AND('boilerplate specs'!H62,"AAAAAH/29c8=")</f>
        <v>#VALUE!</v>
      </c>
      <c r="HA16" t="e">
        <f>AND('boilerplate specs'!I62,"AAAAAH/29dA=")</f>
        <v>#VALUE!</v>
      </c>
      <c r="HB16" t="e">
        <f>AND('boilerplate specs'!J62,"AAAAAH/29dE=")</f>
        <v>#VALUE!</v>
      </c>
      <c r="HC16" t="e">
        <f>AND('boilerplate specs'!#REF!,"AAAAAH/29dI=")</f>
        <v>#REF!</v>
      </c>
      <c r="HD16" t="e">
        <f>AND('boilerplate specs'!#REF!,"AAAAAH/29dM=")</f>
        <v>#REF!</v>
      </c>
      <c r="HE16" t="e">
        <f>AND('boilerplate specs'!#REF!,"AAAAAH/29dQ=")</f>
        <v>#REF!</v>
      </c>
      <c r="HF16" t="e">
        <f>AND('boilerplate specs'!#REF!,"AAAAAH/29dU=")</f>
        <v>#REF!</v>
      </c>
      <c r="HG16" t="e">
        <f>AND('boilerplate specs'!#REF!,"AAAAAH/29dY=")</f>
        <v>#REF!</v>
      </c>
      <c r="HH16" t="e">
        <f>AND('boilerplate specs'!#REF!,"AAAAAH/29dc=")</f>
        <v>#REF!</v>
      </c>
      <c r="HI16" t="e">
        <f>AND('boilerplate specs'!#REF!,"AAAAAH/29dg=")</f>
        <v>#REF!</v>
      </c>
      <c r="HJ16" t="e">
        <f>AND('boilerplate specs'!#REF!,"AAAAAH/29dk=")</f>
        <v>#REF!</v>
      </c>
      <c r="HK16" t="e">
        <f>AND('boilerplate specs'!#REF!,"AAAAAH/29do=")</f>
        <v>#REF!</v>
      </c>
      <c r="HL16" t="e">
        <f>AND('boilerplate specs'!#REF!,"AAAAAH/29ds=")</f>
        <v>#REF!</v>
      </c>
      <c r="HM16" t="e">
        <f>AND('boilerplate specs'!#REF!,"AAAAAH/29dw=")</f>
        <v>#REF!</v>
      </c>
      <c r="HN16" t="e">
        <f>AND('boilerplate specs'!#REF!,"AAAAAH/29d0=")</f>
        <v>#REF!</v>
      </c>
      <c r="HO16" t="e">
        <f>AND('boilerplate specs'!#REF!,"AAAAAH/29d4=")</f>
        <v>#REF!</v>
      </c>
      <c r="HP16" t="e">
        <f>AND('boilerplate specs'!#REF!,"AAAAAH/29d8=")</f>
        <v>#REF!</v>
      </c>
      <c r="HQ16" t="e">
        <f>AND('boilerplate specs'!#REF!,"AAAAAH/29eA=")</f>
        <v>#REF!</v>
      </c>
      <c r="HR16" t="e">
        <f>AND('boilerplate specs'!#REF!,"AAAAAH/29eE=")</f>
        <v>#REF!</v>
      </c>
      <c r="HS16" t="e">
        <f>AND('boilerplate specs'!#REF!,"AAAAAH/29eI=")</f>
        <v>#REF!</v>
      </c>
      <c r="HT16" t="e">
        <f>AND('boilerplate specs'!#REF!,"AAAAAH/29eM=")</f>
        <v>#REF!</v>
      </c>
      <c r="HU16" t="e">
        <f>AND('boilerplate specs'!#REF!,"AAAAAH/29eQ=")</f>
        <v>#REF!</v>
      </c>
      <c r="HV16" t="e">
        <f>AND('boilerplate specs'!#REF!,"AAAAAH/29eU=")</f>
        <v>#REF!</v>
      </c>
      <c r="HW16" t="e">
        <f>AND('boilerplate specs'!#REF!,"AAAAAH/29eY=")</f>
        <v>#REF!</v>
      </c>
      <c r="HX16" t="e">
        <f>AND('boilerplate specs'!#REF!,"AAAAAH/29ec=")</f>
        <v>#REF!</v>
      </c>
      <c r="HY16">
        <f>IF('boilerplate specs'!63:63,"AAAAAH/29eg=",0)</f>
        <v>0</v>
      </c>
      <c r="HZ16" t="e">
        <f>AND('boilerplate specs'!A63,"AAAAAH/29ek=")</f>
        <v>#VALUE!</v>
      </c>
      <c r="IA16" t="e">
        <f>AND('boilerplate specs'!B63,"AAAAAH/29eo=")</f>
        <v>#VALUE!</v>
      </c>
      <c r="IB16" t="e">
        <f>AND('boilerplate specs'!C63,"AAAAAH/29es=")</f>
        <v>#VALUE!</v>
      </c>
      <c r="IC16" t="e">
        <f>AND('boilerplate specs'!D63,"AAAAAH/29ew=")</f>
        <v>#VALUE!</v>
      </c>
      <c r="ID16" t="e">
        <f>AND('boilerplate specs'!E63,"AAAAAH/29e0=")</f>
        <v>#VALUE!</v>
      </c>
      <c r="IE16" t="e">
        <f>AND('boilerplate specs'!F63,"AAAAAH/29e4=")</f>
        <v>#VALUE!</v>
      </c>
      <c r="IF16" t="e">
        <f>AND('boilerplate specs'!G63,"AAAAAH/29e8=")</f>
        <v>#VALUE!</v>
      </c>
      <c r="IG16" t="e">
        <f>AND('boilerplate specs'!H63,"AAAAAH/29fA=")</f>
        <v>#VALUE!</v>
      </c>
      <c r="IH16" t="e">
        <f>AND('boilerplate specs'!I63,"AAAAAH/29fE=")</f>
        <v>#VALUE!</v>
      </c>
      <c r="II16" t="e">
        <f>AND('boilerplate specs'!J63,"AAAAAH/29fI=")</f>
        <v>#VALUE!</v>
      </c>
      <c r="IJ16" t="e">
        <f>AND('boilerplate specs'!#REF!,"AAAAAH/29fM=")</f>
        <v>#REF!</v>
      </c>
      <c r="IK16" t="e">
        <f>AND('boilerplate specs'!#REF!,"AAAAAH/29fQ=")</f>
        <v>#REF!</v>
      </c>
      <c r="IL16" t="e">
        <f>AND('boilerplate specs'!#REF!,"AAAAAH/29fU=")</f>
        <v>#REF!</v>
      </c>
      <c r="IM16" t="e">
        <f>AND('boilerplate specs'!#REF!,"AAAAAH/29fY=")</f>
        <v>#REF!</v>
      </c>
      <c r="IN16" t="e">
        <f>AND('boilerplate specs'!#REF!,"AAAAAH/29fc=")</f>
        <v>#REF!</v>
      </c>
      <c r="IO16" t="e">
        <f>AND('boilerplate specs'!#REF!,"AAAAAH/29fg=")</f>
        <v>#REF!</v>
      </c>
      <c r="IP16" t="e">
        <f>AND('boilerplate specs'!#REF!,"AAAAAH/29fk=")</f>
        <v>#REF!</v>
      </c>
      <c r="IQ16" t="e">
        <f>AND('boilerplate specs'!#REF!,"AAAAAH/29fo=")</f>
        <v>#REF!</v>
      </c>
      <c r="IR16" t="e">
        <f>AND('boilerplate specs'!#REF!,"AAAAAH/29fs=")</f>
        <v>#REF!</v>
      </c>
      <c r="IS16" t="e">
        <f>AND('boilerplate specs'!#REF!,"AAAAAH/29fw=")</f>
        <v>#REF!</v>
      </c>
      <c r="IT16" t="e">
        <f>AND('boilerplate specs'!#REF!,"AAAAAH/29f0=")</f>
        <v>#REF!</v>
      </c>
      <c r="IU16" t="e">
        <f>AND('boilerplate specs'!#REF!,"AAAAAH/29f4=")</f>
        <v>#REF!</v>
      </c>
      <c r="IV16" t="e">
        <f>AND('boilerplate specs'!#REF!,"AAAAAH/29f8=")</f>
        <v>#REF!</v>
      </c>
    </row>
    <row r="17" spans="1:256" x14ac:dyDescent="0.35">
      <c r="A17" t="e">
        <f>AND('boilerplate specs'!#REF!,"AAAAAB3r9wA=")</f>
        <v>#REF!</v>
      </c>
      <c r="B17" t="e">
        <f>AND('boilerplate specs'!#REF!,"AAAAAB3r9wE=")</f>
        <v>#REF!</v>
      </c>
      <c r="C17" t="e">
        <f>AND('boilerplate specs'!#REF!,"AAAAAB3r9wI=")</f>
        <v>#REF!</v>
      </c>
      <c r="D17" t="e">
        <f>AND('boilerplate specs'!#REF!,"AAAAAB3r9wM=")</f>
        <v>#REF!</v>
      </c>
      <c r="E17" t="e">
        <f>AND('boilerplate specs'!#REF!,"AAAAAB3r9wQ=")</f>
        <v>#REF!</v>
      </c>
      <c r="F17" t="e">
        <f>AND('boilerplate specs'!#REF!,"AAAAAB3r9wU=")</f>
        <v>#REF!</v>
      </c>
      <c r="G17" t="e">
        <f>AND('boilerplate specs'!#REF!,"AAAAAB3r9wY=")</f>
        <v>#REF!</v>
      </c>
      <c r="H17" t="e">
        <f>AND('boilerplate specs'!#REF!,"AAAAAB3r9wc=")</f>
        <v>#REF!</v>
      </c>
      <c r="I17" t="e">
        <f>AND('boilerplate specs'!#REF!,"AAAAAB3r9wg=")</f>
        <v>#REF!</v>
      </c>
      <c r="J17" t="e">
        <f>IF('boilerplate specs'!64:64,"AAAAAB3r9wk=",0)</f>
        <v>#VALUE!</v>
      </c>
      <c r="K17" t="e">
        <f>AND('boilerplate specs'!A64,"AAAAAB3r9wo=")</f>
        <v>#VALUE!</v>
      </c>
      <c r="L17" t="e">
        <f>AND('boilerplate specs'!B64,"AAAAAB3r9ws=")</f>
        <v>#VALUE!</v>
      </c>
      <c r="M17" t="e">
        <f>AND('boilerplate specs'!C64,"AAAAAB3r9ww=")</f>
        <v>#VALUE!</v>
      </c>
      <c r="N17" t="e">
        <f>AND('boilerplate specs'!D64,"AAAAAB3r9w0=")</f>
        <v>#VALUE!</v>
      </c>
      <c r="O17" t="e">
        <f>AND('boilerplate specs'!E64,"AAAAAB3r9w4=")</f>
        <v>#VALUE!</v>
      </c>
      <c r="P17" t="e">
        <f>AND('boilerplate specs'!F64,"AAAAAB3r9w8=")</f>
        <v>#VALUE!</v>
      </c>
      <c r="Q17" t="e">
        <f>AND('boilerplate specs'!G64,"AAAAAB3r9xA=")</f>
        <v>#VALUE!</v>
      </c>
      <c r="R17" t="e">
        <f>AND('boilerplate specs'!H64,"AAAAAB3r9xE=")</f>
        <v>#VALUE!</v>
      </c>
      <c r="S17" t="e">
        <f>AND('boilerplate specs'!I64,"AAAAAB3r9xI=")</f>
        <v>#VALUE!</v>
      </c>
      <c r="T17" t="e">
        <f>AND('boilerplate specs'!J64,"AAAAAB3r9xM=")</f>
        <v>#VALUE!</v>
      </c>
      <c r="U17" t="e">
        <f>AND('boilerplate specs'!#REF!,"AAAAAB3r9xQ=")</f>
        <v>#REF!</v>
      </c>
      <c r="V17" t="e">
        <f>AND('boilerplate specs'!#REF!,"AAAAAB3r9xU=")</f>
        <v>#REF!</v>
      </c>
      <c r="W17" t="e">
        <f>AND('boilerplate specs'!#REF!,"AAAAAB3r9xY=")</f>
        <v>#REF!</v>
      </c>
      <c r="X17" t="e">
        <f>AND('boilerplate specs'!#REF!,"AAAAAB3r9xc=")</f>
        <v>#REF!</v>
      </c>
      <c r="Y17" t="e">
        <f>AND('boilerplate specs'!#REF!,"AAAAAB3r9xg=")</f>
        <v>#REF!</v>
      </c>
      <c r="Z17" t="e">
        <f>AND('boilerplate specs'!#REF!,"AAAAAB3r9xk=")</f>
        <v>#REF!</v>
      </c>
      <c r="AA17" t="e">
        <f>AND('boilerplate specs'!#REF!,"AAAAAB3r9xo=")</f>
        <v>#REF!</v>
      </c>
      <c r="AB17" t="e">
        <f>AND('boilerplate specs'!#REF!,"AAAAAB3r9xs=")</f>
        <v>#REF!</v>
      </c>
      <c r="AC17" t="e">
        <f>AND('boilerplate specs'!#REF!,"AAAAAB3r9xw=")</f>
        <v>#REF!</v>
      </c>
      <c r="AD17" t="e">
        <f>AND('boilerplate specs'!#REF!,"AAAAAB3r9x0=")</f>
        <v>#REF!</v>
      </c>
      <c r="AE17" t="e">
        <f>AND('boilerplate specs'!#REF!,"AAAAAB3r9x4=")</f>
        <v>#REF!</v>
      </c>
      <c r="AF17" t="e">
        <f>AND('boilerplate specs'!#REF!,"AAAAAB3r9x8=")</f>
        <v>#REF!</v>
      </c>
      <c r="AG17" t="e">
        <f>AND('boilerplate specs'!#REF!,"AAAAAB3r9yA=")</f>
        <v>#REF!</v>
      </c>
      <c r="AH17" t="e">
        <f>AND('boilerplate specs'!#REF!,"AAAAAB3r9yE=")</f>
        <v>#REF!</v>
      </c>
      <c r="AI17" t="e">
        <f>AND('boilerplate specs'!#REF!,"AAAAAB3r9yI=")</f>
        <v>#REF!</v>
      </c>
      <c r="AJ17" t="e">
        <f>AND('boilerplate specs'!#REF!,"AAAAAB3r9yM=")</f>
        <v>#REF!</v>
      </c>
      <c r="AK17" t="e">
        <f>AND('boilerplate specs'!#REF!,"AAAAAB3r9yQ=")</f>
        <v>#REF!</v>
      </c>
      <c r="AL17" t="e">
        <f>AND('boilerplate specs'!#REF!,"AAAAAB3r9yU=")</f>
        <v>#REF!</v>
      </c>
      <c r="AM17" t="e">
        <f>AND('boilerplate specs'!#REF!,"AAAAAB3r9yY=")</f>
        <v>#REF!</v>
      </c>
      <c r="AN17" t="e">
        <f>AND('boilerplate specs'!#REF!,"AAAAAB3r9yc=")</f>
        <v>#REF!</v>
      </c>
      <c r="AO17" t="e">
        <f>AND('boilerplate specs'!#REF!,"AAAAAB3r9yg=")</f>
        <v>#REF!</v>
      </c>
      <c r="AP17" t="e">
        <f>AND('boilerplate specs'!#REF!,"AAAAAB3r9yk=")</f>
        <v>#REF!</v>
      </c>
      <c r="AQ17">
        <f>IF('boilerplate specs'!65:65,"AAAAAB3r9yo=",0)</f>
        <v>0</v>
      </c>
      <c r="AR17" t="e">
        <f>AND('boilerplate specs'!A65,"AAAAAB3r9ys=")</f>
        <v>#VALUE!</v>
      </c>
      <c r="AS17" t="e">
        <f>AND('boilerplate specs'!B65,"AAAAAB3r9yw=")</f>
        <v>#VALUE!</v>
      </c>
      <c r="AT17" t="e">
        <f>AND('boilerplate specs'!C65,"AAAAAB3r9y0=")</f>
        <v>#VALUE!</v>
      </c>
      <c r="AU17" t="e">
        <f>AND('boilerplate specs'!D65,"AAAAAB3r9y4=")</f>
        <v>#VALUE!</v>
      </c>
      <c r="AV17" t="e">
        <f>AND('boilerplate specs'!E65,"AAAAAB3r9y8=")</f>
        <v>#VALUE!</v>
      </c>
      <c r="AW17" t="e">
        <f>AND('boilerplate specs'!F65,"AAAAAB3r9zA=")</f>
        <v>#VALUE!</v>
      </c>
      <c r="AX17" t="e">
        <f>AND('boilerplate specs'!G65,"AAAAAB3r9zE=")</f>
        <v>#VALUE!</v>
      </c>
      <c r="AY17" t="e">
        <f>AND('boilerplate specs'!H65,"AAAAAB3r9zI=")</f>
        <v>#VALUE!</v>
      </c>
      <c r="AZ17" t="e">
        <f>AND('boilerplate specs'!I65,"AAAAAB3r9zM=")</f>
        <v>#VALUE!</v>
      </c>
      <c r="BA17" t="e">
        <f>AND('boilerplate specs'!J65,"AAAAAB3r9zQ=")</f>
        <v>#VALUE!</v>
      </c>
      <c r="BB17" t="e">
        <f>AND('boilerplate specs'!#REF!,"AAAAAB3r9zU=")</f>
        <v>#REF!</v>
      </c>
      <c r="BC17" t="e">
        <f>AND('boilerplate specs'!#REF!,"AAAAAB3r9zY=")</f>
        <v>#REF!</v>
      </c>
      <c r="BD17" t="e">
        <f>AND('boilerplate specs'!#REF!,"AAAAAB3r9zc=")</f>
        <v>#REF!</v>
      </c>
      <c r="BE17" t="e">
        <f>AND('boilerplate specs'!#REF!,"AAAAAB3r9zg=")</f>
        <v>#REF!</v>
      </c>
      <c r="BF17" t="e">
        <f>AND('boilerplate specs'!#REF!,"AAAAAB3r9zk=")</f>
        <v>#REF!</v>
      </c>
      <c r="BG17" t="e">
        <f>AND('boilerplate specs'!#REF!,"AAAAAB3r9zo=")</f>
        <v>#REF!</v>
      </c>
      <c r="BH17" t="e">
        <f>AND('boilerplate specs'!#REF!,"AAAAAB3r9zs=")</f>
        <v>#REF!</v>
      </c>
      <c r="BI17" t="e">
        <f>AND('boilerplate specs'!#REF!,"AAAAAB3r9zw=")</f>
        <v>#REF!</v>
      </c>
      <c r="BJ17" t="e">
        <f>AND('boilerplate specs'!#REF!,"AAAAAB3r9z0=")</f>
        <v>#REF!</v>
      </c>
      <c r="BK17" t="e">
        <f>AND('boilerplate specs'!#REF!,"AAAAAB3r9z4=")</f>
        <v>#REF!</v>
      </c>
      <c r="BL17" t="e">
        <f>AND('boilerplate specs'!#REF!,"AAAAAB3r9z8=")</f>
        <v>#REF!</v>
      </c>
      <c r="BM17" t="e">
        <f>AND('boilerplate specs'!#REF!,"AAAAAB3r90A=")</f>
        <v>#REF!</v>
      </c>
      <c r="BN17" t="e">
        <f>AND('boilerplate specs'!#REF!,"AAAAAB3r90E=")</f>
        <v>#REF!</v>
      </c>
      <c r="BO17" t="e">
        <f>AND('boilerplate specs'!#REF!,"AAAAAB3r90I=")</f>
        <v>#REF!</v>
      </c>
      <c r="BP17" t="e">
        <f>AND('boilerplate specs'!#REF!,"AAAAAB3r90M=")</f>
        <v>#REF!</v>
      </c>
      <c r="BQ17" t="e">
        <f>AND('boilerplate specs'!#REF!,"AAAAAB3r90Q=")</f>
        <v>#REF!</v>
      </c>
      <c r="BR17" t="e">
        <f>AND('boilerplate specs'!#REF!,"AAAAAB3r90U=")</f>
        <v>#REF!</v>
      </c>
      <c r="BS17" t="e">
        <f>AND('boilerplate specs'!#REF!,"AAAAAB3r90Y=")</f>
        <v>#REF!</v>
      </c>
      <c r="BT17" t="e">
        <f>AND('boilerplate specs'!#REF!,"AAAAAB3r90c=")</f>
        <v>#REF!</v>
      </c>
      <c r="BU17" t="e">
        <f>AND('boilerplate specs'!#REF!,"AAAAAB3r90g=")</f>
        <v>#REF!</v>
      </c>
      <c r="BV17" t="e">
        <f>AND('boilerplate specs'!#REF!,"AAAAAB3r90k=")</f>
        <v>#REF!</v>
      </c>
      <c r="BW17" t="e">
        <f>AND('boilerplate specs'!#REF!,"AAAAAB3r90o=")</f>
        <v>#REF!</v>
      </c>
      <c r="BX17">
        <f>IF('boilerplate specs'!66:66,"AAAAAB3r90s=",0)</f>
        <v>0</v>
      </c>
      <c r="BY17" t="e">
        <f>AND('boilerplate specs'!A66,"AAAAAB3r90w=")</f>
        <v>#VALUE!</v>
      </c>
      <c r="BZ17" t="e">
        <f>AND('boilerplate specs'!B66,"AAAAAB3r900=")</f>
        <v>#VALUE!</v>
      </c>
      <c r="CA17" t="e">
        <f>AND('boilerplate specs'!C66,"AAAAAB3r904=")</f>
        <v>#VALUE!</v>
      </c>
      <c r="CB17" t="e">
        <f>AND('boilerplate specs'!D66,"AAAAAB3r908=")</f>
        <v>#VALUE!</v>
      </c>
      <c r="CC17" t="e">
        <f>AND('boilerplate specs'!E66,"AAAAAB3r91A=")</f>
        <v>#VALUE!</v>
      </c>
      <c r="CD17" t="e">
        <f>AND('boilerplate specs'!F66,"AAAAAB3r91E=")</f>
        <v>#VALUE!</v>
      </c>
      <c r="CE17" t="e">
        <f>AND('boilerplate specs'!G66,"AAAAAB3r91I=")</f>
        <v>#VALUE!</v>
      </c>
      <c r="CF17" t="e">
        <f>AND('boilerplate specs'!H66,"AAAAAB3r91M=")</f>
        <v>#VALUE!</v>
      </c>
      <c r="CG17" t="e">
        <f>AND('boilerplate specs'!I66,"AAAAAB3r91Q=")</f>
        <v>#VALUE!</v>
      </c>
      <c r="CH17" t="e">
        <f>AND('boilerplate specs'!J66,"AAAAAB3r91U=")</f>
        <v>#VALUE!</v>
      </c>
      <c r="CI17" t="e">
        <f>AND('boilerplate specs'!#REF!,"AAAAAB3r91Y=")</f>
        <v>#REF!</v>
      </c>
      <c r="CJ17" t="e">
        <f>AND('boilerplate specs'!#REF!,"AAAAAB3r91c=")</f>
        <v>#REF!</v>
      </c>
      <c r="CK17" t="e">
        <f>AND('boilerplate specs'!#REF!,"AAAAAB3r91g=")</f>
        <v>#REF!</v>
      </c>
      <c r="CL17" t="e">
        <f>AND('boilerplate specs'!#REF!,"AAAAAB3r91k=")</f>
        <v>#REF!</v>
      </c>
      <c r="CM17" t="e">
        <f>AND('boilerplate specs'!#REF!,"AAAAAB3r91o=")</f>
        <v>#REF!</v>
      </c>
      <c r="CN17" t="e">
        <f>AND('boilerplate specs'!#REF!,"AAAAAB3r91s=")</f>
        <v>#REF!</v>
      </c>
      <c r="CO17" t="e">
        <f>AND('boilerplate specs'!#REF!,"AAAAAB3r91w=")</f>
        <v>#REF!</v>
      </c>
      <c r="CP17" t="e">
        <f>AND('boilerplate specs'!#REF!,"AAAAAB3r910=")</f>
        <v>#REF!</v>
      </c>
      <c r="CQ17" t="e">
        <f>AND('boilerplate specs'!#REF!,"AAAAAB3r914=")</f>
        <v>#REF!</v>
      </c>
      <c r="CR17" t="e">
        <f>AND('boilerplate specs'!#REF!,"AAAAAB3r918=")</f>
        <v>#REF!</v>
      </c>
      <c r="CS17" t="e">
        <f>AND('boilerplate specs'!#REF!,"AAAAAB3r92A=")</f>
        <v>#REF!</v>
      </c>
      <c r="CT17" t="e">
        <f>AND('boilerplate specs'!#REF!,"AAAAAB3r92E=")</f>
        <v>#REF!</v>
      </c>
      <c r="CU17" t="e">
        <f>AND('boilerplate specs'!#REF!,"AAAAAB3r92I=")</f>
        <v>#REF!</v>
      </c>
      <c r="CV17" t="e">
        <f>AND('boilerplate specs'!#REF!,"AAAAAB3r92M=")</f>
        <v>#REF!</v>
      </c>
      <c r="CW17" t="e">
        <f>AND('boilerplate specs'!#REF!,"AAAAAB3r92Q=")</f>
        <v>#REF!</v>
      </c>
      <c r="CX17" t="e">
        <f>AND('boilerplate specs'!#REF!,"AAAAAB3r92U=")</f>
        <v>#REF!</v>
      </c>
      <c r="CY17" t="e">
        <f>AND('boilerplate specs'!#REF!,"AAAAAB3r92Y=")</f>
        <v>#REF!</v>
      </c>
      <c r="CZ17" t="e">
        <f>AND('boilerplate specs'!#REF!,"AAAAAB3r92c=")</f>
        <v>#REF!</v>
      </c>
      <c r="DA17" t="e">
        <f>AND('boilerplate specs'!#REF!,"AAAAAB3r92g=")</f>
        <v>#REF!</v>
      </c>
      <c r="DB17" t="e">
        <f>AND('boilerplate specs'!#REF!,"AAAAAB3r92k=")</f>
        <v>#REF!</v>
      </c>
      <c r="DC17" t="e">
        <f>AND('boilerplate specs'!#REF!,"AAAAAB3r92o=")</f>
        <v>#REF!</v>
      </c>
      <c r="DD17" t="e">
        <f>AND('boilerplate specs'!#REF!,"AAAAAB3r92s=")</f>
        <v>#REF!</v>
      </c>
      <c r="DE17">
        <f>IF('boilerplate specs'!67:67,"AAAAAB3r92w=",0)</f>
        <v>0</v>
      </c>
      <c r="DF17" t="e">
        <f>AND('boilerplate specs'!A67,"AAAAAB3r920=")</f>
        <v>#VALUE!</v>
      </c>
      <c r="DG17" t="e">
        <f>AND('boilerplate specs'!B67,"AAAAAB3r924=")</f>
        <v>#VALUE!</v>
      </c>
      <c r="DH17" t="e">
        <f>AND('boilerplate specs'!C67,"AAAAAB3r928=")</f>
        <v>#VALUE!</v>
      </c>
      <c r="DI17" t="e">
        <f>AND('boilerplate specs'!D67,"AAAAAB3r93A=")</f>
        <v>#VALUE!</v>
      </c>
      <c r="DJ17" t="e">
        <f>AND('boilerplate specs'!E67,"AAAAAB3r93E=")</f>
        <v>#VALUE!</v>
      </c>
      <c r="DK17" t="e">
        <f>AND('boilerplate specs'!F67,"AAAAAB3r93I=")</f>
        <v>#VALUE!</v>
      </c>
      <c r="DL17" t="e">
        <f>AND('boilerplate specs'!G67,"AAAAAB3r93M=")</f>
        <v>#VALUE!</v>
      </c>
      <c r="DM17" t="e">
        <f>AND('boilerplate specs'!H67,"AAAAAB3r93Q=")</f>
        <v>#VALUE!</v>
      </c>
      <c r="DN17" t="e">
        <f>AND('boilerplate specs'!I67,"AAAAAB3r93U=")</f>
        <v>#VALUE!</v>
      </c>
      <c r="DO17" t="e">
        <f>AND('boilerplate specs'!J67,"AAAAAB3r93Y=")</f>
        <v>#VALUE!</v>
      </c>
      <c r="DP17" t="e">
        <f>AND('boilerplate specs'!#REF!,"AAAAAB3r93c=")</f>
        <v>#REF!</v>
      </c>
      <c r="DQ17" t="e">
        <f>AND('boilerplate specs'!#REF!,"AAAAAB3r93g=")</f>
        <v>#REF!</v>
      </c>
      <c r="DR17" t="e">
        <f>AND('boilerplate specs'!#REF!,"AAAAAB3r93k=")</f>
        <v>#REF!</v>
      </c>
      <c r="DS17" t="e">
        <f>AND('boilerplate specs'!#REF!,"AAAAAB3r93o=")</f>
        <v>#REF!</v>
      </c>
      <c r="DT17" t="e">
        <f>AND('boilerplate specs'!#REF!,"AAAAAB3r93s=")</f>
        <v>#REF!</v>
      </c>
      <c r="DU17" t="e">
        <f>AND('boilerplate specs'!#REF!,"AAAAAB3r93w=")</f>
        <v>#REF!</v>
      </c>
      <c r="DV17" t="e">
        <f>AND('boilerplate specs'!#REF!,"AAAAAB3r930=")</f>
        <v>#REF!</v>
      </c>
      <c r="DW17" t="e">
        <f>AND('boilerplate specs'!#REF!,"AAAAAB3r934=")</f>
        <v>#REF!</v>
      </c>
      <c r="DX17" t="e">
        <f>AND('boilerplate specs'!#REF!,"AAAAAB3r938=")</f>
        <v>#REF!</v>
      </c>
      <c r="DY17" t="e">
        <f>AND('boilerplate specs'!#REF!,"AAAAAB3r94A=")</f>
        <v>#REF!</v>
      </c>
      <c r="DZ17" t="e">
        <f>AND('boilerplate specs'!#REF!,"AAAAAB3r94E=")</f>
        <v>#REF!</v>
      </c>
      <c r="EA17" t="e">
        <f>AND('boilerplate specs'!#REF!,"AAAAAB3r94I=")</f>
        <v>#REF!</v>
      </c>
      <c r="EB17" t="e">
        <f>AND('boilerplate specs'!#REF!,"AAAAAB3r94M=")</f>
        <v>#REF!</v>
      </c>
      <c r="EC17" t="e">
        <f>AND('boilerplate specs'!#REF!,"AAAAAB3r94Q=")</f>
        <v>#REF!</v>
      </c>
      <c r="ED17" t="e">
        <f>AND('boilerplate specs'!#REF!,"AAAAAB3r94U=")</f>
        <v>#REF!</v>
      </c>
      <c r="EE17" t="e">
        <f>AND('boilerplate specs'!#REF!,"AAAAAB3r94Y=")</f>
        <v>#REF!</v>
      </c>
      <c r="EF17" t="e">
        <f>AND('boilerplate specs'!#REF!,"AAAAAB3r94c=")</f>
        <v>#REF!</v>
      </c>
      <c r="EG17" t="e">
        <f>AND('boilerplate specs'!#REF!,"AAAAAB3r94g=")</f>
        <v>#REF!</v>
      </c>
      <c r="EH17" t="e">
        <f>AND('boilerplate specs'!#REF!,"AAAAAB3r94k=")</f>
        <v>#REF!</v>
      </c>
      <c r="EI17" t="e">
        <f>AND('boilerplate specs'!#REF!,"AAAAAB3r94o=")</f>
        <v>#REF!</v>
      </c>
      <c r="EJ17" t="e">
        <f>AND('boilerplate specs'!#REF!,"AAAAAB3r94s=")</f>
        <v>#REF!</v>
      </c>
      <c r="EK17" t="e">
        <f>AND('boilerplate specs'!#REF!,"AAAAAB3r94w=")</f>
        <v>#REF!</v>
      </c>
      <c r="EL17">
        <f>IF('boilerplate specs'!68:68,"AAAAAB3r940=",0)</f>
        <v>0</v>
      </c>
      <c r="EM17" t="e">
        <f>AND('boilerplate specs'!A68,"AAAAAB3r944=")</f>
        <v>#VALUE!</v>
      </c>
      <c r="EN17" t="e">
        <f>AND('boilerplate specs'!B68,"AAAAAB3r948=")</f>
        <v>#VALUE!</v>
      </c>
      <c r="EO17" t="e">
        <f>AND('boilerplate specs'!C68,"AAAAAB3r95A=")</f>
        <v>#VALUE!</v>
      </c>
      <c r="EP17" t="e">
        <f>AND('boilerplate specs'!D68,"AAAAAB3r95E=")</f>
        <v>#VALUE!</v>
      </c>
      <c r="EQ17" t="e">
        <f>AND('boilerplate specs'!E68,"AAAAAB3r95I=")</f>
        <v>#VALUE!</v>
      </c>
      <c r="ER17" t="e">
        <f>AND('boilerplate specs'!F68,"AAAAAB3r95M=")</f>
        <v>#VALUE!</v>
      </c>
      <c r="ES17" t="e">
        <f>AND('boilerplate specs'!G68,"AAAAAB3r95Q=")</f>
        <v>#VALUE!</v>
      </c>
      <c r="ET17" t="e">
        <f>AND('boilerplate specs'!H68,"AAAAAB3r95U=")</f>
        <v>#VALUE!</v>
      </c>
      <c r="EU17" t="e">
        <f>AND('boilerplate specs'!I68,"AAAAAB3r95Y=")</f>
        <v>#VALUE!</v>
      </c>
      <c r="EV17" t="e">
        <f>AND('boilerplate specs'!J68,"AAAAAB3r95c=")</f>
        <v>#VALUE!</v>
      </c>
      <c r="EW17" t="e">
        <f>AND('boilerplate specs'!#REF!,"AAAAAB3r95g=")</f>
        <v>#REF!</v>
      </c>
      <c r="EX17" t="e">
        <f>AND('boilerplate specs'!#REF!,"AAAAAB3r95k=")</f>
        <v>#REF!</v>
      </c>
      <c r="EY17" t="e">
        <f>AND('boilerplate specs'!#REF!,"AAAAAB3r95o=")</f>
        <v>#REF!</v>
      </c>
      <c r="EZ17" t="e">
        <f>AND('boilerplate specs'!#REF!,"AAAAAB3r95s=")</f>
        <v>#REF!</v>
      </c>
      <c r="FA17" t="e">
        <f>AND('boilerplate specs'!#REF!,"AAAAAB3r95w=")</f>
        <v>#REF!</v>
      </c>
      <c r="FB17" t="e">
        <f>AND('boilerplate specs'!#REF!,"AAAAAB3r950=")</f>
        <v>#REF!</v>
      </c>
      <c r="FC17" t="e">
        <f>AND('boilerplate specs'!#REF!,"AAAAAB3r954=")</f>
        <v>#REF!</v>
      </c>
      <c r="FD17" t="e">
        <f>AND('boilerplate specs'!#REF!,"AAAAAB3r958=")</f>
        <v>#REF!</v>
      </c>
      <c r="FE17" t="e">
        <f>AND('boilerplate specs'!#REF!,"AAAAAB3r96A=")</f>
        <v>#REF!</v>
      </c>
      <c r="FF17" t="e">
        <f>AND('boilerplate specs'!#REF!,"AAAAAB3r96E=")</f>
        <v>#REF!</v>
      </c>
      <c r="FG17" t="e">
        <f>AND('boilerplate specs'!#REF!,"AAAAAB3r96I=")</f>
        <v>#REF!</v>
      </c>
      <c r="FH17" t="e">
        <f>AND('boilerplate specs'!#REF!,"AAAAAB3r96M=")</f>
        <v>#REF!</v>
      </c>
      <c r="FI17" t="e">
        <f>AND('boilerplate specs'!#REF!,"AAAAAB3r96Q=")</f>
        <v>#REF!</v>
      </c>
      <c r="FJ17" t="e">
        <f>AND('boilerplate specs'!#REF!,"AAAAAB3r96U=")</f>
        <v>#REF!</v>
      </c>
      <c r="FK17" t="e">
        <f>AND('boilerplate specs'!#REF!,"AAAAAB3r96Y=")</f>
        <v>#REF!</v>
      </c>
      <c r="FL17" t="e">
        <f>AND('boilerplate specs'!#REF!,"AAAAAB3r96c=")</f>
        <v>#REF!</v>
      </c>
      <c r="FM17" t="e">
        <f>AND('boilerplate specs'!#REF!,"AAAAAB3r96g=")</f>
        <v>#REF!</v>
      </c>
      <c r="FN17" t="e">
        <f>AND('boilerplate specs'!#REF!,"AAAAAB3r96k=")</f>
        <v>#REF!</v>
      </c>
      <c r="FO17" t="e">
        <f>AND('boilerplate specs'!#REF!,"AAAAAB3r96o=")</f>
        <v>#REF!</v>
      </c>
      <c r="FP17" t="e">
        <f>AND('boilerplate specs'!#REF!,"AAAAAB3r96s=")</f>
        <v>#REF!</v>
      </c>
      <c r="FQ17" t="e">
        <f>AND('boilerplate specs'!#REF!,"AAAAAB3r96w=")</f>
        <v>#REF!</v>
      </c>
      <c r="FR17" t="e">
        <f>AND('boilerplate specs'!#REF!,"AAAAAB3r960=")</f>
        <v>#REF!</v>
      </c>
      <c r="FS17">
        <f>IF('boilerplate specs'!69:69,"AAAAAB3r964=",0)</f>
        <v>0</v>
      </c>
      <c r="FT17" t="e">
        <f>AND('boilerplate specs'!A69,"AAAAAB3r968=")</f>
        <v>#VALUE!</v>
      </c>
      <c r="FU17" t="e">
        <f>AND('boilerplate specs'!B69,"AAAAAB3r97A=")</f>
        <v>#VALUE!</v>
      </c>
      <c r="FV17" t="e">
        <f>AND('boilerplate specs'!C69,"AAAAAB3r97E=")</f>
        <v>#VALUE!</v>
      </c>
      <c r="FW17" t="e">
        <f>AND('boilerplate specs'!D69,"AAAAAB3r97I=")</f>
        <v>#VALUE!</v>
      </c>
      <c r="FX17" t="e">
        <f>AND('boilerplate specs'!E69,"AAAAAB3r97M=")</f>
        <v>#VALUE!</v>
      </c>
      <c r="FY17" t="e">
        <f>AND('boilerplate specs'!F69,"AAAAAB3r97Q=")</f>
        <v>#VALUE!</v>
      </c>
      <c r="FZ17" t="e">
        <f>AND('boilerplate specs'!G69,"AAAAAB3r97U=")</f>
        <v>#VALUE!</v>
      </c>
      <c r="GA17" t="e">
        <f>AND('boilerplate specs'!H69,"AAAAAB3r97Y=")</f>
        <v>#VALUE!</v>
      </c>
      <c r="GB17" t="e">
        <f>AND('boilerplate specs'!I69,"AAAAAB3r97c=")</f>
        <v>#VALUE!</v>
      </c>
      <c r="GC17" t="e">
        <f>AND('boilerplate specs'!J69,"AAAAAB3r97g=")</f>
        <v>#VALUE!</v>
      </c>
      <c r="GD17" t="e">
        <f>AND('boilerplate specs'!#REF!,"AAAAAB3r97k=")</f>
        <v>#REF!</v>
      </c>
      <c r="GE17" t="e">
        <f>AND('boilerplate specs'!#REF!,"AAAAAB3r97o=")</f>
        <v>#REF!</v>
      </c>
      <c r="GF17" t="e">
        <f>AND('boilerplate specs'!#REF!,"AAAAAB3r97s=")</f>
        <v>#REF!</v>
      </c>
      <c r="GG17" t="e">
        <f>AND('boilerplate specs'!#REF!,"AAAAAB3r97w=")</f>
        <v>#REF!</v>
      </c>
      <c r="GH17" t="e">
        <f>AND('boilerplate specs'!#REF!,"AAAAAB3r970=")</f>
        <v>#REF!</v>
      </c>
      <c r="GI17" t="e">
        <f>AND('boilerplate specs'!#REF!,"AAAAAB3r974=")</f>
        <v>#REF!</v>
      </c>
      <c r="GJ17" t="e">
        <f>AND('boilerplate specs'!#REF!,"AAAAAB3r978=")</f>
        <v>#REF!</v>
      </c>
      <c r="GK17" t="e">
        <f>AND('boilerplate specs'!#REF!,"AAAAAB3r98A=")</f>
        <v>#REF!</v>
      </c>
      <c r="GL17" t="e">
        <f>AND('boilerplate specs'!#REF!,"AAAAAB3r98E=")</f>
        <v>#REF!</v>
      </c>
      <c r="GM17" t="e">
        <f>AND('boilerplate specs'!#REF!,"AAAAAB3r98I=")</f>
        <v>#REF!</v>
      </c>
      <c r="GN17" t="e">
        <f>AND('boilerplate specs'!#REF!,"AAAAAB3r98M=")</f>
        <v>#REF!</v>
      </c>
      <c r="GO17" t="e">
        <f>AND('boilerplate specs'!#REF!,"AAAAAB3r98Q=")</f>
        <v>#REF!</v>
      </c>
      <c r="GP17" t="e">
        <f>AND('boilerplate specs'!#REF!,"AAAAAB3r98U=")</f>
        <v>#REF!</v>
      </c>
      <c r="GQ17" t="e">
        <f>AND('boilerplate specs'!#REF!,"AAAAAB3r98Y=")</f>
        <v>#REF!</v>
      </c>
      <c r="GR17" t="e">
        <f>AND('boilerplate specs'!#REF!,"AAAAAB3r98c=")</f>
        <v>#REF!</v>
      </c>
      <c r="GS17" t="e">
        <f>AND('boilerplate specs'!#REF!,"AAAAAB3r98g=")</f>
        <v>#REF!</v>
      </c>
      <c r="GT17" t="e">
        <f>AND('boilerplate specs'!#REF!,"AAAAAB3r98k=")</f>
        <v>#REF!</v>
      </c>
      <c r="GU17" t="e">
        <f>AND('boilerplate specs'!#REF!,"AAAAAB3r98o=")</f>
        <v>#REF!</v>
      </c>
      <c r="GV17" t="e">
        <f>AND('boilerplate specs'!#REF!,"AAAAAB3r98s=")</f>
        <v>#REF!</v>
      </c>
      <c r="GW17" t="e">
        <f>AND('boilerplate specs'!#REF!,"AAAAAB3r98w=")</f>
        <v>#REF!</v>
      </c>
      <c r="GX17" t="e">
        <f>AND('boilerplate specs'!#REF!,"AAAAAB3r980=")</f>
        <v>#REF!</v>
      </c>
      <c r="GY17" t="e">
        <f>AND('boilerplate specs'!#REF!,"AAAAAB3r984=")</f>
        <v>#REF!</v>
      </c>
      <c r="GZ17">
        <f>IF('boilerplate specs'!70:70,"AAAAAB3r988=",0)</f>
        <v>0</v>
      </c>
      <c r="HA17" t="e">
        <f>AND('boilerplate specs'!A70,"AAAAAB3r99A=")</f>
        <v>#VALUE!</v>
      </c>
      <c r="HB17" t="e">
        <f>AND('boilerplate specs'!B70,"AAAAAB3r99E=")</f>
        <v>#VALUE!</v>
      </c>
      <c r="HC17" t="e">
        <f>AND('boilerplate specs'!C70,"AAAAAB3r99I=")</f>
        <v>#VALUE!</v>
      </c>
      <c r="HD17" t="e">
        <f>AND('boilerplate specs'!D70,"AAAAAB3r99M=")</f>
        <v>#VALUE!</v>
      </c>
      <c r="HE17" t="e">
        <f>AND('boilerplate specs'!E70,"AAAAAB3r99Q=")</f>
        <v>#VALUE!</v>
      </c>
      <c r="HF17" t="e">
        <f>AND('boilerplate specs'!F70,"AAAAAB3r99U=")</f>
        <v>#VALUE!</v>
      </c>
      <c r="HG17" t="e">
        <f>AND('boilerplate specs'!G70,"AAAAAB3r99Y=")</f>
        <v>#VALUE!</v>
      </c>
      <c r="HH17" t="e">
        <f>AND('boilerplate specs'!H70,"AAAAAB3r99c=")</f>
        <v>#VALUE!</v>
      </c>
      <c r="HI17" t="e">
        <f>AND('boilerplate specs'!I70,"AAAAAB3r99g=")</f>
        <v>#VALUE!</v>
      </c>
      <c r="HJ17" t="e">
        <f>AND('boilerplate specs'!J70,"AAAAAB3r99k=")</f>
        <v>#VALUE!</v>
      </c>
      <c r="HK17" t="e">
        <f>AND('boilerplate specs'!#REF!,"AAAAAB3r99o=")</f>
        <v>#REF!</v>
      </c>
      <c r="HL17" t="e">
        <f>AND('boilerplate specs'!#REF!,"AAAAAB3r99s=")</f>
        <v>#REF!</v>
      </c>
      <c r="HM17" t="e">
        <f>AND('boilerplate specs'!#REF!,"AAAAAB3r99w=")</f>
        <v>#REF!</v>
      </c>
      <c r="HN17" t="e">
        <f>AND('boilerplate specs'!#REF!,"AAAAAB3r990=")</f>
        <v>#REF!</v>
      </c>
      <c r="HO17" t="e">
        <f>AND('boilerplate specs'!#REF!,"AAAAAB3r994=")</f>
        <v>#REF!</v>
      </c>
      <c r="HP17" t="e">
        <f>AND('boilerplate specs'!#REF!,"AAAAAB3r998=")</f>
        <v>#REF!</v>
      </c>
      <c r="HQ17" t="e">
        <f>AND('boilerplate specs'!#REF!,"AAAAAB3r9+A=")</f>
        <v>#REF!</v>
      </c>
      <c r="HR17" t="e">
        <f>AND('boilerplate specs'!#REF!,"AAAAAB3r9+E=")</f>
        <v>#REF!</v>
      </c>
      <c r="HS17" t="e">
        <f>AND('boilerplate specs'!#REF!,"AAAAAB3r9+I=")</f>
        <v>#REF!</v>
      </c>
      <c r="HT17" t="e">
        <f>AND('boilerplate specs'!#REF!,"AAAAAB3r9+M=")</f>
        <v>#REF!</v>
      </c>
      <c r="HU17" t="e">
        <f>AND('boilerplate specs'!#REF!,"AAAAAB3r9+Q=")</f>
        <v>#REF!</v>
      </c>
      <c r="HV17" t="e">
        <f>AND('boilerplate specs'!#REF!,"AAAAAB3r9+U=")</f>
        <v>#REF!</v>
      </c>
      <c r="HW17" t="e">
        <f>AND('boilerplate specs'!#REF!,"AAAAAB3r9+Y=")</f>
        <v>#REF!</v>
      </c>
      <c r="HX17" t="e">
        <f>AND('boilerplate specs'!#REF!,"AAAAAB3r9+c=")</f>
        <v>#REF!</v>
      </c>
      <c r="HY17" t="e">
        <f>AND('boilerplate specs'!#REF!,"AAAAAB3r9+g=")</f>
        <v>#REF!</v>
      </c>
      <c r="HZ17" t="e">
        <f>AND('boilerplate specs'!#REF!,"AAAAAB3r9+k=")</f>
        <v>#REF!</v>
      </c>
      <c r="IA17" t="e">
        <f>AND('boilerplate specs'!#REF!,"AAAAAB3r9+o=")</f>
        <v>#REF!</v>
      </c>
      <c r="IB17" t="e">
        <f>AND('boilerplate specs'!#REF!,"AAAAAB3r9+s=")</f>
        <v>#REF!</v>
      </c>
      <c r="IC17" t="e">
        <f>AND('boilerplate specs'!#REF!,"AAAAAB3r9+w=")</f>
        <v>#REF!</v>
      </c>
      <c r="ID17" t="e">
        <f>AND('boilerplate specs'!#REF!,"AAAAAB3r9+0=")</f>
        <v>#REF!</v>
      </c>
      <c r="IE17" t="e">
        <f>AND('boilerplate specs'!#REF!,"AAAAAB3r9+4=")</f>
        <v>#REF!</v>
      </c>
      <c r="IF17" t="e">
        <f>AND('boilerplate specs'!#REF!,"AAAAAB3r9+8=")</f>
        <v>#REF!</v>
      </c>
      <c r="IG17">
        <f>IF('boilerplate specs'!71:71,"AAAAAB3r9/A=",0)</f>
        <v>0</v>
      </c>
      <c r="IH17" t="e">
        <f>AND('boilerplate specs'!A71,"AAAAAB3r9/E=")</f>
        <v>#VALUE!</v>
      </c>
      <c r="II17" t="e">
        <f>AND('boilerplate specs'!B71,"AAAAAB3r9/I=")</f>
        <v>#VALUE!</v>
      </c>
      <c r="IJ17" t="e">
        <f>AND('boilerplate specs'!C71,"AAAAAB3r9/M=")</f>
        <v>#VALUE!</v>
      </c>
      <c r="IK17" t="e">
        <f>AND('boilerplate specs'!D71,"AAAAAB3r9/Q=")</f>
        <v>#VALUE!</v>
      </c>
      <c r="IL17" t="e">
        <f>AND('boilerplate specs'!E71,"AAAAAB3r9/U=")</f>
        <v>#VALUE!</v>
      </c>
      <c r="IM17" t="e">
        <f>AND('boilerplate specs'!F71,"AAAAAB3r9/Y=")</f>
        <v>#VALUE!</v>
      </c>
      <c r="IN17" t="e">
        <f>AND('boilerplate specs'!G71,"AAAAAB3r9/c=")</f>
        <v>#VALUE!</v>
      </c>
      <c r="IO17" t="e">
        <f>AND('boilerplate specs'!H71,"AAAAAB3r9/g=")</f>
        <v>#VALUE!</v>
      </c>
      <c r="IP17" t="e">
        <f>AND('boilerplate specs'!I71,"AAAAAB3r9/k=")</f>
        <v>#VALUE!</v>
      </c>
      <c r="IQ17" t="e">
        <f>AND('boilerplate specs'!J71,"AAAAAB3r9/o=")</f>
        <v>#VALUE!</v>
      </c>
      <c r="IR17" t="e">
        <f>AND('boilerplate specs'!#REF!,"AAAAAB3r9/s=")</f>
        <v>#REF!</v>
      </c>
      <c r="IS17" t="e">
        <f>AND('boilerplate specs'!#REF!,"AAAAAB3r9/w=")</f>
        <v>#REF!</v>
      </c>
      <c r="IT17" t="e">
        <f>AND('boilerplate specs'!#REF!,"AAAAAB3r9/0=")</f>
        <v>#REF!</v>
      </c>
      <c r="IU17" t="e">
        <f>AND('boilerplate specs'!#REF!,"AAAAAB3r9/4=")</f>
        <v>#REF!</v>
      </c>
      <c r="IV17" t="e">
        <f>AND('boilerplate specs'!#REF!,"AAAAAB3r9/8=")</f>
        <v>#REF!</v>
      </c>
    </row>
    <row r="18" spans="1:256" x14ac:dyDescent="0.35">
      <c r="A18" t="e">
        <f>AND('boilerplate specs'!#REF!,"AAAAAF731gA=")</f>
        <v>#REF!</v>
      </c>
      <c r="B18" t="e">
        <f>AND('boilerplate specs'!#REF!,"AAAAAF731gE=")</f>
        <v>#REF!</v>
      </c>
      <c r="C18" t="e">
        <f>AND('boilerplate specs'!#REF!,"AAAAAF731gI=")</f>
        <v>#REF!</v>
      </c>
      <c r="D18" t="e">
        <f>AND('boilerplate specs'!#REF!,"AAAAAF731gM=")</f>
        <v>#REF!</v>
      </c>
      <c r="E18" t="e">
        <f>AND('boilerplate specs'!#REF!,"AAAAAF731gQ=")</f>
        <v>#REF!</v>
      </c>
      <c r="F18" t="e">
        <f>AND('boilerplate specs'!#REF!,"AAAAAF731gU=")</f>
        <v>#REF!</v>
      </c>
      <c r="G18" t="e">
        <f>AND('boilerplate specs'!#REF!,"AAAAAF731gY=")</f>
        <v>#REF!</v>
      </c>
      <c r="H18" t="e">
        <f>AND('boilerplate specs'!#REF!,"AAAAAF731gc=")</f>
        <v>#REF!</v>
      </c>
      <c r="I18" t="e">
        <f>AND('boilerplate specs'!#REF!,"AAAAAF731gg=")</f>
        <v>#REF!</v>
      </c>
      <c r="J18" t="e">
        <f>AND('boilerplate specs'!#REF!,"AAAAAF731gk=")</f>
        <v>#REF!</v>
      </c>
      <c r="K18" t="e">
        <f>AND('boilerplate specs'!#REF!,"AAAAAF731go=")</f>
        <v>#REF!</v>
      </c>
      <c r="L18" t="e">
        <f>AND('boilerplate specs'!#REF!,"AAAAAF731gs=")</f>
        <v>#REF!</v>
      </c>
      <c r="M18" t="e">
        <f>AND('boilerplate specs'!#REF!,"AAAAAF731gw=")</f>
        <v>#REF!</v>
      </c>
      <c r="N18" t="e">
        <f>AND('boilerplate specs'!#REF!,"AAAAAF731g0=")</f>
        <v>#REF!</v>
      </c>
      <c r="O18" t="e">
        <f>AND('boilerplate specs'!#REF!,"AAAAAF731g4=")</f>
        <v>#REF!</v>
      </c>
      <c r="P18" t="e">
        <f>AND('boilerplate specs'!#REF!,"AAAAAF731g8=")</f>
        <v>#REF!</v>
      </c>
      <c r="Q18" t="e">
        <f>AND('boilerplate specs'!#REF!,"AAAAAF731hA=")</f>
        <v>#REF!</v>
      </c>
      <c r="R18">
        <f>IF('boilerplate specs'!72:72,"AAAAAF731hE=",0)</f>
        <v>0</v>
      </c>
      <c r="S18" t="e">
        <f>AND('boilerplate specs'!A72,"AAAAAF731hI=")</f>
        <v>#VALUE!</v>
      </c>
      <c r="T18" t="e">
        <f>AND('boilerplate specs'!B72,"AAAAAF731hM=")</f>
        <v>#VALUE!</v>
      </c>
      <c r="U18" t="e">
        <f>AND('boilerplate specs'!C72,"AAAAAF731hQ=")</f>
        <v>#VALUE!</v>
      </c>
      <c r="V18" t="e">
        <f>AND('boilerplate specs'!D72,"AAAAAF731hU=")</f>
        <v>#VALUE!</v>
      </c>
      <c r="W18" t="e">
        <f>AND('boilerplate specs'!E72,"AAAAAF731hY=")</f>
        <v>#VALUE!</v>
      </c>
      <c r="X18" t="e">
        <f>AND('boilerplate specs'!F72,"AAAAAF731hc=")</f>
        <v>#VALUE!</v>
      </c>
      <c r="Y18" t="e">
        <f>AND('boilerplate specs'!G72,"AAAAAF731hg=")</f>
        <v>#VALUE!</v>
      </c>
      <c r="Z18" t="e">
        <f>AND('boilerplate specs'!H72,"AAAAAF731hk=")</f>
        <v>#VALUE!</v>
      </c>
      <c r="AA18" t="e">
        <f>AND('boilerplate specs'!I72,"AAAAAF731ho=")</f>
        <v>#VALUE!</v>
      </c>
      <c r="AB18" t="e">
        <f>AND('boilerplate specs'!J72,"AAAAAF731hs=")</f>
        <v>#VALUE!</v>
      </c>
      <c r="AC18" t="e">
        <f>AND('boilerplate specs'!#REF!,"AAAAAF731hw=")</f>
        <v>#REF!</v>
      </c>
      <c r="AD18" t="e">
        <f>AND('boilerplate specs'!#REF!,"AAAAAF731h0=")</f>
        <v>#REF!</v>
      </c>
      <c r="AE18" t="e">
        <f>AND('boilerplate specs'!#REF!,"AAAAAF731h4=")</f>
        <v>#REF!</v>
      </c>
      <c r="AF18" t="e">
        <f>AND('boilerplate specs'!#REF!,"AAAAAF731h8=")</f>
        <v>#REF!</v>
      </c>
      <c r="AG18" t="e">
        <f>AND('boilerplate specs'!#REF!,"AAAAAF731iA=")</f>
        <v>#REF!</v>
      </c>
      <c r="AH18" t="e">
        <f>AND('boilerplate specs'!#REF!,"AAAAAF731iE=")</f>
        <v>#REF!</v>
      </c>
      <c r="AI18" t="e">
        <f>AND('boilerplate specs'!#REF!,"AAAAAF731iI=")</f>
        <v>#REF!</v>
      </c>
      <c r="AJ18" t="e">
        <f>AND('boilerplate specs'!#REF!,"AAAAAF731iM=")</f>
        <v>#REF!</v>
      </c>
      <c r="AK18" t="e">
        <f>AND('boilerplate specs'!#REF!,"AAAAAF731iQ=")</f>
        <v>#REF!</v>
      </c>
      <c r="AL18" t="e">
        <f>AND('boilerplate specs'!#REF!,"AAAAAF731iU=")</f>
        <v>#REF!</v>
      </c>
      <c r="AM18" t="e">
        <f>AND('boilerplate specs'!#REF!,"AAAAAF731iY=")</f>
        <v>#REF!</v>
      </c>
      <c r="AN18" t="e">
        <f>AND('boilerplate specs'!#REF!,"AAAAAF731ic=")</f>
        <v>#REF!</v>
      </c>
      <c r="AO18" t="e">
        <f>AND('boilerplate specs'!#REF!,"AAAAAF731ig=")</f>
        <v>#REF!</v>
      </c>
      <c r="AP18" t="e">
        <f>AND('boilerplate specs'!#REF!,"AAAAAF731ik=")</f>
        <v>#REF!</v>
      </c>
      <c r="AQ18" t="e">
        <f>AND('boilerplate specs'!#REF!,"AAAAAF731io=")</f>
        <v>#REF!</v>
      </c>
      <c r="AR18" t="e">
        <f>AND('boilerplate specs'!#REF!,"AAAAAF731is=")</f>
        <v>#REF!</v>
      </c>
      <c r="AS18" t="e">
        <f>AND('boilerplate specs'!#REF!,"AAAAAF731iw=")</f>
        <v>#REF!</v>
      </c>
      <c r="AT18" t="e">
        <f>AND('boilerplate specs'!#REF!,"AAAAAF731i0=")</f>
        <v>#REF!</v>
      </c>
      <c r="AU18" t="e">
        <f>AND('boilerplate specs'!#REF!,"AAAAAF731i4=")</f>
        <v>#REF!</v>
      </c>
      <c r="AV18" t="e">
        <f>AND('boilerplate specs'!#REF!,"AAAAAF731i8=")</f>
        <v>#REF!</v>
      </c>
      <c r="AW18" t="e">
        <f>AND('boilerplate specs'!#REF!,"AAAAAF731jA=")</f>
        <v>#REF!</v>
      </c>
      <c r="AX18" t="e">
        <f>AND('boilerplate specs'!#REF!,"AAAAAF731jE=")</f>
        <v>#REF!</v>
      </c>
      <c r="AY18">
        <f>IF('boilerplate specs'!73:73,"AAAAAF731jI=",0)</f>
        <v>0</v>
      </c>
      <c r="AZ18" t="e">
        <f>AND('boilerplate specs'!A73,"AAAAAF731jM=")</f>
        <v>#VALUE!</v>
      </c>
      <c r="BA18" t="e">
        <f>AND('boilerplate specs'!B73,"AAAAAF731jQ=")</f>
        <v>#VALUE!</v>
      </c>
      <c r="BB18" t="e">
        <f>AND('boilerplate specs'!C73,"AAAAAF731jU=")</f>
        <v>#VALUE!</v>
      </c>
      <c r="BC18" t="e">
        <f>AND('boilerplate specs'!D73,"AAAAAF731jY=")</f>
        <v>#VALUE!</v>
      </c>
      <c r="BD18" t="e">
        <f>AND('boilerplate specs'!E73,"AAAAAF731jc=")</f>
        <v>#VALUE!</v>
      </c>
      <c r="BE18" t="e">
        <f>AND('boilerplate specs'!F73,"AAAAAF731jg=")</f>
        <v>#VALUE!</v>
      </c>
      <c r="BF18" t="e">
        <f>AND('boilerplate specs'!G73,"AAAAAF731jk=")</f>
        <v>#VALUE!</v>
      </c>
      <c r="BG18" t="e">
        <f>AND('boilerplate specs'!H73,"AAAAAF731jo=")</f>
        <v>#VALUE!</v>
      </c>
      <c r="BH18" t="e">
        <f>AND('boilerplate specs'!I73,"AAAAAF731js=")</f>
        <v>#VALUE!</v>
      </c>
      <c r="BI18" t="e">
        <f>AND('boilerplate specs'!J73,"AAAAAF731jw=")</f>
        <v>#VALUE!</v>
      </c>
      <c r="BJ18" t="e">
        <f>AND('boilerplate specs'!#REF!,"AAAAAF731j0=")</f>
        <v>#REF!</v>
      </c>
      <c r="BK18" t="e">
        <f>AND('boilerplate specs'!#REF!,"AAAAAF731j4=")</f>
        <v>#REF!</v>
      </c>
      <c r="BL18" t="e">
        <f>AND('boilerplate specs'!#REF!,"AAAAAF731j8=")</f>
        <v>#REF!</v>
      </c>
      <c r="BM18" t="e">
        <f>AND('boilerplate specs'!#REF!,"AAAAAF731kA=")</f>
        <v>#REF!</v>
      </c>
      <c r="BN18" t="e">
        <f>AND('boilerplate specs'!#REF!,"AAAAAF731kE=")</f>
        <v>#REF!</v>
      </c>
      <c r="BO18" t="e">
        <f>AND('boilerplate specs'!#REF!,"AAAAAF731kI=")</f>
        <v>#REF!</v>
      </c>
      <c r="BP18" t="e">
        <f>AND('boilerplate specs'!#REF!,"AAAAAF731kM=")</f>
        <v>#REF!</v>
      </c>
      <c r="BQ18" t="e">
        <f>AND('boilerplate specs'!#REF!,"AAAAAF731kQ=")</f>
        <v>#REF!</v>
      </c>
      <c r="BR18" t="e">
        <f>AND('boilerplate specs'!#REF!,"AAAAAF731kU=")</f>
        <v>#REF!</v>
      </c>
      <c r="BS18" t="e">
        <f>AND('boilerplate specs'!#REF!,"AAAAAF731kY=")</f>
        <v>#REF!</v>
      </c>
      <c r="BT18" t="e">
        <f>AND('boilerplate specs'!#REF!,"AAAAAF731kc=")</f>
        <v>#REF!</v>
      </c>
      <c r="BU18" t="e">
        <f>AND('boilerplate specs'!#REF!,"AAAAAF731kg=")</f>
        <v>#REF!</v>
      </c>
      <c r="BV18" t="e">
        <f>AND('boilerplate specs'!#REF!,"AAAAAF731kk=")</f>
        <v>#REF!</v>
      </c>
      <c r="BW18" t="e">
        <f>AND('boilerplate specs'!#REF!,"AAAAAF731ko=")</f>
        <v>#REF!</v>
      </c>
      <c r="BX18" t="e">
        <f>AND('boilerplate specs'!#REF!,"AAAAAF731ks=")</f>
        <v>#REF!</v>
      </c>
      <c r="BY18" t="e">
        <f>AND('boilerplate specs'!#REF!,"AAAAAF731kw=")</f>
        <v>#REF!</v>
      </c>
      <c r="BZ18" t="e">
        <f>AND('boilerplate specs'!#REF!,"AAAAAF731k0=")</f>
        <v>#REF!</v>
      </c>
      <c r="CA18" t="e">
        <f>AND('boilerplate specs'!#REF!,"AAAAAF731k4=")</f>
        <v>#REF!</v>
      </c>
      <c r="CB18" t="e">
        <f>AND('boilerplate specs'!#REF!,"AAAAAF731k8=")</f>
        <v>#REF!</v>
      </c>
      <c r="CC18" t="e">
        <f>AND('boilerplate specs'!#REF!,"AAAAAF731lA=")</f>
        <v>#REF!</v>
      </c>
      <c r="CD18" t="e">
        <f>AND('boilerplate specs'!#REF!,"AAAAAF731lE=")</f>
        <v>#REF!</v>
      </c>
      <c r="CE18" t="e">
        <f>AND('boilerplate specs'!#REF!,"AAAAAF731lI=")</f>
        <v>#REF!</v>
      </c>
      <c r="CF18">
        <f>IF('boilerplate specs'!74:74,"AAAAAF731lM=",0)</f>
        <v>0</v>
      </c>
      <c r="CG18" t="e">
        <f>AND('boilerplate specs'!A74,"AAAAAF731lQ=")</f>
        <v>#VALUE!</v>
      </c>
      <c r="CH18" t="e">
        <f>AND('boilerplate specs'!B74,"AAAAAF731lU=")</f>
        <v>#VALUE!</v>
      </c>
      <c r="CI18" t="e">
        <f>AND('boilerplate specs'!C74,"AAAAAF731lY=")</f>
        <v>#VALUE!</v>
      </c>
      <c r="CJ18" t="e">
        <f>AND('boilerplate specs'!D74,"AAAAAF731lc=")</f>
        <v>#VALUE!</v>
      </c>
      <c r="CK18" t="e">
        <f>AND('boilerplate specs'!E74,"AAAAAF731lg=")</f>
        <v>#VALUE!</v>
      </c>
      <c r="CL18" t="e">
        <f>AND('boilerplate specs'!F74,"AAAAAF731lk=")</f>
        <v>#VALUE!</v>
      </c>
      <c r="CM18" t="e">
        <f>AND('boilerplate specs'!G74,"AAAAAF731lo=")</f>
        <v>#VALUE!</v>
      </c>
      <c r="CN18" t="e">
        <f>AND('boilerplate specs'!H74,"AAAAAF731ls=")</f>
        <v>#VALUE!</v>
      </c>
      <c r="CO18" t="e">
        <f>AND('boilerplate specs'!I74,"AAAAAF731lw=")</f>
        <v>#VALUE!</v>
      </c>
      <c r="CP18" t="e">
        <f>AND('boilerplate specs'!J74,"AAAAAF731l0=")</f>
        <v>#VALUE!</v>
      </c>
      <c r="CQ18" t="e">
        <f>AND('boilerplate specs'!#REF!,"AAAAAF731l4=")</f>
        <v>#REF!</v>
      </c>
      <c r="CR18" t="e">
        <f>AND('boilerplate specs'!#REF!,"AAAAAF731l8=")</f>
        <v>#REF!</v>
      </c>
      <c r="CS18" t="e">
        <f>AND('boilerplate specs'!#REF!,"AAAAAF731mA=")</f>
        <v>#REF!</v>
      </c>
      <c r="CT18" t="e">
        <f>AND('boilerplate specs'!#REF!,"AAAAAF731mE=")</f>
        <v>#REF!</v>
      </c>
      <c r="CU18" t="e">
        <f>AND('boilerplate specs'!#REF!,"AAAAAF731mI=")</f>
        <v>#REF!</v>
      </c>
      <c r="CV18" t="e">
        <f>AND('boilerplate specs'!#REF!,"AAAAAF731mM=")</f>
        <v>#REF!</v>
      </c>
      <c r="CW18" t="e">
        <f>AND('boilerplate specs'!#REF!,"AAAAAF731mQ=")</f>
        <v>#REF!</v>
      </c>
      <c r="CX18" t="e">
        <f>AND('boilerplate specs'!#REF!,"AAAAAF731mU=")</f>
        <v>#REF!</v>
      </c>
      <c r="CY18" t="e">
        <f>AND('boilerplate specs'!#REF!,"AAAAAF731mY=")</f>
        <v>#REF!</v>
      </c>
      <c r="CZ18" t="e">
        <f>AND('boilerplate specs'!#REF!,"AAAAAF731mc=")</f>
        <v>#REF!</v>
      </c>
      <c r="DA18" t="e">
        <f>AND('boilerplate specs'!#REF!,"AAAAAF731mg=")</f>
        <v>#REF!</v>
      </c>
      <c r="DB18" t="e">
        <f>AND('boilerplate specs'!#REF!,"AAAAAF731mk=")</f>
        <v>#REF!</v>
      </c>
      <c r="DC18" t="e">
        <f>AND('boilerplate specs'!#REF!,"AAAAAF731mo=")</f>
        <v>#REF!</v>
      </c>
      <c r="DD18" t="e">
        <f>AND('boilerplate specs'!#REF!,"AAAAAF731ms=")</f>
        <v>#REF!</v>
      </c>
      <c r="DE18" t="e">
        <f>AND('boilerplate specs'!#REF!,"AAAAAF731mw=")</f>
        <v>#REF!</v>
      </c>
      <c r="DF18" t="e">
        <f>AND('boilerplate specs'!#REF!,"AAAAAF731m0=")</f>
        <v>#REF!</v>
      </c>
      <c r="DG18" t="e">
        <f>AND('boilerplate specs'!#REF!,"AAAAAF731m4=")</f>
        <v>#REF!</v>
      </c>
      <c r="DH18" t="e">
        <f>AND('boilerplate specs'!#REF!,"AAAAAF731m8=")</f>
        <v>#REF!</v>
      </c>
      <c r="DI18" t="e">
        <f>AND('boilerplate specs'!#REF!,"AAAAAF731nA=")</f>
        <v>#REF!</v>
      </c>
      <c r="DJ18" t="e">
        <f>AND('boilerplate specs'!#REF!,"AAAAAF731nE=")</f>
        <v>#REF!</v>
      </c>
      <c r="DK18" t="e">
        <f>AND('boilerplate specs'!#REF!,"AAAAAF731nI=")</f>
        <v>#REF!</v>
      </c>
      <c r="DL18" t="e">
        <f>AND('boilerplate specs'!#REF!,"AAAAAF731nM=")</f>
        <v>#REF!</v>
      </c>
      <c r="DM18">
        <f>IF('boilerplate specs'!75:75,"AAAAAF731nQ=",0)</f>
        <v>0</v>
      </c>
      <c r="DN18" t="e">
        <f>AND('boilerplate specs'!A75,"AAAAAF731nU=")</f>
        <v>#VALUE!</v>
      </c>
      <c r="DO18" t="e">
        <f>AND('boilerplate specs'!B75,"AAAAAF731nY=")</f>
        <v>#VALUE!</v>
      </c>
      <c r="DP18" t="e">
        <f>AND('boilerplate specs'!C75,"AAAAAF731nc=")</f>
        <v>#VALUE!</v>
      </c>
      <c r="DQ18" t="e">
        <f>AND('boilerplate specs'!D75,"AAAAAF731ng=")</f>
        <v>#VALUE!</v>
      </c>
      <c r="DR18" t="e">
        <f>AND('boilerplate specs'!E75,"AAAAAF731nk=")</f>
        <v>#VALUE!</v>
      </c>
      <c r="DS18" t="e">
        <f>AND('boilerplate specs'!F75,"AAAAAF731no=")</f>
        <v>#VALUE!</v>
      </c>
      <c r="DT18" t="e">
        <f>AND('boilerplate specs'!G75,"AAAAAF731ns=")</f>
        <v>#VALUE!</v>
      </c>
      <c r="DU18" t="e">
        <f>AND('boilerplate specs'!H75,"AAAAAF731nw=")</f>
        <v>#VALUE!</v>
      </c>
      <c r="DV18" t="e">
        <f>AND('boilerplate specs'!I75,"AAAAAF731n0=")</f>
        <v>#VALUE!</v>
      </c>
      <c r="DW18" t="e">
        <f>AND('boilerplate specs'!J75,"AAAAAF731n4=")</f>
        <v>#VALUE!</v>
      </c>
      <c r="DX18" t="e">
        <f>AND('boilerplate specs'!#REF!,"AAAAAF731n8=")</f>
        <v>#REF!</v>
      </c>
      <c r="DY18" t="e">
        <f>AND('boilerplate specs'!#REF!,"AAAAAF731oA=")</f>
        <v>#REF!</v>
      </c>
      <c r="DZ18" t="e">
        <f>AND('boilerplate specs'!#REF!,"AAAAAF731oE=")</f>
        <v>#REF!</v>
      </c>
      <c r="EA18" t="e">
        <f>AND('boilerplate specs'!#REF!,"AAAAAF731oI=")</f>
        <v>#REF!</v>
      </c>
      <c r="EB18" t="e">
        <f>AND('boilerplate specs'!#REF!,"AAAAAF731oM=")</f>
        <v>#REF!</v>
      </c>
      <c r="EC18" t="e">
        <f>AND('boilerplate specs'!#REF!,"AAAAAF731oQ=")</f>
        <v>#REF!</v>
      </c>
      <c r="ED18" t="e">
        <f>AND('boilerplate specs'!#REF!,"AAAAAF731oU=")</f>
        <v>#REF!</v>
      </c>
      <c r="EE18" t="e">
        <f>AND('boilerplate specs'!#REF!,"AAAAAF731oY=")</f>
        <v>#REF!</v>
      </c>
      <c r="EF18" t="e">
        <f>AND('boilerplate specs'!#REF!,"AAAAAF731oc=")</f>
        <v>#REF!</v>
      </c>
      <c r="EG18" t="e">
        <f>AND('boilerplate specs'!#REF!,"AAAAAF731og=")</f>
        <v>#REF!</v>
      </c>
      <c r="EH18" t="e">
        <f>AND('boilerplate specs'!#REF!,"AAAAAF731ok=")</f>
        <v>#REF!</v>
      </c>
      <c r="EI18" t="e">
        <f>AND('boilerplate specs'!#REF!,"AAAAAF731oo=")</f>
        <v>#REF!</v>
      </c>
      <c r="EJ18" t="e">
        <f>AND('boilerplate specs'!#REF!,"AAAAAF731os=")</f>
        <v>#REF!</v>
      </c>
      <c r="EK18" t="e">
        <f>AND('boilerplate specs'!#REF!,"AAAAAF731ow=")</f>
        <v>#REF!</v>
      </c>
      <c r="EL18" t="e">
        <f>AND('boilerplate specs'!#REF!,"AAAAAF731o0=")</f>
        <v>#REF!</v>
      </c>
      <c r="EM18" t="e">
        <f>AND('boilerplate specs'!#REF!,"AAAAAF731o4=")</f>
        <v>#REF!</v>
      </c>
      <c r="EN18" t="e">
        <f>AND('boilerplate specs'!#REF!,"AAAAAF731o8=")</f>
        <v>#REF!</v>
      </c>
      <c r="EO18" t="e">
        <f>AND('boilerplate specs'!#REF!,"AAAAAF731pA=")</f>
        <v>#REF!</v>
      </c>
      <c r="EP18" t="e">
        <f>AND('boilerplate specs'!#REF!,"AAAAAF731pE=")</f>
        <v>#REF!</v>
      </c>
      <c r="EQ18" t="e">
        <f>AND('boilerplate specs'!#REF!,"AAAAAF731pI=")</f>
        <v>#REF!</v>
      </c>
      <c r="ER18" t="e">
        <f>AND('boilerplate specs'!#REF!,"AAAAAF731pM=")</f>
        <v>#REF!</v>
      </c>
      <c r="ES18" t="e">
        <f>AND('boilerplate specs'!#REF!,"AAAAAF731pQ=")</f>
        <v>#REF!</v>
      </c>
      <c r="ET18">
        <f>IF('boilerplate specs'!76:76,"AAAAAF731pU=",0)</f>
        <v>0</v>
      </c>
      <c r="EU18" t="e">
        <f>AND('boilerplate specs'!A76,"AAAAAF731pY=")</f>
        <v>#VALUE!</v>
      </c>
      <c r="EV18" t="e">
        <f>AND('boilerplate specs'!B76,"AAAAAF731pc=")</f>
        <v>#VALUE!</v>
      </c>
      <c r="EW18" t="e">
        <f>AND('boilerplate specs'!C76,"AAAAAF731pg=")</f>
        <v>#VALUE!</v>
      </c>
      <c r="EX18" t="e">
        <f>AND('boilerplate specs'!D76,"AAAAAF731pk=")</f>
        <v>#VALUE!</v>
      </c>
      <c r="EY18" t="e">
        <f>AND('boilerplate specs'!E76,"AAAAAF731po=")</f>
        <v>#VALUE!</v>
      </c>
      <c r="EZ18" t="e">
        <f>AND('boilerplate specs'!F76,"AAAAAF731ps=")</f>
        <v>#VALUE!</v>
      </c>
      <c r="FA18" t="e">
        <f>AND('boilerplate specs'!G76,"AAAAAF731pw=")</f>
        <v>#VALUE!</v>
      </c>
      <c r="FB18" t="e">
        <f>AND('boilerplate specs'!H76,"AAAAAF731p0=")</f>
        <v>#VALUE!</v>
      </c>
      <c r="FC18" t="e">
        <f>AND('boilerplate specs'!I76,"AAAAAF731p4=")</f>
        <v>#VALUE!</v>
      </c>
      <c r="FD18" t="e">
        <f>AND('boilerplate specs'!J76,"AAAAAF731p8=")</f>
        <v>#VALUE!</v>
      </c>
      <c r="FE18" t="e">
        <f>AND('boilerplate specs'!#REF!,"AAAAAF731qA=")</f>
        <v>#REF!</v>
      </c>
      <c r="FF18" t="e">
        <f>AND('boilerplate specs'!#REF!,"AAAAAF731qE=")</f>
        <v>#REF!</v>
      </c>
      <c r="FG18" t="e">
        <f>AND('boilerplate specs'!#REF!,"AAAAAF731qI=")</f>
        <v>#REF!</v>
      </c>
      <c r="FH18" t="e">
        <f>AND('boilerplate specs'!#REF!,"AAAAAF731qM=")</f>
        <v>#REF!</v>
      </c>
      <c r="FI18" t="e">
        <f>AND('boilerplate specs'!#REF!,"AAAAAF731qQ=")</f>
        <v>#REF!</v>
      </c>
      <c r="FJ18" t="e">
        <f>AND('boilerplate specs'!#REF!,"AAAAAF731qU=")</f>
        <v>#REF!</v>
      </c>
      <c r="FK18" t="e">
        <f>AND('boilerplate specs'!#REF!,"AAAAAF731qY=")</f>
        <v>#REF!</v>
      </c>
      <c r="FL18" t="e">
        <f>AND('boilerplate specs'!#REF!,"AAAAAF731qc=")</f>
        <v>#REF!</v>
      </c>
      <c r="FM18" t="e">
        <f>AND('boilerplate specs'!#REF!,"AAAAAF731qg=")</f>
        <v>#REF!</v>
      </c>
      <c r="FN18" t="e">
        <f>AND('boilerplate specs'!#REF!,"AAAAAF731qk=")</f>
        <v>#REF!</v>
      </c>
      <c r="FO18" t="e">
        <f>AND('boilerplate specs'!#REF!,"AAAAAF731qo=")</f>
        <v>#REF!</v>
      </c>
      <c r="FP18" t="e">
        <f>AND('boilerplate specs'!#REF!,"AAAAAF731qs=")</f>
        <v>#REF!</v>
      </c>
      <c r="FQ18" t="e">
        <f>AND('boilerplate specs'!#REF!,"AAAAAF731qw=")</f>
        <v>#REF!</v>
      </c>
      <c r="FR18" t="e">
        <f>AND('boilerplate specs'!#REF!,"AAAAAF731q0=")</f>
        <v>#REF!</v>
      </c>
      <c r="FS18" t="e">
        <f>AND('boilerplate specs'!#REF!,"AAAAAF731q4=")</f>
        <v>#REF!</v>
      </c>
      <c r="FT18" t="e">
        <f>AND('boilerplate specs'!#REF!,"AAAAAF731q8=")</f>
        <v>#REF!</v>
      </c>
      <c r="FU18" t="e">
        <f>AND('boilerplate specs'!#REF!,"AAAAAF731rA=")</f>
        <v>#REF!</v>
      </c>
      <c r="FV18" t="e">
        <f>AND('boilerplate specs'!#REF!,"AAAAAF731rE=")</f>
        <v>#REF!</v>
      </c>
      <c r="FW18" t="e">
        <f>AND('boilerplate specs'!#REF!,"AAAAAF731rI=")</f>
        <v>#REF!</v>
      </c>
      <c r="FX18" t="e">
        <f>AND('boilerplate specs'!#REF!,"AAAAAF731rM=")</f>
        <v>#REF!</v>
      </c>
      <c r="FY18" t="e">
        <f>AND('boilerplate specs'!#REF!,"AAAAAF731rQ=")</f>
        <v>#REF!</v>
      </c>
      <c r="FZ18" t="e">
        <f>AND('boilerplate specs'!#REF!,"AAAAAF731rU=")</f>
        <v>#REF!</v>
      </c>
      <c r="GA18">
        <f>IF('boilerplate specs'!77:77,"AAAAAF731rY=",0)</f>
        <v>0</v>
      </c>
      <c r="GB18" t="e">
        <f>AND('boilerplate specs'!A77,"AAAAAF731rc=")</f>
        <v>#VALUE!</v>
      </c>
      <c r="GC18" t="e">
        <f>AND('boilerplate specs'!B77,"AAAAAF731rg=")</f>
        <v>#VALUE!</v>
      </c>
      <c r="GD18" t="e">
        <f>AND('boilerplate specs'!C77,"AAAAAF731rk=")</f>
        <v>#VALUE!</v>
      </c>
      <c r="GE18" t="e">
        <f>AND('boilerplate specs'!D77,"AAAAAF731ro=")</f>
        <v>#VALUE!</v>
      </c>
      <c r="GF18" t="e">
        <f>AND('boilerplate specs'!E77,"AAAAAF731rs=")</f>
        <v>#VALUE!</v>
      </c>
      <c r="GG18" t="e">
        <f>AND('boilerplate specs'!F77,"AAAAAF731rw=")</f>
        <v>#VALUE!</v>
      </c>
      <c r="GH18" t="e">
        <f>AND('boilerplate specs'!G77,"AAAAAF731r0=")</f>
        <v>#VALUE!</v>
      </c>
      <c r="GI18" t="e">
        <f>AND('boilerplate specs'!H77,"AAAAAF731r4=")</f>
        <v>#VALUE!</v>
      </c>
      <c r="GJ18" t="e">
        <f>AND('boilerplate specs'!I77,"AAAAAF731r8=")</f>
        <v>#VALUE!</v>
      </c>
      <c r="GK18" t="e">
        <f>AND('boilerplate specs'!J77,"AAAAAF731sA=")</f>
        <v>#VALUE!</v>
      </c>
      <c r="GL18" t="e">
        <f>AND('boilerplate specs'!#REF!,"AAAAAF731sE=")</f>
        <v>#REF!</v>
      </c>
      <c r="GM18" t="e">
        <f>AND('boilerplate specs'!#REF!,"AAAAAF731sI=")</f>
        <v>#REF!</v>
      </c>
      <c r="GN18" t="e">
        <f>AND('boilerplate specs'!#REF!,"AAAAAF731sM=")</f>
        <v>#REF!</v>
      </c>
      <c r="GO18" t="e">
        <f>AND('boilerplate specs'!#REF!,"AAAAAF731sQ=")</f>
        <v>#REF!</v>
      </c>
      <c r="GP18" t="e">
        <f>AND('boilerplate specs'!#REF!,"AAAAAF731sU=")</f>
        <v>#REF!</v>
      </c>
      <c r="GQ18" t="e">
        <f>AND('boilerplate specs'!#REF!,"AAAAAF731sY=")</f>
        <v>#REF!</v>
      </c>
      <c r="GR18" t="e">
        <f>AND('boilerplate specs'!#REF!,"AAAAAF731sc=")</f>
        <v>#REF!</v>
      </c>
      <c r="GS18" t="e">
        <f>AND('boilerplate specs'!#REF!,"AAAAAF731sg=")</f>
        <v>#REF!</v>
      </c>
      <c r="GT18" t="e">
        <f>AND('boilerplate specs'!#REF!,"AAAAAF731sk=")</f>
        <v>#REF!</v>
      </c>
      <c r="GU18" t="e">
        <f>AND('boilerplate specs'!#REF!,"AAAAAF731so=")</f>
        <v>#REF!</v>
      </c>
      <c r="GV18" t="e">
        <f>AND('boilerplate specs'!#REF!,"AAAAAF731ss=")</f>
        <v>#REF!</v>
      </c>
      <c r="GW18" t="e">
        <f>AND('boilerplate specs'!#REF!,"AAAAAF731sw=")</f>
        <v>#REF!</v>
      </c>
      <c r="GX18" t="e">
        <f>AND('boilerplate specs'!#REF!,"AAAAAF731s0=")</f>
        <v>#REF!</v>
      </c>
      <c r="GY18" t="e">
        <f>AND('boilerplate specs'!#REF!,"AAAAAF731s4=")</f>
        <v>#REF!</v>
      </c>
      <c r="GZ18" t="e">
        <f>AND('boilerplate specs'!#REF!,"AAAAAF731s8=")</f>
        <v>#REF!</v>
      </c>
      <c r="HA18" t="e">
        <f>AND('boilerplate specs'!#REF!,"AAAAAF731tA=")</f>
        <v>#REF!</v>
      </c>
      <c r="HB18" t="e">
        <f>AND('boilerplate specs'!#REF!,"AAAAAF731tE=")</f>
        <v>#REF!</v>
      </c>
      <c r="HC18" t="e">
        <f>AND('boilerplate specs'!#REF!,"AAAAAF731tI=")</f>
        <v>#REF!</v>
      </c>
      <c r="HD18" t="e">
        <f>AND('boilerplate specs'!#REF!,"AAAAAF731tM=")</f>
        <v>#REF!</v>
      </c>
      <c r="HE18" t="e">
        <f>AND('boilerplate specs'!#REF!,"AAAAAF731tQ=")</f>
        <v>#REF!</v>
      </c>
      <c r="HF18" t="e">
        <f>AND('boilerplate specs'!#REF!,"AAAAAF731tU=")</f>
        <v>#REF!</v>
      </c>
      <c r="HG18" t="e">
        <f>AND('boilerplate specs'!#REF!,"AAAAAF731tY=")</f>
        <v>#REF!</v>
      </c>
      <c r="HH18">
        <f>IF('boilerplate specs'!78:78,"AAAAAF731tc=",0)</f>
        <v>0</v>
      </c>
      <c r="HI18" t="e">
        <f>AND('boilerplate specs'!A78,"AAAAAF731tg=")</f>
        <v>#VALUE!</v>
      </c>
      <c r="HJ18" t="e">
        <f>AND('boilerplate specs'!B78,"AAAAAF731tk=")</f>
        <v>#VALUE!</v>
      </c>
      <c r="HK18" t="e">
        <f>AND('boilerplate specs'!C78,"AAAAAF731to=")</f>
        <v>#VALUE!</v>
      </c>
      <c r="HL18" t="e">
        <f>AND('boilerplate specs'!D78,"AAAAAF731ts=")</f>
        <v>#VALUE!</v>
      </c>
      <c r="HM18" t="e">
        <f>AND('boilerplate specs'!E78,"AAAAAF731tw=")</f>
        <v>#VALUE!</v>
      </c>
      <c r="HN18" t="e">
        <f>AND('boilerplate specs'!F78,"AAAAAF731t0=")</f>
        <v>#VALUE!</v>
      </c>
      <c r="HO18" t="e">
        <f>AND('boilerplate specs'!G78,"AAAAAF731t4=")</f>
        <v>#VALUE!</v>
      </c>
      <c r="HP18" t="e">
        <f>AND('boilerplate specs'!H78,"AAAAAF731t8=")</f>
        <v>#VALUE!</v>
      </c>
      <c r="HQ18" t="e">
        <f>AND('boilerplate specs'!I78,"AAAAAF731uA=")</f>
        <v>#VALUE!</v>
      </c>
      <c r="HR18" t="e">
        <f>AND('boilerplate specs'!J78,"AAAAAF731uE=")</f>
        <v>#VALUE!</v>
      </c>
      <c r="HS18" t="e">
        <f>AND('boilerplate specs'!#REF!,"AAAAAF731uI=")</f>
        <v>#REF!</v>
      </c>
      <c r="HT18" t="e">
        <f>AND('boilerplate specs'!#REF!,"AAAAAF731uM=")</f>
        <v>#REF!</v>
      </c>
      <c r="HU18" t="e">
        <f>AND('boilerplate specs'!#REF!,"AAAAAF731uQ=")</f>
        <v>#REF!</v>
      </c>
      <c r="HV18" t="e">
        <f>AND('boilerplate specs'!#REF!,"AAAAAF731uU=")</f>
        <v>#REF!</v>
      </c>
      <c r="HW18" t="e">
        <f>AND('boilerplate specs'!#REF!,"AAAAAF731uY=")</f>
        <v>#REF!</v>
      </c>
      <c r="HX18" t="e">
        <f>AND('boilerplate specs'!#REF!,"AAAAAF731uc=")</f>
        <v>#REF!</v>
      </c>
      <c r="HY18" t="e">
        <f>AND('boilerplate specs'!#REF!,"AAAAAF731ug=")</f>
        <v>#REF!</v>
      </c>
      <c r="HZ18" t="e">
        <f>AND('boilerplate specs'!#REF!,"AAAAAF731uk=")</f>
        <v>#REF!</v>
      </c>
      <c r="IA18" t="e">
        <f>AND('boilerplate specs'!#REF!,"AAAAAF731uo=")</f>
        <v>#REF!</v>
      </c>
      <c r="IB18" t="e">
        <f>AND('boilerplate specs'!#REF!,"AAAAAF731us=")</f>
        <v>#REF!</v>
      </c>
      <c r="IC18" t="e">
        <f>AND('boilerplate specs'!#REF!,"AAAAAF731uw=")</f>
        <v>#REF!</v>
      </c>
      <c r="ID18" t="e">
        <f>AND('boilerplate specs'!#REF!,"AAAAAF731u0=")</f>
        <v>#REF!</v>
      </c>
      <c r="IE18" t="e">
        <f>AND('boilerplate specs'!#REF!,"AAAAAF731u4=")</f>
        <v>#REF!</v>
      </c>
      <c r="IF18" t="e">
        <f>AND('boilerplate specs'!#REF!,"AAAAAF731u8=")</f>
        <v>#REF!</v>
      </c>
      <c r="IG18" t="e">
        <f>AND('boilerplate specs'!#REF!,"AAAAAF731vA=")</f>
        <v>#REF!</v>
      </c>
      <c r="IH18" t="e">
        <f>AND('boilerplate specs'!#REF!,"AAAAAF731vE=")</f>
        <v>#REF!</v>
      </c>
      <c r="II18" t="e">
        <f>AND('boilerplate specs'!#REF!,"AAAAAF731vI=")</f>
        <v>#REF!</v>
      </c>
      <c r="IJ18" t="e">
        <f>AND('boilerplate specs'!#REF!,"AAAAAF731vM=")</f>
        <v>#REF!</v>
      </c>
      <c r="IK18" t="e">
        <f>AND('boilerplate specs'!#REF!,"AAAAAF731vQ=")</f>
        <v>#REF!</v>
      </c>
      <c r="IL18" t="e">
        <f>AND('boilerplate specs'!#REF!,"AAAAAF731vU=")</f>
        <v>#REF!</v>
      </c>
      <c r="IM18" t="e">
        <f>AND('boilerplate specs'!#REF!,"AAAAAF731vY=")</f>
        <v>#REF!</v>
      </c>
      <c r="IN18" t="e">
        <f>AND('boilerplate specs'!#REF!,"AAAAAF731vc=")</f>
        <v>#REF!</v>
      </c>
      <c r="IO18">
        <f>IF('boilerplate specs'!79:79,"AAAAAF731vg=",0)</f>
        <v>0</v>
      </c>
      <c r="IP18" t="e">
        <f>AND('boilerplate specs'!A79,"AAAAAF731vk=")</f>
        <v>#VALUE!</v>
      </c>
      <c r="IQ18" t="e">
        <f>AND('boilerplate specs'!B79,"AAAAAF731vo=")</f>
        <v>#VALUE!</v>
      </c>
      <c r="IR18" t="e">
        <f>AND('boilerplate specs'!C79,"AAAAAF731vs=")</f>
        <v>#VALUE!</v>
      </c>
      <c r="IS18" t="e">
        <f>AND('boilerplate specs'!D79,"AAAAAF731vw=")</f>
        <v>#VALUE!</v>
      </c>
      <c r="IT18" t="e">
        <f>AND('boilerplate specs'!E79,"AAAAAF731v0=")</f>
        <v>#VALUE!</v>
      </c>
      <c r="IU18" t="e">
        <f>AND('boilerplate specs'!F79,"AAAAAF731v4=")</f>
        <v>#VALUE!</v>
      </c>
      <c r="IV18" t="e">
        <f>AND('boilerplate specs'!G79,"AAAAAF731v8=")</f>
        <v>#VALUE!</v>
      </c>
    </row>
    <row r="19" spans="1:256" x14ac:dyDescent="0.35">
      <c r="A19" t="e">
        <f>AND('boilerplate specs'!H79,"AAAAAH6LXgA=")</f>
        <v>#VALUE!</v>
      </c>
      <c r="B19" t="e">
        <f>AND('boilerplate specs'!I79,"AAAAAH6LXgE=")</f>
        <v>#VALUE!</v>
      </c>
      <c r="C19" t="e">
        <f>AND('boilerplate specs'!J79,"AAAAAH6LXgI=")</f>
        <v>#VALUE!</v>
      </c>
      <c r="D19" t="e">
        <f>AND('boilerplate specs'!#REF!,"AAAAAH6LXgM=")</f>
        <v>#REF!</v>
      </c>
      <c r="E19" t="e">
        <f>AND('boilerplate specs'!#REF!,"AAAAAH6LXgQ=")</f>
        <v>#REF!</v>
      </c>
      <c r="F19" t="e">
        <f>AND('boilerplate specs'!#REF!,"AAAAAH6LXgU=")</f>
        <v>#REF!</v>
      </c>
      <c r="G19" t="e">
        <f>AND('boilerplate specs'!#REF!,"AAAAAH6LXgY=")</f>
        <v>#REF!</v>
      </c>
      <c r="H19" t="e">
        <f>AND('boilerplate specs'!#REF!,"AAAAAH6LXgc=")</f>
        <v>#REF!</v>
      </c>
      <c r="I19" t="e">
        <f>AND('boilerplate specs'!#REF!,"AAAAAH6LXgg=")</f>
        <v>#REF!</v>
      </c>
      <c r="J19" t="e">
        <f>AND('boilerplate specs'!#REF!,"AAAAAH6LXgk=")</f>
        <v>#REF!</v>
      </c>
      <c r="K19" t="e">
        <f>AND('boilerplate specs'!#REF!,"AAAAAH6LXgo=")</f>
        <v>#REF!</v>
      </c>
      <c r="L19" t="e">
        <f>AND('boilerplate specs'!#REF!,"AAAAAH6LXgs=")</f>
        <v>#REF!</v>
      </c>
      <c r="M19" t="e">
        <f>AND('boilerplate specs'!#REF!,"AAAAAH6LXgw=")</f>
        <v>#REF!</v>
      </c>
      <c r="N19" t="e">
        <f>AND('boilerplate specs'!#REF!,"AAAAAH6LXg0=")</f>
        <v>#REF!</v>
      </c>
      <c r="O19" t="e">
        <f>AND('boilerplate specs'!#REF!,"AAAAAH6LXg4=")</f>
        <v>#REF!</v>
      </c>
      <c r="P19" t="e">
        <f>AND('boilerplate specs'!#REF!,"AAAAAH6LXg8=")</f>
        <v>#REF!</v>
      </c>
      <c r="Q19" t="e">
        <f>AND('boilerplate specs'!#REF!,"AAAAAH6LXhA=")</f>
        <v>#REF!</v>
      </c>
      <c r="R19" t="e">
        <f>AND('boilerplate specs'!#REF!,"AAAAAH6LXhE=")</f>
        <v>#REF!</v>
      </c>
      <c r="S19" t="e">
        <f>AND('boilerplate specs'!#REF!,"AAAAAH6LXhI=")</f>
        <v>#REF!</v>
      </c>
      <c r="T19" t="e">
        <f>AND('boilerplate specs'!#REF!,"AAAAAH6LXhM=")</f>
        <v>#REF!</v>
      </c>
      <c r="U19" t="e">
        <f>AND('boilerplate specs'!#REF!,"AAAAAH6LXhQ=")</f>
        <v>#REF!</v>
      </c>
      <c r="V19" t="e">
        <f>AND('boilerplate specs'!#REF!,"AAAAAH6LXhU=")</f>
        <v>#REF!</v>
      </c>
      <c r="W19" t="e">
        <f>AND('boilerplate specs'!#REF!,"AAAAAH6LXhY=")</f>
        <v>#REF!</v>
      </c>
      <c r="X19" t="e">
        <f>AND('boilerplate specs'!#REF!,"AAAAAH6LXhc=")</f>
        <v>#REF!</v>
      </c>
      <c r="Y19" t="e">
        <f>AND('boilerplate specs'!#REF!,"AAAAAH6LXhg=")</f>
        <v>#REF!</v>
      </c>
      <c r="Z19">
        <f>IF('boilerplate specs'!80:80,"AAAAAH6LXhk=",0)</f>
        <v>0</v>
      </c>
      <c r="AA19" t="e">
        <f>AND('boilerplate specs'!A80,"AAAAAH6LXho=")</f>
        <v>#VALUE!</v>
      </c>
      <c r="AB19" t="e">
        <f>AND('boilerplate specs'!B80,"AAAAAH6LXhs=")</f>
        <v>#VALUE!</v>
      </c>
      <c r="AC19" t="e">
        <f>AND('boilerplate specs'!C80,"AAAAAH6LXhw=")</f>
        <v>#VALUE!</v>
      </c>
      <c r="AD19" t="e">
        <f>AND('boilerplate specs'!D80,"AAAAAH6LXh0=")</f>
        <v>#VALUE!</v>
      </c>
      <c r="AE19" t="e">
        <f>AND('boilerplate specs'!E80,"AAAAAH6LXh4=")</f>
        <v>#VALUE!</v>
      </c>
      <c r="AF19" t="e">
        <f>AND('boilerplate specs'!F80,"AAAAAH6LXh8=")</f>
        <v>#VALUE!</v>
      </c>
      <c r="AG19" t="e">
        <f>AND('boilerplate specs'!G80,"AAAAAH6LXiA=")</f>
        <v>#VALUE!</v>
      </c>
      <c r="AH19" t="e">
        <f>AND('boilerplate specs'!H80,"AAAAAH6LXiE=")</f>
        <v>#VALUE!</v>
      </c>
      <c r="AI19" t="e">
        <f>AND('boilerplate specs'!I80,"AAAAAH6LXiI=")</f>
        <v>#VALUE!</v>
      </c>
      <c r="AJ19" t="e">
        <f>AND('boilerplate specs'!J80,"AAAAAH6LXiM=")</f>
        <v>#VALUE!</v>
      </c>
      <c r="AK19" t="e">
        <f>AND('boilerplate specs'!#REF!,"AAAAAH6LXiQ=")</f>
        <v>#REF!</v>
      </c>
      <c r="AL19" t="e">
        <f>AND('boilerplate specs'!#REF!,"AAAAAH6LXiU=")</f>
        <v>#REF!</v>
      </c>
      <c r="AM19" t="e">
        <f>AND('boilerplate specs'!#REF!,"AAAAAH6LXiY=")</f>
        <v>#REF!</v>
      </c>
      <c r="AN19" t="e">
        <f>AND('boilerplate specs'!#REF!,"AAAAAH6LXic=")</f>
        <v>#REF!</v>
      </c>
      <c r="AO19" t="e">
        <f>AND('boilerplate specs'!#REF!,"AAAAAH6LXig=")</f>
        <v>#REF!</v>
      </c>
      <c r="AP19" t="e">
        <f>AND('boilerplate specs'!#REF!,"AAAAAH6LXik=")</f>
        <v>#REF!</v>
      </c>
      <c r="AQ19" t="e">
        <f>AND('boilerplate specs'!#REF!,"AAAAAH6LXio=")</f>
        <v>#REF!</v>
      </c>
      <c r="AR19" t="e">
        <f>AND('boilerplate specs'!#REF!,"AAAAAH6LXis=")</f>
        <v>#REF!</v>
      </c>
      <c r="AS19" t="e">
        <f>AND('boilerplate specs'!#REF!,"AAAAAH6LXiw=")</f>
        <v>#REF!</v>
      </c>
      <c r="AT19" t="e">
        <f>AND('boilerplate specs'!#REF!,"AAAAAH6LXi0=")</f>
        <v>#REF!</v>
      </c>
      <c r="AU19" t="e">
        <f>AND('boilerplate specs'!#REF!,"AAAAAH6LXi4=")</f>
        <v>#REF!</v>
      </c>
      <c r="AV19" t="e">
        <f>AND('boilerplate specs'!#REF!,"AAAAAH6LXi8=")</f>
        <v>#REF!</v>
      </c>
      <c r="AW19" t="e">
        <f>AND('boilerplate specs'!#REF!,"AAAAAH6LXjA=")</f>
        <v>#REF!</v>
      </c>
      <c r="AX19" t="e">
        <f>AND('boilerplate specs'!#REF!,"AAAAAH6LXjE=")</f>
        <v>#REF!</v>
      </c>
      <c r="AY19" t="e">
        <f>AND('boilerplate specs'!#REF!,"AAAAAH6LXjI=")</f>
        <v>#REF!</v>
      </c>
      <c r="AZ19" t="e">
        <f>AND('boilerplate specs'!#REF!,"AAAAAH6LXjM=")</f>
        <v>#REF!</v>
      </c>
      <c r="BA19" t="e">
        <f>AND('boilerplate specs'!#REF!,"AAAAAH6LXjQ=")</f>
        <v>#REF!</v>
      </c>
      <c r="BB19" t="e">
        <f>AND('boilerplate specs'!#REF!,"AAAAAH6LXjU=")</f>
        <v>#REF!</v>
      </c>
      <c r="BC19" t="e">
        <f>AND('boilerplate specs'!#REF!,"AAAAAH6LXjY=")</f>
        <v>#REF!</v>
      </c>
      <c r="BD19" t="e">
        <f>AND('boilerplate specs'!#REF!,"AAAAAH6LXjc=")</f>
        <v>#REF!</v>
      </c>
      <c r="BE19" t="e">
        <f>AND('boilerplate specs'!#REF!,"AAAAAH6LXjg=")</f>
        <v>#REF!</v>
      </c>
      <c r="BF19" t="e">
        <f>AND('boilerplate specs'!#REF!,"AAAAAH6LXjk=")</f>
        <v>#REF!</v>
      </c>
      <c r="BG19">
        <f>IF('boilerplate specs'!81:81,"AAAAAH6LXjo=",0)</f>
        <v>0</v>
      </c>
      <c r="BH19" t="e">
        <f>AND('boilerplate specs'!A81,"AAAAAH6LXjs=")</f>
        <v>#VALUE!</v>
      </c>
      <c r="BI19" t="e">
        <f>AND('boilerplate specs'!B81,"AAAAAH6LXjw=")</f>
        <v>#VALUE!</v>
      </c>
      <c r="BJ19" t="e">
        <f>AND('boilerplate specs'!C81,"AAAAAH6LXj0=")</f>
        <v>#VALUE!</v>
      </c>
      <c r="BK19" t="e">
        <f>AND('boilerplate specs'!D81,"AAAAAH6LXj4=")</f>
        <v>#VALUE!</v>
      </c>
      <c r="BL19" t="e">
        <f>AND('boilerplate specs'!E81,"AAAAAH6LXj8=")</f>
        <v>#VALUE!</v>
      </c>
      <c r="BM19" t="e">
        <f>AND('boilerplate specs'!F81,"AAAAAH6LXkA=")</f>
        <v>#VALUE!</v>
      </c>
      <c r="BN19" t="e">
        <f>AND('boilerplate specs'!G81,"AAAAAH6LXkE=")</f>
        <v>#VALUE!</v>
      </c>
      <c r="BO19" t="e">
        <f>AND('boilerplate specs'!H81,"AAAAAH6LXkI=")</f>
        <v>#VALUE!</v>
      </c>
      <c r="BP19" t="e">
        <f>AND('boilerplate specs'!I81,"AAAAAH6LXkM=")</f>
        <v>#VALUE!</v>
      </c>
      <c r="BQ19" t="e">
        <f>AND('boilerplate specs'!J81,"AAAAAH6LXkQ=")</f>
        <v>#VALUE!</v>
      </c>
      <c r="BR19" t="e">
        <f>AND('boilerplate specs'!#REF!,"AAAAAH6LXkU=")</f>
        <v>#REF!</v>
      </c>
      <c r="BS19" t="e">
        <f>AND('boilerplate specs'!#REF!,"AAAAAH6LXkY=")</f>
        <v>#REF!</v>
      </c>
      <c r="BT19" t="e">
        <f>AND('boilerplate specs'!#REF!,"AAAAAH6LXkc=")</f>
        <v>#REF!</v>
      </c>
      <c r="BU19" t="e">
        <f>AND('boilerplate specs'!#REF!,"AAAAAH6LXkg=")</f>
        <v>#REF!</v>
      </c>
      <c r="BV19" t="e">
        <f>AND('boilerplate specs'!#REF!,"AAAAAH6LXkk=")</f>
        <v>#REF!</v>
      </c>
      <c r="BW19" t="e">
        <f>AND('boilerplate specs'!#REF!,"AAAAAH6LXko=")</f>
        <v>#REF!</v>
      </c>
      <c r="BX19" t="e">
        <f>AND('boilerplate specs'!#REF!,"AAAAAH6LXks=")</f>
        <v>#REF!</v>
      </c>
      <c r="BY19" t="e">
        <f>AND('boilerplate specs'!#REF!,"AAAAAH6LXkw=")</f>
        <v>#REF!</v>
      </c>
      <c r="BZ19" t="e">
        <f>AND('boilerplate specs'!#REF!,"AAAAAH6LXk0=")</f>
        <v>#REF!</v>
      </c>
      <c r="CA19" t="e">
        <f>AND('boilerplate specs'!#REF!,"AAAAAH6LXk4=")</f>
        <v>#REF!</v>
      </c>
      <c r="CB19" t="e">
        <f>AND('boilerplate specs'!#REF!,"AAAAAH6LXk8=")</f>
        <v>#REF!</v>
      </c>
      <c r="CC19" t="e">
        <f>AND('boilerplate specs'!#REF!,"AAAAAH6LXlA=")</f>
        <v>#REF!</v>
      </c>
      <c r="CD19" t="e">
        <f>AND('boilerplate specs'!#REF!,"AAAAAH6LXlE=")</f>
        <v>#REF!</v>
      </c>
      <c r="CE19" t="e">
        <f>AND('boilerplate specs'!#REF!,"AAAAAH6LXlI=")</f>
        <v>#REF!</v>
      </c>
      <c r="CF19" t="e">
        <f>AND('boilerplate specs'!#REF!,"AAAAAH6LXlM=")</f>
        <v>#REF!</v>
      </c>
      <c r="CG19" t="e">
        <f>AND('boilerplate specs'!#REF!,"AAAAAH6LXlQ=")</f>
        <v>#REF!</v>
      </c>
      <c r="CH19" t="e">
        <f>AND('boilerplate specs'!#REF!,"AAAAAH6LXlU=")</f>
        <v>#REF!</v>
      </c>
      <c r="CI19" t="e">
        <f>AND('boilerplate specs'!#REF!,"AAAAAH6LXlY=")</f>
        <v>#REF!</v>
      </c>
      <c r="CJ19" t="e">
        <f>AND('boilerplate specs'!#REF!,"AAAAAH6LXlc=")</f>
        <v>#REF!</v>
      </c>
      <c r="CK19" t="e">
        <f>AND('boilerplate specs'!#REF!,"AAAAAH6LXlg=")</f>
        <v>#REF!</v>
      </c>
      <c r="CL19" t="e">
        <f>AND('boilerplate specs'!#REF!,"AAAAAH6LXlk=")</f>
        <v>#REF!</v>
      </c>
      <c r="CM19" t="e">
        <f>AND('boilerplate specs'!#REF!,"AAAAAH6LXlo=")</f>
        <v>#REF!</v>
      </c>
      <c r="CN19">
        <f>IF('boilerplate specs'!82:82,"AAAAAH6LXls=",0)</f>
        <v>0</v>
      </c>
      <c r="CO19" t="e">
        <f>AND('boilerplate specs'!A82,"AAAAAH6LXlw=")</f>
        <v>#VALUE!</v>
      </c>
      <c r="CP19" t="e">
        <f>AND('boilerplate specs'!B82,"AAAAAH6LXl0=")</f>
        <v>#VALUE!</v>
      </c>
      <c r="CQ19" t="e">
        <f>AND('boilerplate specs'!C82,"AAAAAH6LXl4=")</f>
        <v>#VALUE!</v>
      </c>
      <c r="CR19" t="e">
        <f>AND('boilerplate specs'!D82,"AAAAAH6LXl8=")</f>
        <v>#VALUE!</v>
      </c>
      <c r="CS19" t="e">
        <f>AND('boilerplate specs'!E82,"AAAAAH6LXmA=")</f>
        <v>#VALUE!</v>
      </c>
      <c r="CT19" t="e">
        <f>AND('boilerplate specs'!F82,"AAAAAH6LXmE=")</f>
        <v>#VALUE!</v>
      </c>
      <c r="CU19" t="e">
        <f>AND('boilerplate specs'!G82,"AAAAAH6LXmI=")</f>
        <v>#VALUE!</v>
      </c>
      <c r="CV19" t="e">
        <f>AND('boilerplate specs'!H82,"AAAAAH6LXmM=")</f>
        <v>#VALUE!</v>
      </c>
      <c r="CW19" t="e">
        <f>AND('boilerplate specs'!I82,"AAAAAH6LXmQ=")</f>
        <v>#VALUE!</v>
      </c>
      <c r="CX19" t="e">
        <f>AND('boilerplate specs'!J82,"AAAAAH6LXmU=")</f>
        <v>#VALUE!</v>
      </c>
      <c r="CY19" t="e">
        <f>AND('boilerplate specs'!#REF!,"AAAAAH6LXmY=")</f>
        <v>#REF!</v>
      </c>
      <c r="CZ19" t="e">
        <f>AND('boilerplate specs'!#REF!,"AAAAAH6LXmc=")</f>
        <v>#REF!</v>
      </c>
      <c r="DA19" t="e">
        <f>AND('boilerplate specs'!#REF!,"AAAAAH6LXmg=")</f>
        <v>#REF!</v>
      </c>
      <c r="DB19" t="e">
        <f>AND('boilerplate specs'!#REF!,"AAAAAH6LXmk=")</f>
        <v>#REF!</v>
      </c>
      <c r="DC19" t="e">
        <f>AND('boilerplate specs'!#REF!,"AAAAAH6LXmo=")</f>
        <v>#REF!</v>
      </c>
      <c r="DD19" t="e">
        <f>AND('boilerplate specs'!#REF!,"AAAAAH6LXms=")</f>
        <v>#REF!</v>
      </c>
      <c r="DE19" t="e">
        <f>AND('boilerplate specs'!#REF!,"AAAAAH6LXmw=")</f>
        <v>#REF!</v>
      </c>
      <c r="DF19" t="e">
        <f>AND('boilerplate specs'!#REF!,"AAAAAH6LXm0=")</f>
        <v>#REF!</v>
      </c>
      <c r="DG19" t="e">
        <f>AND('boilerplate specs'!#REF!,"AAAAAH6LXm4=")</f>
        <v>#REF!</v>
      </c>
      <c r="DH19" t="e">
        <f>AND('boilerplate specs'!#REF!,"AAAAAH6LXm8=")</f>
        <v>#REF!</v>
      </c>
      <c r="DI19" t="e">
        <f>AND('boilerplate specs'!#REF!,"AAAAAH6LXnA=")</f>
        <v>#REF!</v>
      </c>
      <c r="DJ19" t="e">
        <f>AND('boilerplate specs'!#REF!,"AAAAAH6LXnE=")</f>
        <v>#REF!</v>
      </c>
      <c r="DK19" t="e">
        <f>AND('boilerplate specs'!#REF!,"AAAAAH6LXnI=")</f>
        <v>#REF!</v>
      </c>
      <c r="DL19" t="e">
        <f>AND('boilerplate specs'!#REF!,"AAAAAH6LXnM=")</f>
        <v>#REF!</v>
      </c>
      <c r="DM19" t="e">
        <f>AND('boilerplate specs'!#REF!,"AAAAAH6LXnQ=")</f>
        <v>#REF!</v>
      </c>
      <c r="DN19" t="e">
        <f>AND('boilerplate specs'!#REF!,"AAAAAH6LXnU=")</f>
        <v>#REF!</v>
      </c>
      <c r="DO19" t="e">
        <f>AND('boilerplate specs'!#REF!,"AAAAAH6LXnY=")</f>
        <v>#REF!</v>
      </c>
      <c r="DP19" t="e">
        <f>AND('boilerplate specs'!#REF!,"AAAAAH6LXnc=")</f>
        <v>#REF!</v>
      </c>
      <c r="DQ19" t="e">
        <f>AND('boilerplate specs'!#REF!,"AAAAAH6LXng=")</f>
        <v>#REF!</v>
      </c>
      <c r="DR19" t="e">
        <f>AND('boilerplate specs'!#REF!,"AAAAAH6LXnk=")</f>
        <v>#REF!</v>
      </c>
      <c r="DS19" t="e">
        <f>AND('boilerplate specs'!#REF!,"AAAAAH6LXno=")</f>
        <v>#REF!</v>
      </c>
      <c r="DT19" t="e">
        <f>AND('boilerplate specs'!#REF!,"AAAAAH6LXns=")</f>
        <v>#REF!</v>
      </c>
      <c r="DU19">
        <f>IF('boilerplate specs'!83:83,"AAAAAH6LXnw=",0)</f>
        <v>0</v>
      </c>
      <c r="DV19" t="e">
        <f>AND('boilerplate specs'!A83,"AAAAAH6LXn0=")</f>
        <v>#VALUE!</v>
      </c>
      <c r="DW19" t="e">
        <f>AND('boilerplate specs'!B83,"AAAAAH6LXn4=")</f>
        <v>#VALUE!</v>
      </c>
      <c r="DX19" t="e">
        <f>AND('boilerplate specs'!C83,"AAAAAH6LXn8=")</f>
        <v>#VALUE!</v>
      </c>
      <c r="DY19" t="e">
        <f>AND('boilerplate specs'!D83,"AAAAAH6LXoA=")</f>
        <v>#VALUE!</v>
      </c>
      <c r="DZ19" t="e">
        <f>AND('boilerplate specs'!E83,"AAAAAH6LXoE=")</f>
        <v>#VALUE!</v>
      </c>
      <c r="EA19" t="e">
        <f>AND('boilerplate specs'!F83,"AAAAAH6LXoI=")</f>
        <v>#VALUE!</v>
      </c>
      <c r="EB19" t="e">
        <f>AND('boilerplate specs'!G83,"AAAAAH6LXoM=")</f>
        <v>#VALUE!</v>
      </c>
      <c r="EC19" t="e">
        <f>AND('boilerplate specs'!H83,"AAAAAH6LXoQ=")</f>
        <v>#VALUE!</v>
      </c>
      <c r="ED19" t="e">
        <f>AND('boilerplate specs'!I83,"AAAAAH6LXoU=")</f>
        <v>#VALUE!</v>
      </c>
      <c r="EE19" t="e">
        <f>AND('boilerplate specs'!J83,"AAAAAH6LXoY=")</f>
        <v>#VALUE!</v>
      </c>
      <c r="EF19" t="e">
        <f>AND('boilerplate specs'!#REF!,"AAAAAH6LXoc=")</f>
        <v>#REF!</v>
      </c>
      <c r="EG19" t="e">
        <f>AND('boilerplate specs'!#REF!,"AAAAAH6LXog=")</f>
        <v>#REF!</v>
      </c>
      <c r="EH19" t="e">
        <f>AND('boilerplate specs'!#REF!,"AAAAAH6LXok=")</f>
        <v>#REF!</v>
      </c>
      <c r="EI19" t="e">
        <f>AND('boilerplate specs'!#REF!,"AAAAAH6LXoo=")</f>
        <v>#REF!</v>
      </c>
      <c r="EJ19" t="e">
        <f>AND('boilerplate specs'!#REF!,"AAAAAH6LXos=")</f>
        <v>#REF!</v>
      </c>
      <c r="EK19" t="e">
        <f>AND('boilerplate specs'!#REF!,"AAAAAH6LXow=")</f>
        <v>#REF!</v>
      </c>
      <c r="EL19" t="e">
        <f>AND('boilerplate specs'!#REF!,"AAAAAH6LXo0=")</f>
        <v>#REF!</v>
      </c>
      <c r="EM19" t="e">
        <f>AND('boilerplate specs'!#REF!,"AAAAAH6LXo4=")</f>
        <v>#REF!</v>
      </c>
      <c r="EN19" t="e">
        <f>AND('boilerplate specs'!#REF!,"AAAAAH6LXo8=")</f>
        <v>#REF!</v>
      </c>
      <c r="EO19" t="e">
        <f>AND('boilerplate specs'!#REF!,"AAAAAH6LXpA=")</f>
        <v>#REF!</v>
      </c>
      <c r="EP19" t="e">
        <f>AND('boilerplate specs'!#REF!,"AAAAAH6LXpE=")</f>
        <v>#REF!</v>
      </c>
      <c r="EQ19" t="e">
        <f>AND('boilerplate specs'!#REF!,"AAAAAH6LXpI=")</f>
        <v>#REF!</v>
      </c>
      <c r="ER19" t="e">
        <f>AND('boilerplate specs'!#REF!,"AAAAAH6LXpM=")</f>
        <v>#REF!</v>
      </c>
      <c r="ES19" t="e">
        <f>AND('boilerplate specs'!#REF!,"AAAAAH6LXpQ=")</f>
        <v>#REF!</v>
      </c>
      <c r="ET19" t="e">
        <f>AND('boilerplate specs'!#REF!,"AAAAAH6LXpU=")</f>
        <v>#REF!</v>
      </c>
      <c r="EU19" t="e">
        <f>AND('boilerplate specs'!#REF!,"AAAAAH6LXpY=")</f>
        <v>#REF!</v>
      </c>
      <c r="EV19" t="e">
        <f>AND('boilerplate specs'!#REF!,"AAAAAH6LXpc=")</f>
        <v>#REF!</v>
      </c>
      <c r="EW19" t="e">
        <f>AND('boilerplate specs'!#REF!,"AAAAAH6LXpg=")</f>
        <v>#REF!</v>
      </c>
      <c r="EX19" t="e">
        <f>AND('boilerplate specs'!#REF!,"AAAAAH6LXpk=")</f>
        <v>#REF!</v>
      </c>
      <c r="EY19" t="e">
        <f>AND('boilerplate specs'!#REF!,"AAAAAH6LXpo=")</f>
        <v>#REF!</v>
      </c>
      <c r="EZ19" t="e">
        <f>AND('boilerplate specs'!#REF!,"AAAAAH6LXps=")</f>
        <v>#REF!</v>
      </c>
      <c r="FA19" t="e">
        <f>AND('boilerplate specs'!#REF!,"AAAAAH6LXpw=")</f>
        <v>#REF!</v>
      </c>
      <c r="FB19">
        <f>IF('boilerplate specs'!84:84,"AAAAAH6LXp0=",0)</f>
        <v>0</v>
      </c>
      <c r="FC19" t="e">
        <f>AND('boilerplate specs'!A84,"AAAAAH6LXp4=")</f>
        <v>#VALUE!</v>
      </c>
      <c r="FD19" t="e">
        <f>AND('boilerplate specs'!B84,"AAAAAH6LXp8=")</f>
        <v>#VALUE!</v>
      </c>
      <c r="FE19" t="e">
        <f>AND('boilerplate specs'!C84,"AAAAAH6LXqA=")</f>
        <v>#VALUE!</v>
      </c>
      <c r="FF19" t="e">
        <f>AND('boilerplate specs'!D84,"AAAAAH6LXqE=")</f>
        <v>#VALUE!</v>
      </c>
      <c r="FG19" t="e">
        <f>AND('boilerplate specs'!E84,"AAAAAH6LXqI=")</f>
        <v>#VALUE!</v>
      </c>
      <c r="FH19" t="e">
        <f>AND('boilerplate specs'!F84,"AAAAAH6LXqM=")</f>
        <v>#VALUE!</v>
      </c>
      <c r="FI19" t="e">
        <f>AND('boilerplate specs'!G84,"AAAAAH6LXqQ=")</f>
        <v>#VALUE!</v>
      </c>
      <c r="FJ19" t="e">
        <f>AND('boilerplate specs'!H84,"AAAAAH6LXqU=")</f>
        <v>#VALUE!</v>
      </c>
      <c r="FK19" t="e">
        <f>AND('boilerplate specs'!I84,"AAAAAH6LXqY=")</f>
        <v>#VALUE!</v>
      </c>
      <c r="FL19" t="e">
        <f>AND('boilerplate specs'!J84,"AAAAAH6LXqc=")</f>
        <v>#VALUE!</v>
      </c>
      <c r="FM19" t="e">
        <f>AND('boilerplate specs'!#REF!,"AAAAAH6LXqg=")</f>
        <v>#REF!</v>
      </c>
      <c r="FN19" t="e">
        <f>AND('boilerplate specs'!#REF!,"AAAAAH6LXqk=")</f>
        <v>#REF!</v>
      </c>
      <c r="FO19" t="e">
        <f>AND('boilerplate specs'!#REF!,"AAAAAH6LXqo=")</f>
        <v>#REF!</v>
      </c>
      <c r="FP19" t="e">
        <f>AND('boilerplate specs'!#REF!,"AAAAAH6LXqs=")</f>
        <v>#REF!</v>
      </c>
      <c r="FQ19" t="e">
        <f>AND('boilerplate specs'!#REF!,"AAAAAH6LXqw=")</f>
        <v>#REF!</v>
      </c>
      <c r="FR19" t="e">
        <f>AND('boilerplate specs'!#REF!,"AAAAAH6LXq0=")</f>
        <v>#REF!</v>
      </c>
      <c r="FS19" t="e">
        <f>AND('boilerplate specs'!#REF!,"AAAAAH6LXq4=")</f>
        <v>#REF!</v>
      </c>
      <c r="FT19" t="e">
        <f>AND('boilerplate specs'!#REF!,"AAAAAH6LXq8=")</f>
        <v>#REF!</v>
      </c>
      <c r="FU19" t="e">
        <f>AND('boilerplate specs'!#REF!,"AAAAAH6LXrA=")</f>
        <v>#REF!</v>
      </c>
      <c r="FV19" t="e">
        <f>AND('boilerplate specs'!#REF!,"AAAAAH6LXrE=")</f>
        <v>#REF!</v>
      </c>
      <c r="FW19" t="e">
        <f>AND('boilerplate specs'!#REF!,"AAAAAH6LXrI=")</f>
        <v>#REF!</v>
      </c>
      <c r="FX19" t="e">
        <f>AND('boilerplate specs'!#REF!,"AAAAAH6LXrM=")</f>
        <v>#REF!</v>
      </c>
      <c r="FY19" t="e">
        <f>AND('boilerplate specs'!#REF!,"AAAAAH6LXrQ=")</f>
        <v>#REF!</v>
      </c>
      <c r="FZ19" t="e">
        <f>AND('boilerplate specs'!#REF!,"AAAAAH6LXrU=")</f>
        <v>#REF!</v>
      </c>
      <c r="GA19" t="e">
        <f>AND('boilerplate specs'!#REF!,"AAAAAH6LXrY=")</f>
        <v>#REF!</v>
      </c>
      <c r="GB19" t="e">
        <f>AND('boilerplate specs'!#REF!,"AAAAAH6LXrc=")</f>
        <v>#REF!</v>
      </c>
      <c r="GC19" t="e">
        <f>AND('boilerplate specs'!#REF!,"AAAAAH6LXrg=")</f>
        <v>#REF!</v>
      </c>
      <c r="GD19" t="e">
        <f>AND('boilerplate specs'!#REF!,"AAAAAH6LXrk=")</f>
        <v>#REF!</v>
      </c>
      <c r="GE19" t="e">
        <f>AND('boilerplate specs'!#REF!,"AAAAAH6LXro=")</f>
        <v>#REF!</v>
      </c>
      <c r="GF19" t="e">
        <f>AND('boilerplate specs'!#REF!,"AAAAAH6LXrs=")</f>
        <v>#REF!</v>
      </c>
      <c r="GG19" t="e">
        <f>AND('boilerplate specs'!#REF!,"AAAAAH6LXrw=")</f>
        <v>#REF!</v>
      </c>
      <c r="GH19" t="e">
        <f>AND('boilerplate specs'!#REF!,"AAAAAH6LXr0=")</f>
        <v>#REF!</v>
      </c>
      <c r="GI19">
        <f>IF('boilerplate specs'!85:85,"AAAAAH6LXr4=",0)</f>
        <v>0</v>
      </c>
      <c r="GJ19" t="e">
        <f>AND('boilerplate specs'!A85,"AAAAAH6LXr8=")</f>
        <v>#VALUE!</v>
      </c>
      <c r="GK19" t="e">
        <f>AND('boilerplate specs'!B85,"AAAAAH6LXsA=")</f>
        <v>#VALUE!</v>
      </c>
      <c r="GL19" t="e">
        <f>AND('boilerplate specs'!C85,"AAAAAH6LXsE=")</f>
        <v>#VALUE!</v>
      </c>
      <c r="GM19" t="e">
        <f>AND('boilerplate specs'!D85,"AAAAAH6LXsI=")</f>
        <v>#VALUE!</v>
      </c>
      <c r="GN19" t="e">
        <f>AND('boilerplate specs'!E85,"AAAAAH6LXsM=")</f>
        <v>#VALUE!</v>
      </c>
      <c r="GO19" t="e">
        <f>AND('boilerplate specs'!F85,"AAAAAH6LXsQ=")</f>
        <v>#VALUE!</v>
      </c>
      <c r="GP19" t="e">
        <f>AND('boilerplate specs'!G85,"AAAAAH6LXsU=")</f>
        <v>#VALUE!</v>
      </c>
      <c r="GQ19" t="e">
        <f>AND('boilerplate specs'!H85,"AAAAAH6LXsY=")</f>
        <v>#VALUE!</v>
      </c>
      <c r="GR19" t="e">
        <f>AND('boilerplate specs'!I85,"AAAAAH6LXsc=")</f>
        <v>#VALUE!</v>
      </c>
      <c r="GS19" t="e">
        <f>AND('boilerplate specs'!J85,"AAAAAH6LXsg=")</f>
        <v>#VALUE!</v>
      </c>
      <c r="GT19" t="e">
        <f>AND('boilerplate specs'!#REF!,"AAAAAH6LXsk=")</f>
        <v>#REF!</v>
      </c>
      <c r="GU19" t="e">
        <f>AND('boilerplate specs'!#REF!,"AAAAAH6LXso=")</f>
        <v>#REF!</v>
      </c>
      <c r="GV19" t="e">
        <f>AND('boilerplate specs'!#REF!,"AAAAAH6LXss=")</f>
        <v>#REF!</v>
      </c>
      <c r="GW19" t="e">
        <f>AND('boilerplate specs'!#REF!,"AAAAAH6LXsw=")</f>
        <v>#REF!</v>
      </c>
      <c r="GX19" t="e">
        <f>AND('boilerplate specs'!#REF!,"AAAAAH6LXs0=")</f>
        <v>#REF!</v>
      </c>
      <c r="GY19" t="e">
        <f>AND('boilerplate specs'!#REF!,"AAAAAH6LXs4=")</f>
        <v>#REF!</v>
      </c>
      <c r="GZ19" t="e">
        <f>AND('boilerplate specs'!#REF!,"AAAAAH6LXs8=")</f>
        <v>#REF!</v>
      </c>
      <c r="HA19" t="e">
        <f>AND('boilerplate specs'!#REF!,"AAAAAH6LXtA=")</f>
        <v>#REF!</v>
      </c>
      <c r="HB19" t="e">
        <f>AND('boilerplate specs'!#REF!,"AAAAAH6LXtE=")</f>
        <v>#REF!</v>
      </c>
      <c r="HC19" t="e">
        <f>AND('boilerplate specs'!#REF!,"AAAAAH6LXtI=")</f>
        <v>#REF!</v>
      </c>
      <c r="HD19" t="e">
        <f>AND('boilerplate specs'!#REF!,"AAAAAH6LXtM=")</f>
        <v>#REF!</v>
      </c>
      <c r="HE19" t="e">
        <f>AND('boilerplate specs'!#REF!,"AAAAAH6LXtQ=")</f>
        <v>#REF!</v>
      </c>
      <c r="HF19" t="e">
        <f>AND('boilerplate specs'!#REF!,"AAAAAH6LXtU=")</f>
        <v>#REF!</v>
      </c>
      <c r="HG19" t="e">
        <f>AND('boilerplate specs'!#REF!,"AAAAAH6LXtY=")</f>
        <v>#REF!</v>
      </c>
      <c r="HH19" t="e">
        <f>AND('boilerplate specs'!#REF!,"AAAAAH6LXtc=")</f>
        <v>#REF!</v>
      </c>
      <c r="HI19" t="e">
        <f>AND('boilerplate specs'!#REF!,"AAAAAH6LXtg=")</f>
        <v>#REF!</v>
      </c>
      <c r="HJ19" t="e">
        <f>AND('boilerplate specs'!#REF!,"AAAAAH6LXtk=")</f>
        <v>#REF!</v>
      </c>
      <c r="HK19" t="e">
        <f>AND('boilerplate specs'!#REF!,"AAAAAH6LXto=")</f>
        <v>#REF!</v>
      </c>
      <c r="HL19" t="e">
        <f>AND('boilerplate specs'!#REF!,"AAAAAH6LXts=")</f>
        <v>#REF!</v>
      </c>
      <c r="HM19" t="e">
        <f>AND('boilerplate specs'!#REF!,"AAAAAH6LXtw=")</f>
        <v>#REF!</v>
      </c>
      <c r="HN19" t="e">
        <f>AND('boilerplate specs'!#REF!,"AAAAAH6LXt0=")</f>
        <v>#REF!</v>
      </c>
      <c r="HO19" t="e">
        <f>AND('boilerplate specs'!#REF!,"AAAAAH6LXt4=")</f>
        <v>#REF!</v>
      </c>
      <c r="HP19">
        <f>IF('boilerplate specs'!86:86,"AAAAAH6LXt8=",0)</f>
        <v>0</v>
      </c>
      <c r="HQ19" t="e">
        <f>AND('boilerplate specs'!A86,"AAAAAH6LXuA=")</f>
        <v>#VALUE!</v>
      </c>
      <c r="HR19" t="e">
        <f>AND('boilerplate specs'!B86,"AAAAAH6LXuE=")</f>
        <v>#VALUE!</v>
      </c>
      <c r="HS19" t="e">
        <f>AND('boilerplate specs'!C86,"AAAAAH6LXuI=")</f>
        <v>#VALUE!</v>
      </c>
      <c r="HT19" t="e">
        <f>AND('boilerplate specs'!D86,"AAAAAH6LXuM=")</f>
        <v>#VALUE!</v>
      </c>
      <c r="HU19" t="e">
        <f>AND('boilerplate specs'!E86,"AAAAAH6LXuQ=")</f>
        <v>#VALUE!</v>
      </c>
      <c r="HV19" t="e">
        <f>AND('boilerplate specs'!F86,"AAAAAH6LXuU=")</f>
        <v>#VALUE!</v>
      </c>
      <c r="HW19" t="e">
        <f>AND('boilerplate specs'!G86,"AAAAAH6LXuY=")</f>
        <v>#VALUE!</v>
      </c>
      <c r="HX19" t="e">
        <f>AND('boilerplate specs'!H86,"AAAAAH6LXuc=")</f>
        <v>#VALUE!</v>
      </c>
      <c r="HY19" t="e">
        <f>AND('boilerplate specs'!I86,"AAAAAH6LXug=")</f>
        <v>#VALUE!</v>
      </c>
      <c r="HZ19" t="e">
        <f>AND('boilerplate specs'!J86,"AAAAAH6LXuk=")</f>
        <v>#VALUE!</v>
      </c>
      <c r="IA19" t="e">
        <f>AND('boilerplate specs'!#REF!,"AAAAAH6LXuo=")</f>
        <v>#REF!</v>
      </c>
      <c r="IB19" t="e">
        <f>AND('boilerplate specs'!#REF!,"AAAAAH6LXus=")</f>
        <v>#REF!</v>
      </c>
      <c r="IC19" t="e">
        <f>AND('boilerplate specs'!#REF!,"AAAAAH6LXuw=")</f>
        <v>#REF!</v>
      </c>
      <c r="ID19" t="e">
        <f>AND('boilerplate specs'!#REF!,"AAAAAH6LXu0=")</f>
        <v>#REF!</v>
      </c>
      <c r="IE19" t="e">
        <f>AND('boilerplate specs'!#REF!,"AAAAAH6LXu4=")</f>
        <v>#REF!</v>
      </c>
      <c r="IF19" t="e">
        <f>AND('boilerplate specs'!#REF!,"AAAAAH6LXu8=")</f>
        <v>#REF!</v>
      </c>
      <c r="IG19" t="e">
        <f>AND('boilerplate specs'!#REF!,"AAAAAH6LXvA=")</f>
        <v>#REF!</v>
      </c>
      <c r="IH19" t="e">
        <f>AND('boilerplate specs'!#REF!,"AAAAAH6LXvE=")</f>
        <v>#REF!</v>
      </c>
      <c r="II19" t="e">
        <f>AND('boilerplate specs'!#REF!,"AAAAAH6LXvI=")</f>
        <v>#REF!</v>
      </c>
      <c r="IJ19" t="e">
        <f>AND('boilerplate specs'!#REF!,"AAAAAH6LXvM=")</f>
        <v>#REF!</v>
      </c>
      <c r="IK19" t="e">
        <f>AND('boilerplate specs'!#REF!,"AAAAAH6LXvQ=")</f>
        <v>#REF!</v>
      </c>
      <c r="IL19" t="e">
        <f>AND('boilerplate specs'!#REF!,"AAAAAH6LXvU=")</f>
        <v>#REF!</v>
      </c>
      <c r="IM19" t="e">
        <f>AND('boilerplate specs'!#REF!,"AAAAAH6LXvY=")</f>
        <v>#REF!</v>
      </c>
      <c r="IN19" t="e">
        <f>AND('boilerplate specs'!#REF!,"AAAAAH6LXvc=")</f>
        <v>#REF!</v>
      </c>
      <c r="IO19" t="e">
        <f>AND('boilerplate specs'!#REF!,"AAAAAH6LXvg=")</f>
        <v>#REF!</v>
      </c>
      <c r="IP19" t="e">
        <f>AND('boilerplate specs'!#REF!,"AAAAAH6LXvk=")</f>
        <v>#REF!</v>
      </c>
      <c r="IQ19" t="e">
        <f>AND('boilerplate specs'!#REF!,"AAAAAH6LXvo=")</f>
        <v>#REF!</v>
      </c>
      <c r="IR19" t="e">
        <f>AND('boilerplate specs'!#REF!,"AAAAAH6LXvs=")</f>
        <v>#REF!</v>
      </c>
      <c r="IS19" t="e">
        <f>AND('boilerplate specs'!#REF!,"AAAAAH6LXvw=")</f>
        <v>#REF!</v>
      </c>
      <c r="IT19" t="e">
        <f>AND('boilerplate specs'!#REF!,"AAAAAH6LXv0=")</f>
        <v>#REF!</v>
      </c>
      <c r="IU19" t="e">
        <f>AND('boilerplate specs'!#REF!,"AAAAAH6LXv4=")</f>
        <v>#REF!</v>
      </c>
      <c r="IV19" t="e">
        <f>AND('boilerplate specs'!#REF!,"AAAAAH6LXv8=")</f>
        <v>#REF!</v>
      </c>
    </row>
    <row r="20" spans="1:256" x14ac:dyDescent="0.35">
      <c r="A20" t="e">
        <f>IF('boilerplate specs'!87:87,"AAAAAD//XwA=",0)</f>
        <v>#VALUE!</v>
      </c>
      <c r="B20" t="e">
        <f>AND('boilerplate specs'!A87,"AAAAAD//XwE=")</f>
        <v>#VALUE!</v>
      </c>
      <c r="C20" t="e">
        <f>AND('boilerplate specs'!B87,"AAAAAD//XwI=")</f>
        <v>#VALUE!</v>
      </c>
      <c r="D20" t="e">
        <f>AND('boilerplate specs'!C87,"AAAAAD//XwM=")</f>
        <v>#VALUE!</v>
      </c>
      <c r="E20" t="e">
        <f>AND('boilerplate specs'!D87,"AAAAAD//XwQ=")</f>
        <v>#VALUE!</v>
      </c>
      <c r="F20" t="e">
        <f>AND('boilerplate specs'!E87,"AAAAAD//XwU=")</f>
        <v>#VALUE!</v>
      </c>
      <c r="G20" t="e">
        <f>AND('boilerplate specs'!F87,"AAAAAD//XwY=")</f>
        <v>#VALUE!</v>
      </c>
      <c r="H20" t="e">
        <f>AND('boilerplate specs'!G87,"AAAAAD//Xwc=")</f>
        <v>#VALUE!</v>
      </c>
      <c r="I20" t="e">
        <f>AND('boilerplate specs'!H87,"AAAAAD//Xwg=")</f>
        <v>#VALUE!</v>
      </c>
      <c r="J20" t="e">
        <f>AND('boilerplate specs'!I87,"AAAAAD//Xwk=")</f>
        <v>#VALUE!</v>
      </c>
      <c r="K20" t="e">
        <f>AND('boilerplate specs'!J87,"AAAAAD//Xwo=")</f>
        <v>#VALUE!</v>
      </c>
      <c r="L20" t="e">
        <f>AND('boilerplate specs'!#REF!,"AAAAAD//Xws=")</f>
        <v>#REF!</v>
      </c>
      <c r="M20" t="e">
        <f>AND('boilerplate specs'!#REF!,"AAAAAD//Xww=")</f>
        <v>#REF!</v>
      </c>
      <c r="N20" t="e">
        <f>AND('boilerplate specs'!#REF!,"AAAAAD//Xw0=")</f>
        <v>#REF!</v>
      </c>
      <c r="O20" t="e">
        <f>AND('boilerplate specs'!#REF!,"AAAAAD//Xw4=")</f>
        <v>#REF!</v>
      </c>
      <c r="P20" t="e">
        <f>AND('boilerplate specs'!#REF!,"AAAAAD//Xw8=")</f>
        <v>#REF!</v>
      </c>
      <c r="Q20" t="e">
        <f>AND('boilerplate specs'!#REF!,"AAAAAD//XxA=")</f>
        <v>#REF!</v>
      </c>
      <c r="R20" t="e">
        <f>AND('boilerplate specs'!#REF!,"AAAAAD//XxE=")</f>
        <v>#REF!</v>
      </c>
      <c r="S20" t="e">
        <f>AND('boilerplate specs'!#REF!,"AAAAAD//XxI=")</f>
        <v>#REF!</v>
      </c>
      <c r="T20" t="e">
        <f>AND('boilerplate specs'!#REF!,"AAAAAD//XxM=")</f>
        <v>#REF!</v>
      </c>
      <c r="U20" t="e">
        <f>AND('boilerplate specs'!#REF!,"AAAAAD//XxQ=")</f>
        <v>#REF!</v>
      </c>
      <c r="V20" t="e">
        <f>AND('boilerplate specs'!#REF!,"AAAAAD//XxU=")</f>
        <v>#REF!</v>
      </c>
      <c r="W20" t="e">
        <f>AND('boilerplate specs'!#REF!,"AAAAAD//XxY=")</f>
        <v>#REF!</v>
      </c>
      <c r="X20" t="e">
        <f>AND('boilerplate specs'!#REF!,"AAAAAD//Xxc=")</f>
        <v>#REF!</v>
      </c>
      <c r="Y20" t="e">
        <f>AND('boilerplate specs'!#REF!,"AAAAAD//Xxg=")</f>
        <v>#REF!</v>
      </c>
      <c r="Z20" t="e">
        <f>AND('boilerplate specs'!#REF!,"AAAAAD//Xxk=")</f>
        <v>#REF!</v>
      </c>
      <c r="AA20" t="e">
        <f>AND('boilerplate specs'!#REF!,"AAAAAD//Xxo=")</f>
        <v>#REF!</v>
      </c>
      <c r="AB20" t="e">
        <f>AND('boilerplate specs'!#REF!,"AAAAAD//Xxs=")</f>
        <v>#REF!</v>
      </c>
      <c r="AC20" t="e">
        <f>AND('boilerplate specs'!#REF!,"AAAAAD//Xxw=")</f>
        <v>#REF!</v>
      </c>
      <c r="AD20" t="e">
        <f>AND('boilerplate specs'!#REF!,"AAAAAD//Xx0=")</f>
        <v>#REF!</v>
      </c>
      <c r="AE20" t="e">
        <f>AND('boilerplate specs'!#REF!,"AAAAAD//Xx4=")</f>
        <v>#REF!</v>
      </c>
      <c r="AF20" t="e">
        <f>AND('boilerplate specs'!#REF!,"AAAAAD//Xx8=")</f>
        <v>#REF!</v>
      </c>
      <c r="AG20" t="e">
        <f>AND('boilerplate specs'!#REF!,"AAAAAD//XyA=")</f>
        <v>#REF!</v>
      </c>
      <c r="AH20">
        <f>IF('boilerplate specs'!88:88,"AAAAAD//XyE=",0)</f>
        <v>0</v>
      </c>
      <c r="AI20" t="e">
        <f>AND('boilerplate specs'!A88,"AAAAAD//XyI=")</f>
        <v>#VALUE!</v>
      </c>
      <c r="AJ20" t="e">
        <f>AND('boilerplate specs'!B88,"AAAAAD//XyM=")</f>
        <v>#VALUE!</v>
      </c>
      <c r="AK20" t="e">
        <f>AND('boilerplate specs'!C88,"AAAAAD//XyQ=")</f>
        <v>#VALUE!</v>
      </c>
      <c r="AL20" t="e">
        <f>AND('boilerplate specs'!D88,"AAAAAD//XyU=")</f>
        <v>#VALUE!</v>
      </c>
      <c r="AM20" t="e">
        <f>AND('boilerplate specs'!E88,"AAAAAD//XyY=")</f>
        <v>#VALUE!</v>
      </c>
      <c r="AN20" t="e">
        <f>AND('boilerplate specs'!F88,"AAAAAD//Xyc=")</f>
        <v>#VALUE!</v>
      </c>
      <c r="AO20" t="e">
        <f>AND('boilerplate specs'!G88,"AAAAAD//Xyg=")</f>
        <v>#VALUE!</v>
      </c>
      <c r="AP20" t="e">
        <f>AND('boilerplate specs'!H88,"AAAAAD//Xyk=")</f>
        <v>#VALUE!</v>
      </c>
      <c r="AQ20" t="e">
        <f>AND('boilerplate specs'!I88,"AAAAAD//Xyo=")</f>
        <v>#VALUE!</v>
      </c>
      <c r="AR20" t="e">
        <f>AND('boilerplate specs'!J88,"AAAAAD//Xys=")</f>
        <v>#VALUE!</v>
      </c>
      <c r="AS20" t="e">
        <f>AND('boilerplate specs'!#REF!,"AAAAAD//Xyw=")</f>
        <v>#REF!</v>
      </c>
      <c r="AT20" t="e">
        <f>AND('boilerplate specs'!#REF!,"AAAAAD//Xy0=")</f>
        <v>#REF!</v>
      </c>
      <c r="AU20" t="e">
        <f>AND('boilerplate specs'!#REF!,"AAAAAD//Xy4=")</f>
        <v>#REF!</v>
      </c>
      <c r="AV20" t="e">
        <f>AND('boilerplate specs'!#REF!,"AAAAAD//Xy8=")</f>
        <v>#REF!</v>
      </c>
      <c r="AW20" t="e">
        <f>AND('boilerplate specs'!#REF!,"AAAAAD//XzA=")</f>
        <v>#REF!</v>
      </c>
      <c r="AX20" t="e">
        <f>AND('boilerplate specs'!#REF!,"AAAAAD//XzE=")</f>
        <v>#REF!</v>
      </c>
      <c r="AY20" t="e">
        <f>AND('boilerplate specs'!#REF!,"AAAAAD//XzI=")</f>
        <v>#REF!</v>
      </c>
      <c r="AZ20" t="e">
        <f>AND('boilerplate specs'!#REF!,"AAAAAD//XzM=")</f>
        <v>#REF!</v>
      </c>
      <c r="BA20" t="e">
        <f>AND('boilerplate specs'!#REF!,"AAAAAD//XzQ=")</f>
        <v>#REF!</v>
      </c>
      <c r="BB20" t="e">
        <f>AND('boilerplate specs'!#REF!,"AAAAAD//XzU=")</f>
        <v>#REF!</v>
      </c>
      <c r="BC20" t="e">
        <f>AND('boilerplate specs'!#REF!,"AAAAAD//XzY=")</f>
        <v>#REF!</v>
      </c>
      <c r="BD20" t="e">
        <f>AND('boilerplate specs'!#REF!,"AAAAAD//Xzc=")</f>
        <v>#REF!</v>
      </c>
      <c r="BE20" t="e">
        <f>AND('boilerplate specs'!#REF!,"AAAAAD//Xzg=")</f>
        <v>#REF!</v>
      </c>
      <c r="BF20" t="e">
        <f>AND('boilerplate specs'!#REF!,"AAAAAD//Xzk=")</f>
        <v>#REF!</v>
      </c>
      <c r="BG20" t="e">
        <f>AND('boilerplate specs'!#REF!,"AAAAAD//Xzo=")</f>
        <v>#REF!</v>
      </c>
      <c r="BH20" t="e">
        <f>AND('boilerplate specs'!#REF!,"AAAAAD//Xzs=")</f>
        <v>#REF!</v>
      </c>
      <c r="BI20" t="e">
        <f>AND('boilerplate specs'!#REF!,"AAAAAD//Xzw=")</f>
        <v>#REF!</v>
      </c>
      <c r="BJ20" t="e">
        <f>AND('boilerplate specs'!#REF!,"AAAAAD//Xz0=")</f>
        <v>#REF!</v>
      </c>
      <c r="BK20" t="e">
        <f>AND('boilerplate specs'!#REF!,"AAAAAD//Xz4=")</f>
        <v>#REF!</v>
      </c>
      <c r="BL20" t="e">
        <f>AND('boilerplate specs'!#REF!,"AAAAAD//Xz8=")</f>
        <v>#REF!</v>
      </c>
      <c r="BM20" t="e">
        <f>AND('boilerplate specs'!#REF!,"AAAAAD//X0A=")</f>
        <v>#REF!</v>
      </c>
      <c r="BN20" t="e">
        <f>AND('boilerplate specs'!#REF!,"AAAAAD//X0E=")</f>
        <v>#REF!</v>
      </c>
      <c r="BO20">
        <f>IF('boilerplate specs'!89:89,"AAAAAD//X0I=",0)</f>
        <v>0</v>
      </c>
      <c r="BP20" t="e">
        <f>AND('boilerplate specs'!A89,"AAAAAD//X0M=")</f>
        <v>#VALUE!</v>
      </c>
      <c r="BQ20" t="e">
        <f>AND('boilerplate specs'!B89,"AAAAAD//X0Q=")</f>
        <v>#VALUE!</v>
      </c>
      <c r="BR20" t="e">
        <f>AND('boilerplate specs'!C89,"AAAAAD//X0U=")</f>
        <v>#VALUE!</v>
      </c>
      <c r="BS20" t="e">
        <f>AND('boilerplate specs'!D89,"AAAAAD//X0Y=")</f>
        <v>#VALUE!</v>
      </c>
      <c r="BT20" t="e">
        <f>AND('boilerplate specs'!E89,"AAAAAD//X0c=")</f>
        <v>#VALUE!</v>
      </c>
      <c r="BU20" t="e">
        <f>AND('boilerplate specs'!F89,"AAAAAD//X0g=")</f>
        <v>#VALUE!</v>
      </c>
      <c r="BV20" t="e">
        <f>AND('boilerplate specs'!G89,"AAAAAD//X0k=")</f>
        <v>#VALUE!</v>
      </c>
      <c r="BW20" t="e">
        <f>AND('boilerplate specs'!H89,"AAAAAD//X0o=")</f>
        <v>#VALUE!</v>
      </c>
      <c r="BX20" t="e">
        <f>AND('boilerplate specs'!I89,"AAAAAD//X0s=")</f>
        <v>#VALUE!</v>
      </c>
      <c r="BY20" t="e">
        <f>AND('boilerplate specs'!J89,"AAAAAD//X0w=")</f>
        <v>#VALUE!</v>
      </c>
      <c r="BZ20" t="e">
        <f>AND('boilerplate specs'!#REF!,"AAAAAD//X00=")</f>
        <v>#REF!</v>
      </c>
      <c r="CA20" t="e">
        <f>AND('boilerplate specs'!#REF!,"AAAAAD//X04=")</f>
        <v>#REF!</v>
      </c>
      <c r="CB20" t="e">
        <f>AND('boilerplate specs'!#REF!,"AAAAAD//X08=")</f>
        <v>#REF!</v>
      </c>
      <c r="CC20" t="e">
        <f>AND('boilerplate specs'!#REF!,"AAAAAD//X1A=")</f>
        <v>#REF!</v>
      </c>
      <c r="CD20" t="e">
        <f>AND('boilerplate specs'!#REF!,"AAAAAD//X1E=")</f>
        <v>#REF!</v>
      </c>
      <c r="CE20" t="e">
        <f>AND('boilerplate specs'!#REF!,"AAAAAD//X1I=")</f>
        <v>#REF!</v>
      </c>
      <c r="CF20" t="e">
        <f>AND('boilerplate specs'!#REF!,"AAAAAD//X1M=")</f>
        <v>#REF!</v>
      </c>
      <c r="CG20" t="e">
        <f>AND('boilerplate specs'!#REF!,"AAAAAD//X1Q=")</f>
        <v>#REF!</v>
      </c>
      <c r="CH20" t="e">
        <f>AND('boilerplate specs'!#REF!,"AAAAAD//X1U=")</f>
        <v>#REF!</v>
      </c>
      <c r="CI20" t="e">
        <f>AND('boilerplate specs'!#REF!,"AAAAAD//X1Y=")</f>
        <v>#REF!</v>
      </c>
      <c r="CJ20" t="e">
        <f>AND('boilerplate specs'!#REF!,"AAAAAD//X1c=")</f>
        <v>#REF!</v>
      </c>
      <c r="CK20" t="e">
        <f>AND('boilerplate specs'!#REF!,"AAAAAD//X1g=")</f>
        <v>#REF!</v>
      </c>
      <c r="CL20" t="e">
        <f>AND('boilerplate specs'!#REF!,"AAAAAD//X1k=")</f>
        <v>#REF!</v>
      </c>
      <c r="CM20" t="e">
        <f>AND('boilerplate specs'!#REF!,"AAAAAD//X1o=")</f>
        <v>#REF!</v>
      </c>
      <c r="CN20" t="e">
        <f>AND('boilerplate specs'!#REF!,"AAAAAD//X1s=")</f>
        <v>#REF!</v>
      </c>
      <c r="CO20" t="e">
        <f>AND('boilerplate specs'!#REF!,"AAAAAD//X1w=")</f>
        <v>#REF!</v>
      </c>
      <c r="CP20" t="e">
        <f>AND('boilerplate specs'!#REF!,"AAAAAD//X10=")</f>
        <v>#REF!</v>
      </c>
      <c r="CQ20" t="e">
        <f>AND('boilerplate specs'!#REF!,"AAAAAD//X14=")</f>
        <v>#REF!</v>
      </c>
      <c r="CR20" t="e">
        <f>AND('boilerplate specs'!#REF!,"AAAAAD//X18=")</f>
        <v>#REF!</v>
      </c>
      <c r="CS20" t="e">
        <f>AND('boilerplate specs'!#REF!,"AAAAAD//X2A=")</f>
        <v>#REF!</v>
      </c>
      <c r="CT20" t="e">
        <f>AND('boilerplate specs'!#REF!,"AAAAAD//X2E=")</f>
        <v>#REF!</v>
      </c>
      <c r="CU20" t="e">
        <f>AND('boilerplate specs'!#REF!,"AAAAAD//X2I=")</f>
        <v>#REF!</v>
      </c>
      <c r="CV20">
        <f>IF('boilerplate specs'!90:90,"AAAAAD//X2M=",0)</f>
        <v>0</v>
      </c>
      <c r="CW20" t="e">
        <f>AND('boilerplate specs'!A90,"AAAAAD//X2Q=")</f>
        <v>#VALUE!</v>
      </c>
      <c r="CX20" t="e">
        <f>AND('boilerplate specs'!B90,"AAAAAD//X2U=")</f>
        <v>#VALUE!</v>
      </c>
      <c r="CY20" t="e">
        <f>AND('boilerplate specs'!C90,"AAAAAD//X2Y=")</f>
        <v>#VALUE!</v>
      </c>
      <c r="CZ20" t="e">
        <f>AND('boilerplate specs'!D90,"AAAAAD//X2c=")</f>
        <v>#VALUE!</v>
      </c>
      <c r="DA20" t="e">
        <f>AND('boilerplate specs'!E90,"AAAAAD//X2g=")</f>
        <v>#VALUE!</v>
      </c>
      <c r="DB20" t="e">
        <f>AND('boilerplate specs'!F90,"AAAAAD//X2k=")</f>
        <v>#VALUE!</v>
      </c>
      <c r="DC20" t="e">
        <f>AND('boilerplate specs'!G90,"AAAAAD//X2o=")</f>
        <v>#VALUE!</v>
      </c>
      <c r="DD20" t="e">
        <f>AND('boilerplate specs'!H90,"AAAAAD//X2s=")</f>
        <v>#VALUE!</v>
      </c>
      <c r="DE20" t="e">
        <f>AND('boilerplate specs'!I90,"AAAAAD//X2w=")</f>
        <v>#VALUE!</v>
      </c>
      <c r="DF20" t="e">
        <f>AND('boilerplate specs'!J90,"AAAAAD//X20=")</f>
        <v>#VALUE!</v>
      </c>
      <c r="DG20" t="e">
        <f>AND('boilerplate specs'!#REF!,"AAAAAD//X24=")</f>
        <v>#REF!</v>
      </c>
      <c r="DH20" t="e">
        <f>AND('boilerplate specs'!#REF!,"AAAAAD//X28=")</f>
        <v>#REF!</v>
      </c>
      <c r="DI20" t="e">
        <f>AND('boilerplate specs'!#REF!,"AAAAAD//X3A=")</f>
        <v>#REF!</v>
      </c>
      <c r="DJ20" t="e">
        <f>AND('boilerplate specs'!#REF!,"AAAAAD//X3E=")</f>
        <v>#REF!</v>
      </c>
      <c r="DK20" t="e">
        <f>AND('boilerplate specs'!#REF!,"AAAAAD//X3I=")</f>
        <v>#REF!</v>
      </c>
      <c r="DL20" t="e">
        <f>AND('boilerplate specs'!#REF!,"AAAAAD//X3M=")</f>
        <v>#REF!</v>
      </c>
      <c r="DM20" t="e">
        <f>AND('boilerplate specs'!#REF!,"AAAAAD//X3Q=")</f>
        <v>#REF!</v>
      </c>
      <c r="DN20" t="e">
        <f>AND('boilerplate specs'!#REF!,"AAAAAD//X3U=")</f>
        <v>#REF!</v>
      </c>
      <c r="DO20" t="e">
        <f>AND('boilerplate specs'!#REF!,"AAAAAD//X3Y=")</f>
        <v>#REF!</v>
      </c>
      <c r="DP20" t="e">
        <f>AND('boilerplate specs'!#REF!,"AAAAAD//X3c=")</f>
        <v>#REF!</v>
      </c>
      <c r="DQ20" t="e">
        <f>AND('boilerplate specs'!#REF!,"AAAAAD//X3g=")</f>
        <v>#REF!</v>
      </c>
      <c r="DR20" t="e">
        <f>AND('boilerplate specs'!#REF!,"AAAAAD//X3k=")</f>
        <v>#REF!</v>
      </c>
      <c r="DS20" t="e">
        <f>AND('boilerplate specs'!#REF!,"AAAAAD//X3o=")</f>
        <v>#REF!</v>
      </c>
      <c r="DT20" t="e">
        <f>AND('boilerplate specs'!#REF!,"AAAAAD//X3s=")</f>
        <v>#REF!</v>
      </c>
      <c r="DU20" t="e">
        <f>AND('boilerplate specs'!#REF!,"AAAAAD//X3w=")</f>
        <v>#REF!</v>
      </c>
      <c r="DV20" t="e">
        <f>AND('boilerplate specs'!#REF!,"AAAAAD//X30=")</f>
        <v>#REF!</v>
      </c>
      <c r="DW20" t="e">
        <f>AND('boilerplate specs'!#REF!,"AAAAAD//X34=")</f>
        <v>#REF!</v>
      </c>
      <c r="DX20" t="e">
        <f>AND('boilerplate specs'!#REF!,"AAAAAD//X38=")</f>
        <v>#REF!</v>
      </c>
      <c r="DY20" t="e">
        <f>AND('boilerplate specs'!#REF!,"AAAAAD//X4A=")</f>
        <v>#REF!</v>
      </c>
      <c r="DZ20" t="e">
        <f>AND('boilerplate specs'!#REF!,"AAAAAD//X4E=")</f>
        <v>#REF!</v>
      </c>
      <c r="EA20" t="e">
        <f>AND('boilerplate specs'!#REF!,"AAAAAD//X4I=")</f>
        <v>#REF!</v>
      </c>
      <c r="EB20" t="e">
        <f>AND('boilerplate specs'!#REF!,"AAAAAD//X4M=")</f>
        <v>#REF!</v>
      </c>
      <c r="EC20">
        <f>IF('boilerplate specs'!91:91,"AAAAAD//X4Q=",0)</f>
        <v>0</v>
      </c>
      <c r="ED20" t="e">
        <f>AND('boilerplate specs'!A91,"AAAAAD//X4U=")</f>
        <v>#VALUE!</v>
      </c>
      <c r="EE20" t="e">
        <f>AND('boilerplate specs'!B91,"AAAAAD//X4Y=")</f>
        <v>#VALUE!</v>
      </c>
      <c r="EF20" t="e">
        <f>AND('boilerplate specs'!C91,"AAAAAD//X4c=")</f>
        <v>#VALUE!</v>
      </c>
      <c r="EG20" t="e">
        <f>AND('boilerplate specs'!D91,"AAAAAD//X4g=")</f>
        <v>#VALUE!</v>
      </c>
      <c r="EH20" t="e">
        <f>AND('boilerplate specs'!E91,"AAAAAD//X4k=")</f>
        <v>#VALUE!</v>
      </c>
      <c r="EI20" t="e">
        <f>AND('boilerplate specs'!F91,"AAAAAD//X4o=")</f>
        <v>#VALUE!</v>
      </c>
      <c r="EJ20" t="e">
        <f>AND('boilerplate specs'!G91,"AAAAAD//X4s=")</f>
        <v>#VALUE!</v>
      </c>
      <c r="EK20" t="e">
        <f>AND('boilerplate specs'!H91,"AAAAAD//X4w=")</f>
        <v>#VALUE!</v>
      </c>
      <c r="EL20" t="e">
        <f>AND('boilerplate specs'!I91,"AAAAAD//X40=")</f>
        <v>#VALUE!</v>
      </c>
      <c r="EM20" t="e">
        <f>AND('boilerplate specs'!J91,"AAAAAD//X44=")</f>
        <v>#VALUE!</v>
      </c>
      <c r="EN20" t="e">
        <f>AND('boilerplate specs'!#REF!,"AAAAAD//X48=")</f>
        <v>#REF!</v>
      </c>
      <c r="EO20" t="e">
        <f>AND('boilerplate specs'!#REF!,"AAAAAD//X5A=")</f>
        <v>#REF!</v>
      </c>
      <c r="EP20" t="e">
        <f>AND('boilerplate specs'!#REF!,"AAAAAD//X5E=")</f>
        <v>#REF!</v>
      </c>
      <c r="EQ20" t="e">
        <f>AND('boilerplate specs'!#REF!,"AAAAAD//X5I=")</f>
        <v>#REF!</v>
      </c>
      <c r="ER20" t="e">
        <f>AND('boilerplate specs'!#REF!,"AAAAAD//X5M=")</f>
        <v>#REF!</v>
      </c>
      <c r="ES20" t="e">
        <f>AND('boilerplate specs'!#REF!,"AAAAAD//X5Q=")</f>
        <v>#REF!</v>
      </c>
      <c r="ET20" t="e">
        <f>AND('boilerplate specs'!#REF!,"AAAAAD//X5U=")</f>
        <v>#REF!</v>
      </c>
      <c r="EU20" t="e">
        <f>AND('boilerplate specs'!#REF!,"AAAAAD//X5Y=")</f>
        <v>#REF!</v>
      </c>
      <c r="EV20" t="e">
        <f>AND('boilerplate specs'!#REF!,"AAAAAD//X5c=")</f>
        <v>#REF!</v>
      </c>
      <c r="EW20" t="e">
        <f>AND('boilerplate specs'!#REF!,"AAAAAD//X5g=")</f>
        <v>#REF!</v>
      </c>
      <c r="EX20" t="e">
        <f>AND('boilerplate specs'!#REF!,"AAAAAD//X5k=")</f>
        <v>#REF!</v>
      </c>
      <c r="EY20" t="e">
        <f>AND('boilerplate specs'!#REF!,"AAAAAD//X5o=")</f>
        <v>#REF!</v>
      </c>
      <c r="EZ20" t="e">
        <f>AND('boilerplate specs'!#REF!,"AAAAAD//X5s=")</f>
        <v>#REF!</v>
      </c>
      <c r="FA20" t="e">
        <f>AND('boilerplate specs'!#REF!,"AAAAAD//X5w=")</f>
        <v>#REF!</v>
      </c>
      <c r="FB20" t="e">
        <f>AND('boilerplate specs'!#REF!,"AAAAAD//X50=")</f>
        <v>#REF!</v>
      </c>
      <c r="FC20" t="e">
        <f>AND('boilerplate specs'!#REF!,"AAAAAD//X54=")</f>
        <v>#REF!</v>
      </c>
      <c r="FD20" t="e">
        <f>AND('boilerplate specs'!#REF!,"AAAAAD//X58=")</f>
        <v>#REF!</v>
      </c>
      <c r="FE20" t="e">
        <f>AND('boilerplate specs'!#REF!,"AAAAAD//X6A=")</f>
        <v>#REF!</v>
      </c>
      <c r="FF20" t="e">
        <f>AND('boilerplate specs'!#REF!,"AAAAAD//X6E=")</f>
        <v>#REF!</v>
      </c>
      <c r="FG20" t="e">
        <f>AND('boilerplate specs'!#REF!,"AAAAAD//X6I=")</f>
        <v>#REF!</v>
      </c>
      <c r="FH20" t="e">
        <f>AND('boilerplate specs'!#REF!,"AAAAAD//X6M=")</f>
        <v>#REF!</v>
      </c>
      <c r="FI20" t="e">
        <f>AND('boilerplate specs'!#REF!,"AAAAAD//X6Q=")</f>
        <v>#REF!</v>
      </c>
      <c r="FJ20">
        <f>IF('boilerplate specs'!92:92,"AAAAAD//X6U=",0)</f>
        <v>0</v>
      </c>
      <c r="FK20" t="e">
        <f>AND('boilerplate specs'!A92,"AAAAAD//X6Y=")</f>
        <v>#VALUE!</v>
      </c>
      <c r="FL20" t="e">
        <f>AND('boilerplate specs'!B92,"AAAAAD//X6c=")</f>
        <v>#VALUE!</v>
      </c>
      <c r="FM20" t="e">
        <f>AND('boilerplate specs'!C92,"AAAAAD//X6g=")</f>
        <v>#VALUE!</v>
      </c>
      <c r="FN20" t="e">
        <f>AND('boilerplate specs'!D92,"AAAAAD//X6k=")</f>
        <v>#VALUE!</v>
      </c>
      <c r="FO20" t="e">
        <f>AND('boilerplate specs'!E92,"AAAAAD//X6o=")</f>
        <v>#VALUE!</v>
      </c>
      <c r="FP20" t="e">
        <f>AND('boilerplate specs'!F92,"AAAAAD//X6s=")</f>
        <v>#VALUE!</v>
      </c>
      <c r="FQ20" t="e">
        <f>AND('boilerplate specs'!G92,"AAAAAD//X6w=")</f>
        <v>#VALUE!</v>
      </c>
      <c r="FR20" t="e">
        <f>AND('boilerplate specs'!H92,"AAAAAD//X60=")</f>
        <v>#VALUE!</v>
      </c>
      <c r="FS20" t="e">
        <f>AND('boilerplate specs'!I92,"AAAAAD//X64=")</f>
        <v>#VALUE!</v>
      </c>
      <c r="FT20" t="e">
        <f>AND('boilerplate specs'!J92,"AAAAAD//X68=")</f>
        <v>#VALUE!</v>
      </c>
      <c r="FU20" t="e">
        <f>AND('boilerplate specs'!#REF!,"AAAAAD//X7A=")</f>
        <v>#REF!</v>
      </c>
      <c r="FV20" t="e">
        <f>AND('boilerplate specs'!#REF!,"AAAAAD//X7E=")</f>
        <v>#REF!</v>
      </c>
      <c r="FW20" t="e">
        <f>AND('boilerplate specs'!#REF!,"AAAAAD//X7I=")</f>
        <v>#REF!</v>
      </c>
      <c r="FX20" t="e">
        <f>AND('boilerplate specs'!#REF!,"AAAAAD//X7M=")</f>
        <v>#REF!</v>
      </c>
      <c r="FY20" t="e">
        <f>AND('boilerplate specs'!#REF!,"AAAAAD//X7Q=")</f>
        <v>#REF!</v>
      </c>
      <c r="FZ20" t="e">
        <f>AND('boilerplate specs'!#REF!,"AAAAAD//X7U=")</f>
        <v>#REF!</v>
      </c>
      <c r="GA20" t="e">
        <f>AND('boilerplate specs'!#REF!,"AAAAAD//X7Y=")</f>
        <v>#REF!</v>
      </c>
      <c r="GB20" t="e">
        <f>AND('boilerplate specs'!#REF!,"AAAAAD//X7c=")</f>
        <v>#REF!</v>
      </c>
      <c r="GC20" t="e">
        <f>AND('boilerplate specs'!#REF!,"AAAAAD//X7g=")</f>
        <v>#REF!</v>
      </c>
      <c r="GD20" t="e">
        <f>AND('boilerplate specs'!#REF!,"AAAAAD//X7k=")</f>
        <v>#REF!</v>
      </c>
      <c r="GE20" t="e">
        <f>AND('boilerplate specs'!#REF!,"AAAAAD//X7o=")</f>
        <v>#REF!</v>
      </c>
      <c r="GF20" t="e">
        <f>AND('boilerplate specs'!#REF!,"AAAAAD//X7s=")</f>
        <v>#REF!</v>
      </c>
      <c r="GG20" t="e">
        <f>AND('boilerplate specs'!#REF!,"AAAAAD//X7w=")</f>
        <v>#REF!</v>
      </c>
      <c r="GH20" t="e">
        <f>AND('boilerplate specs'!#REF!,"AAAAAD//X70=")</f>
        <v>#REF!</v>
      </c>
      <c r="GI20" t="e">
        <f>AND('boilerplate specs'!#REF!,"AAAAAD//X74=")</f>
        <v>#REF!</v>
      </c>
      <c r="GJ20" t="e">
        <f>AND('boilerplate specs'!#REF!,"AAAAAD//X78=")</f>
        <v>#REF!</v>
      </c>
      <c r="GK20" t="e">
        <f>AND('boilerplate specs'!#REF!,"AAAAAD//X8A=")</f>
        <v>#REF!</v>
      </c>
      <c r="GL20" t="e">
        <f>AND('boilerplate specs'!#REF!,"AAAAAD//X8E=")</f>
        <v>#REF!</v>
      </c>
      <c r="GM20" t="e">
        <f>AND('boilerplate specs'!#REF!,"AAAAAD//X8I=")</f>
        <v>#REF!</v>
      </c>
      <c r="GN20" t="e">
        <f>AND('boilerplate specs'!#REF!,"AAAAAD//X8M=")</f>
        <v>#REF!</v>
      </c>
      <c r="GO20" t="e">
        <f>AND('boilerplate specs'!#REF!,"AAAAAD//X8Q=")</f>
        <v>#REF!</v>
      </c>
      <c r="GP20" t="e">
        <f>AND('boilerplate specs'!#REF!,"AAAAAD//X8U=")</f>
        <v>#REF!</v>
      </c>
      <c r="GQ20">
        <f>IF('boilerplate specs'!93:93,"AAAAAD//X8Y=",0)</f>
        <v>0</v>
      </c>
      <c r="GR20" t="e">
        <f>AND('boilerplate specs'!A93,"AAAAAD//X8c=")</f>
        <v>#VALUE!</v>
      </c>
      <c r="GS20" t="e">
        <f>AND('boilerplate specs'!B93,"AAAAAD//X8g=")</f>
        <v>#VALUE!</v>
      </c>
      <c r="GT20" t="e">
        <f>AND('boilerplate specs'!C93,"AAAAAD//X8k=")</f>
        <v>#VALUE!</v>
      </c>
      <c r="GU20" t="e">
        <f>AND('boilerplate specs'!D93,"AAAAAD//X8o=")</f>
        <v>#VALUE!</v>
      </c>
      <c r="GV20" t="e">
        <f>AND('boilerplate specs'!E93,"AAAAAD//X8s=")</f>
        <v>#VALUE!</v>
      </c>
      <c r="GW20" t="e">
        <f>AND('boilerplate specs'!F93,"AAAAAD//X8w=")</f>
        <v>#VALUE!</v>
      </c>
      <c r="GX20" t="e">
        <f>AND('boilerplate specs'!G93,"AAAAAD//X80=")</f>
        <v>#VALUE!</v>
      </c>
      <c r="GY20" t="e">
        <f>AND('boilerplate specs'!H93,"AAAAAD//X84=")</f>
        <v>#VALUE!</v>
      </c>
      <c r="GZ20" t="e">
        <f>AND('boilerplate specs'!I93,"AAAAAD//X88=")</f>
        <v>#VALUE!</v>
      </c>
      <c r="HA20" t="e">
        <f>AND('boilerplate specs'!J93,"AAAAAD//X9A=")</f>
        <v>#VALUE!</v>
      </c>
      <c r="HB20" t="e">
        <f>AND('boilerplate specs'!#REF!,"AAAAAD//X9E=")</f>
        <v>#REF!</v>
      </c>
      <c r="HC20" t="e">
        <f>AND('boilerplate specs'!#REF!,"AAAAAD//X9I=")</f>
        <v>#REF!</v>
      </c>
      <c r="HD20" t="e">
        <f>AND('boilerplate specs'!#REF!,"AAAAAD//X9M=")</f>
        <v>#REF!</v>
      </c>
      <c r="HE20" t="e">
        <f>AND('boilerplate specs'!#REF!,"AAAAAD//X9Q=")</f>
        <v>#REF!</v>
      </c>
      <c r="HF20" t="e">
        <f>AND('boilerplate specs'!#REF!,"AAAAAD//X9U=")</f>
        <v>#REF!</v>
      </c>
      <c r="HG20" t="e">
        <f>AND('boilerplate specs'!#REF!,"AAAAAD//X9Y=")</f>
        <v>#REF!</v>
      </c>
      <c r="HH20" t="e">
        <f>AND('boilerplate specs'!#REF!,"AAAAAD//X9c=")</f>
        <v>#REF!</v>
      </c>
      <c r="HI20" t="e">
        <f>AND('boilerplate specs'!#REF!,"AAAAAD//X9g=")</f>
        <v>#REF!</v>
      </c>
      <c r="HJ20" t="e">
        <f>AND('boilerplate specs'!#REF!,"AAAAAD//X9k=")</f>
        <v>#REF!</v>
      </c>
      <c r="HK20" t="e">
        <f>AND('boilerplate specs'!#REF!,"AAAAAD//X9o=")</f>
        <v>#REF!</v>
      </c>
      <c r="HL20" t="e">
        <f>AND('boilerplate specs'!#REF!,"AAAAAD//X9s=")</f>
        <v>#REF!</v>
      </c>
      <c r="HM20" t="e">
        <f>AND('boilerplate specs'!#REF!,"AAAAAD//X9w=")</f>
        <v>#REF!</v>
      </c>
      <c r="HN20" t="e">
        <f>AND('boilerplate specs'!#REF!,"AAAAAD//X90=")</f>
        <v>#REF!</v>
      </c>
      <c r="HO20" t="e">
        <f>AND('boilerplate specs'!#REF!,"AAAAAD//X94=")</f>
        <v>#REF!</v>
      </c>
      <c r="HP20" t="e">
        <f>AND('boilerplate specs'!#REF!,"AAAAAD//X98=")</f>
        <v>#REF!</v>
      </c>
      <c r="HQ20" t="e">
        <f>AND('boilerplate specs'!#REF!,"AAAAAD//X+A=")</f>
        <v>#REF!</v>
      </c>
      <c r="HR20" t="e">
        <f>AND('boilerplate specs'!#REF!,"AAAAAD//X+E=")</f>
        <v>#REF!</v>
      </c>
      <c r="HS20" t="e">
        <f>AND('boilerplate specs'!#REF!,"AAAAAD//X+I=")</f>
        <v>#REF!</v>
      </c>
      <c r="HT20" t="e">
        <f>AND('boilerplate specs'!#REF!,"AAAAAD//X+M=")</f>
        <v>#REF!</v>
      </c>
      <c r="HU20" t="e">
        <f>AND('boilerplate specs'!#REF!,"AAAAAD//X+Q=")</f>
        <v>#REF!</v>
      </c>
      <c r="HV20" t="e">
        <f>AND('boilerplate specs'!#REF!,"AAAAAD//X+U=")</f>
        <v>#REF!</v>
      </c>
      <c r="HW20" t="e">
        <f>AND('boilerplate specs'!#REF!,"AAAAAD//X+Y=")</f>
        <v>#REF!</v>
      </c>
      <c r="HX20">
        <f>IF('boilerplate specs'!94:94,"AAAAAD//X+c=",0)</f>
        <v>0</v>
      </c>
      <c r="HY20" t="e">
        <f>AND('boilerplate specs'!A94,"AAAAAD//X+g=")</f>
        <v>#VALUE!</v>
      </c>
      <c r="HZ20" t="e">
        <f>AND('boilerplate specs'!B94,"AAAAAD//X+k=")</f>
        <v>#VALUE!</v>
      </c>
      <c r="IA20" t="e">
        <f>AND('boilerplate specs'!C94,"AAAAAD//X+o=")</f>
        <v>#VALUE!</v>
      </c>
      <c r="IB20" t="e">
        <f>AND('boilerplate specs'!D94,"AAAAAD//X+s=")</f>
        <v>#VALUE!</v>
      </c>
      <c r="IC20" t="e">
        <f>AND('boilerplate specs'!E94,"AAAAAD//X+w=")</f>
        <v>#VALUE!</v>
      </c>
      <c r="ID20" t="e">
        <f>AND('boilerplate specs'!F94,"AAAAAD//X+0=")</f>
        <v>#VALUE!</v>
      </c>
      <c r="IE20" t="e">
        <f>AND('boilerplate specs'!G94,"AAAAAD//X+4=")</f>
        <v>#VALUE!</v>
      </c>
      <c r="IF20" t="e">
        <f>AND('boilerplate specs'!H94,"AAAAAD//X+8=")</f>
        <v>#VALUE!</v>
      </c>
      <c r="IG20" t="e">
        <f>AND('boilerplate specs'!I94,"AAAAAD//X/A=")</f>
        <v>#VALUE!</v>
      </c>
      <c r="IH20" t="e">
        <f>AND('boilerplate specs'!J94,"AAAAAD//X/E=")</f>
        <v>#VALUE!</v>
      </c>
      <c r="II20" t="e">
        <f>AND('boilerplate specs'!#REF!,"AAAAAD//X/I=")</f>
        <v>#REF!</v>
      </c>
      <c r="IJ20" t="e">
        <f>AND('boilerplate specs'!#REF!,"AAAAAD//X/M=")</f>
        <v>#REF!</v>
      </c>
      <c r="IK20" t="e">
        <f>AND('boilerplate specs'!#REF!,"AAAAAD//X/Q=")</f>
        <v>#REF!</v>
      </c>
      <c r="IL20" t="e">
        <f>AND('boilerplate specs'!#REF!,"AAAAAD//X/U=")</f>
        <v>#REF!</v>
      </c>
      <c r="IM20" t="e">
        <f>AND('boilerplate specs'!#REF!,"AAAAAD//X/Y=")</f>
        <v>#REF!</v>
      </c>
      <c r="IN20" t="e">
        <f>AND('boilerplate specs'!#REF!,"AAAAAD//X/c=")</f>
        <v>#REF!</v>
      </c>
      <c r="IO20" t="e">
        <f>AND('boilerplate specs'!#REF!,"AAAAAD//X/g=")</f>
        <v>#REF!</v>
      </c>
      <c r="IP20" t="e">
        <f>AND('boilerplate specs'!#REF!,"AAAAAD//X/k=")</f>
        <v>#REF!</v>
      </c>
      <c r="IQ20" t="e">
        <f>AND('boilerplate specs'!#REF!,"AAAAAD//X/o=")</f>
        <v>#REF!</v>
      </c>
      <c r="IR20" t="e">
        <f>AND('boilerplate specs'!#REF!,"AAAAAD//X/s=")</f>
        <v>#REF!</v>
      </c>
      <c r="IS20" t="e">
        <f>AND('boilerplate specs'!#REF!,"AAAAAD//X/w=")</f>
        <v>#REF!</v>
      </c>
      <c r="IT20" t="e">
        <f>AND('boilerplate specs'!#REF!,"AAAAAD//X/0=")</f>
        <v>#REF!</v>
      </c>
      <c r="IU20" t="e">
        <f>AND('boilerplate specs'!#REF!,"AAAAAD//X/4=")</f>
        <v>#REF!</v>
      </c>
      <c r="IV20" t="e">
        <f>AND('boilerplate specs'!#REF!,"AAAAAD//X/8=")</f>
        <v>#REF!</v>
      </c>
    </row>
    <row r="21" spans="1:256" x14ac:dyDescent="0.35">
      <c r="A21" t="e">
        <f>AND('boilerplate specs'!#REF!,"AAAAAFX9GgA=")</f>
        <v>#REF!</v>
      </c>
      <c r="B21" t="e">
        <f>AND('boilerplate specs'!#REF!,"AAAAAFX9GgE=")</f>
        <v>#REF!</v>
      </c>
      <c r="C21" t="e">
        <f>AND('boilerplate specs'!#REF!,"AAAAAFX9GgI=")</f>
        <v>#REF!</v>
      </c>
      <c r="D21" t="e">
        <f>AND('boilerplate specs'!#REF!,"AAAAAFX9GgM=")</f>
        <v>#REF!</v>
      </c>
      <c r="E21" t="e">
        <f>AND('boilerplate specs'!#REF!,"AAAAAFX9GgQ=")</f>
        <v>#REF!</v>
      </c>
      <c r="F21" t="e">
        <f>AND('boilerplate specs'!#REF!,"AAAAAFX9GgU=")</f>
        <v>#REF!</v>
      </c>
      <c r="G21" t="e">
        <f>AND('boilerplate specs'!#REF!,"AAAAAFX9GgY=")</f>
        <v>#REF!</v>
      </c>
      <c r="H21" t="e">
        <f>AND('boilerplate specs'!#REF!,"AAAAAFX9Ggc=")</f>
        <v>#REF!</v>
      </c>
      <c r="I21" t="e">
        <f>IF('boilerplate specs'!95:95,"AAAAAFX9Ggg=",0)</f>
        <v>#VALUE!</v>
      </c>
      <c r="J21" t="e">
        <f>AND('boilerplate specs'!A95,"AAAAAFX9Ggk=")</f>
        <v>#VALUE!</v>
      </c>
      <c r="K21" t="e">
        <f>AND('boilerplate specs'!B95,"AAAAAFX9Ggo=")</f>
        <v>#VALUE!</v>
      </c>
      <c r="L21" t="e">
        <f>AND('boilerplate specs'!C95,"AAAAAFX9Ggs=")</f>
        <v>#VALUE!</v>
      </c>
      <c r="M21" t="e">
        <f>AND('boilerplate specs'!D95,"AAAAAFX9Ggw=")</f>
        <v>#VALUE!</v>
      </c>
      <c r="N21" t="e">
        <f>AND('boilerplate specs'!E95,"AAAAAFX9Gg0=")</f>
        <v>#VALUE!</v>
      </c>
      <c r="O21" t="e">
        <f>AND('boilerplate specs'!F95,"AAAAAFX9Gg4=")</f>
        <v>#VALUE!</v>
      </c>
      <c r="P21" t="e">
        <f>AND('boilerplate specs'!G95,"AAAAAFX9Gg8=")</f>
        <v>#VALUE!</v>
      </c>
      <c r="Q21" t="e">
        <f>AND('boilerplate specs'!H95,"AAAAAFX9GhA=")</f>
        <v>#VALUE!</v>
      </c>
      <c r="R21" t="e">
        <f>AND('boilerplate specs'!I95,"AAAAAFX9GhE=")</f>
        <v>#VALUE!</v>
      </c>
      <c r="S21" t="e">
        <f>AND('boilerplate specs'!J95,"AAAAAFX9GhI=")</f>
        <v>#VALUE!</v>
      </c>
      <c r="T21" t="e">
        <f>AND('boilerplate specs'!#REF!,"AAAAAFX9GhM=")</f>
        <v>#REF!</v>
      </c>
      <c r="U21" t="e">
        <f>AND('boilerplate specs'!#REF!,"AAAAAFX9GhQ=")</f>
        <v>#REF!</v>
      </c>
      <c r="V21" t="e">
        <f>AND('boilerplate specs'!#REF!,"AAAAAFX9GhU=")</f>
        <v>#REF!</v>
      </c>
      <c r="W21" t="e">
        <f>AND('boilerplate specs'!#REF!,"AAAAAFX9GhY=")</f>
        <v>#REF!</v>
      </c>
      <c r="X21" t="e">
        <f>AND('boilerplate specs'!#REF!,"AAAAAFX9Ghc=")</f>
        <v>#REF!</v>
      </c>
      <c r="Y21" t="e">
        <f>AND('boilerplate specs'!#REF!,"AAAAAFX9Ghg=")</f>
        <v>#REF!</v>
      </c>
      <c r="Z21" t="e">
        <f>AND('boilerplate specs'!#REF!,"AAAAAFX9Ghk=")</f>
        <v>#REF!</v>
      </c>
      <c r="AA21" t="e">
        <f>AND('boilerplate specs'!#REF!,"AAAAAFX9Gho=")</f>
        <v>#REF!</v>
      </c>
      <c r="AB21" t="e">
        <f>AND('boilerplate specs'!#REF!,"AAAAAFX9Ghs=")</f>
        <v>#REF!</v>
      </c>
      <c r="AC21" t="e">
        <f>AND('boilerplate specs'!#REF!,"AAAAAFX9Ghw=")</f>
        <v>#REF!</v>
      </c>
      <c r="AD21" t="e">
        <f>AND('boilerplate specs'!#REF!,"AAAAAFX9Gh0=")</f>
        <v>#REF!</v>
      </c>
      <c r="AE21" t="e">
        <f>AND('boilerplate specs'!#REF!,"AAAAAFX9Gh4=")</f>
        <v>#REF!</v>
      </c>
      <c r="AF21" t="e">
        <f>AND('boilerplate specs'!#REF!,"AAAAAFX9Gh8=")</f>
        <v>#REF!</v>
      </c>
      <c r="AG21" t="e">
        <f>AND('boilerplate specs'!#REF!,"AAAAAFX9GiA=")</f>
        <v>#REF!</v>
      </c>
      <c r="AH21" t="e">
        <f>AND('boilerplate specs'!#REF!,"AAAAAFX9GiE=")</f>
        <v>#REF!</v>
      </c>
      <c r="AI21" t="e">
        <f>AND('boilerplate specs'!#REF!,"AAAAAFX9GiI=")</f>
        <v>#REF!</v>
      </c>
      <c r="AJ21" t="e">
        <f>AND('boilerplate specs'!#REF!,"AAAAAFX9GiM=")</f>
        <v>#REF!</v>
      </c>
      <c r="AK21" t="e">
        <f>AND('boilerplate specs'!#REF!,"AAAAAFX9GiQ=")</f>
        <v>#REF!</v>
      </c>
      <c r="AL21" t="e">
        <f>AND('boilerplate specs'!#REF!,"AAAAAFX9GiU=")</f>
        <v>#REF!</v>
      </c>
      <c r="AM21" t="e">
        <f>AND('boilerplate specs'!#REF!,"AAAAAFX9GiY=")</f>
        <v>#REF!</v>
      </c>
      <c r="AN21" t="e">
        <f>AND('boilerplate specs'!#REF!,"AAAAAFX9Gic=")</f>
        <v>#REF!</v>
      </c>
      <c r="AO21" t="e">
        <f>AND('boilerplate specs'!#REF!,"AAAAAFX9Gig=")</f>
        <v>#REF!</v>
      </c>
      <c r="AP21">
        <f>IF('boilerplate specs'!96:96,"AAAAAFX9Gik=",0)</f>
        <v>0</v>
      </c>
      <c r="AQ21" t="e">
        <f>AND('boilerplate specs'!A96,"AAAAAFX9Gio=")</f>
        <v>#VALUE!</v>
      </c>
      <c r="AR21" t="e">
        <f>AND('boilerplate specs'!B96,"AAAAAFX9Gis=")</f>
        <v>#VALUE!</v>
      </c>
      <c r="AS21" t="e">
        <f>AND('boilerplate specs'!C96,"AAAAAFX9Giw=")</f>
        <v>#VALUE!</v>
      </c>
      <c r="AT21" t="e">
        <f>AND('boilerplate specs'!D96,"AAAAAFX9Gi0=")</f>
        <v>#VALUE!</v>
      </c>
      <c r="AU21" t="e">
        <f>AND('boilerplate specs'!E96,"AAAAAFX9Gi4=")</f>
        <v>#VALUE!</v>
      </c>
      <c r="AV21" t="e">
        <f>AND('boilerplate specs'!F96,"AAAAAFX9Gi8=")</f>
        <v>#VALUE!</v>
      </c>
      <c r="AW21" t="e">
        <f>AND('boilerplate specs'!G96,"AAAAAFX9GjA=")</f>
        <v>#VALUE!</v>
      </c>
      <c r="AX21" t="e">
        <f>AND('boilerplate specs'!H96,"AAAAAFX9GjE=")</f>
        <v>#VALUE!</v>
      </c>
      <c r="AY21" t="e">
        <f>AND('boilerplate specs'!I96,"AAAAAFX9GjI=")</f>
        <v>#VALUE!</v>
      </c>
      <c r="AZ21" t="e">
        <f>AND('boilerplate specs'!J96,"AAAAAFX9GjM=")</f>
        <v>#VALUE!</v>
      </c>
      <c r="BA21" t="e">
        <f>AND('boilerplate specs'!#REF!,"AAAAAFX9GjQ=")</f>
        <v>#REF!</v>
      </c>
      <c r="BB21" t="e">
        <f>AND('boilerplate specs'!#REF!,"AAAAAFX9GjU=")</f>
        <v>#REF!</v>
      </c>
      <c r="BC21" t="e">
        <f>AND('boilerplate specs'!#REF!,"AAAAAFX9GjY=")</f>
        <v>#REF!</v>
      </c>
      <c r="BD21" t="e">
        <f>AND('boilerplate specs'!#REF!,"AAAAAFX9Gjc=")</f>
        <v>#REF!</v>
      </c>
      <c r="BE21" t="e">
        <f>AND('boilerplate specs'!#REF!,"AAAAAFX9Gjg=")</f>
        <v>#REF!</v>
      </c>
      <c r="BF21" t="e">
        <f>AND('boilerplate specs'!#REF!,"AAAAAFX9Gjk=")</f>
        <v>#REF!</v>
      </c>
      <c r="BG21" t="e">
        <f>AND('boilerplate specs'!#REF!,"AAAAAFX9Gjo=")</f>
        <v>#REF!</v>
      </c>
      <c r="BH21" t="e">
        <f>AND('boilerplate specs'!#REF!,"AAAAAFX9Gjs=")</f>
        <v>#REF!</v>
      </c>
      <c r="BI21" t="e">
        <f>AND('boilerplate specs'!#REF!,"AAAAAFX9Gjw=")</f>
        <v>#REF!</v>
      </c>
      <c r="BJ21" t="e">
        <f>AND('boilerplate specs'!#REF!,"AAAAAFX9Gj0=")</f>
        <v>#REF!</v>
      </c>
      <c r="BK21" t="e">
        <f>AND('boilerplate specs'!#REF!,"AAAAAFX9Gj4=")</f>
        <v>#REF!</v>
      </c>
      <c r="BL21" t="e">
        <f>AND('boilerplate specs'!#REF!,"AAAAAFX9Gj8=")</f>
        <v>#REF!</v>
      </c>
      <c r="BM21" t="e">
        <f>AND('boilerplate specs'!#REF!,"AAAAAFX9GkA=")</f>
        <v>#REF!</v>
      </c>
      <c r="BN21" t="e">
        <f>AND('boilerplate specs'!#REF!,"AAAAAFX9GkE=")</f>
        <v>#REF!</v>
      </c>
      <c r="BO21" t="e">
        <f>AND('boilerplate specs'!#REF!,"AAAAAFX9GkI=")</f>
        <v>#REF!</v>
      </c>
      <c r="BP21" t="e">
        <f>AND('boilerplate specs'!#REF!,"AAAAAFX9GkM=")</f>
        <v>#REF!</v>
      </c>
      <c r="BQ21" t="e">
        <f>AND('boilerplate specs'!#REF!,"AAAAAFX9GkQ=")</f>
        <v>#REF!</v>
      </c>
      <c r="BR21" t="e">
        <f>AND('boilerplate specs'!#REF!,"AAAAAFX9GkU=")</f>
        <v>#REF!</v>
      </c>
      <c r="BS21" t="e">
        <f>AND('boilerplate specs'!#REF!,"AAAAAFX9GkY=")</f>
        <v>#REF!</v>
      </c>
      <c r="BT21" t="e">
        <f>AND('boilerplate specs'!#REF!,"AAAAAFX9Gkc=")</f>
        <v>#REF!</v>
      </c>
      <c r="BU21" t="e">
        <f>AND('boilerplate specs'!#REF!,"AAAAAFX9Gkg=")</f>
        <v>#REF!</v>
      </c>
      <c r="BV21" t="e">
        <f>AND('boilerplate specs'!#REF!,"AAAAAFX9Gkk=")</f>
        <v>#REF!</v>
      </c>
      <c r="BW21">
        <f>IF('boilerplate specs'!97:97,"AAAAAFX9Gko=",0)</f>
        <v>0</v>
      </c>
      <c r="BX21" t="e">
        <f>AND('boilerplate specs'!A97,"AAAAAFX9Gks=")</f>
        <v>#VALUE!</v>
      </c>
      <c r="BY21" t="e">
        <f>AND('boilerplate specs'!B97,"AAAAAFX9Gkw=")</f>
        <v>#VALUE!</v>
      </c>
      <c r="BZ21" t="e">
        <f>AND('boilerplate specs'!C97,"AAAAAFX9Gk0=")</f>
        <v>#VALUE!</v>
      </c>
      <c r="CA21" t="e">
        <f>AND('boilerplate specs'!D97,"AAAAAFX9Gk4=")</f>
        <v>#VALUE!</v>
      </c>
      <c r="CB21" t="e">
        <f>AND('boilerplate specs'!E97,"AAAAAFX9Gk8=")</f>
        <v>#VALUE!</v>
      </c>
      <c r="CC21" t="e">
        <f>AND('boilerplate specs'!F97,"AAAAAFX9GlA=")</f>
        <v>#VALUE!</v>
      </c>
      <c r="CD21" t="e">
        <f>AND('boilerplate specs'!G97,"AAAAAFX9GlE=")</f>
        <v>#VALUE!</v>
      </c>
      <c r="CE21" t="e">
        <f>AND('boilerplate specs'!H97,"AAAAAFX9GlI=")</f>
        <v>#VALUE!</v>
      </c>
      <c r="CF21" t="e">
        <f>AND('boilerplate specs'!I97,"AAAAAFX9GlM=")</f>
        <v>#VALUE!</v>
      </c>
      <c r="CG21" t="e">
        <f>AND('boilerplate specs'!J97,"AAAAAFX9GlQ=")</f>
        <v>#VALUE!</v>
      </c>
      <c r="CH21" t="e">
        <f>AND('boilerplate specs'!#REF!,"AAAAAFX9GlU=")</f>
        <v>#REF!</v>
      </c>
      <c r="CI21" t="e">
        <f>AND('boilerplate specs'!#REF!,"AAAAAFX9GlY=")</f>
        <v>#REF!</v>
      </c>
      <c r="CJ21" t="e">
        <f>AND('boilerplate specs'!#REF!,"AAAAAFX9Glc=")</f>
        <v>#REF!</v>
      </c>
      <c r="CK21" t="e">
        <f>AND('boilerplate specs'!#REF!,"AAAAAFX9Glg=")</f>
        <v>#REF!</v>
      </c>
      <c r="CL21" t="e">
        <f>AND('boilerplate specs'!#REF!,"AAAAAFX9Glk=")</f>
        <v>#REF!</v>
      </c>
      <c r="CM21" t="e">
        <f>AND('boilerplate specs'!#REF!,"AAAAAFX9Glo=")</f>
        <v>#REF!</v>
      </c>
      <c r="CN21" t="e">
        <f>AND('boilerplate specs'!#REF!,"AAAAAFX9Gls=")</f>
        <v>#REF!</v>
      </c>
      <c r="CO21" t="e">
        <f>AND('boilerplate specs'!#REF!,"AAAAAFX9Glw=")</f>
        <v>#REF!</v>
      </c>
      <c r="CP21" t="e">
        <f>AND('boilerplate specs'!#REF!,"AAAAAFX9Gl0=")</f>
        <v>#REF!</v>
      </c>
      <c r="CQ21" t="e">
        <f>AND('boilerplate specs'!#REF!,"AAAAAFX9Gl4=")</f>
        <v>#REF!</v>
      </c>
      <c r="CR21" t="e">
        <f>AND('boilerplate specs'!#REF!,"AAAAAFX9Gl8=")</f>
        <v>#REF!</v>
      </c>
      <c r="CS21" t="e">
        <f>AND('boilerplate specs'!#REF!,"AAAAAFX9GmA=")</f>
        <v>#REF!</v>
      </c>
      <c r="CT21" t="e">
        <f>AND('boilerplate specs'!#REF!,"AAAAAFX9GmE=")</f>
        <v>#REF!</v>
      </c>
      <c r="CU21" t="e">
        <f>AND('boilerplate specs'!#REF!,"AAAAAFX9GmI=")</f>
        <v>#REF!</v>
      </c>
      <c r="CV21" t="e">
        <f>AND('boilerplate specs'!#REF!,"AAAAAFX9GmM=")</f>
        <v>#REF!</v>
      </c>
      <c r="CW21" t="e">
        <f>AND('boilerplate specs'!#REF!,"AAAAAFX9GmQ=")</f>
        <v>#REF!</v>
      </c>
      <c r="CX21" t="e">
        <f>AND('boilerplate specs'!#REF!,"AAAAAFX9GmU=")</f>
        <v>#REF!</v>
      </c>
      <c r="CY21" t="e">
        <f>AND('boilerplate specs'!#REF!,"AAAAAFX9GmY=")</f>
        <v>#REF!</v>
      </c>
      <c r="CZ21" t="e">
        <f>AND('boilerplate specs'!#REF!,"AAAAAFX9Gmc=")</f>
        <v>#REF!</v>
      </c>
      <c r="DA21" t="e">
        <f>AND('boilerplate specs'!#REF!,"AAAAAFX9Gmg=")</f>
        <v>#REF!</v>
      </c>
      <c r="DB21" t="e">
        <f>AND('boilerplate specs'!#REF!,"AAAAAFX9Gmk=")</f>
        <v>#REF!</v>
      </c>
      <c r="DC21" t="e">
        <f>AND('boilerplate specs'!#REF!,"AAAAAFX9Gmo=")</f>
        <v>#REF!</v>
      </c>
      <c r="DD21">
        <f>IF('boilerplate specs'!98:98,"AAAAAFX9Gms=",0)</f>
        <v>0</v>
      </c>
      <c r="DE21" t="e">
        <f>AND('boilerplate specs'!A98,"AAAAAFX9Gmw=")</f>
        <v>#VALUE!</v>
      </c>
      <c r="DF21" t="e">
        <f>AND('boilerplate specs'!B98,"AAAAAFX9Gm0=")</f>
        <v>#VALUE!</v>
      </c>
      <c r="DG21" t="e">
        <f>AND('boilerplate specs'!C98,"AAAAAFX9Gm4=")</f>
        <v>#VALUE!</v>
      </c>
      <c r="DH21" t="e">
        <f>AND('boilerplate specs'!D98,"AAAAAFX9Gm8=")</f>
        <v>#VALUE!</v>
      </c>
      <c r="DI21" t="e">
        <f>AND('boilerplate specs'!E98,"AAAAAFX9GnA=")</f>
        <v>#VALUE!</v>
      </c>
      <c r="DJ21" t="e">
        <f>AND('boilerplate specs'!F98,"AAAAAFX9GnE=")</f>
        <v>#VALUE!</v>
      </c>
      <c r="DK21" t="e">
        <f>AND('boilerplate specs'!G98,"AAAAAFX9GnI=")</f>
        <v>#VALUE!</v>
      </c>
      <c r="DL21" t="e">
        <f>AND('boilerplate specs'!H98,"AAAAAFX9GnM=")</f>
        <v>#VALUE!</v>
      </c>
      <c r="DM21" t="e">
        <f>AND('boilerplate specs'!I98,"AAAAAFX9GnQ=")</f>
        <v>#VALUE!</v>
      </c>
      <c r="DN21" t="e">
        <f>AND('boilerplate specs'!J98,"AAAAAFX9GnU=")</f>
        <v>#VALUE!</v>
      </c>
      <c r="DO21" t="e">
        <f>AND('boilerplate specs'!#REF!,"AAAAAFX9GnY=")</f>
        <v>#REF!</v>
      </c>
      <c r="DP21" t="e">
        <f>AND('boilerplate specs'!#REF!,"AAAAAFX9Gnc=")</f>
        <v>#REF!</v>
      </c>
      <c r="DQ21" t="e">
        <f>AND('boilerplate specs'!#REF!,"AAAAAFX9Gng=")</f>
        <v>#REF!</v>
      </c>
      <c r="DR21" t="e">
        <f>AND('boilerplate specs'!#REF!,"AAAAAFX9Gnk=")</f>
        <v>#REF!</v>
      </c>
      <c r="DS21" t="e">
        <f>AND('boilerplate specs'!#REF!,"AAAAAFX9Gno=")</f>
        <v>#REF!</v>
      </c>
      <c r="DT21" t="e">
        <f>AND('boilerplate specs'!#REF!,"AAAAAFX9Gns=")</f>
        <v>#REF!</v>
      </c>
      <c r="DU21" t="e">
        <f>AND('boilerplate specs'!#REF!,"AAAAAFX9Gnw=")</f>
        <v>#REF!</v>
      </c>
      <c r="DV21" t="e">
        <f>AND('boilerplate specs'!#REF!,"AAAAAFX9Gn0=")</f>
        <v>#REF!</v>
      </c>
      <c r="DW21" t="e">
        <f>AND('boilerplate specs'!#REF!,"AAAAAFX9Gn4=")</f>
        <v>#REF!</v>
      </c>
      <c r="DX21" t="e">
        <f>AND('boilerplate specs'!#REF!,"AAAAAFX9Gn8=")</f>
        <v>#REF!</v>
      </c>
      <c r="DY21" t="e">
        <f>AND('boilerplate specs'!#REF!,"AAAAAFX9GoA=")</f>
        <v>#REF!</v>
      </c>
      <c r="DZ21" t="e">
        <f>AND('boilerplate specs'!#REF!,"AAAAAFX9GoE=")</f>
        <v>#REF!</v>
      </c>
      <c r="EA21" t="e">
        <f>AND('boilerplate specs'!#REF!,"AAAAAFX9GoI=")</f>
        <v>#REF!</v>
      </c>
      <c r="EB21" t="e">
        <f>AND('boilerplate specs'!#REF!,"AAAAAFX9GoM=")</f>
        <v>#REF!</v>
      </c>
      <c r="EC21" t="e">
        <f>AND('boilerplate specs'!#REF!,"AAAAAFX9GoQ=")</f>
        <v>#REF!</v>
      </c>
      <c r="ED21" t="e">
        <f>AND('boilerplate specs'!#REF!,"AAAAAFX9GoU=")</f>
        <v>#REF!</v>
      </c>
      <c r="EE21" t="e">
        <f>AND('boilerplate specs'!#REF!,"AAAAAFX9GoY=")</f>
        <v>#REF!</v>
      </c>
      <c r="EF21" t="e">
        <f>AND('boilerplate specs'!#REF!,"AAAAAFX9Goc=")</f>
        <v>#REF!</v>
      </c>
      <c r="EG21" t="e">
        <f>AND('boilerplate specs'!#REF!,"AAAAAFX9Gog=")</f>
        <v>#REF!</v>
      </c>
      <c r="EH21" t="e">
        <f>AND('boilerplate specs'!#REF!,"AAAAAFX9Gok=")</f>
        <v>#REF!</v>
      </c>
      <c r="EI21" t="e">
        <f>AND('boilerplate specs'!#REF!,"AAAAAFX9Goo=")</f>
        <v>#REF!</v>
      </c>
      <c r="EJ21" t="e">
        <f>AND('boilerplate specs'!#REF!,"AAAAAFX9Gos=")</f>
        <v>#REF!</v>
      </c>
      <c r="EK21">
        <f>IF('boilerplate specs'!99:99,"AAAAAFX9Gow=",0)</f>
        <v>0</v>
      </c>
      <c r="EL21" t="e">
        <f>AND('boilerplate specs'!A99,"AAAAAFX9Go0=")</f>
        <v>#VALUE!</v>
      </c>
      <c r="EM21" t="e">
        <f>AND('boilerplate specs'!B99,"AAAAAFX9Go4=")</f>
        <v>#VALUE!</v>
      </c>
      <c r="EN21" t="e">
        <f>AND('boilerplate specs'!C99,"AAAAAFX9Go8=")</f>
        <v>#VALUE!</v>
      </c>
      <c r="EO21" t="e">
        <f>AND('boilerplate specs'!D99,"AAAAAFX9GpA=")</f>
        <v>#VALUE!</v>
      </c>
      <c r="EP21" t="e">
        <f>AND('boilerplate specs'!E99,"AAAAAFX9GpE=")</f>
        <v>#VALUE!</v>
      </c>
      <c r="EQ21" t="e">
        <f>AND('boilerplate specs'!F99,"AAAAAFX9GpI=")</f>
        <v>#VALUE!</v>
      </c>
      <c r="ER21" t="e">
        <f>AND('boilerplate specs'!G99,"AAAAAFX9GpM=")</f>
        <v>#VALUE!</v>
      </c>
      <c r="ES21" t="e">
        <f>AND('boilerplate specs'!H99,"AAAAAFX9GpQ=")</f>
        <v>#VALUE!</v>
      </c>
      <c r="ET21" t="e">
        <f>AND('boilerplate specs'!I99,"AAAAAFX9GpU=")</f>
        <v>#VALUE!</v>
      </c>
      <c r="EU21" t="e">
        <f>AND('boilerplate specs'!J99,"AAAAAFX9GpY=")</f>
        <v>#VALUE!</v>
      </c>
      <c r="EV21" t="e">
        <f>AND('boilerplate specs'!#REF!,"AAAAAFX9Gpc=")</f>
        <v>#REF!</v>
      </c>
      <c r="EW21" t="e">
        <f>AND('boilerplate specs'!#REF!,"AAAAAFX9Gpg=")</f>
        <v>#REF!</v>
      </c>
      <c r="EX21" t="e">
        <f>AND('boilerplate specs'!#REF!,"AAAAAFX9Gpk=")</f>
        <v>#REF!</v>
      </c>
      <c r="EY21" t="e">
        <f>AND('boilerplate specs'!#REF!,"AAAAAFX9Gpo=")</f>
        <v>#REF!</v>
      </c>
      <c r="EZ21" t="e">
        <f>AND('boilerplate specs'!#REF!,"AAAAAFX9Gps=")</f>
        <v>#REF!</v>
      </c>
      <c r="FA21" t="e">
        <f>AND('boilerplate specs'!#REF!,"AAAAAFX9Gpw=")</f>
        <v>#REF!</v>
      </c>
      <c r="FB21" t="e">
        <f>AND('boilerplate specs'!#REF!,"AAAAAFX9Gp0=")</f>
        <v>#REF!</v>
      </c>
      <c r="FC21" t="e">
        <f>AND('boilerplate specs'!#REF!,"AAAAAFX9Gp4=")</f>
        <v>#REF!</v>
      </c>
      <c r="FD21" t="e">
        <f>AND('boilerplate specs'!#REF!,"AAAAAFX9Gp8=")</f>
        <v>#REF!</v>
      </c>
      <c r="FE21" t="e">
        <f>AND('boilerplate specs'!#REF!,"AAAAAFX9GqA=")</f>
        <v>#REF!</v>
      </c>
      <c r="FF21" t="e">
        <f>AND('boilerplate specs'!#REF!,"AAAAAFX9GqE=")</f>
        <v>#REF!</v>
      </c>
      <c r="FG21" t="e">
        <f>AND('boilerplate specs'!#REF!,"AAAAAFX9GqI=")</f>
        <v>#REF!</v>
      </c>
      <c r="FH21" t="e">
        <f>AND('boilerplate specs'!#REF!,"AAAAAFX9GqM=")</f>
        <v>#REF!</v>
      </c>
      <c r="FI21" t="e">
        <f>AND('boilerplate specs'!#REF!,"AAAAAFX9GqQ=")</f>
        <v>#REF!</v>
      </c>
      <c r="FJ21" t="e">
        <f>AND('boilerplate specs'!#REF!,"AAAAAFX9GqU=")</f>
        <v>#REF!</v>
      </c>
      <c r="FK21" t="e">
        <f>AND('boilerplate specs'!#REF!,"AAAAAFX9GqY=")</f>
        <v>#REF!</v>
      </c>
      <c r="FL21" t="e">
        <f>AND('boilerplate specs'!#REF!,"AAAAAFX9Gqc=")</f>
        <v>#REF!</v>
      </c>
      <c r="FM21" t="e">
        <f>AND('boilerplate specs'!#REF!,"AAAAAFX9Gqg=")</f>
        <v>#REF!</v>
      </c>
      <c r="FN21" t="e">
        <f>AND('boilerplate specs'!#REF!,"AAAAAFX9Gqk=")</f>
        <v>#REF!</v>
      </c>
      <c r="FO21" t="e">
        <f>AND('boilerplate specs'!#REF!,"AAAAAFX9Gqo=")</f>
        <v>#REF!</v>
      </c>
      <c r="FP21" t="e">
        <f>AND('boilerplate specs'!#REF!,"AAAAAFX9Gqs=")</f>
        <v>#REF!</v>
      </c>
      <c r="FQ21" t="e">
        <f>AND('boilerplate specs'!#REF!,"AAAAAFX9Gqw=")</f>
        <v>#REF!</v>
      </c>
      <c r="FR21">
        <f>IF('boilerplate specs'!100:100,"AAAAAFX9Gq0=",0)</f>
        <v>0</v>
      </c>
      <c r="FS21" t="e">
        <f>AND('boilerplate specs'!A100,"AAAAAFX9Gq4=")</f>
        <v>#VALUE!</v>
      </c>
      <c r="FT21" t="e">
        <f>AND('boilerplate specs'!B100,"AAAAAFX9Gq8=")</f>
        <v>#VALUE!</v>
      </c>
      <c r="FU21" t="e">
        <f>AND('boilerplate specs'!C100,"AAAAAFX9GrA=")</f>
        <v>#VALUE!</v>
      </c>
      <c r="FV21" t="e">
        <f>AND('boilerplate specs'!D100,"AAAAAFX9GrE=")</f>
        <v>#VALUE!</v>
      </c>
      <c r="FW21" t="e">
        <f>AND('boilerplate specs'!E100,"AAAAAFX9GrI=")</f>
        <v>#VALUE!</v>
      </c>
      <c r="FX21" t="e">
        <f>AND('boilerplate specs'!F100,"AAAAAFX9GrM=")</f>
        <v>#VALUE!</v>
      </c>
      <c r="FY21" t="e">
        <f>AND('boilerplate specs'!G100,"AAAAAFX9GrQ=")</f>
        <v>#VALUE!</v>
      </c>
      <c r="FZ21" t="e">
        <f>AND('boilerplate specs'!H100,"AAAAAFX9GrU=")</f>
        <v>#VALUE!</v>
      </c>
      <c r="GA21" t="e">
        <f>AND('boilerplate specs'!I100,"AAAAAFX9GrY=")</f>
        <v>#VALUE!</v>
      </c>
      <c r="GB21" t="e">
        <f>AND('boilerplate specs'!J100,"AAAAAFX9Grc=")</f>
        <v>#VALUE!</v>
      </c>
      <c r="GC21" t="e">
        <f>AND('boilerplate specs'!#REF!,"AAAAAFX9Grg=")</f>
        <v>#REF!</v>
      </c>
      <c r="GD21" t="e">
        <f>AND('boilerplate specs'!#REF!,"AAAAAFX9Grk=")</f>
        <v>#REF!</v>
      </c>
      <c r="GE21" t="e">
        <f>AND('boilerplate specs'!#REF!,"AAAAAFX9Gro=")</f>
        <v>#REF!</v>
      </c>
      <c r="GF21" t="e">
        <f>AND('boilerplate specs'!#REF!,"AAAAAFX9Grs=")</f>
        <v>#REF!</v>
      </c>
      <c r="GG21" t="e">
        <f>AND('boilerplate specs'!#REF!,"AAAAAFX9Grw=")</f>
        <v>#REF!</v>
      </c>
      <c r="GH21" t="e">
        <f>AND('boilerplate specs'!#REF!,"AAAAAFX9Gr0=")</f>
        <v>#REF!</v>
      </c>
      <c r="GI21" t="e">
        <f>AND('boilerplate specs'!#REF!,"AAAAAFX9Gr4=")</f>
        <v>#REF!</v>
      </c>
      <c r="GJ21" t="e">
        <f>AND('boilerplate specs'!#REF!,"AAAAAFX9Gr8=")</f>
        <v>#REF!</v>
      </c>
      <c r="GK21" t="e">
        <f>AND('boilerplate specs'!#REF!,"AAAAAFX9GsA=")</f>
        <v>#REF!</v>
      </c>
      <c r="GL21" t="e">
        <f>AND('boilerplate specs'!#REF!,"AAAAAFX9GsE=")</f>
        <v>#REF!</v>
      </c>
      <c r="GM21" t="e">
        <f>AND('boilerplate specs'!#REF!,"AAAAAFX9GsI=")</f>
        <v>#REF!</v>
      </c>
      <c r="GN21" t="e">
        <f>AND('boilerplate specs'!#REF!,"AAAAAFX9GsM=")</f>
        <v>#REF!</v>
      </c>
      <c r="GO21" t="e">
        <f>AND('boilerplate specs'!#REF!,"AAAAAFX9GsQ=")</f>
        <v>#REF!</v>
      </c>
      <c r="GP21" t="e">
        <f>AND('boilerplate specs'!#REF!,"AAAAAFX9GsU=")</f>
        <v>#REF!</v>
      </c>
      <c r="GQ21" t="e">
        <f>AND('boilerplate specs'!#REF!,"AAAAAFX9GsY=")</f>
        <v>#REF!</v>
      </c>
      <c r="GR21" t="e">
        <f>AND('boilerplate specs'!#REF!,"AAAAAFX9Gsc=")</f>
        <v>#REF!</v>
      </c>
      <c r="GS21" t="e">
        <f>AND('boilerplate specs'!#REF!,"AAAAAFX9Gsg=")</f>
        <v>#REF!</v>
      </c>
      <c r="GT21" t="e">
        <f>AND('boilerplate specs'!#REF!,"AAAAAFX9Gsk=")</f>
        <v>#REF!</v>
      </c>
      <c r="GU21" t="e">
        <f>AND('boilerplate specs'!#REF!,"AAAAAFX9Gso=")</f>
        <v>#REF!</v>
      </c>
      <c r="GV21" t="e">
        <f>AND('boilerplate specs'!#REF!,"AAAAAFX9Gss=")</f>
        <v>#REF!</v>
      </c>
      <c r="GW21" t="e">
        <f>AND('boilerplate specs'!#REF!,"AAAAAFX9Gsw=")</f>
        <v>#REF!</v>
      </c>
      <c r="GX21" t="e">
        <f>AND('boilerplate specs'!#REF!,"AAAAAFX9Gs0=")</f>
        <v>#REF!</v>
      </c>
      <c r="GY21">
        <f>IF('boilerplate specs'!101:101,"AAAAAFX9Gs4=",0)</f>
        <v>0</v>
      </c>
      <c r="GZ21" t="e">
        <f>AND('boilerplate specs'!A101,"AAAAAFX9Gs8=")</f>
        <v>#VALUE!</v>
      </c>
      <c r="HA21" t="e">
        <f>AND('boilerplate specs'!B101,"AAAAAFX9GtA=")</f>
        <v>#VALUE!</v>
      </c>
      <c r="HB21" t="e">
        <f>AND('boilerplate specs'!C101,"AAAAAFX9GtE=")</f>
        <v>#VALUE!</v>
      </c>
      <c r="HC21" t="e">
        <f>AND('boilerplate specs'!D101,"AAAAAFX9GtI=")</f>
        <v>#VALUE!</v>
      </c>
      <c r="HD21" t="e">
        <f>AND('boilerplate specs'!E101,"AAAAAFX9GtM=")</f>
        <v>#VALUE!</v>
      </c>
      <c r="HE21" t="e">
        <f>AND('boilerplate specs'!F101,"AAAAAFX9GtQ=")</f>
        <v>#VALUE!</v>
      </c>
      <c r="HF21" t="e">
        <f>AND('boilerplate specs'!G101,"AAAAAFX9GtU=")</f>
        <v>#VALUE!</v>
      </c>
      <c r="HG21" t="e">
        <f>AND('boilerplate specs'!H101,"AAAAAFX9GtY=")</f>
        <v>#VALUE!</v>
      </c>
      <c r="HH21" t="e">
        <f>AND('boilerplate specs'!I101,"AAAAAFX9Gtc=")</f>
        <v>#VALUE!</v>
      </c>
      <c r="HI21" t="e">
        <f>AND('boilerplate specs'!J101,"AAAAAFX9Gtg=")</f>
        <v>#VALUE!</v>
      </c>
      <c r="HJ21" t="e">
        <f>AND('boilerplate specs'!#REF!,"AAAAAFX9Gtk=")</f>
        <v>#REF!</v>
      </c>
      <c r="HK21" t="e">
        <f>AND('boilerplate specs'!#REF!,"AAAAAFX9Gto=")</f>
        <v>#REF!</v>
      </c>
      <c r="HL21" t="e">
        <f>AND('boilerplate specs'!#REF!,"AAAAAFX9Gts=")</f>
        <v>#REF!</v>
      </c>
      <c r="HM21" t="e">
        <f>AND('boilerplate specs'!#REF!,"AAAAAFX9Gtw=")</f>
        <v>#REF!</v>
      </c>
      <c r="HN21" t="e">
        <f>AND('boilerplate specs'!#REF!,"AAAAAFX9Gt0=")</f>
        <v>#REF!</v>
      </c>
      <c r="HO21" t="e">
        <f>AND('boilerplate specs'!#REF!,"AAAAAFX9Gt4=")</f>
        <v>#REF!</v>
      </c>
      <c r="HP21" t="e">
        <f>AND('boilerplate specs'!#REF!,"AAAAAFX9Gt8=")</f>
        <v>#REF!</v>
      </c>
      <c r="HQ21" t="e">
        <f>AND('boilerplate specs'!#REF!,"AAAAAFX9GuA=")</f>
        <v>#REF!</v>
      </c>
      <c r="HR21" t="e">
        <f>AND('boilerplate specs'!#REF!,"AAAAAFX9GuE=")</f>
        <v>#REF!</v>
      </c>
      <c r="HS21" t="e">
        <f>AND('boilerplate specs'!#REF!,"AAAAAFX9GuI=")</f>
        <v>#REF!</v>
      </c>
      <c r="HT21" t="e">
        <f>AND('boilerplate specs'!#REF!,"AAAAAFX9GuM=")</f>
        <v>#REF!</v>
      </c>
      <c r="HU21" t="e">
        <f>AND('boilerplate specs'!#REF!,"AAAAAFX9GuQ=")</f>
        <v>#REF!</v>
      </c>
      <c r="HV21" t="e">
        <f>AND('boilerplate specs'!#REF!,"AAAAAFX9GuU=")</f>
        <v>#REF!</v>
      </c>
      <c r="HW21" t="e">
        <f>AND('boilerplate specs'!#REF!,"AAAAAFX9GuY=")</f>
        <v>#REF!</v>
      </c>
      <c r="HX21" t="e">
        <f>AND('boilerplate specs'!#REF!,"AAAAAFX9Guc=")</f>
        <v>#REF!</v>
      </c>
      <c r="HY21" t="e">
        <f>AND('boilerplate specs'!#REF!,"AAAAAFX9Gug=")</f>
        <v>#REF!</v>
      </c>
      <c r="HZ21" t="e">
        <f>AND('boilerplate specs'!#REF!,"AAAAAFX9Guk=")</f>
        <v>#REF!</v>
      </c>
      <c r="IA21" t="e">
        <f>AND('boilerplate specs'!#REF!,"AAAAAFX9Guo=")</f>
        <v>#REF!</v>
      </c>
      <c r="IB21" t="e">
        <f>AND('boilerplate specs'!#REF!,"AAAAAFX9Gus=")</f>
        <v>#REF!</v>
      </c>
      <c r="IC21" t="e">
        <f>AND('boilerplate specs'!#REF!,"AAAAAFX9Guw=")</f>
        <v>#REF!</v>
      </c>
      <c r="ID21" t="e">
        <f>AND('boilerplate specs'!#REF!,"AAAAAFX9Gu0=")</f>
        <v>#REF!</v>
      </c>
      <c r="IE21" t="e">
        <f>AND('boilerplate specs'!#REF!,"AAAAAFX9Gu4=")</f>
        <v>#REF!</v>
      </c>
      <c r="IF21">
        <f>IF('boilerplate specs'!102:102,"AAAAAFX9Gu8=",0)</f>
        <v>0</v>
      </c>
      <c r="IG21" t="e">
        <f>AND('boilerplate specs'!A102,"AAAAAFX9GvA=")</f>
        <v>#VALUE!</v>
      </c>
      <c r="IH21" t="e">
        <f>AND('boilerplate specs'!B102,"AAAAAFX9GvE=")</f>
        <v>#VALUE!</v>
      </c>
      <c r="II21" t="e">
        <f>AND('boilerplate specs'!C102,"AAAAAFX9GvI=")</f>
        <v>#VALUE!</v>
      </c>
      <c r="IJ21" t="e">
        <f>AND('boilerplate specs'!D102,"AAAAAFX9GvM=")</f>
        <v>#VALUE!</v>
      </c>
      <c r="IK21" t="e">
        <f>AND('boilerplate specs'!E102,"AAAAAFX9GvQ=")</f>
        <v>#VALUE!</v>
      </c>
      <c r="IL21" t="e">
        <f>AND('boilerplate specs'!F102,"AAAAAFX9GvU=")</f>
        <v>#VALUE!</v>
      </c>
      <c r="IM21" t="e">
        <f>AND('boilerplate specs'!G102,"AAAAAFX9GvY=")</f>
        <v>#VALUE!</v>
      </c>
      <c r="IN21" t="e">
        <f>AND('boilerplate specs'!H102,"AAAAAFX9Gvc=")</f>
        <v>#VALUE!</v>
      </c>
      <c r="IO21" t="e">
        <f>AND('boilerplate specs'!I102,"AAAAAFX9Gvg=")</f>
        <v>#VALUE!</v>
      </c>
      <c r="IP21" t="e">
        <f>AND('boilerplate specs'!J102,"AAAAAFX9Gvk=")</f>
        <v>#VALUE!</v>
      </c>
      <c r="IQ21" t="e">
        <f>AND('boilerplate specs'!#REF!,"AAAAAFX9Gvo=")</f>
        <v>#REF!</v>
      </c>
      <c r="IR21" t="e">
        <f>AND('boilerplate specs'!#REF!,"AAAAAFX9Gvs=")</f>
        <v>#REF!</v>
      </c>
      <c r="IS21" t="e">
        <f>AND('boilerplate specs'!#REF!,"AAAAAFX9Gvw=")</f>
        <v>#REF!</v>
      </c>
      <c r="IT21" t="e">
        <f>AND('boilerplate specs'!#REF!,"AAAAAFX9Gv0=")</f>
        <v>#REF!</v>
      </c>
      <c r="IU21" t="e">
        <f>AND('boilerplate specs'!#REF!,"AAAAAFX9Gv4=")</f>
        <v>#REF!</v>
      </c>
      <c r="IV21" t="e">
        <f>AND('boilerplate specs'!#REF!,"AAAAAFX9Gv8=")</f>
        <v>#REF!</v>
      </c>
    </row>
    <row r="22" spans="1:256" x14ac:dyDescent="0.35">
      <c r="A22" t="e">
        <f>AND('boilerplate specs'!#REF!,"AAAAAGo/+wA=")</f>
        <v>#REF!</v>
      </c>
      <c r="B22" t="e">
        <f>AND('boilerplate specs'!#REF!,"AAAAAGo/+wE=")</f>
        <v>#REF!</v>
      </c>
      <c r="C22" t="e">
        <f>AND('boilerplate specs'!#REF!,"AAAAAGo/+wI=")</f>
        <v>#REF!</v>
      </c>
      <c r="D22" t="e">
        <f>AND('boilerplate specs'!#REF!,"AAAAAGo/+wM=")</f>
        <v>#REF!</v>
      </c>
      <c r="E22" t="e">
        <f>AND('boilerplate specs'!#REF!,"AAAAAGo/+wQ=")</f>
        <v>#REF!</v>
      </c>
      <c r="F22" t="e">
        <f>AND('boilerplate specs'!#REF!,"AAAAAGo/+wU=")</f>
        <v>#REF!</v>
      </c>
      <c r="G22" t="e">
        <f>AND('boilerplate specs'!#REF!,"AAAAAGo/+wY=")</f>
        <v>#REF!</v>
      </c>
      <c r="H22" t="e">
        <f>AND('boilerplate specs'!#REF!,"AAAAAGo/+wc=")</f>
        <v>#REF!</v>
      </c>
      <c r="I22" t="e">
        <f>AND('boilerplate specs'!#REF!,"AAAAAGo/+wg=")</f>
        <v>#REF!</v>
      </c>
      <c r="J22" t="e">
        <f>AND('boilerplate specs'!#REF!,"AAAAAGo/+wk=")</f>
        <v>#REF!</v>
      </c>
      <c r="K22" t="e">
        <f>AND('boilerplate specs'!#REF!,"AAAAAGo/+wo=")</f>
        <v>#REF!</v>
      </c>
      <c r="L22" t="e">
        <f>AND('boilerplate specs'!#REF!,"AAAAAGo/+ws=")</f>
        <v>#REF!</v>
      </c>
      <c r="M22" t="e">
        <f>AND('boilerplate specs'!#REF!,"AAAAAGo/+ww=")</f>
        <v>#REF!</v>
      </c>
      <c r="N22" t="e">
        <f>AND('boilerplate specs'!#REF!,"AAAAAGo/+w0=")</f>
        <v>#REF!</v>
      </c>
      <c r="O22" t="e">
        <f>AND('boilerplate specs'!#REF!,"AAAAAGo/+w4=")</f>
        <v>#REF!</v>
      </c>
      <c r="P22" t="e">
        <f>AND('boilerplate specs'!#REF!,"AAAAAGo/+w8=")</f>
        <v>#REF!</v>
      </c>
      <c r="Q22">
        <f>IF('boilerplate specs'!103:103,"AAAAAGo/+xA=",0)</f>
        <v>0</v>
      </c>
      <c r="R22" t="e">
        <f>AND('boilerplate specs'!A103,"AAAAAGo/+xE=")</f>
        <v>#VALUE!</v>
      </c>
      <c r="S22" t="e">
        <f>AND('boilerplate specs'!B103,"AAAAAGo/+xI=")</f>
        <v>#VALUE!</v>
      </c>
      <c r="T22" t="e">
        <f>AND('boilerplate specs'!C103,"AAAAAGo/+xM=")</f>
        <v>#VALUE!</v>
      </c>
      <c r="U22" t="e">
        <f>AND('boilerplate specs'!D103,"AAAAAGo/+xQ=")</f>
        <v>#VALUE!</v>
      </c>
      <c r="V22" t="e">
        <f>AND('boilerplate specs'!E103,"AAAAAGo/+xU=")</f>
        <v>#VALUE!</v>
      </c>
      <c r="W22" t="e">
        <f>AND('boilerplate specs'!F103,"AAAAAGo/+xY=")</f>
        <v>#VALUE!</v>
      </c>
      <c r="X22" t="e">
        <f>AND('boilerplate specs'!G103,"AAAAAGo/+xc=")</f>
        <v>#VALUE!</v>
      </c>
      <c r="Y22" t="e">
        <f>AND('boilerplate specs'!H103,"AAAAAGo/+xg=")</f>
        <v>#VALUE!</v>
      </c>
      <c r="Z22" t="e">
        <f>AND('boilerplate specs'!I103,"AAAAAGo/+xk=")</f>
        <v>#VALUE!</v>
      </c>
      <c r="AA22" t="e">
        <f>AND('boilerplate specs'!J103,"AAAAAGo/+xo=")</f>
        <v>#VALUE!</v>
      </c>
      <c r="AB22" t="e">
        <f>AND('boilerplate specs'!#REF!,"AAAAAGo/+xs=")</f>
        <v>#REF!</v>
      </c>
      <c r="AC22" t="e">
        <f>AND('boilerplate specs'!#REF!,"AAAAAGo/+xw=")</f>
        <v>#REF!</v>
      </c>
      <c r="AD22" t="e">
        <f>AND('boilerplate specs'!#REF!,"AAAAAGo/+x0=")</f>
        <v>#REF!</v>
      </c>
      <c r="AE22" t="e">
        <f>AND('boilerplate specs'!#REF!,"AAAAAGo/+x4=")</f>
        <v>#REF!</v>
      </c>
      <c r="AF22" t="e">
        <f>AND('boilerplate specs'!#REF!,"AAAAAGo/+x8=")</f>
        <v>#REF!</v>
      </c>
      <c r="AG22" t="e">
        <f>AND('boilerplate specs'!#REF!,"AAAAAGo/+yA=")</f>
        <v>#REF!</v>
      </c>
      <c r="AH22" t="e">
        <f>AND('boilerplate specs'!#REF!,"AAAAAGo/+yE=")</f>
        <v>#REF!</v>
      </c>
      <c r="AI22" t="e">
        <f>AND('boilerplate specs'!#REF!,"AAAAAGo/+yI=")</f>
        <v>#REF!</v>
      </c>
      <c r="AJ22" t="e">
        <f>AND('boilerplate specs'!#REF!,"AAAAAGo/+yM=")</f>
        <v>#REF!</v>
      </c>
      <c r="AK22" t="e">
        <f>AND('boilerplate specs'!#REF!,"AAAAAGo/+yQ=")</f>
        <v>#REF!</v>
      </c>
      <c r="AL22" t="e">
        <f>AND('boilerplate specs'!#REF!,"AAAAAGo/+yU=")</f>
        <v>#REF!</v>
      </c>
      <c r="AM22" t="e">
        <f>AND('boilerplate specs'!#REF!,"AAAAAGo/+yY=")</f>
        <v>#REF!</v>
      </c>
      <c r="AN22" t="e">
        <f>AND('boilerplate specs'!#REF!,"AAAAAGo/+yc=")</f>
        <v>#REF!</v>
      </c>
      <c r="AO22" t="e">
        <f>AND('boilerplate specs'!#REF!,"AAAAAGo/+yg=")</f>
        <v>#REF!</v>
      </c>
      <c r="AP22" t="e">
        <f>AND('boilerplate specs'!#REF!,"AAAAAGo/+yk=")</f>
        <v>#REF!</v>
      </c>
      <c r="AQ22" t="e">
        <f>AND('boilerplate specs'!#REF!,"AAAAAGo/+yo=")</f>
        <v>#REF!</v>
      </c>
      <c r="AR22" t="e">
        <f>AND('boilerplate specs'!#REF!,"AAAAAGo/+ys=")</f>
        <v>#REF!</v>
      </c>
      <c r="AS22" t="e">
        <f>AND('boilerplate specs'!#REF!,"AAAAAGo/+yw=")</f>
        <v>#REF!</v>
      </c>
      <c r="AT22" t="e">
        <f>AND('boilerplate specs'!#REF!,"AAAAAGo/+y0=")</f>
        <v>#REF!</v>
      </c>
      <c r="AU22" t="e">
        <f>AND('boilerplate specs'!#REF!,"AAAAAGo/+y4=")</f>
        <v>#REF!</v>
      </c>
      <c r="AV22" t="e">
        <f>AND('boilerplate specs'!#REF!,"AAAAAGo/+y8=")</f>
        <v>#REF!</v>
      </c>
      <c r="AW22" t="e">
        <f>AND('boilerplate specs'!#REF!,"AAAAAGo/+zA=")</f>
        <v>#REF!</v>
      </c>
      <c r="AX22">
        <f>IF('boilerplate specs'!104:104,"AAAAAGo/+zE=",0)</f>
        <v>0</v>
      </c>
      <c r="AY22" t="e">
        <f>AND('boilerplate specs'!A104,"AAAAAGo/+zI=")</f>
        <v>#VALUE!</v>
      </c>
      <c r="AZ22" t="e">
        <f>AND('boilerplate specs'!B104,"AAAAAGo/+zM=")</f>
        <v>#VALUE!</v>
      </c>
      <c r="BA22" t="e">
        <f>AND('boilerplate specs'!C104,"AAAAAGo/+zQ=")</f>
        <v>#VALUE!</v>
      </c>
      <c r="BB22" t="e">
        <f>AND('boilerplate specs'!D104,"AAAAAGo/+zU=")</f>
        <v>#VALUE!</v>
      </c>
      <c r="BC22" t="e">
        <f>AND('boilerplate specs'!E104,"AAAAAGo/+zY=")</f>
        <v>#VALUE!</v>
      </c>
      <c r="BD22" t="e">
        <f>AND('boilerplate specs'!F104,"AAAAAGo/+zc=")</f>
        <v>#VALUE!</v>
      </c>
      <c r="BE22" t="e">
        <f>AND('boilerplate specs'!G104,"AAAAAGo/+zg=")</f>
        <v>#VALUE!</v>
      </c>
      <c r="BF22" t="e">
        <f>AND('boilerplate specs'!H104,"AAAAAGo/+zk=")</f>
        <v>#VALUE!</v>
      </c>
      <c r="BG22" t="e">
        <f>AND('boilerplate specs'!I104,"AAAAAGo/+zo=")</f>
        <v>#VALUE!</v>
      </c>
      <c r="BH22" t="e">
        <f>AND('boilerplate specs'!J104,"AAAAAGo/+zs=")</f>
        <v>#VALUE!</v>
      </c>
      <c r="BI22" t="e">
        <f>AND('boilerplate specs'!#REF!,"AAAAAGo/+zw=")</f>
        <v>#REF!</v>
      </c>
      <c r="BJ22" t="e">
        <f>AND('boilerplate specs'!#REF!,"AAAAAGo/+z0=")</f>
        <v>#REF!</v>
      </c>
      <c r="BK22" t="e">
        <f>AND('boilerplate specs'!#REF!,"AAAAAGo/+z4=")</f>
        <v>#REF!</v>
      </c>
      <c r="BL22" t="e">
        <f>AND('boilerplate specs'!#REF!,"AAAAAGo/+z8=")</f>
        <v>#REF!</v>
      </c>
      <c r="BM22" t="e">
        <f>AND('boilerplate specs'!#REF!,"AAAAAGo/+0A=")</f>
        <v>#REF!</v>
      </c>
      <c r="BN22" t="e">
        <f>AND('boilerplate specs'!#REF!,"AAAAAGo/+0E=")</f>
        <v>#REF!</v>
      </c>
      <c r="BO22" t="e">
        <f>AND('boilerplate specs'!#REF!,"AAAAAGo/+0I=")</f>
        <v>#REF!</v>
      </c>
      <c r="BP22" t="e">
        <f>AND('boilerplate specs'!#REF!,"AAAAAGo/+0M=")</f>
        <v>#REF!</v>
      </c>
      <c r="BQ22" t="e">
        <f>AND('boilerplate specs'!#REF!,"AAAAAGo/+0Q=")</f>
        <v>#REF!</v>
      </c>
      <c r="BR22" t="e">
        <f>AND('boilerplate specs'!#REF!,"AAAAAGo/+0U=")</f>
        <v>#REF!</v>
      </c>
      <c r="BS22" t="e">
        <f>AND('boilerplate specs'!#REF!,"AAAAAGo/+0Y=")</f>
        <v>#REF!</v>
      </c>
      <c r="BT22" t="e">
        <f>AND('boilerplate specs'!#REF!,"AAAAAGo/+0c=")</f>
        <v>#REF!</v>
      </c>
      <c r="BU22" t="e">
        <f>AND('boilerplate specs'!#REF!,"AAAAAGo/+0g=")</f>
        <v>#REF!</v>
      </c>
      <c r="BV22" t="e">
        <f>AND('boilerplate specs'!#REF!,"AAAAAGo/+0k=")</f>
        <v>#REF!</v>
      </c>
      <c r="BW22" t="e">
        <f>AND('boilerplate specs'!#REF!,"AAAAAGo/+0o=")</f>
        <v>#REF!</v>
      </c>
      <c r="BX22" t="e">
        <f>AND('boilerplate specs'!#REF!,"AAAAAGo/+0s=")</f>
        <v>#REF!</v>
      </c>
      <c r="BY22" t="e">
        <f>AND('boilerplate specs'!#REF!,"AAAAAGo/+0w=")</f>
        <v>#REF!</v>
      </c>
      <c r="BZ22" t="e">
        <f>AND('boilerplate specs'!#REF!,"AAAAAGo/+00=")</f>
        <v>#REF!</v>
      </c>
      <c r="CA22" t="e">
        <f>AND('boilerplate specs'!#REF!,"AAAAAGo/+04=")</f>
        <v>#REF!</v>
      </c>
      <c r="CB22" t="e">
        <f>AND('boilerplate specs'!#REF!,"AAAAAGo/+08=")</f>
        <v>#REF!</v>
      </c>
      <c r="CC22" t="e">
        <f>AND('boilerplate specs'!#REF!,"AAAAAGo/+1A=")</f>
        <v>#REF!</v>
      </c>
      <c r="CD22" t="e">
        <f>AND('boilerplate specs'!#REF!,"AAAAAGo/+1E=")</f>
        <v>#REF!</v>
      </c>
      <c r="CE22">
        <f>IF('boilerplate specs'!105:105,"AAAAAGo/+1I=",0)</f>
        <v>0</v>
      </c>
      <c r="CF22" t="e">
        <f>AND('boilerplate specs'!A105,"AAAAAGo/+1M=")</f>
        <v>#VALUE!</v>
      </c>
      <c r="CG22" t="e">
        <f>AND('boilerplate specs'!B105,"AAAAAGo/+1Q=")</f>
        <v>#VALUE!</v>
      </c>
      <c r="CH22" t="e">
        <f>AND('boilerplate specs'!C105,"AAAAAGo/+1U=")</f>
        <v>#VALUE!</v>
      </c>
      <c r="CI22" t="e">
        <f>AND('boilerplate specs'!D105,"AAAAAGo/+1Y=")</f>
        <v>#VALUE!</v>
      </c>
      <c r="CJ22" t="e">
        <f>AND('boilerplate specs'!E105,"AAAAAGo/+1c=")</f>
        <v>#VALUE!</v>
      </c>
      <c r="CK22" t="e">
        <f>AND('boilerplate specs'!F105,"AAAAAGo/+1g=")</f>
        <v>#VALUE!</v>
      </c>
      <c r="CL22" t="e">
        <f>AND('boilerplate specs'!G105,"AAAAAGo/+1k=")</f>
        <v>#VALUE!</v>
      </c>
      <c r="CM22" t="e">
        <f>AND('boilerplate specs'!H105,"AAAAAGo/+1o=")</f>
        <v>#VALUE!</v>
      </c>
      <c r="CN22" t="e">
        <f>AND('boilerplate specs'!I105,"AAAAAGo/+1s=")</f>
        <v>#VALUE!</v>
      </c>
      <c r="CO22" t="e">
        <f>AND('boilerplate specs'!J105,"AAAAAGo/+1w=")</f>
        <v>#VALUE!</v>
      </c>
      <c r="CP22" t="e">
        <f>AND('boilerplate specs'!#REF!,"AAAAAGo/+10=")</f>
        <v>#REF!</v>
      </c>
      <c r="CQ22" t="e">
        <f>AND('boilerplate specs'!#REF!,"AAAAAGo/+14=")</f>
        <v>#REF!</v>
      </c>
      <c r="CR22" t="e">
        <f>AND('boilerplate specs'!#REF!,"AAAAAGo/+18=")</f>
        <v>#REF!</v>
      </c>
      <c r="CS22" t="e">
        <f>AND('boilerplate specs'!#REF!,"AAAAAGo/+2A=")</f>
        <v>#REF!</v>
      </c>
      <c r="CT22" t="e">
        <f>AND('boilerplate specs'!#REF!,"AAAAAGo/+2E=")</f>
        <v>#REF!</v>
      </c>
      <c r="CU22" t="e">
        <f>AND('boilerplate specs'!#REF!,"AAAAAGo/+2I=")</f>
        <v>#REF!</v>
      </c>
      <c r="CV22" t="e">
        <f>AND('boilerplate specs'!#REF!,"AAAAAGo/+2M=")</f>
        <v>#REF!</v>
      </c>
      <c r="CW22" t="e">
        <f>AND('boilerplate specs'!#REF!,"AAAAAGo/+2Q=")</f>
        <v>#REF!</v>
      </c>
      <c r="CX22" t="e">
        <f>AND('boilerplate specs'!#REF!,"AAAAAGo/+2U=")</f>
        <v>#REF!</v>
      </c>
      <c r="CY22" t="e">
        <f>AND('boilerplate specs'!#REF!,"AAAAAGo/+2Y=")</f>
        <v>#REF!</v>
      </c>
      <c r="CZ22" t="e">
        <f>AND('boilerplate specs'!#REF!,"AAAAAGo/+2c=")</f>
        <v>#REF!</v>
      </c>
      <c r="DA22" t="e">
        <f>AND('boilerplate specs'!#REF!,"AAAAAGo/+2g=")</f>
        <v>#REF!</v>
      </c>
      <c r="DB22" t="e">
        <f>AND('boilerplate specs'!#REF!,"AAAAAGo/+2k=")</f>
        <v>#REF!</v>
      </c>
      <c r="DC22" t="e">
        <f>AND('boilerplate specs'!#REF!,"AAAAAGo/+2o=")</f>
        <v>#REF!</v>
      </c>
      <c r="DD22" t="e">
        <f>AND('boilerplate specs'!#REF!,"AAAAAGo/+2s=")</f>
        <v>#REF!</v>
      </c>
      <c r="DE22" t="e">
        <f>AND('boilerplate specs'!#REF!,"AAAAAGo/+2w=")</f>
        <v>#REF!</v>
      </c>
      <c r="DF22" t="e">
        <f>AND('boilerplate specs'!#REF!,"AAAAAGo/+20=")</f>
        <v>#REF!</v>
      </c>
      <c r="DG22" t="e">
        <f>AND('boilerplate specs'!#REF!,"AAAAAGo/+24=")</f>
        <v>#REF!</v>
      </c>
      <c r="DH22" t="e">
        <f>AND('boilerplate specs'!#REF!,"AAAAAGo/+28=")</f>
        <v>#REF!</v>
      </c>
      <c r="DI22" t="e">
        <f>AND('boilerplate specs'!#REF!,"AAAAAGo/+3A=")</f>
        <v>#REF!</v>
      </c>
      <c r="DJ22" t="e">
        <f>AND('boilerplate specs'!#REF!,"AAAAAGo/+3E=")</f>
        <v>#REF!</v>
      </c>
      <c r="DK22" t="e">
        <f>AND('boilerplate specs'!#REF!,"AAAAAGo/+3I=")</f>
        <v>#REF!</v>
      </c>
      <c r="DL22">
        <f>IF('boilerplate specs'!106:106,"AAAAAGo/+3M=",0)</f>
        <v>0</v>
      </c>
      <c r="DM22" t="e">
        <f>AND('boilerplate specs'!A106,"AAAAAGo/+3Q=")</f>
        <v>#VALUE!</v>
      </c>
      <c r="DN22" t="e">
        <f>AND('boilerplate specs'!B106,"AAAAAGo/+3U=")</f>
        <v>#VALUE!</v>
      </c>
      <c r="DO22" t="e">
        <f>AND('boilerplate specs'!C106,"AAAAAGo/+3Y=")</f>
        <v>#VALUE!</v>
      </c>
      <c r="DP22" t="e">
        <f>AND('boilerplate specs'!D106,"AAAAAGo/+3c=")</f>
        <v>#VALUE!</v>
      </c>
      <c r="DQ22" t="e">
        <f>AND('boilerplate specs'!E106,"AAAAAGo/+3g=")</f>
        <v>#VALUE!</v>
      </c>
      <c r="DR22" t="e">
        <f>AND('boilerplate specs'!F106,"AAAAAGo/+3k=")</f>
        <v>#VALUE!</v>
      </c>
      <c r="DS22" t="e">
        <f>AND('boilerplate specs'!G106,"AAAAAGo/+3o=")</f>
        <v>#VALUE!</v>
      </c>
      <c r="DT22" t="e">
        <f>AND('boilerplate specs'!H106,"AAAAAGo/+3s=")</f>
        <v>#VALUE!</v>
      </c>
      <c r="DU22" t="e">
        <f>AND('boilerplate specs'!I106,"AAAAAGo/+3w=")</f>
        <v>#VALUE!</v>
      </c>
      <c r="DV22" t="e">
        <f>AND('boilerplate specs'!J106,"AAAAAGo/+30=")</f>
        <v>#VALUE!</v>
      </c>
      <c r="DW22" t="e">
        <f>AND('boilerplate specs'!#REF!,"AAAAAGo/+34=")</f>
        <v>#REF!</v>
      </c>
      <c r="DX22" t="e">
        <f>AND('boilerplate specs'!#REF!,"AAAAAGo/+38=")</f>
        <v>#REF!</v>
      </c>
      <c r="DY22" t="e">
        <f>AND('boilerplate specs'!#REF!,"AAAAAGo/+4A=")</f>
        <v>#REF!</v>
      </c>
      <c r="DZ22" t="e">
        <f>AND('boilerplate specs'!#REF!,"AAAAAGo/+4E=")</f>
        <v>#REF!</v>
      </c>
      <c r="EA22" t="e">
        <f>AND('boilerplate specs'!#REF!,"AAAAAGo/+4I=")</f>
        <v>#REF!</v>
      </c>
      <c r="EB22" t="e">
        <f>AND('boilerplate specs'!#REF!,"AAAAAGo/+4M=")</f>
        <v>#REF!</v>
      </c>
      <c r="EC22" t="e">
        <f>AND('boilerplate specs'!#REF!,"AAAAAGo/+4Q=")</f>
        <v>#REF!</v>
      </c>
      <c r="ED22" t="e">
        <f>AND('boilerplate specs'!#REF!,"AAAAAGo/+4U=")</f>
        <v>#REF!</v>
      </c>
      <c r="EE22" t="e">
        <f>AND('boilerplate specs'!#REF!,"AAAAAGo/+4Y=")</f>
        <v>#REF!</v>
      </c>
      <c r="EF22" t="e">
        <f>AND('boilerplate specs'!#REF!,"AAAAAGo/+4c=")</f>
        <v>#REF!</v>
      </c>
      <c r="EG22" t="e">
        <f>AND('boilerplate specs'!#REF!,"AAAAAGo/+4g=")</f>
        <v>#REF!</v>
      </c>
      <c r="EH22" t="e">
        <f>AND('boilerplate specs'!#REF!,"AAAAAGo/+4k=")</f>
        <v>#REF!</v>
      </c>
      <c r="EI22" t="e">
        <f>AND('boilerplate specs'!#REF!,"AAAAAGo/+4o=")</f>
        <v>#REF!</v>
      </c>
      <c r="EJ22" t="e">
        <f>AND('boilerplate specs'!#REF!,"AAAAAGo/+4s=")</f>
        <v>#REF!</v>
      </c>
      <c r="EK22" t="e">
        <f>AND('boilerplate specs'!#REF!,"AAAAAGo/+4w=")</f>
        <v>#REF!</v>
      </c>
      <c r="EL22" t="e">
        <f>AND('boilerplate specs'!#REF!,"AAAAAGo/+40=")</f>
        <v>#REF!</v>
      </c>
      <c r="EM22" t="e">
        <f>AND('boilerplate specs'!#REF!,"AAAAAGo/+44=")</f>
        <v>#REF!</v>
      </c>
      <c r="EN22" t="e">
        <f>AND('boilerplate specs'!#REF!,"AAAAAGo/+48=")</f>
        <v>#REF!</v>
      </c>
      <c r="EO22" t="e">
        <f>AND('boilerplate specs'!#REF!,"AAAAAGo/+5A=")</f>
        <v>#REF!</v>
      </c>
      <c r="EP22" t="e">
        <f>AND('boilerplate specs'!#REF!,"AAAAAGo/+5E=")</f>
        <v>#REF!</v>
      </c>
      <c r="EQ22" t="e">
        <f>AND('boilerplate specs'!#REF!,"AAAAAGo/+5I=")</f>
        <v>#REF!</v>
      </c>
      <c r="ER22" t="e">
        <f>AND('boilerplate specs'!#REF!,"AAAAAGo/+5M=")</f>
        <v>#REF!</v>
      </c>
      <c r="ES22">
        <f>IF('boilerplate specs'!107:107,"AAAAAGo/+5Q=",0)</f>
        <v>0</v>
      </c>
      <c r="ET22" t="e">
        <f>AND('boilerplate specs'!A107,"AAAAAGo/+5U=")</f>
        <v>#VALUE!</v>
      </c>
      <c r="EU22" t="e">
        <f>AND('boilerplate specs'!B107,"AAAAAGo/+5Y=")</f>
        <v>#VALUE!</v>
      </c>
      <c r="EV22" t="e">
        <f>AND('boilerplate specs'!C107,"AAAAAGo/+5c=")</f>
        <v>#VALUE!</v>
      </c>
      <c r="EW22" t="e">
        <f>AND('boilerplate specs'!D107,"AAAAAGo/+5g=")</f>
        <v>#VALUE!</v>
      </c>
      <c r="EX22" t="e">
        <f>AND('boilerplate specs'!E107,"AAAAAGo/+5k=")</f>
        <v>#VALUE!</v>
      </c>
      <c r="EY22" t="e">
        <f>AND('boilerplate specs'!F107,"AAAAAGo/+5o=")</f>
        <v>#VALUE!</v>
      </c>
      <c r="EZ22" t="e">
        <f>AND('boilerplate specs'!G107,"AAAAAGo/+5s=")</f>
        <v>#VALUE!</v>
      </c>
      <c r="FA22" t="e">
        <f>AND('boilerplate specs'!H107,"AAAAAGo/+5w=")</f>
        <v>#VALUE!</v>
      </c>
      <c r="FB22" t="e">
        <f>AND('boilerplate specs'!I107,"AAAAAGo/+50=")</f>
        <v>#VALUE!</v>
      </c>
      <c r="FC22" t="e">
        <f>AND('boilerplate specs'!J107,"AAAAAGo/+54=")</f>
        <v>#VALUE!</v>
      </c>
      <c r="FD22" t="e">
        <f>AND('boilerplate specs'!#REF!,"AAAAAGo/+58=")</f>
        <v>#REF!</v>
      </c>
      <c r="FE22" t="e">
        <f>AND('boilerplate specs'!#REF!,"AAAAAGo/+6A=")</f>
        <v>#REF!</v>
      </c>
      <c r="FF22" t="e">
        <f>AND('boilerplate specs'!#REF!,"AAAAAGo/+6E=")</f>
        <v>#REF!</v>
      </c>
      <c r="FG22" t="e">
        <f>AND('boilerplate specs'!#REF!,"AAAAAGo/+6I=")</f>
        <v>#REF!</v>
      </c>
      <c r="FH22" t="e">
        <f>AND('boilerplate specs'!#REF!,"AAAAAGo/+6M=")</f>
        <v>#REF!</v>
      </c>
      <c r="FI22" t="e">
        <f>AND('boilerplate specs'!#REF!,"AAAAAGo/+6Q=")</f>
        <v>#REF!</v>
      </c>
      <c r="FJ22" t="e">
        <f>AND('boilerplate specs'!#REF!,"AAAAAGo/+6U=")</f>
        <v>#REF!</v>
      </c>
      <c r="FK22" t="e">
        <f>AND('boilerplate specs'!#REF!,"AAAAAGo/+6Y=")</f>
        <v>#REF!</v>
      </c>
      <c r="FL22" t="e">
        <f>AND('boilerplate specs'!#REF!,"AAAAAGo/+6c=")</f>
        <v>#REF!</v>
      </c>
      <c r="FM22" t="e">
        <f>AND('boilerplate specs'!#REF!,"AAAAAGo/+6g=")</f>
        <v>#REF!</v>
      </c>
      <c r="FN22" t="e">
        <f>AND('boilerplate specs'!#REF!,"AAAAAGo/+6k=")</f>
        <v>#REF!</v>
      </c>
      <c r="FO22" t="e">
        <f>AND('boilerplate specs'!#REF!,"AAAAAGo/+6o=")</f>
        <v>#REF!</v>
      </c>
      <c r="FP22" t="e">
        <f>AND('boilerplate specs'!#REF!,"AAAAAGo/+6s=")</f>
        <v>#REF!</v>
      </c>
      <c r="FQ22" t="e">
        <f>AND('boilerplate specs'!#REF!,"AAAAAGo/+6w=")</f>
        <v>#REF!</v>
      </c>
      <c r="FR22" t="e">
        <f>AND('boilerplate specs'!#REF!,"AAAAAGo/+60=")</f>
        <v>#REF!</v>
      </c>
      <c r="FS22" t="e">
        <f>AND('boilerplate specs'!#REF!,"AAAAAGo/+64=")</f>
        <v>#REF!</v>
      </c>
      <c r="FT22" t="e">
        <f>AND('boilerplate specs'!#REF!,"AAAAAGo/+68=")</f>
        <v>#REF!</v>
      </c>
      <c r="FU22" t="e">
        <f>AND('boilerplate specs'!#REF!,"AAAAAGo/+7A=")</f>
        <v>#REF!</v>
      </c>
      <c r="FV22" t="e">
        <f>AND('boilerplate specs'!#REF!,"AAAAAGo/+7E=")</f>
        <v>#REF!</v>
      </c>
      <c r="FW22" t="e">
        <f>AND('boilerplate specs'!#REF!,"AAAAAGo/+7I=")</f>
        <v>#REF!</v>
      </c>
      <c r="FX22" t="e">
        <f>AND('boilerplate specs'!#REF!,"AAAAAGo/+7M=")</f>
        <v>#REF!</v>
      </c>
      <c r="FY22" t="e">
        <f>AND('boilerplate specs'!#REF!,"AAAAAGo/+7Q=")</f>
        <v>#REF!</v>
      </c>
      <c r="FZ22">
        <f>IF('boilerplate specs'!108:108,"AAAAAGo/+7U=",0)</f>
        <v>0</v>
      </c>
      <c r="GA22" t="e">
        <f>AND('boilerplate specs'!A108,"AAAAAGo/+7Y=")</f>
        <v>#VALUE!</v>
      </c>
      <c r="GB22" t="e">
        <f>AND('boilerplate specs'!B108,"AAAAAGo/+7c=")</f>
        <v>#VALUE!</v>
      </c>
      <c r="GC22" t="e">
        <f>AND('boilerplate specs'!C108,"AAAAAGo/+7g=")</f>
        <v>#VALUE!</v>
      </c>
      <c r="GD22" t="e">
        <f>AND('boilerplate specs'!D108,"AAAAAGo/+7k=")</f>
        <v>#VALUE!</v>
      </c>
      <c r="GE22" t="e">
        <f>AND('boilerplate specs'!E108,"AAAAAGo/+7o=")</f>
        <v>#VALUE!</v>
      </c>
      <c r="GF22" t="e">
        <f>AND('boilerplate specs'!F108,"AAAAAGo/+7s=")</f>
        <v>#VALUE!</v>
      </c>
      <c r="GG22" t="e">
        <f>AND('boilerplate specs'!G108,"AAAAAGo/+7w=")</f>
        <v>#VALUE!</v>
      </c>
      <c r="GH22" t="e">
        <f>AND('boilerplate specs'!H108,"AAAAAGo/+70=")</f>
        <v>#VALUE!</v>
      </c>
      <c r="GI22" t="e">
        <f>AND('boilerplate specs'!I108,"AAAAAGo/+74=")</f>
        <v>#VALUE!</v>
      </c>
      <c r="GJ22" t="e">
        <f>AND('boilerplate specs'!J108,"AAAAAGo/+78=")</f>
        <v>#VALUE!</v>
      </c>
      <c r="GK22" t="e">
        <f>AND('boilerplate specs'!#REF!,"AAAAAGo/+8A=")</f>
        <v>#REF!</v>
      </c>
      <c r="GL22" t="e">
        <f>AND('boilerplate specs'!#REF!,"AAAAAGo/+8E=")</f>
        <v>#REF!</v>
      </c>
      <c r="GM22" t="e">
        <f>AND('boilerplate specs'!#REF!,"AAAAAGo/+8I=")</f>
        <v>#REF!</v>
      </c>
      <c r="GN22" t="e">
        <f>AND('boilerplate specs'!#REF!,"AAAAAGo/+8M=")</f>
        <v>#REF!</v>
      </c>
      <c r="GO22" t="e">
        <f>AND('boilerplate specs'!#REF!,"AAAAAGo/+8Q=")</f>
        <v>#REF!</v>
      </c>
      <c r="GP22" t="e">
        <f>AND('boilerplate specs'!#REF!,"AAAAAGo/+8U=")</f>
        <v>#REF!</v>
      </c>
      <c r="GQ22" t="e">
        <f>AND('boilerplate specs'!#REF!,"AAAAAGo/+8Y=")</f>
        <v>#REF!</v>
      </c>
      <c r="GR22" t="e">
        <f>AND('boilerplate specs'!#REF!,"AAAAAGo/+8c=")</f>
        <v>#REF!</v>
      </c>
      <c r="GS22" t="e">
        <f>AND('boilerplate specs'!#REF!,"AAAAAGo/+8g=")</f>
        <v>#REF!</v>
      </c>
      <c r="GT22" t="e">
        <f>AND('boilerplate specs'!#REF!,"AAAAAGo/+8k=")</f>
        <v>#REF!</v>
      </c>
      <c r="GU22" t="e">
        <f>AND('boilerplate specs'!#REF!,"AAAAAGo/+8o=")</f>
        <v>#REF!</v>
      </c>
      <c r="GV22" t="e">
        <f>AND('boilerplate specs'!#REF!,"AAAAAGo/+8s=")</f>
        <v>#REF!</v>
      </c>
      <c r="GW22" t="e">
        <f>AND('boilerplate specs'!#REF!,"AAAAAGo/+8w=")</f>
        <v>#REF!</v>
      </c>
      <c r="GX22" t="e">
        <f>AND('boilerplate specs'!#REF!,"AAAAAGo/+80=")</f>
        <v>#REF!</v>
      </c>
      <c r="GY22" t="e">
        <f>AND('boilerplate specs'!#REF!,"AAAAAGo/+84=")</f>
        <v>#REF!</v>
      </c>
      <c r="GZ22" t="e">
        <f>AND('boilerplate specs'!#REF!,"AAAAAGo/+88=")</f>
        <v>#REF!</v>
      </c>
      <c r="HA22" t="e">
        <f>AND('boilerplate specs'!#REF!,"AAAAAGo/+9A=")</f>
        <v>#REF!</v>
      </c>
      <c r="HB22" t="e">
        <f>AND('boilerplate specs'!#REF!,"AAAAAGo/+9E=")</f>
        <v>#REF!</v>
      </c>
      <c r="HC22" t="e">
        <f>AND('boilerplate specs'!#REF!,"AAAAAGo/+9I=")</f>
        <v>#REF!</v>
      </c>
      <c r="HD22" t="e">
        <f>AND('boilerplate specs'!#REF!,"AAAAAGo/+9M=")</f>
        <v>#REF!</v>
      </c>
      <c r="HE22" t="e">
        <f>AND('boilerplate specs'!#REF!,"AAAAAGo/+9Q=")</f>
        <v>#REF!</v>
      </c>
      <c r="HF22" t="e">
        <f>AND('boilerplate specs'!#REF!,"AAAAAGo/+9U=")</f>
        <v>#REF!</v>
      </c>
      <c r="HG22">
        <f>IF('boilerplate specs'!109:109,"AAAAAGo/+9Y=",0)</f>
        <v>0</v>
      </c>
      <c r="HH22" t="e">
        <f>AND('boilerplate specs'!A109,"AAAAAGo/+9c=")</f>
        <v>#VALUE!</v>
      </c>
      <c r="HI22" t="e">
        <f>AND('boilerplate specs'!B109,"AAAAAGo/+9g=")</f>
        <v>#VALUE!</v>
      </c>
      <c r="HJ22" t="e">
        <f>AND('boilerplate specs'!C109,"AAAAAGo/+9k=")</f>
        <v>#VALUE!</v>
      </c>
      <c r="HK22" t="e">
        <f>AND('boilerplate specs'!D109,"AAAAAGo/+9o=")</f>
        <v>#VALUE!</v>
      </c>
      <c r="HL22" t="e">
        <f>AND('boilerplate specs'!E109,"AAAAAGo/+9s=")</f>
        <v>#VALUE!</v>
      </c>
      <c r="HM22" t="e">
        <f>AND('boilerplate specs'!F109,"AAAAAGo/+9w=")</f>
        <v>#VALUE!</v>
      </c>
      <c r="HN22" t="e">
        <f>AND('boilerplate specs'!G109,"AAAAAGo/+90=")</f>
        <v>#VALUE!</v>
      </c>
      <c r="HO22" t="e">
        <f>AND('boilerplate specs'!H109,"AAAAAGo/+94=")</f>
        <v>#VALUE!</v>
      </c>
      <c r="HP22" t="e">
        <f>AND('boilerplate specs'!I109,"AAAAAGo/+98=")</f>
        <v>#VALUE!</v>
      </c>
      <c r="HQ22" t="e">
        <f>AND('boilerplate specs'!J109,"AAAAAGo/++A=")</f>
        <v>#VALUE!</v>
      </c>
      <c r="HR22" t="e">
        <f>AND('boilerplate specs'!#REF!,"AAAAAGo/++E=")</f>
        <v>#REF!</v>
      </c>
      <c r="HS22" t="e">
        <f>AND('boilerplate specs'!#REF!,"AAAAAGo/++I=")</f>
        <v>#REF!</v>
      </c>
      <c r="HT22" t="e">
        <f>AND('boilerplate specs'!#REF!,"AAAAAGo/++M=")</f>
        <v>#REF!</v>
      </c>
      <c r="HU22" t="e">
        <f>AND('boilerplate specs'!#REF!,"AAAAAGo/++Q=")</f>
        <v>#REF!</v>
      </c>
      <c r="HV22" t="e">
        <f>AND('boilerplate specs'!#REF!,"AAAAAGo/++U=")</f>
        <v>#REF!</v>
      </c>
      <c r="HW22" t="e">
        <f>AND('boilerplate specs'!#REF!,"AAAAAGo/++Y=")</f>
        <v>#REF!</v>
      </c>
      <c r="HX22" t="e">
        <f>AND('boilerplate specs'!#REF!,"AAAAAGo/++c=")</f>
        <v>#REF!</v>
      </c>
      <c r="HY22" t="e">
        <f>AND('boilerplate specs'!#REF!,"AAAAAGo/++g=")</f>
        <v>#REF!</v>
      </c>
      <c r="HZ22" t="e">
        <f>AND('boilerplate specs'!#REF!,"AAAAAGo/++k=")</f>
        <v>#REF!</v>
      </c>
      <c r="IA22" t="e">
        <f>AND('boilerplate specs'!#REF!,"AAAAAGo/++o=")</f>
        <v>#REF!</v>
      </c>
      <c r="IB22" t="e">
        <f>AND('boilerplate specs'!#REF!,"AAAAAGo/++s=")</f>
        <v>#REF!</v>
      </c>
      <c r="IC22" t="e">
        <f>AND('boilerplate specs'!#REF!,"AAAAAGo/++w=")</f>
        <v>#REF!</v>
      </c>
      <c r="ID22" t="e">
        <f>AND('boilerplate specs'!#REF!,"AAAAAGo/++0=")</f>
        <v>#REF!</v>
      </c>
      <c r="IE22" t="e">
        <f>AND('boilerplate specs'!#REF!,"AAAAAGo/++4=")</f>
        <v>#REF!</v>
      </c>
      <c r="IF22" t="e">
        <f>AND('boilerplate specs'!#REF!,"AAAAAGo/++8=")</f>
        <v>#REF!</v>
      </c>
      <c r="IG22" t="e">
        <f>AND('boilerplate specs'!#REF!,"AAAAAGo/+/A=")</f>
        <v>#REF!</v>
      </c>
      <c r="IH22" t="e">
        <f>AND('boilerplate specs'!#REF!,"AAAAAGo/+/E=")</f>
        <v>#REF!</v>
      </c>
      <c r="II22" t="e">
        <f>AND('boilerplate specs'!#REF!,"AAAAAGo/+/I=")</f>
        <v>#REF!</v>
      </c>
      <c r="IJ22" t="e">
        <f>AND('boilerplate specs'!#REF!,"AAAAAGo/+/M=")</f>
        <v>#REF!</v>
      </c>
      <c r="IK22" t="e">
        <f>AND('boilerplate specs'!#REF!,"AAAAAGo/+/Q=")</f>
        <v>#REF!</v>
      </c>
      <c r="IL22" t="e">
        <f>AND('boilerplate specs'!#REF!,"AAAAAGo/+/U=")</f>
        <v>#REF!</v>
      </c>
      <c r="IM22" t="e">
        <f>AND('boilerplate specs'!#REF!,"AAAAAGo/+/Y=")</f>
        <v>#REF!</v>
      </c>
      <c r="IN22">
        <f>IF('boilerplate specs'!110:110,"AAAAAGo/+/c=",0)</f>
        <v>0</v>
      </c>
      <c r="IO22" t="e">
        <f>AND('boilerplate specs'!A110,"AAAAAGo/+/g=")</f>
        <v>#VALUE!</v>
      </c>
      <c r="IP22" t="e">
        <f>AND('boilerplate specs'!B110,"AAAAAGo/+/k=")</f>
        <v>#VALUE!</v>
      </c>
      <c r="IQ22" t="e">
        <f>AND('boilerplate specs'!C110,"AAAAAGo/+/o=")</f>
        <v>#VALUE!</v>
      </c>
      <c r="IR22" t="e">
        <f>AND('boilerplate specs'!D110,"AAAAAGo/+/s=")</f>
        <v>#VALUE!</v>
      </c>
      <c r="IS22" t="e">
        <f>AND('boilerplate specs'!E110,"AAAAAGo/+/w=")</f>
        <v>#VALUE!</v>
      </c>
      <c r="IT22" t="e">
        <f>AND('boilerplate specs'!F110,"AAAAAGo/+/0=")</f>
        <v>#VALUE!</v>
      </c>
      <c r="IU22" t="e">
        <f>AND('boilerplate specs'!G110,"AAAAAGo/+/4=")</f>
        <v>#VALUE!</v>
      </c>
      <c r="IV22" t="e">
        <f>AND('boilerplate specs'!H110,"AAAAAGo/+/8=")</f>
        <v>#VALUE!</v>
      </c>
    </row>
    <row r="23" spans="1:256" x14ac:dyDescent="0.35">
      <c r="A23" t="e">
        <f>AND('boilerplate specs'!I110,"AAAAAC94fwA=")</f>
        <v>#VALUE!</v>
      </c>
      <c r="B23" t="e">
        <f>AND('boilerplate specs'!J110,"AAAAAC94fwE=")</f>
        <v>#VALUE!</v>
      </c>
      <c r="C23" t="e">
        <f>AND('boilerplate specs'!#REF!,"AAAAAC94fwI=")</f>
        <v>#REF!</v>
      </c>
      <c r="D23" t="e">
        <f>AND('boilerplate specs'!#REF!,"AAAAAC94fwM=")</f>
        <v>#REF!</v>
      </c>
      <c r="E23" t="e">
        <f>AND('boilerplate specs'!#REF!,"AAAAAC94fwQ=")</f>
        <v>#REF!</v>
      </c>
      <c r="F23" t="e">
        <f>AND('boilerplate specs'!#REF!,"AAAAAC94fwU=")</f>
        <v>#REF!</v>
      </c>
      <c r="G23" t="e">
        <f>AND('boilerplate specs'!#REF!,"AAAAAC94fwY=")</f>
        <v>#REF!</v>
      </c>
      <c r="H23" t="e">
        <f>AND('boilerplate specs'!#REF!,"AAAAAC94fwc=")</f>
        <v>#REF!</v>
      </c>
      <c r="I23" t="e">
        <f>AND('boilerplate specs'!#REF!,"AAAAAC94fwg=")</f>
        <v>#REF!</v>
      </c>
      <c r="J23" t="e">
        <f>AND('boilerplate specs'!#REF!,"AAAAAC94fwk=")</f>
        <v>#REF!</v>
      </c>
      <c r="K23" t="e">
        <f>AND('boilerplate specs'!#REF!,"AAAAAC94fwo=")</f>
        <v>#REF!</v>
      </c>
      <c r="L23" t="e">
        <f>AND('boilerplate specs'!#REF!,"AAAAAC94fws=")</f>
        <v>#REF!</v>
      </c>
      <c r="M23" t="e">
        <f>AND('boilerplate specs'!#REF!,"AAAAAC94fww=")</f>
        <v>#REF!</v>
      </c>
      <c r="N23" t="e">
        <f>AND('boilerplate specs'!#REF!,"AAAAAC94fw0=")</f>
        <v>#REF!</v>
      </c>
      <c r="O23" t="e">
        <f>AND('boilerplate specs'!#REF!,"AAAAAC94fw4=")</f>
        <v>#REF!</v>
      </c>
      <c r="P23" t="e">
        <f>AND('boilerplate specs'!#REF!,"AAAAAC94fw8=")</f>
        <v>#REF!</v>
      </c>
      <c r="Q23" t="e">
        <f>AND('boilerplate specs'!#REF!,"AAAAAC94fxA=")</f>
        <v>#REF!</v>
      </c>
      <c r="R23" t="e">
        <f>AND('boilerplate specs'!#REF!,"AAAAAC94fxE=")</f>
        <v>#REF!</v>
      </c>
      <c r="S23" t="e">
        <f>AND('boilerplate specs'!#REF!,"AAAAAC94fxI=")</f>
        <v>#REF!</v>
      </c>
      <c r="T23" t="e">
        <f>AND('boilerplate specs'!#REF!,"AAAAAC94fxM=")</f>
        <v>#REF!</v>
      </c>
      <c r="U23" t="e">
        <f>AND('boilerplate specs'!#REF!,"AAAAAC94fxQ=")</f>
        <v>#REF!</v>
      </c>
      <c r="V23" t="e">
        <f>AND('boilerplate specs'!#REF!,"AAAAAC94fxU=")</f>
        <v>#REF!</v>
      </c>
      <c r="W23" t="e">
        <f>AND('boilerplate specs'!#REF!,"AAAAAC94fxY=")</f>
        <v>#REF!</v>
      </c>
      <c r="X23" t="e">
        <f>AND('boilerplate specs'!#REF!,"AAAAAC94fxc=")</f>
        <v>#REF!</v>
      </c>
      <c r="Y23">
        <f>IF('boilerplate specs'!111:111,"AAAAAC94fxg=",0)</f>
        <v>0</v>
      </c>
      <c r="Z23" t="e">
        <f>AND('boilerplate specs'!A111,"AAAAAC94fxk=")</f>
        <v>#VALUE!</v>
      </c>
      <c r="AA23" t="e">
        <f>AND('boilerplate specs'!B111,"AAAAAC94fxo=")</f>
        <v>#VALUE!</v>
      </c>
      <c r="AB23" t="e">
        <f>AND('boilerplate specs'!C111,"AAAAAC94fxs=")</f>
        <v>#VALUE!</v>
      </c>
      <c r="AC23" t="e">
        <f>AND('boilerplate specs'!D111,"AAAAAC94fxw=")</f>
        <v>#VALUE!</v>
      </c>
      <c r="AD23" t="e">
        <f>AND('boilerplate specs'!E111,"AAAAAC94fx0=")</f>
        <v>#VALUE!</v>
      </c>
      <c r="AE23" t="e">
        <f>AND('boilerplate specs'!F111,"AAAAAC94fx4=")</f>
        <v>#VALUE!</v>
      </c>
      <c r="AF23" t="e">
        <f>AND('boilerplate specs'!G111,"AAAAAC94fx8=")</f>
        <v>#VALUE!</v>
      </c>
      <c r="AG23" t="e">
        <f>AND('boilerplate specs'!H111,"AAAAAC94fyA=")</f>
        <v>#VALUE!</v>
      </c>
      <c r="AH23" t="e">
        <f>AND('boilerplate specs'!I111,"AAAAAC94fyE=")</f>
        <v>#VALUE!</v>
      </c>
      <c r="AI23" t="e">
        <f>AND('boilerplate specs'!J111,"AAAAAC94fyI=")</f>
        <v>#VALUE!</v>
      </c>
      <c r="AJ23" t="e">
        <f>AND('boilerplate specs'!#REF!,"AAAAAC94fyM=")</f>
        <v>#REF!</v>
      </c>
      <c r="AK23" t="e">
        <f>AND('boilerplate specs'!#REF!,"AAAAAC94fyQ=")</f>
        <v>#REF!</v>
      </c>
      <c r="AL23" t="e">
        <f>AND('boilerplate specs'!#REF!,"AAAAAC94fyU=")</f>
        <v>#REF!</v>
      </c>
      <c r="AM23" t="e">
        <f>AND('boilerplate specs'!#REF!,"AAAAAC94fyY=")</f>
        <v>#REF!</v>
      </c>
      <c r="AN23" t="e">
        <f>AND('boilerplate specs'!#REF!,"AAAAAC94fyc=")</f>
        <v>#REF!</v>
      </c>
      <c r="AO23" t="e">
        <f>AND('boilerplate specs'!#REF!,"AAAAAC94fyg=")</f>
        <v>#REF!</v>
      </c>
      <c r="AP23" t="e">
        <f>AND('boilerplate specs'!#REF!,"AAAAAC94fyk=")</f>
        <v>#REF!</v>
      </c>
      <c r="AQ23" t="e">
        <f>AND('boilerplate specs'!#REF!,"AAAAAC94fyo=")</f>
        <v>#REF!</v>
      </c>
      <c r="AR23" t="e">
        <f>AND('boilerplate specs'!#REF!,"AAAAAC94fys=")</f>
        <v>#REF!</v>
      </c>
      <c r="AS23" t="e">
        <f>AND('boilerplate specs'!#REF!,"AAAAAC94fyw=")</f>
        <v>#REF!</v>
      </c>
      <c r="AT23" t="e">
        <f>AND('boilerplate specs'!#REF!,"AAAAAC94fy0=")</f>
        <v>#REF!</v>
      </c>
      <c r="AU23" t="e">
        <f>AND('boilerplate specs'!#REF!,"AAAAAC94fy4=")</f>
        <v>#REF!</v>
      </c>
      <c r="AV23" t="e">
        <f>AND('boilerplate specs'!#REF!,"AAAAAC94fy8=")</f>
        <v>#REF!</v>
      </c>
      <c r="AW23" t="e">
        <f>AND('boilerplate specs'!#REF!,"AAAAAC94fzA=")</f>
        <v>#REF!</v>
      </c>
      <c r="AX23" t="e">
        <f>AND('boilerplate specs'!#REF!,"AAAAAC94fzE=")</f>
        <v>#REF!</v>
      </c>
      <c r="AY23" t="e">
        <f>AND('boilerplate specs'!#REF!,"AAAAAC94fzI=")</f>
        <v>#REF!</v>
      </c>
      <c r="AZ23" t="e">
        <f>AND('boilerplate specs'!#REF!,"AAAAAC94fzM=")</f>
        <v>#REF!</v>
      </c>
      <c r="BA23" t="e">
        <f>AND('boilerplate specs'!#REF!,"AAAAAC94fzQ=")</f>
        <v>#REF!</v>
      </c>
      <c r="BB23" t="e">
        <f>AND('boilerplate specs'!#REF!,"AAAAAC94fzU=")</f>
        <v>#REF!</v>
      </c>
      <c r="BC23" t="e">
        <f>AND('boilerplate specs'!#REF!,"AAAAAC94fzY=")</f>
        <v>#REF!</v>
      </c>
      <c r="BD23" t="e">
        <f>AND('boilerplate specs'!#REF!,"AAAAAC94fzc=")</f>
        <v>#REF!</v>
      </c>
      <c r="BE23" t="e">
        <f>AND('boilerplate specs'!#REF!,"AAAAAC94fzg=")</f>
        <v>#REF!</v>
      </c>
      <c r="BF23">
        <f>IF('boilerplate specs'!112:112,"AAAAAC94fzk=",0)</f>
        <v>0</v>
      </c>
      <c r="BG23" t="e">
        <f>AND('boilerplate specs'!A112,"AAAAAC94fzo=")</f>
        <v>#VALUE!</v>
      </c>
      <c r="BH23" t="e">
        <f>AND('boilerplate specs'!B112,"AAAAAC94fzs=")</f>
        <v>#VALUE!</v>
      </c>
      <c r="BI23" t="e">
        <f>AND('boilerplate specs'!C112,"AAAAAC94fzw=")</f>
        <v>#VALUE!</v>
      </c>
      <c r="BJ23" t="e">
        <f>AND('boilerplate specs'!D112,"AAAAAC94fz0=")</f>
        <v>#VALUE!</v>
      </c>
      <c r="BK23" t="e">
        <f>AND('boilerplate specs'!E112,"AAAAAC94fz4=")</f>
        <v>#VALUE!</v>
      </c>
      <c r="BL23" t="e">
        <f>AND('boilerplate specs'!F112,"AAAAAC94fz8=")</f>
        <v>#VALUE!</v>
      </c>
      <c r="BM23" t="e">
        <f>AND('boilerplate specs'!G112,"AAAAAC94f0A=")</f>
        <v>#VALUE!</v>
      </c>
      <c r="BN23" t="e">
        <f>AND('boilerplate specs'!H112,"AAAAAC94f0E=")</f>
        <v>#VALUE!</v>
      </c>
      <c r="BO23" t="e">
        <f>AND('boilerplate specs'!I112,"AAAAAC94f0I=")</f>
        <v>#VALUE!</v>
      </c>
      <c r="BP23" t="e">
        <f>AND('boilerplate specs'!J112,"AAAAAC94f0M=")</f>
        <v>#VALUE!</v>
      </c>
      <c r="BQ23" t="e">
        <f>AND('boilerplate specs'!#REF!,"AAAAAC94f0Q=")</f>
        <v>#REF!</v>
      </c>
      <c r="BR23" t="e">
        <f>AND('boilerplate specs'!#REF!,"AAAAAC94f0U=")</f>
        <v>#REF!</v>
      </c>
      <c r="BS23" t="e">
        <f>AND('boilerplate specs'!#REF!,"AAAAAC94f0Y=")</f>
        <v>#REF!</v>
      </c>
      <c r="BT23" t="e">
        <f>AND('boilerplate specs'!#REF!,"AAAAAC94f0c=")</f>
        <v>#REF!</v>
      </c>
      <c r="BU23" t="e">
        <f>AND('boilerplate specs'!#REF!,"AAAAAC94f0g=")</f>
        <v>#REF!</v>
      </c>
      <c r="BV23" t="e">
        <f>AND('boilerplate specs'!#REF!,"AAAAAC94f0k=")</f>
        <v>#REF!</v>
      </c>
      <c r="BW23" t="e">
        <f>AND('boilerplate specs'!#REF!,"AAAAAC94f0o=")</f>
        <v>#REF!</v>
      </c>
      <c r="BX23" t="e">
        <f>AND('boilerplate specs'!#REF!,"AAAAAC94f0s=")</f>
        <v>#REF!</v>
      </c>
      <c r="BY23" t="e">
        <f>AND('boilerplate specs'!#REF!,"AAAAAC94f0w=")</f>
        <v>#REF!</v>
      </c>
      <c r="BZ23" t="e">
        <f>AND('boilerplate specs'!#REF!,"AAAAAC94f00=")</f>
        <v>#REF!</v>
      </c>
      <c r="CA23" t="e">
        <f>AND('boilerplate specs'!#REF!,"AAAAAC94f04=")</f>
        <v>#REF!</v>
      </c>
      <c r="CB23" t="e">
        <f>AND('boilerplate specs'!#REF!,"AAAAAC94f08=")</f>
        <v>#REF!</v>
      </c>
      <c r="CC23" t="e">
        <f>AND('boilerplate specs'!#REF!,"AAAAAC94f1A=")</f>
        <v>#REF!</v>
      </c>
      <c r="CD23" t="e">
        <f>AND('boilerplate specs'!#REF!,"AAAAAC94f1E=")</f>
        <v>#REF!</v>
      </c>
      <c r="CE23" t="e">
        <f>AND('boilerplate specs'!#REF!,"AAAAAC94f1I=")</f>
        <v>#REF!</v>
      </c>
      <c r="CF23" t="e">
        <f>AND('boilerplate specs'!#REF!,"AAAAAC94f1M=")</f>
        <v>#REF!</v>
      </c>
      <c r="CG23" t="e">
        <f>AND('boilerplate specs'!#REF!,"AAAAAC94f1Q=")</f>
        <v>#REF!</v>
      </c>
      <c r="CH23" t="e">
        <f>AND('boilerplate specs'!#REF!,"AAAAAC94f1U=")</f>
        <v>#REF!</v>
      </c>
      <c r="CI23" t="e">
        <f>AND('boilerplate specs'!#REF!,"AAAAAC94f1Y=")</f>
        <v>#REF!</v>
      </c>
      <c r="CJ23" t="e">
        <f>AND('boilerplate specs'!#REF!,"AAAAAC94f1c=")</f>
        <v>#REF!</v>
      </c>
      <c r="CK23" t="e">
        <f>AND('boilerplate specs'!#REF!,"AAAAAC94f1g=")</f>
        <v>#REF!</v>
      </c>
      <c r="CL23" t="e">
        <f>AND('boilerplate specs'!#REF!,"AAAAAC94f1k=")</f>
        <v>#REF!</v>
      </c>
      <c r="CM23">
        <f>IF('boilerplate specs'!113:113,"AAAAAC94f1o=",0)</f>
        <v>0</v>
      </c>
      <c r="CN23" t="e">
        <f>AND('boilerplate specs'!A113,"AAAAAC94f1s=")</f>
        <v>#VALUE!</v>
      </c>
      <c r="CO23" t="e">
        <f>AND('boilerplate specs'!B113,"AAAAAC94f1w=")</f>
        <v>#VALUE!</v>
      </c>
      <c r="CP23" t="e">
        <f>AND('boilerplate specs'!C113,"AAAAAC94f10=")</f>
        <v>#VALUE!</v>
      </c>
      <c r="CQ23" t="e">
        <f>AND('boilerplate specs'!D113,"AAAAAC94f14=")</f>
        <v>#VALUE!</v>
      </c>
      <c r="CR23" t="e">
        <f>AND('boilerplate specs'!E113,"AAAAAC94f18=")</f>
        <v>#VALUE!</v>
      </c>
      <c r="CS23" t="e">
        <f>AND('boilerplate specs'!F113,"AAAAAC94f2A=")</f>
        <v>#VALUE!</v>
      </c>
      <c r="CT23" t="e">
        <f>AND('boilerplate specs'!G113,"AAAAAC94f2E=")</f>
        <v>#VALUE!</v>
      </c>
      <c r="CU23" t="e">
        <f>AND('boilerplate specs'!H113,"AAAAAC94f2I=")</f>
        <v>#VALUE!</v>
      </c>
      <c r="CV23" t="e">
        <f>AND('boilerplate specs'!I113,"AAAAAC94f2M=")</f>
        <v>#VALUE!</v>
      </c>
      <c r="CW23" t="e">
        <f>AND('boilerplate specs'!J113,"AAAAAC94f2Q=")</f>
        <v>#VALUE!</v>
      </c>
      <c r="CX23" t="e">
        <f>AND('boilerplate specs'!#REF!,"AAAAAC94f2U=")</f>
        <v>#REF!</v>
      </c>
      <c r="CY23" t="e">
        <f>AND('boilerplate specs'!#REF!,"AAAAAC94f2Y=")</f>
        <v>#REF!</v>
      </c>
      <c r="CZ23" t="e">
        <f>AND('boilerplate specs'!#REF!,"AAAAAC94f2c=")</f>
        <v>#REF!</v>
      </c>
      <c r="DA23" t="e">
        <f>AND('boilerplate specs'!#REF!,"AAAAAC94f2g=")</f>
        <v>#REF!</v>
      </c>
      <c r="DB23" t="e">
        <f>AND('boilerplate specs'!#REF!,"AAAAAC94f2k=")</f>
        <v>#REF!</v>
      </c>
      <c r="DC23" t="e">
        <f>AND('boilerplate specs'!#REF!,"AAAAAC94f2o=")</f>
        <v>#REF!</v>
      </c>
      <c r="DD23" t="e">
        <f>AND('boilerplate specs'!#REF!,"AAAAAC94f2s=")</f>
        <v>#REF!</v>
      </c>
      <c r="DE23" t="e">
        <f>AND('boilerplate specs'!#REF!,"AAAAAC94f2w=")</f>
        <v>#REF!</v>
      </c>
      <c r="DF23" t="e">
        <f>AND('boilerplate specs'!#REF!,"AAAAAC94f20=")</f>
        <v>#REF!</v>
      </c>
      <c r="DG23" t="e">
        <f>AND('boilerplate specs'!#REF!,"AAAAAC94f24=")</f>
        <v>#REF!</v>
      </c>
      <c r="DH23" t="e">
        <f>AND('boilerplate specs'!#REF!,"AAAAAC94f28=")</f>
        <v>#REF!</v>
      </c>
      <c r="DI23" t="e">
        <f>AND('boilerplate specs'!#REF!,"AAAAAC94f3A=")</f>
        <v>#REF!</v>
      </c>
      <c r="DJ23" t="e">
        <f>AND('boilerplate specs'!#REF!,"AAAAAC94f3E=")</f>
        <v>#REF!</v>
      </c>
      <c r="DK23" t="e">
        <f>AND('boilerplate specs'!#REF!,"AAAAAC94f3I=")</f>
        <v>#REF!</v>
      </c>
      <c r="DL23" t="e">
        <f>AND('boilerplate specs'!#REF!,"AAAAAC94f3M=")</f>
        <v>#REF!</v>
      </c>
      <c r="DM23" t="e">
        <f>AND('boilerplate specs'!#REF!,"AAAAAC94f3Q=")</f>
        <v>#REF!</v>
      </c>
      <c r="DN23" t="e">
        <f>AND('boilerplate specs'!#REF!,"AAAAAC94f3U=")</f>
        <v>#REF!</v>
      </c>
      <c r="DO23" t="e">
        <f>AND('boilerplate specs'!#REF!,"AAAAAC94f3Y=")</f>
        <v>#REF!</v>
      </c>
      <c r="DP23" t="e">
        <f>AND('boilerplate specs'!#REF!,"AAAAAC94f3c=")</f>
        <v>#REF!</v>
      </c>
      <c r="DQ23" t="e">
        <f>AND('boilerplate specs'!#REF!,"AAAAAC94f3g=")</f>
        <v>#REF!</v>
      </c>
      <c r="DR23" t="e">
        <f>AND('boilerplate specs'!#REF!,"AAAAAC94f3k=")</f>
        <v>#REF!</v>
      </c>
      <c r="DS23" t="e">
        <f>AND('boilerplate specs'!#REF!,"AAAAAC94f3o=")</f>
        <v>#REF!</v>
      </c>
      <c r="DT23">
        <f>IF('boilerplate specs'!114:114,"AAAAAC94f3s=",0)</f>
        <v>0</v>
      </c>
      <c r="DU23" t="e">
        <f>AND('boilerplate specs'!A114,"AAAAAC94f3w=")</f>
        <v>#VALUE!</v>
      </c>
      <c r="DV23" t="e">
        <f>AND('boilerplate specs'!B114,"AAAAAC94f30=")</f>
        <v>#VALUE!</v>
      </c>
      <c r="DW23" t="e">
        <f>AND('boilerplate specs'!C114,"AAAAAC94f34=")</f>
        <v>#VALUE!</v>
      </c>
      <c r="DX23" t="e">
        <f>AND('boilerplate specs'!D114,"AAAAAC94f38=")</f>
        <v>#VALUE!</v>
      </c>
      <c r="DY23" t="e">
        <f>AND('boilerplate specs'!E114,"AAAAAC94f4A=")</f>
        <v>#VALUE!</v>
      </c>
      <c r="DZ23" t="e">
        <f>AND('boilerplate specs'!F114,"AAAAAC94f4E=")</f>
        <v>#VALUE!</v>
      </c>
      <c r="EA23" t="e">
        <f>AND('boilerplate specs'!G114,"AAAAAC94f4I=")</f>
        <v>#VALUE!</v>
      </c>
      <c r="EB23" t="e">
        <f>AND('boilerplate specs'!H114,"AAAAAC94f4M=")</f>
        <v>#VALUE!</v>
      </c>
      <c r="EC23" t="e">
        <f>AND('boilerplate specs'!I114,"AAAAAC94f4Q=")</f>
        <v>#VALUE!</v>
      </c>
      <c r="ED23" t="e">
        <f>AND('boilerplate specs'!J114,"AAAAAC94f4U=")</f>
        <v>#VALUE!</v>
      </c>
      <c r="EE23" t="e">
        <f>AND('boilerplate specs'!#REF!,"AAAAAC94f4Y=")</f>
        <v>#REF!</v>
      </c>
      <c r="EF23" t="e">
        <f>AND('boilerplate specs'!#REF!,"AAAAAC94f4c=")</f>
        <v>#REF!</v>
      </c>
      <c r="EG23" t="e">
        <f>AND('boilerplate specs'!#REF!,"AAAAAC94f4g=")</f>
        <v>#REF!</v>
      </c>
      <c r="EH23" t="e">
        <f>AND('boilerplate specs'!#REF!,"AAAAAC94f4k=")</f>
        <v>#REF!</v>
      </c>
      <c r="EI23" t="e">
        <f>AND('boilerplate specs'!#REF!,"AAAAAC94f4o=")</f>
        <v>#REF!</v>
      </c>
      <c r="EJ23" t="e">
        <f>AND('boilerplate specs'!#REF!,"AAAAAC94f4s=")</f>
        <v>#REF!</v>
      </c>
      <c r="EK23" t="e">
        <f>AND('boilerplate specs'!#REF!,"AAAAAC94f4w=")</f>
        <v>#REF!</v>
      </c>
      <c r="EL23" t="e">
        <f>AND('boilerplate specs'!#REF!,"AAAAAC94f40=")</f>
        <v>#REF!</v>
      </c>
      <c r="EM23" t="e">
        <f>AND('boilerplate specs'!#REF!,"AAAAAC94f44=")</f>
        <v>#REF!</v>
      </c>
      <c r="EN23" t="e">
        <f>AND('boilerplate specs'!#REF!,"AAAAAC94f48=")</f>
        <v>#REF!</v>
      </c>
      <c r="EO23" t="e">
        <f>AND('boilerplate specs'!#REF!,"AAAAAC94f5A=")</f>
        <v>#REF!</v>
      </c>
      <c r="EP23" t="e">
        <f>AND('boilerplate specs'!#REF!,"AAAAAC94f5E=")</f>
        <v>#REF!</v>
      </c>
      <c r="EQ23" t="e">
        <f>AND('boilerplate specs'!#REF!,"AAAAAC94f5I=")</f>
        <v>#REF!</v>
      </c>
      <c r="ER23" t="e">
        <f>AND('boilerplate specs'!#REF!,"AAAAAC94f5M=")</f>
        <v>#REF!</v>
      </c>
      <c r="ES23" t="e">
        <f>AND('boilerplate specs'!#REF!,"AAAAAC94f5Q=")</f>
        <v>#REF!</v>
      </c>
      <c r="ET23" t="e">
        <f>AND('boilerplate specs'!#REF!,"AAAAAC94f5U=")</f>
        <v>#REF!</v>
      </c>
      <c r="EU23" t="e">
        <f>AND('boilerplate specs'!#REF!,"AAAAAC94f5Y=")</f>
        <v>#REF!</v>
      </c>
      <c r="EV23" t="e">
        <f>AND('boilerplate specs'!#REF!,"AAAAAC94f5c=")</f>
        <v>#REF!</v>
      </c>
      <c r="EW23" t="e">
        <f>AND('boilerplate specs'!#REF!,"AAAAAC94f5g=")</f>
        <v>#REF!</v>
      </c>
      <c r="EX23" t="e">
        <f>AND('boilerplate specs'!#REF!,"AAAAAC94f5k=")</f>
        <v>#REF!</v>
      </c>
      <c r="EY23" t="e">
        <f>AND('boilerplate specs'!#REF!,"AAAAAC94f5o=")</f>
        <v>#REF!</v>
      </c>
      <c r="EZ23" t="e">
        <f>AND('boilerplate specs'!#REF!,"AAAAAC94f5s=")</f>
        <v>#REF!</v>
      </c>
      <c r="FA23">
        <f>IF('boilerplate specs'!115:115,"AAAAAC94f5w=",0)</f>
        <v>0</v>
      </c>
      <c r="FB23" t="e">
        <f>AND('boilerplate specs'!A115,"AAAAAC94f50=")</f>
        <v>#VALUE!</v>
      </c>
      <c r="FC23" t="e">
        <f>AND('boilerplate specs'!B115,"AAAAAC94f54=")</f>
        <v>#VALUE!</v>
      </c>
      <c r="FD23" t="e">
        <f>AND('boilerplate specs'!C115,"AAAAAC94f58=")</f>
        <v>#VALUE!</v>
      </c>
      <c r="FE23" t="e">
        <f>AND('boilerplate specs'!D115,"AAAAAC94f6A=")</f>
        <v>#VALUE!</v>
      </c>
      <c r="FF23" t="e">
        <f>AND('boilerplate specs'!E115,"AAAAAC94f6E=")</f>
        <v>#VALUE!</v>
      </c>
      <c r="FG23" t="e">
        <f>AND('boilerplate specs'!F115,"AAAAAC94f6I=")</f>
        <v>#VALUE!</v>
      </c>
      <c r="FH23" t="e">
        <f>AND('boilerplate specs'!G115,"AAAAAC94f6M=")</f>
        <v>#VALUE!</v>
      </c>
      <c r="FI23" t="e">
        <f>AND('boilerplate specs'!H115,"AAAAAC94f6Q=")</f>
        <v>#VALUE!</v>
      </c>
      <c r="FJ23" t="e">
        <f>AND('boilerplate specs'!I115,"AAAAAC94f6U=")</f>
        <v>#VALUE!</v>
      </c>
      <c r="FK23" t="e">
        <f>AND('boilerplate specs'!J115,"AAAAAC94f6Y=")</f>
        <v>#VALUE!</v>
      </c>
      <c r="FL23" t="e">
        <f>AND('boilerplate specs'!#REF!,"AAAAAC94f6c=")</f>
        <v>#REF!</v>
      </c>
      <c r="FM23" t="e">
        <f>AND('boilerplate specs'!#REF!,"AAAAAC94f6g=")</f>
        <v>#REF!</v>
      </c>
      <c r="FN23" t="e">
        <f>AND('boilerplate specs'!#REF!,"AAAAAC94f6k=")</f>
        <v>#REF!</v>
      </c>
      <c r="FO23" t="e">
        <f>AND('boilerplate specs'!#REF!,"AAAAAC94f6o=")</f>
        <v>#REF!</v>
      </c>
      <c r="FP23" t="e">
        <f>AND('boilerplate specs'!#REF!,"AAAAAC94f6s=")</f>
        <v>#REF!</v>
      </c>
      <c r="FQ23" t="e">
        <f>AND('boilerplate specs'!#REF!,"AAAAAC94f6w=")</f>
        <v>#REF!</v>
      </c>
      <c r="FR23" t="e">
        <f>AND('boilerplate specs'!#REF!,"AAAAAC94f60=")</f>
        <v>#REF!</v>
      </c>
      <c r="FS23" t="e">
        <f>AND('boilerplate specs'!#REF!,"AAAAAC94f64=")</f>
        <v>#REF!</v>
      </c>
      <c r="FT23" t="e">
        <f>AND('boilerplate specs'!#REF!,"AAAAAC94f68=")</f>
        <v>#REF!</v>
      </c>
      <c r="FU23" t="e">
        <f>AND('boilerplate specs'!#REF!,"AAAAAC94f7A=")</f>
        <v>#REF!</v>
      </c>
      <c r="FV23" t="e">
        <f>AND('boilerplate specs'!#REF!,"AAAAAC94f7E=")</f>
        <v>#REF!</v>
      </c>
      <c r="FW23" t="e">
        <f>AND('boilerplate specs'!#REF!,"AAAAAC94f7I=")</f>
        <v>#REF!</v>
      </c>
      <c r="FX23" t="e">
        <f>AND('boilerplate specs'!#REF!,"AAAAAC94f7M=")</f>
        <v>#REF!</v>
      </c>
      <c r="FY23" t="e">
        <f>AND('boilerplate specs'!#REF!,"AAAAAC94f7Q=")</f>
        <v>#REF!</v>
      </c>
      <c r="FZ23" t="e">
        <f>AND('boilerplate specs'!#REF!,"AAAAAC94f7U=")</f>
        <v>#REF!</v>
      </c>
      <c r="GA23" t="e">
        <f>AND('boilerplate specs'!#REF!,"AAAAAC94f7Y=")</f>
        <v>#REF!</v>
      </c>
      <c r="GB23" t="e">
        <f>AND('boilerplate specs'!#REF!,"AAAAAC94f7c=")</f>
        <v>#REF!</v>
      </c>
      <c r="GC23" t="e">
        <f>AND('boilerplate specs'!#REF!,"AAAAAC94f7g=")</f>
        <v>#REF!</v>
      </c>
      <c r="GD23" t="e">
        <f>AND('boilerplate specs'!#REF!,"AAAAAC94f7k=")</f>
        <v>#REF!</v>
      </c>
      <c r="GE23" t="e">
        <f>AND('boilerplate specs'!#REF!,"AAAAAC94f7o=")</f>
        <v>#REF!</v>
      </c>
      <c r="GF23" t="e">
        <f>AND('boilerplate specs'!#REF!,"AAAAAC94f7s=")</f>
        <v>#REF!</v>
      </c>
      <c r="GG23" t="e">
        <f>AND('boilerplate specs'!#REF!,"AAAAAC94f7w=")</f>
        <v>#REF!</v>
      </c>
      <c r="GH23">
        <f>IF('boilerplate specs'!116:116,"AAAAAC94f70=",0)</f>
        <v>0</v>
      </c>
      <c r="GI23" t="e">
        <f>AND('boilerplate specs'!A116,"AAAAAC94f74=")</f>
        <v>#VALUE!</v>
      </c>
      <c r="GJ23" t="e">
        <f>AND('boilerplate specs'!B116,"AAAAAC94f78=")</f>
        <v>#VALUE!</v>
      </c>
      <c r="GK23" t="e">
        <f>AND('boilerplate specs'!C116,"AAAAAC94f8A=")</f>
        <v>#VALUE!</v>
      </c>
      <c r="GL23" t="e">
        <f>AND('boilerplate specs'!D116,"AAAAAC94f8E=")</f>
        <v>#VALUE!</v>
      </c>
      <c r="GM23" t="e">
        <f>AND('boilerplate specs'!E116,"AAAAAC94f8I=")</f>
        <v>#VALUE!</v>
      </c>
      <c r="GN23" t="e">
        <f>AND('boilerplate specs'!F116,"AAAAAC94f8M=")</f>
        <v>#VALUE!</v>
      </c>
      <c r="GO23" t="e">
        <f>AND('boilerplate specs'!G116,"AAAAAC94f8Q=")</f>
        <v>#VALUE!</v>
      </c>
      <c r="GP23" t="e">
        <f>AND('boilerplate specs'!H116,"AAAAAC94f8U=")</f>
        <v>#VALUE!</v>
      </c>
      <c r="GQ23" t="e">
        <f>AND('boilerplate specs'!I116,"AAAAAC94f8Y=")</f>
        <v>#VALUE!</v>
      </c>
      <c r="GR23" t="e">
        <f>AND('boilerplate specs'!J116,"AAAAAC94f8c=")</f>
        <v>#VALUE!</v>
      </c>
      <c r="GS23" t="e">
        <f>AND('boilerplate specs'!#REF!,"AAAAAC94f8g=")</f>
        <v>#REF!</v>
      </c>
      <c r="GT23" t="e">
        <f>AND('boilerplate specs'!#REF!,"AAAAAC94f8k=")</f>
        <v>#REF!</v>
      </c>
      <c r="GU23" t="e">
        <f>AND('boilerplate specs'!#REF!,"AAAAAC94f8o=")</f>
        <v>#REF!</v>
      </c>
      <c r="GV23" t="e">
        <f>AND('boilerplate specs'!#REF!,"AAAAAC94f8s=")</f>
        <v>#REF!</v>
      </c>
      <c r="GW23" t="e">
        <f>AND('boilerplate specs'!#REF!,"AAAAAC94f8w=")</f>
        <v>#REF!</v>
      </c>
      <c r="GX23" t="e">
        <f>AND('boilerplate specs'!#REF!,"AAAAAC94f80=")</f>
        <v>#REF!</v>
      </c>
      <c r="GY23" t="e">
        <f>AND('boilerplate specs'!#REF!,"AAAAAC94f84=")</f>
        <v>#REF!</v>
      </c>
      <c r="GZ23" t="e">
        <f>AND('boilerplate specs'!#REF!,"AAAAAC94f88=")</f>
        <v>#REF!</v>
      </c>
      <c r="HA23" t="e">
        <f>AND('boilerplate specs'!#REF!,"AAAAAC94f9A=")</f>
        <v>#REF!</v>
      </c>
      <c r="HB23" t="e">
        <f>AND('boilerplate specs'!#REF!,"AAAAAC94f9E=")</f>
        <v>#REF!</v>
      </c>
      <c r="HC23" t="e">
        <f>AND('boilerplate specs'!#REF!,"AAAAAC94f9I=")</f>
        <v>#REF!</v>
      </c>
      <c r="HD23" t="e">
        <f>AND('boilerplate specs'!#REF!,"AAAAAC94f9M=")</f>
        <v>#REF!</v>
      </c>
      <c r="HE23" t="e">
        <f>AND('boilerplate specs'!#REF!,"AAAAAC94f9Q=")</f>
        <v>#REF!</v>
      </c>
      <c r="HF23" t="e">
        <f>AND('boilerplate specs'!#REF!,"AAAAAC94f9U=")</f>
        <v>#REF!</v>
      </c>
      <c r="HG23" t="e">
        <f>AND('boilerplate specs'!#REF!,"AAAAAC94f9Y=")</f>
        <v>#REF!</v>
      </c>
      <c r="HH23" t="e">
        <f>AND('boilerplate specs'!#REF!,"AAAAAC94f9c=")</f>
        <v>#REF!</v>
      </c>
      <c r="HI23" t="e">
        <f>AND('boilerplate specs'!#REF!,"AAAAAC94f9g=")</f>
        <v>#REF!</v>
      </c>
      <c r="HJ23" t="e">
        <f>AND('boilerplate specs'!#REF!,"AAAAAC94f9k=")</f>
        <v>#REF!</v>
      </c>
      <c r="HK23" t="e">
        <f>AND('boilerplate specs'!#REF!,"AAAAAC94f9o=")</f>
        <v>#REF!</v>
      </c>
      <c r="HL23" t="e">
        <f>AND('boilerplate specs'!#REF!,"AAAAAC94f9s=")</f>
        <v>#REF!</v>
      </c>
      <c r="HM23" t="e">
        <f>AND('boilerplate specs'!#REF!,"AAAAAC94f9w=")</f>
        <v>#REF!</v>
      </c>
      <c r="HN23" t="e">
        <f>AND('boilerplate specs'!#REF!,"AAAAAC94f90=")</f>
        <v>#REF!</v>
      </c>
      <c r="HO23">
        <f>IF('boilerplate specs'!117:117,"AAAAAC94f94=",0)</f>
        <v>0</v>
      </c>
      <c r="HP23" t="e">
        <f>AND('boilerplate specs'!A117,"AAAAAC94f98=")</f>
        <v>#VALUE!</v>
      </c>
      <c r="HQ23" t="e">
        <f>AND('boilerplate specs'!B117,"AAAAAC94f+A=")</f>
        <v>#VALUE!</v>
      </c>
      <c r="HR23" t="e">
        <f>AND('boilerplate specs'!C117,"AAAAAC94f+E=")</f>
        <v>#VALUE!</v>
      </c>
      <c r="HS23" t="e">
        <f>AND('boilerplate specs'!D117,"AAAAAC94f+I=")</f>
        <v>#VALUE!</v>
      </c>
      <c r="HT23" t="e">
        <f>AND('boilerplate specs'!E117,"AAAAAC94f+M=")</f>
        <v>#VALUE!</v>
      </c>
      <c r="HU23" t="e">
        <f>AND('boilerplate specs'!F117,"AAAAAC94f+Q=")</f>
        <v>#VALUE!</v>
      </c>
      <c r="HV23" t="e">
        <f>AND('boilerplate specs'!G117,"AAAAAC94f+U=")</f>
        <v>#VALUE!</v>
      </c>
      <c r="HW23" t="e">
        <f>AND('boilerplate specs'!H117,"AAAAAC94f+Y=")</f>
        <v>#VALUE!</v>
      </c>
      <c r="HX23" t="e">
        <f>AND('boilerplate specs'!I117,"AAAAAC94f+c=")</f>
        <v>#VALUE!</v>
      </c>
      <c r="HY23" t="e">
        <f>AND('boilerplate specs'!J117,"AAAAAC94f+g=")</f>
        <v>#VALUE!</v>
      </c>
      <c r="HZ23" t="e">
        <f>AND('boilerplate specs'!#REF!,"AAAAAC94f+k=")</f>
        <v>#REF!</v>
      </c>
      <c r="IA23" t="e">
        <f>AND('boilerplate specs'!#REF!,"AAAAAC94f+o=")</f>
        <v>#REF!</v>
      </c>
      <c r="IB23" t="e">
        <f>AND('boilerplate specs'!#REF!,"AAAAAC94f+s=")</f>
        <v>#REF!</v>
      </c>
      <c r="IC23" t="e">
        <f>AND('boilerplate specs'!#REF!,"AAAAAC94f+w=")</f>
        <v>#REF!</v>
      </c>
      <c r="ID23" t="e">
        <f>AND('boilerplate specs'!#REF!,"AAAAAC94f+0=")</f>
        <v>#REF!</v>
      </c>
      <c r="IE23" t="e">
        <f>AND('boilerplate specs'!#REF!,"AAAAAC94f+4=")</f>
        <v>#REF!</v>
      </c>
      <c r="IF23" t="e">
        <f>AND('boilerplate specs'!#REF!,"AAAAAC94f+8=")</f>
        <v>#REF!</v>
      </c>
      <c r="IG23" t="e">
        <f>AND('boilerplate specs'!#REF!,"AAAAAC94f/A=")</f>
        <v>#REF!</v>
      </c>
      <c r="IH23" t="e">
        <f>AND('boilerplate specs'!#REF!,"AAAAAC94f/E=")</f>
        <v>#REF!</v>
      </c>
      <c r="II23" t="e">
        <f>AND('boilerplate specs'!#REF!,"AAAAAC94f/I=")</f>
        <v>#REF!</v>
      </c>
      <c r="IJ23" t="e">
        <f>AND('boilerplate specs'!#REF!,"AAAAAC94f/M=")</f>
        <v>#REF!</v>
      </c>
      <c r="IK23" t="e">
        <f>AND('boilerplate specs'!#REF!,"AAAAAC94f/Q=")</f>
        <v>#REF!</v>
      </c>
      <c r="IL23" t="e">
        <f>AND('boilerplate specs'!#REF!,"AAAAAC94f/U=")</f>
        <v>#REF!</v>
      </c>
      <c r="IM23" t="e">
        <f>AND('boilerplate specs'!#REF!,"AAAAAC94f/Y=")</f>
        <v>#REF!</v>
      </c>
      <c r="IN23" t="e">
        <f>AND('boilerplate specs'!#REF!,"AAAAAC94f/c=")</f>
        <v>#REF!</v>
      </c>
      <c r="IO23" t="e">
        <f>AND('boilerplate specs'!#REF!,"AAAAAC94f/g=")</f>
        <v>#REF!</v>
      </c>
      <c r="IP23" t="e">
        <f>AND('boilerplate specs'!#REF!,"AAAAAC94f/k=")</f>
        <v>#REF!</v>
      </c>
      <c r="IQ23" t="e">
        <f>AND('boilerplate specs'!#REF!,"AAAAAC94f/o=")</f>
        <v>#REF!</v>
      </c>
      <c r="IR23" t="e">
        <f>AND('boilerplate specs'!#REF!,"AAAAAC94f/s=")</f>
        <v>#REF!</v>
      </c>
      <c r="IS23" t="e">
        <f>AND('boilerplate specs'!#REF!,"AAAAAC94f/w=")</f>
        <v>#REF!</v>
      </c>
      <c r="IT23" t="e">
        <f>AND('boilerplate specs'!#REF!,"AAAAAC94f/0=")</f>
        <v>#REF!</v>
      </c>
      <c r="IU23" t="e">
        <f>AND('boilerplate specs'!#REF!,"AAAAAC94f/4=")</f>
        <v>#REF!</v>
      </c>
      <c r="IV23">
        <f>IF('boilerplate specs'!118:118,"AAAAAC94f/8=",0)</f>
        <v>0</v>
      </c>
    </row>
    <row r="24" spans="1:256" x14ac:dyDescent="0.35">
      <c r="A24" t="e">
        <f>AND('boilerplate specs'!A118,"AAAAAAcf1QA=")</f>
        <v>#VALUE!</v>
      </c>
      <c r="B24" t="e">
        <f>AND('boilerplate specs'!B118,"AAAAAAcf1QE=")</f>
        <v>#VALUE!</v>
      </c>
      <c r="C24" t="e">
        <f>AND('boilerplate specs'!C118,"AAAAAAcf1QI=")</f>
        <v>#VALUE!</v>
      </c>
      <c r="D24" t="e">
        <f>AND('boilerplate specs'!D118,"AAAAAAcf1QM=")</f>
        <v>#VALUE!</v>
      </c>
      <c r="E24" t="e">
        <f>AND('boilerplate specs'!E118,"AAAAAAcf1QQ=")</f>
        <v>#VALUE!</v>
      </c>
      <c r="F24" t="e">
        <f>AND('boilerplate specs'!F118,"AAAAAAcf1QU=")</f>
        <v>#VALUE!</v>
      </c>
      <c r="G24" t="e">
        <f>AND('boilerplate specs'!G118,"AAAAAAcf1QY=")</f>
        <v>#VALUE!</v>
      </c>
      <c r="H24" t="e">
        <f>AND('boilerplate specs'!H118,"AAAAAAcf1Qc=")</f>
        <v>#VALUE!</v>
      </c>
      <c r="I24" t="e">
        <f>AND('boilerplate specs'!I118,"AAAAAAcf1Qg=")</f>
        <v>#VALUE!</v>
      </c>
      <c r="J24" t="e">
        <f>AND('boilerplate specs'!J118,"AAAAAAcf1Qk=")</f>
        <v>#VALUE!</v>
      </c>
      <c r="K24" t="e">
        <f>AND('boilerplate specs'!#REF!,"AAAAAAcf1Qo=")</f>
        <v>#REF!</v>
      </c>
      <c r="L24" t="e">
        <f>AND('boilerplate specs'!#REF!,"AAAAAAcf1Qs=")</f>
        <v>#REF!</v>
      </c>
      <c r="M24" t="e">
        <f>AND('boilerplate specs'!#REF!,"AAAAAAcf1Qw=")</f>
        <v>#REF!</v>
      </c>
      <c r="N24" t="e">
        <f>AND('boilerplate specs'!#REF!,"AAAAAAcf1Q0=")</f>
        <v>#REF!</v>
      </c>
      <c r="O24" t="e">
        <f>AND('boilerplate specs'!#REF!,"AAAAAAcf1Q4=")</f>
        <v>#REF!</v>
      </c>
      <c r="P24" t="e">
        <f>AND('boilerplate specs'!#REF!,"AAAAAAcf1Q8=")</f>
        <v>#REF!</v>
      </c>
      <c r="Q24" t="e">
        <f>AND('boilerplate specs'!#REF!,"AAAAAAcf1RA=")</f>
        <v>#REF!</v>
      </c>
      <c r="R24" t="e">
        <f>AND('boilerplate specs'!#REF!,"AAAAAAcf1RE=")</f>
        <v>#REF!</v>
      </c>
      <c r="S24" t="e">
        <f>AND('boilerplate specs'!#REF!,"AAAAAAcf1RI=")</f>
        <v>#REF!</v>
      </c>
      <c r="T24" t="e">
        <f>AND('boilerplate specs'!#REF!,"AAAAAAcf1RM=")</f>
        <v>#REF!</v>
      </c>
      <c r="U24" t="e">
        <f>AND('boilerplate specs'!#REF!,"AAAAAAcf1RQ=")</f>
        <v>#REF!</v>
      </c>
      <c r="V24" t="e">
        <f>AND('boilerplate specs'!#REF!,"AAAAAAcf1RU=")</f>
        <v>#REF!</v>
      </c>
      <c r="W24" t="e">
        <f>AND('boilerplate specs'!#REF!,"AAAAAAcf1RY=")</f>
        <v>#REF!</v>
      </c>
      <c r="X24" t="e">
        <f>AND('boilerplate specs'!#REF!,"AAAAAAcf1Rc=")</f>
        <v>#REF!</v>
      </c>
      <c r="Y24" t="e">
        <f>AND('boilerplate specs'!#REF!,"AAAAAAcf1Rg=")</f>
        <v>#REF!</v>
      </c>
      <c r="Z24" t="e">
        <f>AND('boilerplate specs'!#REF!,"AAAAAAcf1Rk=")</f>
        <v>#REF!</v>
      </c>
      <c r="AA24" t="e">
        <f>AND('boilerplate specs'!#REF!,"AAAAAAcf1Ro=")</f>
        <v>#REF!</v>
      </c>
      <c r="AB24" t="e">
        <f>AND('boilerplate specs'!#REF!,"AAAAAAcf1Rs=")</f>
        <v>#REF!</v>
      </c>
      <c r="AC24" t="e">
        <f>AND('boilerplate specs'!#REF!,"AAAAAAcf1Rw=")</f>
        <v>#REF!</v>
      </c>
      <c r="AD24" t="e">
        <f>AND('boilerplate specs'!#REF!,"AAAAAAcf1R0=")</f>
        <v>#REF!</v>
      </c>
      <c r="AE24" t="e">
        <f>AND('boilerplate specs'!#REF!,"AAAAAAcf1R4=")</f>
        <v>#REF!</v>
      </c>
      <c r="AF24" t="e">
        <f>AND('boilerplate specs'!#REF!,"AAAAAAcf1R8=")</f>
        <v>#REF!</v>
      </c>
      <c r="AG24">
        <f>IF('boilerplate specs'!119:119,"AAAAAAcf1SA=",0)</f>
        <v>0</v>
      </c>
      <c r="AH24" t="e">
        <f>AND('boilerplate specs'!A119,"AAAAAAcf1SE=")</f>
        <v>#VALUE!</v>
      </c>
      <c r="AI24" t="e">
        <f>AND('boilerplate specs'!B119,"AAAAAAcf1SI=")</f>
        <v>#VALUE!</v>
      </c>
      <c r="AJ24" t="e">
        <f>AND('boilerplate specs'!C119,"AAAAAAcf1SM=")</f>
        <v>#VALUE!</v>
      </c>
      <c r="AK24" t="e">
        <f>AND('boilerplate specs'!D119,"AAAAAAcf1SQ=")</f>
        <v>#VALUE!</v>
      </c>
      <c r="AL24" t="e">
        <f>AND('boilerplate specs'!E119,"AAAAAAcf1SU=")</f>
        <v>#VALUE!</v>
      </c>
      <c r="AM24" t="e">
        <f>AND('boilerplate specs'!F119,"AAAAAAcf1SY=")</f>
        <v>#VALUE!</v>
      </c>
      <c r="AN24" t="e">
        <f>AND('boilerplate specs'!G119,"AAAAAAcf1Sc=")</f>
        <v>#VALUE!</v>
      </c>
      <c r="AO24" t="e">
        <f>AND('boilerplate specs'!H119,"AAAAAAcf1Sg=")</f>
        <v>#VALUE!</v>
      </c>
      <c r="AP24" t="e">
        <f>AND('boilerplate specs'!I119,"AAAAAAcf1Sk=")</f>
        <v>#VALUE!</v>
      </c>
      <c r="AQ24" t="e">
        <f>AND('boilerplate specs'!J119,"AAAAAAcf1So=")</f>
        <v>#VALUE!</v>
      </c>
      <c r="AR24" t="e">
        <f>AND('boilerplate specs'!#REF!,"AAAAAAcf1Ss=")</f>
        <v>#REF!</v>
      </c>
      <c r="AS24" t="e">
        <f>AND('boilerplate specs'!#REF!,"AAAAAAcf1Sw=")</f>
        <v>#REF!</v>
      </c>
      <c r="AT24" t="e">
        <f>AND('boilerplate specs'!#REF!,"AAAAAAcf1S0=")</f>
        <v>#REF!</v>
      </c>
      <c r="AU24" t="e">
        <f>AND('boilerplate specs'!#REF!,"AAAAAAcf1S4=")</f>
        <v>#REF!</v>
      </c>
      <c r="AV24" t="e">
        <f>AND('boilerplate specs'!#REF!,"AAAAAAcf1S8=")</f>
        <v>#REF!</v>
      </c>
      <c r="AW24" t="e">
        <f>AND('boilerplate specs'!#REF!,"AAAAAAcf1TA=")</f>
        <v>#REF!</v>
      </c>
      <c r="AX24" t="e">
        <f>AND('boilerplate specs'!#REF!,"AAAAAAcf1TE=")</f>
        <v>#REF!</v>
      </c>
      <c r="AY24" t="e">
        <f>AND('boilerplate specs'!#REF!,"AAAAAAcf1TI=")</f>
        <v>#REF!</v>
      </c>
      <c r="AZ24" t="e">
        <f>AND('boilerplate specs'!#REF!,"AAAAAAcf1TM=")</f>
        <v>#REF!</v>
      </c>
      <c r="BA24" t="e">
        <f>AND('boilerplate specs'!#REF!,"AAAAAAcf1TQ=")</f>
        <v>#REF!</v>
      </c>
      <c r="BB24" t="e">
        <f>AND('boilerplate specs'!#REF!,"AAAAAAcf1TU=")</f>
        <v>#REF!</v>
      </c>
      <c r="BC24" t="e">
        <f>AND('boilerplate specs'!#REF!,"AAAAAAcf1TY=")</f>
        <v>#REF!</v>
      </c>
      <c r="BD24" t="e">
        <f>AND('boilerplate specs'!#REF!,"AAAAAAcf1Tc=")</f>
        <v>#REF!</v>
      </c>
      <c r="BE24" t="e">
        <f>AND('boilerplate specs'!#REF!,"AAAAAAcf1Tg=")</f>
        <v>#REF!</v>
      </c>
      <c r="BF24" t="e">
        <f>AND('boilerplate specs'!#REF!,"AAAAAAcf1Tk=")</f>
        <v>#REF!</v>
      </c>
      <c r="BG24" t="e">
        <f>AND('boilerplate specs'!#REF!,"AAAAAAcf1To=")</f>
        <v>#REF!</v>
      </c>
      <c r="BH24" t="e">
        <f>AND('boilerplate specs'!#REF!,"AAAAAAcf1Ts=")</f>
        <v>#REF!</v>
      </c>
      <c r="BI24" t="e">
        <f>AND('boilerplate specs'!#REF!,"AAAAAAcf1Tw=")</f>
        <v>#REF!</v>
      </c>
      <c r="BJ24" t="e">
        <f>AND('boilerplate specs'!#REF!,"AAAAAAcf1T0=")</f>
        <v>#REF!</v>
      </c>
      <c r="BK24" t="e">
        <f>AND('boilerplate specs'!#REF!,"AAAAAAcf1T4=")</f>
        <v>#REF!</v>
      </c>
      <c r="BL24" t="e">
        <f>AND('boilerplate specs'!#REF!,"AAAAAAcf1T8=")</f>
        <v>#REF!</v>
      </c>
      <c r="BM24" t="e">
        <f>AND('boilerplate specs'!#REF!,"AAAAAAcf1UA=")</f>
        <v>#REF!</v>
      </c>
      <c r="BN24">
        <f>IF('boilerplate specs'!120:120,"AAAAAAcf1UE=",0)</f>
        <v>0</v>
      </c>
      <c r="BO24" t="e">
        <f>AND('boilerplate specs'!A120,"AAAAAAcf1UI=")</f>
        <v>#VALUE!</v>
      </c>
      <c r="BP24" t="e">
        <f>AND('boilerplate specs'!B120,"AAAAAAcf1UM=")</f>
        <v>#VALUE!</v>
      </c>
      <c r="BQ24" t="e">
        <f>AND('boilerplate specs'!C120,"AAAAAAcf1UQ=")</f>
        <v>#VALUE!</v>
      </c>
      <c r="BR24" t="e">
        <f>AND('boilerplate specs'!D120,"AAAAAAcf1UU=")</f>
        <v>#VALUE!</v>
      </c>
      <c r="BS24" t="e">
        <f>AND('boilerplate specs'!E120,"AAAAAAcf1UY=")</f>
        <v>#VALUE!</v>
      </c>
      <c r="BT24" t="e">
        <f>AND('boilerplate specs'!F120,"AAAAAAcf1Uc=")</f>
        <v>#VALUE!</v>
      </c>
      <c r="BU24" t="e">
        <f>AND('boilerplate specs'!G120,"AAAAAAcf1Ug=")</f>
        <v>#VALUE!</v>
      </c>
      <c r="BV24" t="e">
        <f>AND('boilerplate specs'!H120,"AAAAAAcf1Uk=")</f>
        <v>#VALUE!</v>
      </c>
      <c r="BW24" t="e">
        <f>AND('boilerplate specs'!I120,"AAAAAAcf1Uo=")</f>
        <v>#VALUE!</v>
      </c>
      <c r="BX24" t="e">
        <f>AND('boilerplate specs'!J120,"AAAAAAcf1Us=")</f>
        <v>#VALUE!</v>
      </c>
      <c r="BY24" t="e">
        <f>AND('boilerplate specs'!#REF!,"AAAAAAcf1Uw=")</f>
        <v>#REF!</v>
      </c>
      <c r="BZ24" t="e">
        <f>AND('boilerplate specs'!#REF!,"AAAAAAcf1U0=")</f>
        <v>#REF!</v>
      </c>
      <c r="CA24" t="e">
        <f>AND('boilerplate specs'!#REF!,"AAAAAAcf1U4=")</f>
        <v>#REF!</v>
      </c>
      <c r="CB24" t="e">
        <f>AND('boilerplate specs'!#REF!,"AAAAAAcf1U8=")</f>
        <v>#REF!</v>
      </c>
      <c r="CC24" t="e">
        <f>AND('boilerplate specs'!#REF!,"AAAAAAcf1VA=")</f>
        <v>#REF!</v>
      </c>
      <c r="CD24" t="e">
        <f>AND('boilerplate specs'!#REF!,"AAAAAAcf1VE=")</f>
        <v>#REF!</v>
      </c>
      <c r="CE24" t="e">
        <f>AND('boilerplate specs'!#REF!,"AAAAAAcf1VI=")</f>
        <v>#REF!</v>
      </c>
      <c r="CF24" t="e">
        <f>AND('boilerplate specs'!#REF!,"AAAAAAcf1VM=")</f>
        <v>#REF!</v>
      </c>
      <c r="CG24" t="e">
        <f>AND('boilerplate specs'!#REF!,"AAAAAAcf1VQ=")</f>
        <v>#REF!</v>
      </c>
      <c r="CH24" t="e">
        <f>AND('boilerplate specs'!#REF!,"AAAAAAcf1VU=")</f>
        <v>#REF!</v>
      </c>
      <c r="CI24" t="e">
        <f>AND('boilerplate specs'!#REF!,"AAAAAAcf1VY=")</f>
        <v>#REF!</v>
      </c>
      <c r="CJ24" t="e">
        <f>AND('boilerplate specs'!#REF!,"AAAAAAcf1Vc=")</f>
        <v>#REF!</v>
      </c>
      <c r="CK24" t="e">
        <f>AND('boilerplate specs'!#REF!,"AAAAAAcf1Vg=")</f>
        <v>#REF!</v>
      </c>
      <c r="CL24" t="e">
        <f>AND('boilerplate specs'!#REF!,"AAAAAAcf1Vk=")</f>
        <v>#REF!</v>
      </c>
      <c r="CM24" t="e">
        <f>AND('boilerplate specs'!#REF!,"AAAAAAcf1Vo=")</f>
        <v>#REF!</v>
      </c>
      <c r="CN24" t="e">
        <f>AND('boilerplate specs'!#REF!,"AAAAAAcf1Vs=")</f>
        <v>#REF!</v>
      </c>
      <c r="CO24" t="e">
        <f>AND('boilerplate specs'!#REF!,"AAAAAAcf1Vw=")</f>
        <v>#REF!</v>
      </c>
      <c r="CP24" t="e">
        <f>AND('boilerplate specs'!#REF!,"AAAAAAcf1V0=")</f>
        <v>#REF!</v>
      </c>
      <c r="CQ24" t="e">
        <f>AND('boilerplate specs'!#REF!,"AAAAAAcf1V4=")</f>
        <v>#REF!</v>
      </c>
      <c r="CR24" t="e">
        <f>AND('boilerplate specs'!#REF!,"AAAAAAcf1V8=")</f>
        <v>#REF!</v>
      </c>
      <c r="CS24" t="e">
        <f>AND('boilerplate specs'!#REF!,"AAAAAAcf1WA=")</f>
        <v>#REF!</v>
      </c>
      <c r="CT24" t="e">
        <f>AND('boilerplate specs'!#REF!,"AAAAAAcf1WE=")</f>
        <v>#REF!</v>
      </c>
      <c r="CU24">
        <f>IF('boilerplate specs'!121:121,"AAAAAAcf1WI=",0)</f>
        <v>0</v>
      </c>
      <c r="CV24" t="e">
        <f>AND('boilerplate specs'!A121,"AAAAAAcf1WM=")</f>
        <v>#VALUE!</v>
      </c>
      <c r="CW24" t="e">
        <f>AND('boilerplate specs'!B121,"AAAAAAcf1WQ=")</f>
        <v>#VALUE!</v>
      </c>
      <c r="CX24" t="e">
        <f>AND('boilerplate specs'!C121,"AAAAAAcf1WU=")</f>
        <v>#VALUE!</v>
      </c>
      <c r="CY24" t="e">
        <f>AND('boilerplate specs'!D121,"AAAAAAcf1WY=")</f>
        <v>#VALUE!</v>
      </c>
      <c r="CZ24" t="e">
        <f>AND('boilerplate specs'!E121,"AAAAAAcf1Wc=")</f>
        <v>#VALUE!</v>
      </c>
      <c r="DA24" t="e">
        <f>AND('boilerplate specs'!F121,"AAAAAAcf1Wg=")</f>
        <v>#VALUE!</v>
      </c>
      <c r="DB24" t="e">
        <f>AND('boilerplate specs'!G121,"AAAAAAcf1Wk=")</f>
        <v>#VALUE!</v>
      </c>
      <c r="DC24" t="e">
        <f>AND('boilerplate specs'!H121,"AAAAAAcf1Wo=")</f>
        <v>#VALUE!</v>
      </c>
      <c r="DD24" t="e">
        <f>AND('boilerplate specs'!I121,"AAAAAAcf1Ws=")</f>
        <v>#VALUE!</v>
      </c>
      <c r="DE24" t="e">
        <f>AND('boilerplate specs'!J121,"AAAAAAcf1Ww=")</f>
        <v>#VALUE!</v>
      </c>
      <c r="DF24" t="e">
        <f>AND('boilerplate specs'!#REF!,"AAAAAAcf1W0=")</f>
        <v>#REF!</v>
      </c>
      <c r="DG24" t="e">
        <f>AND('boilerplate specs'!#REF!,"AAAAAAcf1W4=")</f>
        <v>#REF!</v>
      </c>
      <c r="DH24" t="e">
        <f>AND('boilerplate specs'!#REF!,"AAAAAAcf1W8=")</f>
        <v>#REF!</v>
      </c>
      <c r="DI24" t="e">
        <f>AND('boilerplate specs'!#REF!,"AAAAAAcf1XA=")</f>
        <v>#REF!</v>
      </c>
      <c r="DJ24" t="e">
        <f>AND('boilerplate specs'!#REF!,"AAAAAAcf1XE=")</f>
        <v>#REF!</v>
      </c>
      <c r="DK24" t="e">
        <f>AND('boilerplate specs'!#REF!,"AAAAAAcf1XI=")</f>
        <v>#REF!</v>
      </c>
      <c r="DL24" t="e">
        <f>AND('boilerplate specs'!#REF!,"AAAAAAcf1XM=")</f>
        <v>#REF!</v>
      </c>
      <c r="DM24" t="e">
        <f>AND('boilerplate specs'!#REF!,"AAAAAAcf1XQ=")</f>
        <v>#REF!</v>
      </c>
      <c r="DN24" t="e">
        <f>AND('boilerplate specs'!#REF!,"AAAAAAcf1XU=")</f>
        <v>#REF!</v>
      </c>
      <c r="DO24" t="e">
        <f>AND('boilerplate specs'!#REF!,"AAAAAAcf1XY=")</f>
        <v>#REF!</v>
      </c>
      <c r="DP24" t="e">
        <f>AND('boilerplate specs'!#REF!,"AAAAAAcf1Xc=")</f>
        <v>#REF!</v>
      </c>
      <c r="DQ24" t="e">
        <f>AND('boilerplate specs'!#REF!,"AAAAAAcf1Xg=")</f>
        <v>#REF!</v>
      </c>
      <c r="DR24" t="e">
        <f>AND('boilerplate specs'!#REF!,"AAAAAAcf1Xk=")</f>
        <v>#REF!</v>
      </c>
      <c r="DS24" t="e">
        <f>AND('boilerplate specs'!#REF!,"AAAAAAcf1Xo=")</f>
        <v>#REF!</v>
      </c>
      <c r="DT24" t="e">
        <f>AND('boilerplate specs'!#REF!,"AAAAAAcf1Xs=")</f>
        <v>#REF!</v>
      </c>
      <c r="DU24" t="e">
        <f>AND('boilerplate specs'!#REF!,"AAAAAAcf1Xw=")</f>
        <v>#REF!</v>
      </c>
      <c r="DV24" t="e">
        <f>AND('boilerplate specs'!#REF!,"AAAAAAcf1X0=")</f>
        <v>#REF!</v>
      </c>
      <c r="DW24" t="e">
        <f>AND('boilerplate specs'!#REF!,"AAAAAAcf1X4=")</f>
        <v>#REF!</v>
      </c>
      <c r="DX24" t="e">
        <f>AND('boilerplate specs'!#REF!,"AAAAAAcf1X8=")</f>
        <v>#REF!</v>
      </c>
      <c r="DY24" t="e">
        <f>AND('boilerplate specs'!#REF!,"AAAAAAcf1YA=")</f>
        <v>#REF!</v>
      </c>
      <c r="DZ24" t="e">
        <f>AND('boilerplate specs'!#REF!,"AAAAAAcf1YE=")</f>
        <v>#REF!</v>
      </c>
      <c r="EA24" t="e">
        <f>AND('boilerplate specs'!#REF!,"AAAAAAcf1YI=")</f>
        <v>#REF!</v>
      </c>
      <c r="EB24">
        <f>IF('boilerplate specs'!122:122,"AAAAAAcf1YM=",0)</f>
        <v>0</v>
      </c>
      <c r="EC24" t="e">
        <f>AND('boilerplate specs'!A122,"AAAAAAcf1YQ=")</f>
        <v>#VALUE!</v>
      </c>
      <c r="ED24" t="e">
        <f>AND('boilerplate specs'!B122,"AAAAAAcf1YU=")</f>
        <v>#VALUE!</v>
      </c>
      <c r="EE24" t="e">
        <f>AND('boilerplate specs'!C122,"AAAAAAcf1YY=")</f>
        <v>#VALUE!</v>
      </c>
      <c r="EF24" t="e">
        <f>AND('boilerplate specs'!D122,"AAAAAAcf1Yc=")</f>
        <v>#VALUE!</v>
      </c>
      <c r="EG24" t="e">
        <f>AND('boilerplate specs'!E122,"AAAAAAcf1Yg=")</f>
        <v>#VALUE!</v>
      </c>
      <c r="EH24" t="e">
        <f>AND('boilerplate specs'!F122,"AAAAAAcf1Yk=")</f>
        <v>#VALUE!</v>
      </c>
      <c r="EI24" t="e">
        <f>AND('boilerplate specs'!G122,"AAAAAAcf1Yo=")</f>
        <v>#VALUE!</v>
      </c>
      <c r="EJ24" t="e">
        <f>AND('boilerplate specs'!H122,"AAAAAAcf1Ys=")</f>
        <v>#VALUE!</v>
      </c>
      <c r="EK24" t="e">
        <f>AND('boilerplate specs'!I122,"AAAAAAcf1Yw=")</f>
        <v>#VALUE!</v>
      </c>
      <c r="EL24" t="e">
        <f>AND('boilerplate specs'!J122,"AAAAAAcf1Y0=")</f>
        <v>#VALUE!</v>
      </c>
      <c r="EM24" t="e">
        <f>AND('boilerplate specs'!#REF!,"AAAAAAcf1Y4=")</f>
        <v>#REF!</v>
      </c>
      <c r="EN24" t="e">
        <f>AND('boilerplate specs'!#REF!,"AAAAAAcf1Y8=")</f>
        <v>#REF!</v>
      </c>
      <c r="EO24" t="e">
        <f>AND('boilerplate specs'!#REF!,"AAAAAAcf1ZA=")</f>
        <v>#REF!</v>
      </c>
      <c r="EP24" t="e">
        <f>AND('boilerplate specs'!#REF!,"AAAAAAcf1ZE=")</f>
        <v>#REF!</v>
      </c>
      <c r="EQ24" t="e">
        <f>AND('boilerplate specs'!#REF!,"AAAAAAcf1ZI=")</f>
        <v>#REF!</v>
      </c>
      <c r="ER24" t="e">
        <f>AND('boilerplate specs'!#REF!,"AAAAAAcf1ZM=")</f>
        <v>#REF!</v>
      </c>
      <c r="ES24" t="e">
        <f>AND('boilerplate specs'!#REF!,"AAAAAAcf1ZQ=")</f>
        <v>#REF!</v>
      </c>
      <c r="ET24" t="e">
        <f>AND('boilerplate specs'!#REF!,"AAAAAAcf1ZU=")</f>
        <v>#REF!</v>
      </c>
      <c r="EU24" t="e">
        <f>AND('boilerplate specs'!#REF!,"AAAAAAcf1ZY=")</f>
        <v>#REF!</v>
      </c>
      <c r="EV24" t="e">
        <f>AND('boilerplate specs'!#REF!,"AAAAAAcf1Zc=")</f>
        <v>#REF!</v>
      </c>
      <c r="EW24" t="e">
        <f>AND('boilerplate specs'!#REF!,"AAAAAAcf1Zg=")</f>
        <v>#REF!</v>
      </c>
      <c r="EX24" t="e">
        <f>AND('boilerplate specs'!#REF!,"AAAAAAcf1Zk=")</f>
        <v>#REF!</v>
      </c>
      <c r="EY24" t="e">
        <f>AND('boilerplate specs'!#REF!,"AAAAAAcf1Zo=")</f>
        <v>#REF!</v>
      </c>
      <c r="EZ24" t="e">
        <f>AND('boilerplate specs'!#REF!,"AAAAAAcf1Zs=")</f>
        <v>#REF!</v>
      </c>
      <c r="FA24" t="e">
        <f>AND('boilerplate specs'!#REF!,"AAAAAAcf1Zw=")</f>
        <v>#REF!</v>
      </c>
      <c r="FB24" t="e">
        <f>AND('boilerplate specs'!#REF!,"AAAAAAcf1Z0=")</f>
        <v>#REF!</v>
      </c>
      <c r="FC24" t="e">
        <f>AND('boilerplate specs'!#REF!,"AAAAAAcf1Z4=")</f>
        <v>#REF!</v>
      </c>
      <c r="FD24" t="e">
        <f>AND('boilerplate specs'!#REF!,"AAAAAAcf1Z8=")</f>
        <v>#REF!</v>
      </c>
      <c r="FE24" t="e">
        <f>AND('boilerplate specs'!#REF!,"AAAAAAcf1aA=")</f>
        <v>#REF!</v>
      </c>
      <c r="FF24" t="e">
        <f>AND('boilerplate specs'!#REF!,"AAAAAAcf1aE=")</f>
        <v>#REF!</v>
      </c>
      <c r="FG24" t="e">
        <f>AND('boilerplate specs'!#REF!,"AAAAAAcf1aI=")</f>
        <v>#REF!</v>
      </c>
      <c r="FH24" t="e">
        <f>AND('boilerplate specs'!#REF!,"AAAAAAcf1aM=")</f>
        <v>#REF!</v>
      </c>
      <c r="FI24">
        <f>IF('boilerplate specs'!123:123,"AAAAAAcf1aQ=",0)</f>
        <v>0</v>
      </c>
      <c r="FJ24" t="e">
        <f>AND('boilerplate specs'!A123,"AAAAAAcf1aU=")</f>
        <v>#VALUE!</v>
      </c>
      <c r="FK24" t="e">
        <f>AND('boilerplate specs'!B123,"AAAAAAcf1aY=")</f>
        <v>#VALUE!</v>
      </c>
      <c r="FL24" t="e">
        <f>AND('boilerplate specs'!C123,"AAAAAAcf1ac=")</f>
        <v>#VALUE!</v>
      </c>
      <c r="FM24" t="e">
        <f>AND('boilerplate specs'!D123,"AAAAAAcf1ag=")</f>
        <v>#VALUE!</v>
      </c>
      <c r="FN24" t="e">
        <f>AND('boilerplate specs'!E123,"AAAAAAcf1ak=")</f>
        <v>#VALUE!</v>
      </c>
      <c r="FO24" t="e">
        <f>AND('boilerplate specs'!F123,"AAAAAAcf1ao=")</f>
        <v>#VALUE!</v>
      </c>
      <c r="FP24" t="e">
        <f>AND('boilerplate specs'!G123,"AAAAAAcf1as=")</f>
        <v>#VALUE!</v>
      </c>
      <c r="FQ24" t="e">
        <f>AND('boilerplate specs'!H123,"AAAAAAcf1aw=")</f>
        <v>#VALUE!</v>
      </c>
      <c r="FR24" t="e">
        <f>AND('boilerplate specs'!I123,"AAAAAAcf1a0=")</f>
        <v>#VALUE!</v>
      </c>
      <c r="FS24" t="e">
        <f>AND('boilerplate specs'!J123,"AAAAAAcf1a4=")</f>
        <v>#VALUE!</v>
      </c>
      <c r="FT24" t="e">
        <f>AND('boilerplate specs'!#REF!,"AAAAAAcf1a8=")</f>
        <v>#REF!</v>
      </c>
      <c r="FU24" t="e">
        <f>AND('boilerplate specs'!#REF!,"AAAAAAcf1bA=")</f>
        <v>#REF!</v>
      </c>
      <c r="FV24" t="e">
        <f>AND('boilerplate specs'!#REF!,"AAAAAAcf1bE=")</f>
        <v>#REF!</v>
      </c>
      <c r="FW24" t="e">
        <f>AND('boilerplate specs'!#REF!,"AAAAAAcf1bI=")</f>
        <v>#REF!</v>
      </c>
      <c r="FX24" t="e">
        <f>AND('boilerplate specs'!#REF!,"AAAAAAcf1bM=")</f>
        <v>#REF!</v>
      </c>
      <c r="FY24" t="e">
        <f>AND('boilerplate specs'!#REF!,"AAAAAAcf1bQ=")</f>
        <v>#REF!</v>
      </c>
      <c r="FZ24" t="e">
        <f>AND('boilerplate specs'!#REF!,"AAAAAAcf1bU=")</f>
        <v>#REF!</v>
      </c>
      <c r="GA24" t="e">
        <f>AND('boilerplate specs'!#REF!,"AAAAAAcf1bY=")</f>
        <v>#REF!</v>
      </c>
      <c r="GB24" t="e">
        <f>AND('boilerplate specs'!#REF!,"AAAAAAcf1bc=")</f>
        <v>#REF!</v>
      </c>
      <c r="GC24" t="e">
        <f>AND('boilerplate specs'!#REF!,"AAAAAAcf1bg=")</f>
        <v>#REF!</v>
      </c>
      <c r="GD24" t="e">
        <f>AND('boilerplate specs'!#REF!,"AAAAAAcf1bk=")</f>
        <v>#REF!</v>
      </c>
      <c r="GE24" t="e">
        <f>AND('boilerplate specs'!#REF!,"AAAAAAcf1bo=")</f>
        <v>#REF!</v>
      </c>
      <c r="GF24" t="e">
        <f>AND('boilerplate specs'!#REF!,"AAAAAAcf1bs=")</f>
        <v>#REF!</v>
      </c>
      <c r="GG24" t="e">
        <f>AND('boilerplate specs'!#REF!,"AAAAAAcf1bw=")</f>
        <v>#REF!</v>
      </c>
      <c r="GH24" t="e">
        <f>AND('boilerplate specs'!#REF!,"AAAAAAcf1b0=")</f>
        <v>#REF!</v>
      </c>
      <c r="GI24" t="e">
        <f>AND('boilerplate specs'!#REF!,"AAAAAAcf1b4=")</f>
        <v>#REF!</v>
      </c>
      <c r="GJ24" t="e">
        <f>AND('boilerplate specs'!#REF!,"AAAAAAcf1b8=")</f>
        <v>#REF!</v>
      </c>
      <c r="GK24" t="e">
        <f>AND('boilerplate specs'!#REF!,"AAAAAAcf1cA=")</f>
        <v>#REF!</v>
      </c>
      <c r="GL24" t="e">
        <f>AND('boilerplate specs'!#REF!,"AAAAAAcf1cE=")</f>
        <v>#REF!</v>
      </c>
      <c r="GM24" t="e">
        <f>AND('boilerplate specs'!#REF!,"AAAAAAcf1cI=")</f>
        <v>#REF!</v>
      </c>
      <c r="GN24" t="e">
        <f>AND('boilerplate specs'!#REF!,"AAAAAAcf1cM=")</f>
        <v>#REF!</v>
      </c>
      <c r="GO24" t="e">
        <f>AND('boilerplate specs'!#REF!,"AAAAAAcf1cQ=")</f>
        <v>#REF!</v>
      </c>
      <c r="GP24">
        <f>IF('boilerplate specs'!124:124,"AAAAAAcf1cU=",0)</f>
        <v>0</v>
      </c>
      <c r="GQ24" t="e">
        <f>AND('boilerplate specs'!A124,"AAAAAAcf1cY=")</f>
        <v>#VALUE!</v>
      </c>
      <c r="GR24" t="e">
        <f>AND('boilerplate specs'!B124,"AAAAAAcf1cc=")</f>
        <v>#VALUE!</v>
      </c>
      <c r="GS24" t="e">
        <f>AND('boilerplate specs'!C124,"AAAAAAcf1cg=")</f>
        <v>#VALUE!</v>
      </c>
      <c r="GT24" t="e">
        <f>AND('boilerplate specs'!D124,"AAAAAAcf1ck=")</f>
        <v>#VALUE!</v>
      </c>
      <c r="GU24" t="e">
        <f>AND('boilerplate specs'!E124,"AAAAAAcf1co=")</f>
        <v>#VALUE!</v>
      </c>
      <c r="GV24" t="e">
        <f>AND('boilerplate specs'!F124,"AAAAAAcf1cs=")</f>
        <v>#VALUE!</v>
      </c>
      <c r="GW24" t="e">
        <f>AND('boilerplate specs'!G124,"AAAAAAcf1cw=")</f>
        <v>#VALUE!</v>
      </c>
      <c r="GX24" t="e">
        <f>AND('boilerplate specs'!H124,"AAAAAAcf1c0=")</f>
        <v>#VALUE!</v>
      </c>
      <c r="GY24" t="e">
        <f>AND('boilerplate specs'!I124,"AAAAAAcf1c4=")</f>
        <v>#VALUE!</v>
      </c>
      <c r="GZ24" t="e">
        <f>AND('boilerplate specs'!J124,"AAAAAAcf1c8=")</f>
        <v>#VALUE!</v>
      </c>
      <c r="HA24" t="e">
        <f>AND('boilerplate specs'!#REF!,"AAAAAAcf1dA=")</f>
        <v>#REF!</v>
      </c>
      <c r="HB24" t="e">
        <f>AND('boilerplate specs'!#REF!,"AAAAAAcf1dE=")</f>
        <v>#REF!</v>
      </c>
      <c r="HC24" t="e">
        <f>AND('boilerplate specs'!#REF!,"AAAAAAcf1dI=")</f>
        <v>#REF!</v>
      </c>
      <c r="HD24" t="e">
        <f>AND('boilerplate specs'!#REF!,"AAAAAAcf1dM=")</f>
        <v>#REF!</v>
      </c>
      <c r="HE24" t="e">
        <f>AND('boilerplate specs'!#REF!,"AAAAAAcf1dQ=")</f>
        <v>#REF!</v>
      </c>
      <c r="HF24" t="e">
        <f>AND('boilerplate specs'!#REF!,"AAAAAAcf1dU=")</f>
        <v>#REF!</v>
      </c>
      <c r="HG24" t="e">
        <f>AND('boilerplate specs'!#REF!,"AAAAAAcf1dY=")</f>
        <v>#REF!</v>
      </c>
      <c r="HH24" t="e">
        <f>AND('boilerplate specs'!#REF!,"AAAAAAcf1dc=")</f>
        <v>#REF!</v>
      </c>
      <c r="HI24" t="e">
        <f>AND('boilerplate specs'!#REF!,"AAAAAAcf1dg=")</f>
        <v>#REF!</v>
      </c>
      <c r="HJ24" t="e">
        <f>AND('boilerplate specs'!#REF!,"AAAAAAcf1dk=")</f>
        <v>#REF!</v>
      </c>
      <c r="HK24" t="e">
        <f>AND('boilerplate specs'!#REF!,"AAAAAAcf1do=")</f>
        <v>#REF!</v>
      </c>
      <c r="HL24" t="e">
        <f>AND('boilerplate specs'!#REF!,"AAAAAAcf1ds=")</f>
        <v>#REF!</v>
      </c>
      <c r="HM24" t="e">
        <f>AND('boilerplate specs'!#REF!,"AAAAAAcf1dw=")</f>
        <v>#REF!</v>
      </c>
      <c r="HN24" t="e">
        <f>AND('boilerplate specs'!#REF!,"AAAAAAcf1d0=")</f>
        <v>#REF!</v>
      </c>
      <c r="HO24" t="e">
        <f>AND('boilerplate specs'!#REF!,"AAAAAAcf1d4=")</f>
        <v>#REF!</v>
      </c>
      <c r="HP24" t="e">
        <f>AND('boilerplate specs'!#REF!,"AAAAAAcf1d8=")</f>
        <v>#REF!</v>
      </c>
      <c r="HQ24" t="e">
        <f>AND('boilerplate specs'!#REF!,"AAAAAAcf1eA=")</f>
        <v>#REF!</v>
      </c>
      <c r="HR24" t="e">
        <f>AND('boilerplate specs'!#REF!,"AAAAAAcf1eE=")</f>
        <v>#REF!</v>
      </c>
      <c r="HS24" t="e">
        <f>AND('boilerplate specs'!#REF!,"AAAAAAcf1eI=")</f>
        <v>#REF!</v>
      </c>
      <c r="HT24" t="e">
        <f>AND('boilerplate specs'!#REF!,"AAAAAAcf1eM=")</f>
        <v>#REF!</v>
      </c>
      <c r="HU24" t="e">
        <f>AND('boilerplate specs'!#REF!,"AAAAAAcf1eQ=")</f>
        <v>#REF!</v>
      </c>
      <c r="HV24" t="e">
        <f>AND('boilerplate specs'!#REF!,"AAAAAAcf1eU=")</f>
        <v>#REF!</v>
      </c>
      <c r="HW24">
        <f>IF('boilerplate specs'!125:125,"AAAAAAcf1eY=",0)</f>
        <v>0</v>
      </c>
      <c r="HX24" t="e">
        <f>AND('boilerplate specs'!A125,"AAAAAAcf1ec=")</f>
        <v>#VALUE!</v>
      </c>
      <c r="HY24" t="e">
        <f>AND('boilerplate specs'!B125,"AAAAAAcf1eg=")</f>
        <v>#VALUE!</v>
      </c>
      <c r="HZ24" t="e">
        <f>AND('boilerplate specs'!C125,"AAAAAAcf1ek=")</f>
        <v>#VALUE!</v>
      </c>
      <c r="IA24" t="e">
        <f>AND('boilerplate specs'!D125,"AAAAAAcf1eo=")</f>
        <v>#VALUE!</v>
      </c>
      <c r="IB24" t="e">
        <f>AND('boilerplate specs'!E125,"AAAAAAcf1es=")</f>
        <v>#VALUE!</v>
      </c>
      <c r="IC24" t="e">
        <f>AND('boilerplate specs'!F125,"AAAAAAcf1ew=")</f>
        <v>#VALUE!</v>
      </c>
      <c r="ID24" t="e">
        <f>AND('boilerplate specs'!G125,"AAAAAAcf1e0=")</f>
        <v>#VALUE!</v>
      </c>
      <c r="IE24" t="e">
        <f>AND('boilerplate specs'!H125,"AAAAAAcf1e4=")</f>
        <v>#VALUE!</v>
      </c>
      <c r="IF24" t="e">
        <f>AND('boilerplate specs'!I125,"AAAAAAcf1e8=")</f>
        <v>#VALUE!</v>
      </c>
      <c r="IG24" t="e">
        <f>AND('boilerplate specs'!J125,"AAAAAAcf1fA=")</f>
        <v>#VALUE!</v>
      </c>
      <c r="IH24" t="e">
        <f>AND('boilerplate specs'!#REF!,"AAAAAAcf1fE=")</f>
        <v>#REF!</v>
      </c>
      <c r="II24" t="e">
        <f>AND('boilerplate specs'!#REF!,"AAAAAAcf1fI=")</f>
        <v>#REF!</v>
      </c>
      <c r="IJ24" t="e">
        <f>AND('boilerplate specs'!#REF!,"AAAAAAcf1fM=")</f>
        <v>#REF!</v>
      </c>
      <c r="IK24" t="e">
        <f>AND('boilerplate specs'!#REF!,"AAAAAAcf1fQ=")</f>
        <v>#REF!</v>
      </c>
      <c r="IL24" t="e">
        <f>AND('boilerplate specs'!#REF!,"AAAAAAcf1fU=")</f>
        <v>#REF!</v>
      </c>
      <c r="IM24" t="e">
        <f>AND('boilerplate specs'!#REF!,"AAAAAAcf1fY=")</f>
        <v>#REF!</v>
      </c>
      <c r="IN24" t="e">
        <f>AND('boilerplate specs'!#REF!,"AAAAAAcf1fc=")</f>
        <v>#REF!</v>
      </c>
      <c r="IO24" t="e">
        <f>AND('boilerplate specs'!#REF!,"AAAAAAcf1fg=")</f>
        <v>#REF!</v>
      </c>
      <c r="IP24" t="e">
        <f>AND('boilerplate specs'!#REF!,"AAAAAAcf1fk=")</f>
        <v>#REF!</v>
      </c>
      <c r="IQ24" t="e">
        <f>AND('boilerplate specs'!#REF!,"AAAAAAcf1fo=")</f>
        <v>#REF!</v>
      </c>
      <c r="IR24" t="e">
        <f>AND('boilerplate specs'!#REF!,"AAAAAAcf1fs=")</f>
        <v>#REF!</v>
      </c>
      <c r="IS24" t="e">
        <f>AND('boilerplate specs'!#REF!,"AAAAAAcf1fw=")</f>
        <v>#REF!</v>
      </c>
      <c r="IT24" t="e">
        <f>AND('boilerplate specs'!#REF!,"AAAAAAcf1f0=")</f>
        <v>#REF!</v>
      </c>
      <c r="IU24" t="e">
        <f>AND('boilerplate specs'!#REF!,"AAAAAAcf1f4=")</f>
        <v>#REF!</v>
      </c>
      <c r="IV24" t="e">
        <f>AND('boilerplate specs'!#REF!,"AAAAAAcf1f8=")</f>
        <v>#REF!</v>
      </c>
    </row>
    <row r="25" spans="1:256" x14ac:dyDescent="0.35">
      <c r="A25" t="e">
        <f>AND('boilerplate specs'!#REF!,"AAAAAH/9dwA=")</f>
        <v>#REF!</v>
      </c>
      <c r="B25" t="e">
        <f>AND('boilerplate specs'!#REF!,"AAAAAH/9dwE=")</f>
        <v>#REF!</v>
      </c>
      <c r="C25" t="e">
        <f>AND('boilerplate specs'!#REF!,"AAAAAH/9dwI=")</f>
        <v>#REF!</v>
      </c>
      <c r="D25" t="e">
        <f>AND('boilerplate specs'!#REF!,"AAAAAH/9dwM=")</f>
        <v>#REF!</v>
      </c>
      <c r="E25" t="e">
        <f>AND('boilerplate specs'!#REF!,"AAAAAH/9dwQ=")</f>
        <v>#REF!</v>
      </c>
      <c r="F25" t="e">
        <f>AND('boilerplate specs'!#REF!,"AAAAAH/9dwU=")</f>
        <v>#REF!</v>
      </c>
      <c r="G25" t="e">
        <f>AND('boilerplate specs'!#REF!,"AAAAAH/9dwY=")</f>
        <v>#REF!</v>
      </c>
      <c r="H25" t="e">
        <f>IF('boilerplate specs'!126:126,"AAAAAH/9dwc=",0)</f>
        <v>#VALUE!</v>
      </c>
      <c r="I25" t="e">
        <f>AND('boilerplate specs'!A126,"AAAAAH/9dwg=")</f>
        <v>#VALUE!</v>
      </c>
      <c r="J25" t="e">
        <f>AND('boilerplate specs'!B126,"AAAAAH/9dwk=")</f>
        <v>#VALUE!</v>
      </c>
      <c r="K25" t="e">
        <f>AND('boilerplate specs'!C126,"AAAAAH/9dwo=")</f>
        <v>#VALUE!</v>
      </c>
      <c r="L25" t="e">
        <f>AND('boilerplate specs'!D126,"AAAAAH/9dws=")</f>
        <v>#VALUE!</v>
      </c>
      <c r="M25" t="e">
        <f>AND('boilerplate specs'!E126,"AAAAAH/9dww=")</f>
        <v>#VALUE!</v>
      </c>
      <c r="N25" t="e">
        <f>AND('boilerplate specs'!F126,"AAAAAH/9dw0=")</f>
        <v>#VALUE!</v>
      </c>
      <c r="O25" t="e">
        <f>AND('boilerplate specs'!G126,"AAAAAH/9dw4=")</f>
        <v>#VALUE!</v>
      </c>
      <c r="P25" t="e">
        <f>AND('boilerplate specs'!H126,"AAAAAH/9dw8=")</f>
        <v>#VALUE!</v>
      </c>
      <c r="Q25" t="e">
        <f>AND('boilerplate specs'!I126,"AAAAAH/9dxA=")</f>
        <v>#VALUE!</v>
      </c>
      <c r="R25" t="e">
        <f>AND('boilerplate specs'!J126,"AAAAAH/9dxE=")</f>
        <v>#VALUE!</v>
      </c>
      <c r="S25" t="e">
        <f>AND('boilerplate specs'!#REF!,"AAAAAH/9dxI=")</f>
        <v>#REF!</v>
      </c>
      <c r="T25" t="e">
        <f>AND('boilerplate specs'!#REF!,"AAAAAH/9dxM=")</f>
        <v>#REF!</v>
      </c>
      <c r="U25" t="e">
        <f>AND('boilerplate specs'!#REF!,"AAAAAH/9dxQ=")</f>
        <v>#REF!</v>
      </c>
      <c r="V25" t="e">
        <f>AND('boilerplate specs'!#REF!,"AAAAAH/9dxU=")</f>
        <v>#REF!</v>
      </c>
      <c r="W25" t="e">
        <f>AND('boilerplate specs'!#REF!,"AAAAAH/9dxY=")</f>
        <v>#REF!</v>
      </c>
      <c r="X25" t="e">
        <f>AND('boilerplate specs'!#REF!,"AAAAAH/9dxc=")</f>
        <v>#REF!</v>
      </c>
      <c r="Y25" t="e">
        <f>AND('boilerplate specs'!#REF!,"AAAAAH/9dxg=")</f>
        <v>#REF!</v>
      </c>
      <c r="Z25" t="e">
        <f>AND('boilerplate specs'!#REF!,"AAAAAH/9dxk=")</f>
        <v>#REF!</v>
      </c>
      <c r="AA25" t="e">
        <f>AND('boilerplate specs'!#REF!,"AAAAAH/9dxo=")</f>
        <v>#REF!</v>
      </c>
      <c r="AB25" t="e">
        <f>AND('boilerplate specs'!#REF!,"AAAAAH/9dxs=")</f>
        <v>#REF!</v>
      </c>
      <c r="AC25" t="e">
        <f>AND('boilerplate specs'!#REF!,"AAAAAH/9dxw=")</f>
        <v>#REF!</v>
      </c>
      <c r="AD25" t="e">
        <f>AND('boilerplate specs'!#REF!,"AAAAAH/9dx0=")</f>
        <v>#REF!</v>
      </c>
      <c r="AE25" t="e">
        <f>AND('boilerplate specs'!#REF!,"AAAAAH/9dx4=")</f>
        <v>#REF!</v>
      </c>
      <c r="AF25" t="e">
        <f>AND('boilerplate specs'!#REF!,"AAAAAH/9dx8=")</f>
        <v>#REF!</v>
      </c>
      <c r="AG25" t="e">
        <f>AND('boilerplate specs'!#REF!,"AAAAAH/9dyA=")</f>
        <v>#REF!</v>
      </c>
      <c r="AH25" t="e">
        <f>AND('boilerplate specs'!#REF!,"AAAAAH/9dyE=")</f>
        <v>#REF!</v>
      </c>
      <c r="AI25" t="e">
        <f>AND('boilerplate specs'!#REF!,"AAAAAH/9dyI=")</f>
        <v>#REF!</v>
      </c>
      <c r="AJ25" t="e">
        <f>AND('boilerplate specs'!#REF!,"AAAAAH/9dyM=")</f>
        <v>#REF!</v>
      </c>
      <c r="AK25" t="e">
        <f>AND('boilerplate specs'!#REF!,"AAAAAH/9dyQ=")</f>
        <v>#REF!</v>
      </c>
      <c r="AL25" t="e">
        <f>AND('boilerplate specs'!#REF!,"AAAAAH/9dyU=")</f>
        <v>#REF!</v>
      </c>
      <c r="AM25" t="e">
        <f>AND('boilerplate specs'!#REF!,"AAAAAH/9dyY=")</f>
        <v>#REF!</v>
      </c>
      <c r="AN25" t="e">
        <f>AND('boilerplate specs'!#REF!,"AAAAAH/9dyc=")</f>
        <v>#REF!</v>
      </c>
      <c r="AO25">
        <f>IF('boilerplate specs'!127:127,"AAAAAH/9dyg=",0)</f>
        <v>0</v>
      </c>
      <c r="AP25" t="e">
        <f>AND('boilerplate specs'!A127,"AAAAAH/9dyk=")</f>
        <v>#VALUE!</v>
      </c>
      <c r="AQ25" t="e">
        <f>AND('boilerplate specs'!B127,"AAAAAH/9dyo=")</f>
        <v>#VALUE!</v>
      </c>
      <c r="AR25" t="e">
        <f>AND('boilerplate specs'!C127,"AAAAAH/9dys=")</f>
        <v>#VALUE!</v>
      </c>
      <c r="AS25" t="e">
        <f>AND('boilerplate specs'!D127,"AAAAAH/9dyw=")</f>
        <v>#VALUE!</v>
      </c>
      <c r="AT25" t="e">
        <f>AND('boilerplate specs'!E127,"AAAAAH/9dy0=")</f>
        <v>#VALUE!</v>
      </c>
      <c r="AU25" t="e">
        <f>AND('boilerplate specs'!F127,"AAAAAH/9dy4=")</f>
        <v>#VALUE!</v>
      </c>
      <c r="AV25" t="e">
        <f>AND('boilerplate specs'!G127,"AAAAAH/9dy8=")</f>
        <v>#VALUE!</v>
      </c>
      <c r="AW25" t="e">
        <f>AND('boilerplate specs'!H127,"AAAAAH/9dzA=")</f>
        <v>#VALUE!</v>
      </c>
      <c r="AX25" t="e">
        <f>AND('boilerplate specs'!I127,"AAAAAH/9dzE=")</f>
        <v>#VALUE!</v>
      </c>
      <c r="AY25" t="e">
        <f>AND('boilerplate specs'!J127,"AAAAAH/9dzI=")</f>
        <v>#VALUE!</v>
      </c>
      <c r="AZ25" t="e">
        <f>AND('boilerplate specs'!#REF!,"AAAAAH/9dzM=")</f>
        <v>#REF!</v>
      </c>
      <c r="BA25" t="e">
        <f>AND('boilerplate specs'!#REF!,"AAAAAH/9dzQ=")</f>
        <v>#REF!</v>
      </c>
      <c r="BB25" t="e">
        <f>AND('boilerplate specs'!#REF!,"AAAAAH/9dzU=")</f>
        <v>#REF!</v>
      </c>
      <c r="BC25" t="e">
        <f>AND('boilerplate specs'!#REF!,"AAAAAH/9dzY=")</f>
        <v>#REF!</v>
      </c>
      <c r="BD25" t="e">
        <f>AND('boilerplate specs'!#REF!,"AAAAAH/9dzc=")</f>
        <v>#REF!</v>
      </c>
      <c r="BE25" t="e">
        <f>AND('boilerplate specs'!#REF!,"AAAAAH/9dzg=")</f>
        <v>#REF!</v>
      </c>
      <c r="BF25" t="e">
        <f>AND('boilerplate specs'!#REF!,"AAAAAH/9dzk=")</f>
        <v>#REF!</v>
      </c>
      <c r="BG25" t="e">
        <f>AND('boilerplate specs'!#REF!,"AAAAAH/9dzo=")</f>
        <v>#REF!</v>
      </c>
      <c r="BH25" t="e">
        <f>AND('boilerplate specs'!#REF!,"AAAAAH/9dzs=")</f>
        <v>#REF!</v>
      </c>
      <c r="BI25" t="e">
        <f>AND('boilerplate specs'!#REF!,"AAAAAH/9dzw=")</f>
        <v>#REF!</v>
      </c>
      <c r="BJ25" t="e">
        <f>AND('boilerplate specs'!#REF!,"AAAAAH/9dz0=")</f>
        <v>#REF!</v>
      </c>
      <c r="BK25" t="e">
        <f>AND('boilerplate specs'!#REF!,"AAAAAH/9dz4=")</f>
        <v>#REF!</v>
      </c>
      <c r="BL25" t="e">
        <f>AND('boilerplate specs'!#REF!,"AAAAAH/9dz8=")</f>
        <v>#REF!</v>
      </c>
      <c r="BM25" t="e">
        <f>AND('boilerplate specs'!#REF!,"AAAAAH/9d0A=")</f>
        <v>#REF!</v>
      </c>
      <c r="BN25" t="e">
        <f>AND('boilerplate specs'!#REF!,"AAAAAH/9d0E=")</f>
        <v>#REF!</v>
      </c>
      <c r="BO25" t="e">
        <f>AND('boilerplate specs'!#REF!,"AAAAAH/9d0I=")</f>
        <v>#REF!</v>
      </c>
      <c r="BP25" t="e">
        <f>AND('boilerplate specs'!#REF!,"AAAAAH/9d0M=")</f>
        <v>#REF!</v>
      </c>
      <c r="BQ25" t="e">
        <f>AND('boilerplate specs'!#REF!,"AAAAAH/9d0Q=")</f>
        <v>#REF!</v>
      </c>
      <c r="BR25" t="e">
        <f>AND('boilerplate specs'!#REF!,"AAAAAH/9d0U=")</f>
        <v>#REF!</v>
      </c>
      <c r="BS25" t="e">
        <f>AND('boilerplate specs'!#REF!,"AAAAAH/9d0Y=")</f>
        <v>#REF!</v>
      </c>
      <c r="BT25" t="e">
        <f>AND('boilerplate specs'!#REF!,"AAAAAH/9d0c=")</f>
        <v>#REF!</v>
      </c>
      <c r="BU25" t="e">
        <f>AND('boilerplate specs'!#REF!,"AAAAAH/9d0g=")</f>
        <v>#REF!</v>
      </c>
      <c r="BV25">
        <f>IF('boilerplate specs'!128:128,"AAAAAH/9d0k=",0)</f>
        <v>0</v>
      </c>
      <c r="BW25" t="e">
        <f>AND('boilerplate specs'!A128,"AAAAAH/9d0o=")</f>
        <v>#VALUE!</v>
      </c>
      <c r="BX25" t="e">
        <f>AND('boilerplate specs'!B128,"AAAAAH/9d0s=")</f>
        <v>#VALUE!</v>
      </c>
      <c r="BY25" t="e">
        <f>AND('boilerplate specs'!C128,"AAAAAH/9d0w=")</f>
        <v>#VALUE!</v>
      </c>
      <c r="BZ25" t="e">
        <f>AND('boilerplate specs'!D128,"AAAAAH/9d00=")</f>
        <v>#VALUE!</v>
      </c>
      <c r="CA25" t="e">
        <f>AND('boilerplate specs'!E128,"AAAAAH/9d04=")</f>
        <v>#VALUE!</v>
      </c>
      <c r="CB25" t="e">
        <f>AND('boilerplate specs'!F128,"AAAAAH/9d08=")</f>
        <v>#VALUE!</v>
      </c>
      <c r="CC25" t="e">
        <f>AND('boilerplate specs'!G128,"AAAAAH/9d1A=")</f>
        <v>#VALUE!</v>
      </c>
      <c r="CD25" t="e">
        <f>AND('boilerplate specs'!H128,"AAAAAH/9d1E=")</f>
        <v>#VALUE!</v>
      </c>
      <c r="CE25" t="e">
        <f>AND('boilerplate specs'!I128,"AAAAAH/9d1I=")</f>
        <v>#VALUE!</v>
      </c>
      <c r="CF25" t="e">
        <f>AND('boilerplate specs'!J128,"AAAAAH/9d1M=")</f>
        <v>#VALUE!</v>
      </c>
      <c r="CG25" t="e">
        <f>AND('boilerplate specs'!#REF!,"AAAAAH/9d1Q=")</f>
        <v>#REF!</v>
      </c>
      <c r="CH25" t="e">
        <f>AND('boilerplate specs'!#REF!,"AAAAAH/9d1U=")</f>
        <v>#REF!</v>
      </c>
      <c r="CI25" t="e">
        <f>AND('boilerplate specs'!#REF!,"AAAAAH/9d1Y=")</f>
        <v>#REF!</v>
      </c>
      <c r="CJ25" t="e">
        <f>AND('boilerplate specs'!#REF!,"AAAAAH/9d1c=")</f>
        <v>#REF!</v>
      </c>
      <c r="CK25" t="e">
        <f>AND('boilerplate specs'!#REF!,"AAAAAH/9d1g=")</f>
        <v>#REF!</v>
      </c>
      <c r="CL25" t="e">
        <f>AND('boilerplate specs'!#REF!,"AAAAAH/9d1k=")</f>
        <v>#REF!</v>
      </c>
      <c r="CM25" t="e">
        <f>AND('boilerplate specs'!#REF!,"AAAAAH/9d1o=")</f>
        <v>#REF!</v>
      </c>
      <c r="CN25" t="e">
        <f>AND('boilerplate specs'!#REF!,"AAAAAH/9d1s=")</f>
        <v>#REF!</v>
      </c>
      <c r="CO25" t="e">
        <f>AND('boilerplate specs'!#REF!,"AAAAAH/9d1w=")</f>
        <v>#REF!</v>
      </c>
      <c r="CP25" t="e">
        <f>AND('boilerplate specs'!#REF!,"AAAAAH/9d10=")</f>
        <v>#REF!</v>
      </c>
      <c r="CQ25" t="e">
        <f>AND('boilerplate specs'!#REF!,"AAAAAH/9d14=")</f>
        <v>#REF!</v>
      </c>
      <c r="CR25" t="e">
        <f>AND('boilerplate specs'!#REF!,"AAAAAH/9d18=")</f>
        <v>#REF!</v>
      </c>
      <c r="CS25" t="e">
        <f>AND('boilerplate specs'!#REF!,"AAAAAH/9d2A=")</f>
        <v>#REF!</v>
      </c>
      <c r="CT25" t="e">
        <f>AND('boilerplate specs'!#REF!,"AAAAAH/9d2E=")</f>
        <v>#REF!</v>
      </c>
      <c r="CU25" t="e">
        <f>AND('boilerplate specs'!#REF!,"AAAAAH/9d2I=")</f>
        <v>#REF!</v>
      </c>
      <c r="CV25" t="e">
        <f>AND('boilerplate specs'!#REF!,"AAAAAH/9d2M=")</f>
        <v>#REF!</v>
      </c>
      <c r="CW25" t="e">
        <f>AND('boilerplate specs'!#REF!,"AAAAAH/9d2Q=")</f>
        <v>#REF!</v>
      </c>
      <c r="CX25" t="e">
        <f>AND('boilerplate specs'!#REF!,"AAAAAH/9d2U=")</f>
        <v>#REF!</v>
      </c>
      <c r="CY25" t="e">
        <f>AND('boilerplate specs'!#REF!,"AAAAAH/9d2Y=")</f>
        <v>#REF!</v>
      </c>
      <c r="CZ25" t="e">
        <f>AND('boilerplate specs'!#REF!,"AAAAAH/9d2c=")</f>
        <v>#REF!</v>
      </c>
      <c r="DA25" t="e">
        <f>AND('boilerplate specs'!#REF!,"AAAAAH/9d2g=")</f>
        <v>#REF!</v>
      </c>
      <c r="DB25" t="e">
        <f>AND('boilerplate specs'!#REF!,"AAAAAH/9d2k=")</f>
        <v>#REF!</v>
      </c>
      <c r="DC25">
        <f>IF('boilerplate specs'!129:129,"AAAAAH/9d2o=",0)</f>
        <v>0</v>
      </c>
      <c r="DD25" t="e">
        <f>AND('boilerplate specs'!A129,"AAAAAH/9d2s=")</f>
        <v>#VALUE!</v>
      </c>
      <c r="DE25" t="e">
        <f>AND('boilerplate specs'!B129,"AAAAAH/9d2w=")</f>
        <v>#VALUE!</v>
      </c>
      <c r="DF25" t="e">
        <f>AND('boilerplate specs'!C129,"AAAAAH/9d20=")</f>
        <v>#VALUE!</v>
      </c>
      <c r="DG25" t="e">
        <f>AND('boilerplate specs'!D129,"AAAAAH/9d24=")</f>
        <v>#VALUE!</v>
      </c>
      <c r="DH25" t="e">
        <f>AND('boilerplate specs'!E129,"AAAAAH/9d28=")</f>
        <v>#VALUE!</v>
      </c>
      <c r="DI25" t="e">
        <f>AND('boilerplate specs'!F129,"AAAAAH/9d3A=")</f>
        <v>#VALUE!</v>
      </c>
      <c r="DJ25" t="e">
        <f>AND('boilerplate specs'!G129,"AAAAAH/9d3E=")</f>
        <v>#VALUE!</v>
      </c>
      <c r="DK25" t="e">
        <f>AND('boilerplate specs'!H129,"AAAAAH/9d3I=")</f>
        <v>#VALUE!</v>
      </c>
      <c r="DL25" t="e">
        <f>AND('boilerplate specs'!I129,"AAAAAH/9d3M=")</f>
        <v>#VALUE!</v>
      </c>
      <c r="DM25" t="e">
        <f>AND('boilerplate specs'!J129,"AAAAAH/9d3Q=")</f>
        <v>#VALUE!</v>
      </c>
      <c r="DN25" t="e">
        <f>AND('boilerplate specs'!#REF!,"AAAAAH/9d3U=")</f>
        <v>#REF!</v>
      </c>
      <c r="DO25" t="e">
        <f>AND('boilerplate specs'!#REF!,"AAAAAH/9d3Y=")</f>
        <v>#REF!</v>
      </c>
      <c r="DP25" t="e">
        <f>AND('boilerplate specs'!#REF!,"AAAAAH/9d3c=")</f>
        <v>#REF!</v>
      </c>
      <c r="DQ25" t="e">
        <f>AND('boilerplate specs'!#REF!,"AAAAAH/9d3g=")</f>
        <v>#REF!</v>
      </c>
      <c r="DR25" t="e">
        <f>AND('boilerplate specs'!#REF!,"AAAAAH/9d3k=")</f>
        <v>#REF!</v>
      </c>
      <c r="DS25" t="e">
        <f>AND('boilerplate specs'!#REF!,"AAAAAH/9d3o=")</f>
        <v>#REF!</v>
      </c>
      <c r="DT25" t="e">
        <f>AND('boilerplate specs'!#REF!,"AAAAAH/9d3s=")</f>
        <v>#REF!</v>
      </c>
      <c r="DU25" t="e">
        <f>AND('boilerplate specs'!#REF!,"AAAAAH/9d3w=")</f>
        <v>#REF!</v>
      </c>
      <c r="DV25" t="e">
        <f>AND('boilerplate specs'!#REF!,"AAAAAH/9d30=")</f>
        <v>#REF!</v>
      </c>
      <c r="DW25" t="e">
        <f>AND('boilerplate specs'!#REF!,"AAAAAH/9d34=")</f>
        <v>#REF!</v>
      </c>
      <c r="DX25" t="e">
        <f>AND('boilerplate specs'!#REF!,"AAAAAH/9d38=")</f>
        <v>#REF!</v>
      </c>
      <c r="DY25" t="e">
        <f>AND('boilerplate specs'!#REF!,"AAAAAH/9d4A=")</f>
        <v>#REF!</v>
      </c>
      <c r="DZ25" t="e">
        <f>AND('boilerplate specs'!#REF!,"AAAAAH/9d4E=")</f>
        <v>#REF!</v>
      </c>
      <c r="EA25" t="e">
        <f>AND('boilerplate specs'!#REF!,"AAAAAH/9d4I=")</f>
        <v>#REF!</v>
      </c>
      <c r="EB25" t="e">
        <f>AND('boilerplate specs'!#REF!,"AAAAAH/9d4M=")</f>
        <v>#REF!</v>
      </c>
      <c r="EC25" t="e">
        <f>AND('boilerplate specs'!#REF!,"AAAAAH/9d4Q=")</f>
        <v>#REF!</v>
      </c>
      <c r="ED25" t="e">
        <f>AND('boilerplate specs'!#REF!,"AAAAAH/9d4U=")</f>
        <v>#REF!</v>
      </c>
      <c r="EE25" t="e">
        <f>AND('boilerplate specs'!#REF!,"AAAAAH/9d4Y=")</f>
        <v>#REF!</v>
      </c>
      <c r="EF25" t="e">
        <f>AND('boilerplate specs'!#REF!,"AAAAAH/9d4c=")</f>
        <v>#REF!</v>
      </c>
      <c r="EG25" t="e">
        <f>AND('boilerplate specs'!#REF!,"AAAAAH/9d4g=")</f>
        <v>#REF!</v>
      </c>
      <c r="EH25" t="e">
        <f>AND('boilerplate specs'!#REF!,"AAAAAH/9d4k=")</f>
        <v>#REF!</v>
      </c>
      <c r="EI25" t="e">
        <f>AND('boilerplate specs'!#REF!,"AAAAAH/9d4o=")</f>
        <v>#REF!</v>
      </c>
      <c r="EJ25">
        <f>IF('boilerplate specs'!130:130,"AAAAAH/9d4s=",0)</f>
        <v>0</v>
      </c>
      <c r="EK25" t="e">
        <f>AND('boilerplate specs'!A130,"AAAAAH/9d4w=")</f>
        <v>#VALUE!</v>
      </c>
      <c r="EL25" t="e">
        <f>AND('boilerplate specs'!B130,"AAAAAH/9d40=")</f>
        <v>#VALUE!</v>
      </c>
      <c r="EM25" t="e">
        <f>AND('boilerplate specs'!C130,"AAAAAH/9d44=")</f>
        <v>#VALUE!</v>
      </c>
      <c r="EN25" t="e">
        <f>AND('boilerplate specs'!D130,"AAAAAH/9d48=")</f>
        <v>#VALUE!</v>
      </c>
      <c r="EO25" t="e">
        <f>AND('boilerplate specs'!E130,"AAAAAH/9d5A=")</f>
        <v>#VALUE!</v>
      </c>
      <c r="EP25" t="e">
        <f>AND('boilerplate specs'!F130,"AAAAAH/9d5E=")</f>
        <v>#VALUE!</v>
      </c>
      <c r="EQ25" t="e">
        <f>AND('boilerplate specs'!G130,"AAAAAH/9d5I=")</f>
        <v>#VALUE!</v>
      </c>
      <c r="ER25" t="e">
        <f>AND('boilerplate specs'!H130,"AAAAAH/9d5M=")</f>
        <v>#VALUE!</v>
      </c>
      <c r="ES25" t="e">
        <f>AND('boilerplate specs'!I130,"AAAAAH/9d5Q=")</f>
        <v>#VALUE!</v>
      </c>
      <c r="ET25" t="e">
        <f>AND('boilerplate specs'!J130,"AAAAAH/9d5U=")</f>
        <v>#VALUE!</v>
      </c>
      <c r="EU25" t="e">
        <f>AND('boilerplate specs'!#REF!,"AAAAAH/9d5Y=")</f>
        <v>#REF!</v>
      </c>
      <c r="EV25" t="e">
        <f>AND('boilerplate specs'!#REF!,"AAAAAH/9d5c=")</f>
        <v>#REF!</v>
      </c>
      <c r="EW25" t="e">
        <f>AND('boilerplate specs'!#REF!,"AAAAAH/9d5g=")</f>
        <v>#REF!</v>
      </c>
      <c r="EX25" t="e">
        <f>AND('boilerplate specs'!#REF!,"AAAAAH/9d5k=")</f>
        <v>#REF!</v>
      </c>
      <c r="EY25" t="e">
        <f>AND('boilerplate specs'!#REF!,"AAAAAH/9d5o=")</f>
        <v>#REF!</v>
      </c>
      <c r="EZ25" t="e">
        <f>AND('boilerplate specs'!#REF!,"AAAAAH/9d5s=")</f>
        <v>#REF!</v>
      </c>
      <c r="FA25" t="e">
        <f>AND('boilerplate specs'!#REF!,"AAAAAH/9d5w=")</f>
        <v>#REF!</v>
      </c>
      <c r="FB25" t="e">
        <f>AND('boilerplate specs'!#REF!,"AAAAAH/9d50=")</f>
        <v>#REF!</v>
      </c>
      <c r="FC25" t="e">
        <f>AND('boilerplate specs'!#REF!,"AAAAAH/9d54=")</f>
        <v>#REF!</v>
      </c>
      <c r="FD25" t="e">
        <f>AND('boilerplate specs'!#REF!,"AAAAAH/9d58=")</f>
        <v>#REF!</v>
      </c>
      <c r="FE25" t="e">
        <f>AND('boilerplate specs'!#REF!,"AAAAAH/9d6A=")</f>
        <v>#REF!</v>
      </c>
      <c r="FF25" t="e">
        <f>AND('boilerplate specs'!#REF!,"AAAAAH/9d6E=")</f>
        <v>#REF!</v>
      </c>
      <c r="FG25" t="e">
        <f>AND('boilerplate specs'!#REF!,"AAAAAH/9d6I=")</f>
        <v>#REF!</v>
      </c>
      <c r="FH25" t="e">
        <f>AND('boilerplate specs'!#REF!,"AAAAAH/9d6M=")</f>
        <v>#REF!</v>
      </c>
      <c r="FI25" t="e">
        <f>AND('boilerplate specs'!#REF!,"AAAAAH/9d6Q=")</f>
        <v>#REF!</v>
      </c>
      <c r="FJ25" t="e">
        <f>AND('boilerplate specs'!#REF!,"AAAAAH/9d6U=")</f>
        <v>#REF!</v>
      </c>
      <c r="FK25" t="e">
        <f>AND('boilerplate specs'!#REF!,"AAAAAH/9d6Y=")</f>
        <v>#REF!</v>
      </c>
      <c r="FL25" t="e">
        <f>AND('boilerplate specs'!#REF!,"AAAAAH/9d6c=")</f>
        <v>#REF!</v>
      </c>
      <c r="FM25" t="e">
        <f>AND('boilerplate specs'!#REF!,"AAAAAH/9d6g=")</f>
        <v>#REF!</v>
      </c>
      <c r="FN25" t="e">
        <f>AND('boilerplate specs'!#REF!,"AAAAAH/9d6k=")</f>
        <v>#REF!</v>
      </c>
      <c r="FO25" t="e">
        <f>AND('boilerplate specs'!#REF!,"AAAAAH/9d6o=")</f>
        <v>#REF!</v>
      </c>
      <c r="FP25" t="e">
        <f>AND('boilerplate specs'!#REF!,"AAAAAH/9d6s=")</f>
        <v>#REF!</v>
      </c>
      <c r="FQ25">
        <f>IF('boilerplate specs'!131:131,"AAAAAH/9d6w=",0)</f>
        <v>0</v>
      </c>
      <c r="FR25" t="e">
        <f>AND('boilerplate specs'!A131,"AAAAAH/9d60=")</f>
        <v>#VALUE!</v>
      </c>
      <c r="FS25" t="e">
        <f>AND('boilerplate specs'!B131,"AAAAAH/9d64=")</f>
        <v>#VALUE!</v>
      </c>
      <c r="FT25" t="e">
        <f>AND('boilerplate specs'!C131,"AAAAAH/9d68=")</f>
        <v>#VALUE!</v>
      </c>
      <c r="FU25" t="e">
        <f>AND('boilerplate specs'!D131,"AAAAAH/9d7A=")</f>
        <v>#VALUE!</v>
      </c>
      <c r="FV25" t="e">
        <f>AND('boilerplate specs'!E131,"AAAAAH/9d7E=")</f>
        <v>#VALUE!</v>
      </c>
      <c r="FW25" t="e">
        <f>AND('boilerplate specs'!F131,"AAAAAH/9d7I=")</f>
        <v>#VALUE!</v>
      </c>
      <c r="FX25" t="e">
        <f>AND('boilerplate specs'!G131,"AAAAAH/9d7M=")</f>
        <v>#VALUE!</v>
      </c>
      <c r="FY25" t="e">
        <f>AND('boilerplate specs'!H131,"AAAAAH/9d7Q=")</f>
        <v>#VALUE!</v>
      </c>
      <c r="FZ25" t="e">
        <f>AND('boilerplate specs'!I131,"AAAAAH/9d7U=")</f>
        <v>#VALUE!</v>
      </c>
      <c r="GA25" t="e">
        <f>AND('boilerplate specs'!J131,"AAAAAH/9d7Y=")</f>
        <v>#VALUE!</v>
      </c>
      <c r="GB25" t="e">
        <f>AND('boilerplate specs'!#REF!,"AAAAAH/9d7c=")</f>
        <v>#REF!</v>
      </c>
      <c r="GC25" t="e">
        <f>AND('boilerplate specs'!#REF!,"AAAAAH/9d7g=")</f>
        <v>#REF!</v>
      </c>
      <c r="GD25" t="e">
        <f>AND('boilerplate specs'!#REF!,"AAAAAH/9d7k=")</f>
        <v>#REF!</v>
      </c>
      <c r="GE25" t="e">
        <f>AND('boilerplate specs'!#REF!,"AAAAAH/9d7o=")</f>
        <v>#REF!</v>
      </c>
      <c r="GF25" t="e">
        <f>AND('boilerplate specs'!#REF!,"AAAAAH/9d7s=")</f>
        <v>#REF!</v>
      </c>
      <c r="GG25" t="e">
        <f>AND('boilerplate specs'!#REF!,"AAAAAH/9d7w=")</f>
        <v>#REF!</v>
      </c>
      <c r="GH25" t="e">
        <f>AND('boilerplate specs'!#REF!,"AAAAAH/9d70=")</f>
        <v>#REF!</v>
      </c>
      <c r="GI25" t="e">
        <f>AND('boilerplate specs'!#REF!,"AAAAAH/9d74=")</f>
        <v>#REF!</v>
      </c>
      <c r="GJ25" t="e">
        <f>AND('boilerplate specs'!#REF!,"AAAAAH/9d78=")</f>
        <v>#REF!</v>
      </c>
      <c r="GK25" t="e">
        <f>AND('boilerplate specs'!#REF!,"AAAAAH/9d8A=")</f>
        <v>#REF!</v>
      </c>
      <c r="GL25" t="e">
        <f>AND('boilerplate specs'!#REF!,"AAAAAH/9d8E=")</f>
        <v>#REF!</v>
      </c>
      <c r="GM25" t="e">
        <f>AND('boilerplate specs'!#REF!,"AAAAAH/9d8I=")</f>
        <v>#REF!</v>
      </c>
      <c r="GN25" t="e">
        <f>AND('boilerplate specs'!#REF!,"AAAAAH/9d8M=")</f>
        <v>#REF!</v>
      </c>
      <c r="GO25" t="e">
        <f>AND('boilerplate specs'!#REF!,"AAAAAH/9d8Q=")</f>
        <v>#REF!</v>
      </c>
      <c r="GP25" t="e">
        <f>AND('boilerplate specs'!#REF!,"AAAAAH/9d8U=")</f>
        <v>#REF!</v>
      </c>
      <c r="GQ25" t="e">
        <f>AND('boilerplate specs'!#REF!,"AAAAAH/9d8Y=")</f>
        <v>#REF!</v>
      </c>
      <c r="GR25" t="e">
        <f>AND('boilerplate specs'!#REF!,"AAAAAH/9d8c=")</f>
        <v>#REF!</v>
      </c>
      <c r="GS25" t="e">
        <f>AND('boilerplate specs'!#REF!,"AAAAAH/9d8g=")</f>
        <v>#REF!</v>
      </c>
      <c r="GT25" t="e">
        <f>AND('boilerplate specs'!#REF!,"AAAAAH/9d8k=")</f>
        <v>#REF!</v>
      </c>
      <c r="GU25" t="e">
        <f>AND('boilerplate specs'!#REF!,"AAAAAH/9d8o=")</f>
        <v>#REF!</v>
      </c>
      <c r="GV25" t="e">
        <f>AND('boilerplate specs'!#REF!,"AAAAAH/9d8s=")</f>
        <v>#REF!</v>
      </c>
      <c r="GW25" t="e">
        <f>AND('boilerplate specs'!#REF!,"AAAAAH/9d8w=")</f>
        <v>#REF!</v>
      </c>
      <c r="GX25">
        <f>IF('boilerplate specs'!132:132,"AAAAAH/9d80=",0)</f>
        <v>0</v>
      </c>
      <c r="GY25" t="e">
        <f>AND('boilerplate specs'!A132,"AAAAAH/9d84=")</f>
        <v>#VALUE!</v>
      </c>
      <c r="GZ25" t="e">
        <f>AND('boilerplate specs'!B132,"AAAAAH/9d88=")</f>
        <v>#VALUE!</v>
      </c>
      <c r="HA25" t="e">
        <f>AND('boilerplate specs'!C132,"AAAAAH/9d9A=")</f>
        <v>#VALUE!</v>
      </c>
      <c r="HB25" t="e">
        <f>AND('boilerplate specs'!D132,"AAAAAH/9d9E=")</f>
        <v>#VALUE!</v>
      </c>
      <c r="HC25" t="e">
        <f>AND('boilerplate specs'!E132,"AAAAAH/9d9I=")</f>
        <v>#VALUE!</v>
      </c>
      <c r="HD25" t="e">
        <f>AND('boilerplate specs'!F132,"AAAAAH/9d9M=")</f>
        <v>#VALUE!</v>
      </c>
      <c r="HE25" t="e">
        <f>AND('boilerplate specs'!G132,"AAAAAH/9d9Q=")</f>
        <v>#VALUE!</v>
      </c>
      <c r="HF25" t="e">
        <f>AND('boilerplate specs'!H132,"AAAAAH/9d9U=")</f>
        <v>#VALUE!</v>
      </c>
      <c r="HG25" t="e">
        <f>AND('boilerplate specs'!I132,"AAAAAH/9d9Y=")</f>
        <v>#VALUE!</v>
      </c>
      <c r="HH25" t="e">
        <f>AND('boilerplate specs'!J132,"AAAAAH/9d9c=")</f>
        <v>#VALUE!</v>
      </c>
      <c r="HI25" t="e">
        <f>AND('boilerplate specs'!#REF!,"AAAAAH/9d9g=")</f>
        <v>#REF!</v>
      </c>
      <c r="HJ25" t="e">
        <f>AND('boilerplate specs'!#REF!,"AAAAAH/9d9k=")</f>
        <v>#REF!</v>
      </c>
      <c r="HK25" t="e">
        <f>AND('boilerplate specs'!#REF!,"AAAAAH/9d9o=")</f>
        <v>#REF!</v>
      </c>
      <c r="HL25" t="e">
        <f>AND('boilerplate specs'!#REF!,"AAAAAH/9d9s=")</f>
        <v>#REF!</v>
      </c>
      <c r="HM25" t="e">
        <f>AND('boilerplate specs'!#REF!,"AAAAAH/9d9w=")</f>
        <v>#REF!</v>
      </c>
      <c r="HN25" t="e">
        <f>AND('boilerplate specs'!#REF!,"AAAAAH/9d90=")</f>
        <v>#REF!</v>
      </c>
      <c r="HO25" t="e">
        <f>AND('boilerplate specs'!#REF!,"AAAAAH/9d94=")</f>
        <v>#REF!</v>
      </c>
      <c r="HP25" t="e">
        <f>AND('boilerplate specs'!#REF!,"AAAAAH/9d98=")</f>
        <v>#REF!</v>
      </c>
      <c r="HQ25" t="e">
        <f>AND('boilerplate specs'!#REF!,"AAAAAH/9d+A=")</f>
        <v>#REF!</v>
      </c>
      <c r="HR25" t="e">
        <f>AND('boilerplate specs'!#REF!,"AAAAAH/9d+E=")</f>
        <v>#REF!</v>
      </c>
      <c r="HS25" t="e">
        <f>AND('boilerplate specs'!#REF!,"AAAAAH/9d+I=")</f>
        <v>#REF!</v>
      </c>
      <c r="HT25" t="e">
        <f>AND('boilerplate specs'!#REF!,"AAAAAH/9d+M=")</f>
        <v>#REF!</v>
      </c>
      <c r="HU25" t="e">
        <f>AND('boilerplate specs'!#REF!,"AAAAAH/9d+Q=")</f>
        <v>#REF!</v>
      </c>
      <c r="HV25" t="e">
        <f>AND('boilerplate specs'!#REF!,"AAAAAH/9d+U=")</f>
        <v>#REF!</v>
      </c>
      <c r="HW25" t="e">
        <f>AND('boilerplate specs'!#REF!,"AAAAAH/9d+Y=")</f>
        <v>#REF!</v>
      </c>
      <c r="HX25" t="e">
        <f>AND('boilerplate specs'!#REF!,"AAAAAH/9d+c=")</f>
        <v>#REF!</v>
      </c>
      <c r="HY25" t="e">
        <f>AND('boilerplate specs'!#REF!,"AAAAAH/9d+g=")</f>
        <v>#REF!</v>
      </c>
      <c r="HZ25" t="e">
        <f>AND('boilerplate specs'!#REF!,"AAAAAH/9d+k=")</f>
        <v>#REF!</v>
      </c>
      <c r="IA25" t="e">
        <f>AND('boilerplate specs'!#REF!,"AAAAAH/9d+o=")</f>
        <v>#REF!</v>
      </c>
      <c r="IB25" t="e">
        <f>AND('boilerplate specs'!#REF!,"AAAAAH/9d+s=")</f>
        <v>#REF!</v>
      </c>
      <c r="IC25" t="e">
        <f>AND('boilerplate specs'!#REF!,"AAAAAH/9d+w=")</f>
        <v>#REF!</v>
      </c>
      <c r="ID25" t="e">
        <f>AND('boilerplate specs'!#REF!,"AAAAAH/9d+0=")</f>
        <v>#REF!</v>
      </c>
      <c r="IE25">
        <f>IF('boilerplate specs'!133:133,"AAAAAH/9d+4=",0)</f>
        <v>0</v>
      </c>
      <c r="IF25" t="e">
        <f>AND('boilerplate specs'!A133,"AAAAAH/9d+8=")</f>
        <v>#VALUE!</v>
      </c>
      <c r="IG25" t="e">
        <f>AND('boilerplate specs'!B133,"AAAAAH/9d/A=")</f>
        <v>#VALUE!</v>
      </c>
      <c r="IH25" t="e">
        <f>AND('boilerplate specs'!C133,"AAAAAH/9d/E=")</f>
        <v>#VALUE!</v>
      </c>
      <c r="II25" t="e">
        <f>AND('boilerplate specs'!D133,"AAAAAH/9d/I=")</f>
        <v>#VALUE!</v>
      </c>
      <c r="IJ25" t="e">
        <f>AND('boilerplate specs'!E133,"AAAAAH/9d/M=")</f>
        <v>#VALUE!</v>
      </c>
      <c r="IK25" t="e">
        <f>AND('boilerplate specs'!F133,"AAAAAH/9d/Q=")</f>
        <v>#VALUE!</v>
      </c>
      <c r="IL25" t="e">
        <f>AND('boilerplate specs'!G133,"AAAAAH/9d/U=")</f>
        <v>#VALUE!</v>
      </c>
      <c r="IM25" t="e">
        <f>AND('boilerplate specs'!H133,"AAAAAH/9d/Y=")</f>
        <v>#VALUE!</v>
      </c>
      <c r="IN25" t="e">
        <f>AND('boilerplate specs'!I133,"AAAAAH/9d/c=")</f>
        <v>#VALUE!</v>
      </c>
      <c r="IO25" t="e">
        <f>AND('boilerplate specs'!J133,"AAAAAH/9d/g=")</f>
        <v>#VALUE!</v>
      </c>
      <c r="IP25" t="e">
        <f>AND('boilerplate specs'!#REF!,"AAAAAH/9d/k=")</f>
        <v>#REF!</v>
      </c>
      <c r="IQ25" t="e">
        <f>AND('boilerplate specs'!#REF!,"AAAAAH/9d/o=")</f>
        <v>#REF!</v>
      </c>
      <c r="IR25" t="e">
        <f>AND('boilerplate specs'!#REF!,"AAAAAH/9d/s=")</f>
        <v>#REF!</v>
      </c>
      <c r="IS25" t="e">
        <f>AND('boilerplate specs'!#REF!,"AAAAAH/9d/w=")</f>
        <v>#REF!</v>
      </c>
      <c r="IT25" t="e">
        <f>AND('boilerplate specs'!#REF!,"AAAAAH/9d/0=")</f>
        <v>#REF!</v>
      </c>
      <c r="IU25" t="e">
        <f>AND('boilerplate specs'!#REF!,"AAAAAH/9d/4=")</f>
        <v>#REF!</v>
      </c>
      <c r="IV25" t="e">
        <f>AND('boilerplate specs'!#REF!,"AAAAAH/9d/8=")</f>
        <v>#REF!</v>
      </c>
    </row>
    <row r="26" spans="1:256" x14ac:dyDescent="0.35">
      <c r="A26" t="e">
        <f>AND('boilerplate specs'!#REF!,"AAAAAH1baQA=")</f>
        <v>#REF!</v>
      </c>
      <c r="B26" t="e">
        <f>AND('boilerplate specs'!#REF!,"AAAAAH1baQE=")</f>
        <v>#REF!</v>
      </c>
      <c r="C26" t="e">
        <f>AND('boilerplate specs'!#REF!,"AAAAAH1baQI=")</f>
        <v>#REF!</v>
      </c>
      <c r="D26" t="e">
        <f>AND('boilerplate specs'!#REF!,"AAAAAH1baQM=")</f>
        <v>#REF!</v>
      </c>
      <c r="E26" t="e">
        <f>AND('boilerplate specs'!#REF!,"AAAAAH1baQQ=")</f>
        <v>#REF!</v>
      </c>
      <c r="F26" t="e">
        <f>AND('boilerplate specs'!#REF!,"AAAAAH1baQU=")</f>
        <v>#REF!</v>
      </c>
      <c r="G26" t="e">
        <f>AND('boilerplate specs'!#REF!,"AAAAAH1baQY=")</f>
        <v>#REF!</v>
      </c>
      <c r="H26" t="e">
        <f>AND('boilerplate specs'!#REF!,"AAAAAH1baQc=")</f>
        <v>#REF!</v>
      </c>
      <c r="I26" t="e">
        <f>AND('boilerplate specs'!#REF!,"AAAAAH1baQg=")</f>
        <v>#REF!</v>
      </c>
      <c r="J26" t="e">
        <f>AND('boilerplate specs'!#REF!,"AAAAAH1baQk=")</f>
        <v>#REF!</v>
      </c>
      <c r="K26" t="e">
        <f>AND('boilerplate specs'!#REF!,"AAAAAH1baQo=")</f>
        <v>#REF!</v>
      </c>
      <c r="L26" t="e">
        <f>AND('boilerplate specs'!#REF!,"AAAAAH1baQs=")</f>
        <v>#REF!</v>
      </c>
      <c r="M26" t="e">
        <f>AND('boilerplate specs'!#REF!,"AAAAAH1baQw=")</f>
        <v>#REF!</v>
      </c>
      <c r="N26" t="e">
        <f>AND('boilerplate specs'!#REF!,"AAAAAH1baQ0=")</f>
        <v>#REF!</v>
      </c>
      <c r="O26" t="e">
        <f>AND('boilerplate specs'!#REF!,"AAAAAH1baQ4=")</f>
        <v>#REF!</v>
      </c>
      <c r="P26">
        <f>IF('boilerplate specs'!134:134,"AAAAAH1baQ8=",0)</f>
        <v>0</v>
      </c>
      <c r="Q26" t="e">
        <f>AND('boilerplate specs'!A134,"AAAAAH1baRA=")</f>
        <v>#VALUE!</v>
      </c>
      <c r="R26" t="e">
        <f>AND('boilerplate specs'!B134,"AAAAAH1baRE=")</f>
        <v>#VALUE!</v>
      </c>
      <c r="S26" t="e">
        <f>AND('boilerplate specs'!C134,"AAAAAH1baRI=")</f>
        <v>#VALUE!</v>
      </c>
      <c r="T26" t="e">
        <f>AND('boilerplate specs'!D134,"AAAAAH1baRM=")</f>
        <v>#VALUE!</v>
      </c>
      <c r="U26" t="e">
        <f>AND('boilerplate specs'!E134,"AAAAAH1baRQ=")</f>
        <v>#VALUE!</v>
      </c>
      <c r="V26" t="e">
        <f>AND('boilerplate specs'!F134,"AAAAAH1baRU=")</f>
        <v>#VALUE!</v>
      </c>
      <c r="W26" t="e">
        <f>AND('boilerplate specs'!G134,"AAAAAH1baRY=")</f>
        <v>#VALUE!</v>
      </c>
      <c r="X26" t="e">
        <f>AND('boilerplate specs'!H134,"AAAAAH1baRc=")</f>
        <v>#VALUE!</v>
      </c>
      <c r="Y26" t="e">
        <f>AND('boilerplate specs'!I134,"AAAAAH1baRg=")</f>
        <v>#VALUE!</v>
      </c>
      <c r="Z26" t="e">
        <f>AND('boilerplate specs'!J134,"AAAAAH1baRk=")</f>
        <v>#VALUE!</v>
      </c>
      <c r="AA26" t="e">
        <f>AND('boilerplate specs'!#REF!,"AAAAAH1baRo=")</f>
        <v>#REF!</v>
      </c>
      <c r="AB26" t="e">
        <f>AND('boilerplate specs'!#REF!,"AAAAAH1baRs=")</f>
        <v>#REF!</v>
      </c>
      <c r="AC26" t="e">
        <f>AND('boilerplate specs'!#REF!,"AAAAAH1baRw=")</f>
        <v>#REF!</v>
      </c>
      <c r="AD26" t="e">
        <f>AND('boilerplate specs'!#REF!,"AAAAAH1baR0=")</f>
        <v>#REF!</v>
      </c>
      <c r="AE26" t="e">
        <f>AND('boilerplate specs'!#REF!,"AAAAAH1baR4=")</f>
        <v>#REF!</v>
      </c>
      <c r="AF26" t="e">
        <f>AND('boilerplate specs'!#REF!,"AAAAAH1baR8=")</f>
        <v>#REF!</v>
      </c>
      <c r="AG26" t="e">
        <f>AND('boilerplate specs'!#REF!,"AAAAAH1baSA=")</f>
        <v>#REF!</v>
      </c>
      <c r="AH26" t="e">
        <f>AND('boilerplate specs'!#REF!,"AAAAAH1baSE=")</f>
        <v>#REF!</v>
      </c>
      <c r="AI26" t="e">
        <f>AND('boilerplate specs'!#REF!,"AAAAAH1baSI=")</f>
        <v>#REF!</v>
      </c>
      <c r="AJ26" t="e">
        <f>AND('boilerplate specs'!#REF!,"AAAAAH1baSM=")</f>
        <v>#REF!</v>
      </c>
      <c r="AK26" t="e">
        <f>AND('boilerplate specs'!#REF!,"AAAAAH1baSQ=")</f>
        <v>#REF!</v>
      </c>
      <c r="AL26" t="e">
        <f>AND('boilerplate specs'!#REF!,"AAAAAH1baSU=")</f>
        <v>#REF!</v>
      </c>
      <c r="AM26" t="e">
        <f>AND('boilerplate specs'!#REF!,"AAAAAH1baSY=")</f>
        <v>#REF!</v>
      </c>
      <c r="AN26" t="e">
        <f>AND('boilerplate specs'!#REF!,"AAAAAH1baSc=")</f>
        <v>#REF!</v>
      </c>
      <c r="AO26" t="e">
        <f>AND('boilerplate specs'!#REF!,"AAAAAH1baSg=")</f>
        <v>#REF!</v>
      </c>
      <c r="AP26" t="e">
        <f>AND('boilerplate specs'!#REF!,"AAAAAH1baSk=")</f>
        <v>#REF!</v>
      </c>
      <c r="AQ26" t="e">
        <f>AND('boilerplate specs'!#REF!,"AAAAAH1baSo=")</f>
        <v>#REF!</v>
      </c>
      <c r="AR26" t="e">
        <f>AND('boilerplate specs'!#REF!,"AAAAAH1baSs=")</f>
        <v>#REF!</v>
      </c>
      <c r="AS26" t="e">
        <f>AND('boilerplate specs'!#REF!,"AAAAAH1baSw=")</f>
        <v>#REF!</v>
      </c>
      <c r="AT26" t="e">
        <f>AND('boilerplate specs'!#REF!,"AAAAAH1baS0=")</f>
        <v>#REF!</v>
      </c>
      <c r="AU26" t="e">
        <f>AND('boilerplate specs'!#REF!,"AAAAAH1baS4=")</f>
        <v>#REF!</v>
      </c>
      <c r="AV26" t="e">
        <f>AND('boilerplate specs'!#REF!,"AAAAAH1baS8=")</f>
        <v>#REF!</v>
      </c>
      <c r="AW26">
        <f>IF('boilerplate specs'!135:135,"AAAAAH1baTA=",0)</f>
        <v>0</v>
      </c>
      <c r="AX26" t="e">
        <f>AND('boilerplate specs'!A135,"AAAAAH1baTE=")</f>
        <v>#VALUE!</v>
      </c>
      <c r="AY26" t="e">
        <f>AND('boilerplate specs'!B135,"AAAAAH1baTI=")</f>
        <v>#VALUE!</v>
      </c>
      <c r="AZ26" t="e">
        <f>AND('boilerplate specs'!C135,"AAAAAH1baTM=")</f>
        <v>#VALUE!</v>
      </c>
      <c r="BA26" t="e">
        <f>AND('boilerplate specs'!D135,"AAAAAH1baTQ=")</f>
        <v>#VALUE!</v>
      </c>
      <c r="BB26" t="e">
        <f>AND('boilerplate specs'!E135,"AAAAAH1baTU=")</f>
        <v>#VALUE!</v>
      </c>
      <c r="BC26" t="e">
        <f>AND('boilerplate specs'!F135,"AAAAAH1baTY=")</f>
        <v>#VALUE!</v>
      </c>
      <c r="BD26" t="e">
        <f>AND('boilerplate specs'!G135,"AAAAAH1baTc=")</f>
        <v>#VALUE!</v>
      </c>
      <c r="BE26" t="e">
        <f>AND('boilerplate specs'!H135,"AAAAAH1baTg=")</f>
        <v>#VALUE!</v>
      </c>
      <c r="BF26" t="e">
        <f>AND('boilerplate specs'!I135,"AAAAAH1baTk=")</f>
        <v>#VALUE!</v>
      </c>
      <c r="BG26" t="e">
        <f>AND('boilerplate specs'!J135,"AAAAAH1baTo=")</f>
        <v>#VALUE!</v>
      </c>
      <c r="BH26" t="e">
        <f>AND('boilerplate specs'!#REF!,"AAAAAH1baTs=")</f>
        <v>#REF!</v>
      </c>
      <c r="BI26" t="e">
        <f>AND('boilerplate specs'!#REF!,"AAAAAH1baTw=")</f>
        <v>#REF!</v>
      </c>
      <c r="BJ26" t="e">
        <f>AND('boilerplate specs'!#REF!,"AAAAAH1baT0=")</f>
        <v>#REF!</v>
      </c>
      <c r="BK26" t="e">
        <f>AND('boilerplate specs'!#REF!,"AAAAAH1baT4=")</f>
        <v>#REF!</v>
      </c>
      <c r="BL26" t="e">
        <f>AND('boilerplate specs'!#REF!,"AAAAAH1baT8=")</f>
        <v>#REF!</v>
      </c>
      <c r="BM26" t="e">
        <f>AND('boilerplate specs'!#REF!,"AAAAAH1baUA=")</f>
        <v>#REF!</v>
      </c>
      <c r="BN26" t="e">
        <f>AND('boilerplate specs'!#REF!,"AAAAAH1baUE=")</f>
        <v>#REF!</v>
      </c>
      <c r="BO26" t="e">
        <f>AND('boilerplate specs'!#REF!,"AAAAAH1baUI=")</f>
        <v>#REF!</v>
      </c>
      <c r="BP26" t="e">
        <f>AND('boilerplate specs'!#REF!,"AAAAAH1baUM=")</f>
        <v>#REF!</v>
      </c>
      <c r="BQ26" t="e">
        <f>AND('boilerplate specs'!#REF!,"AAAAAH1baUQ=")</f>
        <v>#REF!</v>
      </c>
      <c r="BR26" t="e">
        <f>AND('boilerplate specs'!#REF!,"AAAAAH1baUU=")</f>
        <v>#REF!</v>
      </c>
      <c r="BS26" t="e">
        <f>AND('boilerplate specs'!#REF!,"AAAAAH1baUY=")</f>
        <v>#REF!</v>
      </c>
      <c r="BT26" t="e">
        <f>AND('boilerplate specs'!#REF!,"AAAAAH1baUc=")</f>
        <v>#REF!</v>
      </c>
      <c r="BU26" t="e">
        <f>AND('boilerplate specs'!#REF!,"AAAAAH1baUg=")</f>
        <v>#REF!</v>
      </c>
      <c r="BV26" t="e">
        <f>AND('boilerplate specs'!#REF!,"AAAAAH1baUk=")</f>
        <v>#REF!</v>
      </c>
      <c r="BW26" t="e">
        <f>AND('boilerplate specs'!#REF!,"AAAAAH1baUo=")</f>
        <v>#REF!</v>
      </c>
      <c r="BX26" t="e">
        <f>AND('boilerplate specs'!#REF!,"AAAAAH1baUs=")</f>
        <v>#REF!</v>
      </c>
      <c r="BY26" t="e">
        <f>AND('boilerplate specs'!#REF!,"AAAAAH1baUw=")</f>
        <v>#REF!</v>
      </c>
      <c r="BZ26" t="e">
        <f>AND('boilerplate specs'!#REF!,"AAAAAH1baU0=")</f>
        <v>#REF!</v>
      </c>
      <c r="CA26" t="e">
        <f>AND('boilerplate specs'!#REF!,"AAAAAH1baU4=")</f>
        <v>#REF!</v>
      </c>
      <c r="CB26" t="e">
        <f>AND('boilerplate specs'!#REF!,"AAAAAH1baU8=")</f>
        <v>#REF!</v>
      </c>
      <c r="CC26" t="e">
        <f>AND('boilerplate specs'!#REF!,"AAAAAH1baVA=")</f>
        <v>#REF!</v>
      </c>
      <c r="CD26">
        <f>IF('boilerplate specs'!136:136,"AAAAAH1baVE=",0)</f>
        <v>0</v>
      </c>
      <c r="CE26" t="e">
        <f>AND('boilerplate specs'!A136,"AAAAAH1baVI=")</f>
        <v>#VALUE!</v>
      </c>
      <c r="CF26" t="e">
        <f>AND('boilerplate specs'!B136,"AAAAAH1baVM=")</f>
        <v>#VALUE!</v>
      </c>
      <c r="CG26" t="e">
        <f>AND('boilerplate specs'!C136,"AAAAAH1baVQ=")</f>
        <v>#VALUE!</v>
      </c>
      <c r="CH26" t="e">
        <f>AND('boilerplate specs'!D136,"AAAAAH1baVU=")</f>
        <v>#VALUE!</v>
      </c>
      <c r="CI26" t="e">
        <f>AND('boilerplate specs'!E136,"AAAAAH1baVY=")</f>
        <v>#VALUE!</v>
      </c>
      <c r="CJ26" t="e">
        <f>AND('boilerplate specs'!F136,"AAAAAH1baVc=")</f>
        <v>#VALUE!</v>
      </c>
      <c r="CK26" t="e">
        <f>AND('boilerplate specs'!G136,"AAAAAH1baVg=")</f>
        <v>#VALUE!</v>
      </c>
      <c r="CL26" t="e">
        <f>AND('boilerplate specs'!H136,"AAAAAH1baVk=")</f>
        <v>#VALUE!</v>
      </c>
      <c r="CM26" t="e">
        <f>AND('boilerplate specs'!I136,"AAAAAH1baVo=")</f>
        <v>#VALUE!</v>
      </c>
      <c r="CN26" t="e">
        <f>AND('boilerplate specs'!J136,"AAAAAH1baVs=")</f>
        <v>#VALUE!</v>
      </c>
      <c r="CO26" t="e">
        <f>AND('boilerplate specs'!#REF!,"AAAAAH1baVw=")</f>
        <v>#REF!</v>
      </c>
      <c r="CP26" t="e">
        <f>AND('boilerplate specs'!#REF!,"AAAAAH1baV0=")</f>
        <v>#REF!</v>
      </c>
      <c r="CQ26" t="e">
        <f>AND('boilerplate specs'!#REF!,"AAAAAH1baV4=")</f>
        <v>#REF!</v>
      </c>
      <c r="CR26" t="e">
        <f>AND('boilerplate specs'!#REF!,"AAAAAH1baV8=")</f>
        <v>#REF!</v>
      </c>
      <c r="CS26" t="e">
        <f>AND('boilerplate specs'!#REF!,"AAAAAH1baWA=")</f>
        <v>#REF!</v>
      </c>
      <c r="CT26" t="e">
        <f>AND('boilerplate specs'!#REF!,"AAAAAH1baWE=")</f>
        <v>#REF!</v>
      </c>
      <c r="CU26" t="e">
        <f>AND('boilerplate specs'!#REF!,"AAAAAH1baWI=")</f>
        <v>#REF!</v>
      </c>
      <c r="CV26" t="e">
        <f>AND('boilerplate specs'!#REF!,"AAAAAH1baWM=")</f>
        <v>#REF!</v>
      </c>
      <c r="CW26" t="e">
        <f>AND('boilerplate specs'!#REF!,"AAAAAH1baWQ=")</f>
        <v>#REF!</v>
      </c>
      <c r="CX26" t="e">
        <f>AND('boilerplate specs'!#REF!,"AAAAAH1baWU=")</f>
        <v>#REF!</v>
      </c>
      <c r="CY26" t="e">
        <f>AND('boilerplate specs'!#REF!,"AAAAAH1baWY=")</f>
        <v>#REF!</v>
      </c>
      <c r="CZ26" t="e">
        <f>AND('boilerplate specs'!#REF!,"AAAAAH1baWc=")</f>
        <v>#REF!</v>
      </c>
      <c r="DA26" t="e">
        <f>AND('boilerplate specs'!#REF!,"AAAAAH1baWg=")</f>
        <v>#REF!</v>
      </c>
      <c r="DB26" t="e">
        <f>AND('boilerplate specs'!#REF!,"AAAAAH1baWk=")</f>
        <v>#REF!</v>
      </c>
      <c r="DC26" t="e">
        <f>AND('boilerplate specs'!#REF!,"AAAAAH1baWo=")</f>
        <v>#REF!</v>
      </c>
      <c r="DD26" t="e">
        <f>AND('boilerplate specs'!#REF!,"AAAAAH1baWs=")</f>
        <v>#REF!</v>
      </c>
      <c r="DE26" t="e">
        <f>AND('boilerplate specs'!#REF!,"AAAAAH1baWw=")</f>
        <v>#REF!</v>
      </c>
      <c r="DF26" t="e">
        <f>AND('boilerplate specs'!#REF!,"AAAAAH1baW0=")</f>
        <v>#REF!</v>
      </c>
      <c r="DG26" t="e">
        <f>AND('boilerplate specs'!#REF!,"AAAAAH1baW4=")</f>
        <v>#REF!</v>
      </c>
      <c r="DH26" t="e">
        <f>AND('boilerplate specs'!#REF!,"AAAAAH1baW8=")</f>
        <v>#REF!</v>
      </c>
      <c r="DI26" t="e">
        <f>AND('boilerplate specs'!#REF!,"AAAAAH1baXA=")</f>
        <v>#REF!</v>
      </c>
      <c r="DJ26" t="e">
        <f>AND('boilerplate specs'!#REF!,"AAAAAH1baXE=")</f>
        <v>#REF!</v>
      </c>
      <c r="DK26">
        <f>IF('boilerplate specs'!137:137,"AAAAAH1baXI=",0)</f>
        <v>0</v>
      </c>
      <c r="DL26" t="e">
        <f>AND('boilerplate specs'!A137,"AAAAAH1baXM=")</f>
        <v>#VALUE!</v>
      </c>
      <c r="DM26" t="e">
        <f>AND('boilerplate specs'!B137,"AAAAAH1baXQ=")</f>
        <v>#VALUE!</v>
      </c>
      <c r="DN26" t="e">
        <f>AND('boilerplate specs'!C137,"AAAAAH1baXU=")</f>
        <v>#VALUE!</v>
      </c>
      <c r="DO26" t="e">
        <f>AND('boilerplate specs'!D137,"AAAAAH1baXY=")</f>
        <v>#VALUE!</v>
      </c>
      <c r="DP26" t="e">
        <f>AND('boilerplate specs'!E137,"AAAAAH1baXc=")</f>
        <v>#VALUE!</v>
      </c>
      <c r="DQ26" t="e">
        <f>AND('boilerplate specs'!F137,"AAAAAH1baXg=")</f>
        <v>#VALUE!</v>
      </c>
      <c r="DR26" t="e">
        <f>AND('boilerplate specs'!G137,"AAAAAH1baXk=")</f>
        <v>#VALUE!</v>
      </c>
      <c r="DS26" t="e">
        <f>AND('boilerplate specs'!H137,"AAAAAH1baXo=")</f>
        <v>#VALUE!</v>
      </c>
      <c r="DT26" t="e">
        <f>AND('boilerplate specs'!I137,"AAAAAH1baXs=")</f>
        <v>#VALUE!</v>
      </c>
      <c r="DU26" t="e">
        <f>AND('boilerplate specs'!J137,"AAAAAH1baXw=")</f>
        <v>#VALUE!</v>
      </c>
      <c r="DV26" t="e">
        <f>AND('boilerplate specs'!#REF!,"AAAAAH1baX0=")</f>
        <v>#REF!</v>
      </c>
      <c r="DW26" t="e">
        <f>AND('boilerplate specs'!#REF!,"AAAAAH1baX4=")</f>
        <v>#REF!</v>
      </c>
      <c r="DX26" t="e">
        <f>AND('boilerplate specs'!#REF!,"AAAAAH1baX8=")</f>
        <v>#REF!</v>
      </c>
      <c r="DY26" t="e">
        <f>AND('boilerplate specs'!#REF!,"AAAAAH1baYA=")</f>
        <v>#REF!</v>
      </c>
      <c r="DZ26" t="e">
        <f>AND('boilerplate specs'!#REF!,"AAAAAH1baYE=")</f>
        <v>#REF!</v>
      </c>
      <c r="EA26" t="e">
        <f>AND('boilerplate specs'!#REF!,"AAAAAH1baYI=")</f>
        <v>#REF!</v>
      </c>
      <c r="EB26" t="e">
        <f>AND('boilerplate specs'!#REF!,"AAAAAH1baYM=")</f>
        <v>#REF!</v>
      </c>
      <c r="EC26" t="e">
        <f>AND('boilerplate specs'!#REF!,"AAAAAH1baYQ=")</f>
        <v>#REF!</v>
      </c>
      <c r="ED26" t="e">
        <f>AND('boilerplate specs'!#REF!,"AAAAAH1baYU=")</f>
        <v>#REF!</v>
      </c>
      <c r="EE26" t="e">
        <f>AND('boilerplate specs'!#REF!,"AAAAAH1baYY=")</f>
        <v>#REF!</v>
      </c>
      <c r="EF26" t="e">
        <f>AND('boilerplate specs'!#REF!,"AAAAAH1baYc=")</f>
        <v>#REF!</v>
      </c>
      <c r="EG26" t="e">
        <f>AND('boilerplate specs'!#REF!,"AAAAAH1baYg=")</f>
        <v>#REF!</v>
      </c>
      <c r="EH26" t="e">
        <f>AND('boilerplate specs'!#REF!,"AAAAAH1baYk=")</f>
        <v>#REF!</v>
      </c>
      <c r="EI26" t="e">
        <f>AND('boilerplate specs'!#REF!,"AAAAAH1baYo=")</f>
        <v>#REF!</v>
      </c>
      <c r="EJ26" t="e">
        <f>AND('boilerplate specs'!#REF!,"AAAAAH1baYs=")</f>
        <v>#REF!</v>
      </c>
      <c r="EK26" t="e">
        <f>AND('boilerplate specs'!#REF!,"AAAAAH1baYw=")</f>
        <v>#REF!</v>
      </c>
      <c r="EL26" t="e">
        <f>AND('boilerplate specs'!#REF!,"AAAAAH1baY0=")</f>
        <v>#REF!</v>
      </c>
      <c r="EM26" t="e">
        <f>AND('boilerplate specs'!#REF!,"AAAAAH1baY4=")</f>
        <v>#REF!</v>
      </c>
      <c r="EN26" t="e">
        <f>AND('boilerplate specs'!#REF!,"AAAAAH1baY8=")</f>
        <v>#REF!</v>
      </c>
      <c r="EO26" t="e">
        <f>AND('boilerplate specs'!#REF!,"AAAAAH1baZA=")</f>
        <v>#REF!</v>
      </c>
      <c r="EP26" t="e">
        <f>AND('boilerplate specs'!#REF!,"AAAAAH1baZE=")</f>
        <v>#REF!</v>
      </c>
      <c r="EQ26" t="e">
        <f>AND('boilerplate specs'!#REF!,"AAAAAH1baZI=")</f>
        <v>#REF!</v>
      </c>
      <c r="ER26">
        <f>IF('boilerplate specs'!138:138,"AAAAAH1baZM=",0)</f>
        <v>0</v>
      </c>
      <c r="ES26" t="e">
        <f>AND('boilerplate specs'!A138,"AAAAAH1baZQ=")</f>
        <v>#VALUE!</v>
      </c>
      <c r="ET26" t="e">
        <f>AND('boilerplate specs'!B138,"AAAAAH1baZU=")</f>
        <v>#VALUE!</v>
      </c>
      <c r="EU26" t="e">
        <f>AND('boilerplate specs'!C138,"AAAAAH1baZY=")</f>
        <v>#VALUE!</v>
      </c>
      <c r="EV26" t="e">
        <f>AND('boilerplate specs'!D138,"AAAAAH1baZc=")</f>
        <v>#VALUE!</v>
      </c>
      <c r="EW26" t="e">
        <f>AND('boilerplate specs'!E138,"AAAAAH1baZg=")</f>
        <v>#VALUE!</v>
      </c>
      <c r="EX26" t="e">
        <f>AND('boilerplate specs'!F138,"AAAAAH1baZk=")</f>
        <v>#VALUE!</v>
      </c>
      <c r="EY26" t="e">
        <f>AND('boilerplate specs'!G138,"AAAAAH1baZo=")</f>
        <v>#VALUE!</v>
      </c>
      <c r="EZ26" t="e">
        <f>AND('boilerplate specs'!H138,"AAAAAH1baZs=")</f>
        <v>#VALUE!</v>
      </c>
      <c r="FA26" t="e">
        <f>AND('boilerplate specs'!I138,"AAAAAH1baZw=")</f>
        <v>#VALUE!</v>
      </c>
      <c r="FB26" t="e">
        <f>AND('boilerplate specs'!J138,"AAAAAH1baZ0=")</f>
        <v>#VALUE!</v>
      </c>
      <c r="FC26" t="e">
        <f>AND('boilerplate specs'!#REF!,"AAAAAH1baZ4=")</f>
        <v>#REF!</v>
      </c>
      <c r="FD26" t="e">
        <f>AND('boilerplate specs'!#REF!,"AAAAAH1baZ8=")</f>
        <v>#REF!</v>
      </c>
      <c r="FE26" t="e">
        <f>AND('boilerplate specs'!#REF!,"AAAAAH1baaA=")</f>
        <v>#REF!</v>
      </c>
      <c r="FF26" t="e">
        <f>AND('boilerplate specs'!#REF!,"AAAAAH1baaE=")</f>
        <v>#REF!</v>
      </c>
      <c r="FG26" t="e">
        <f>AND('boilerplate specs'!#REF!,"AAAAAH1baaI=")</f>
        <v>#REF!</v>
      </c>
      <c r="FH26" t="e">
        <f>AND('boilerplate specs'!#REF!,"AAAAAH1baaM=")</f>
        <v>#REF!</v>
      </c>
      <c r="FI26" t="e">
        <f>AND('boilerplate specs'!#REF!,"AAAAAH1baaQ=")</f>
        <v>#REF!</v>
      </c>
      <c r="FJ26" t="e">
        <f>AND('boilerplate specs'!#REF!,"AAAAAH1baaU=")</f>
        <v>#REF!</v>
      </c>
      <c r="FK26" t="e">
        <f>AND('boilerplate specs'!#REF!,"AAAAAH1baaY=")</f>
        <v>#REF!</v>
      </c>
      <c r="FL26" t="e">
        <f>AND('boilerplate specs'!#REF!,"AAAAAH1baac=")</f>
        <v>#REF!</v>
      </c>
      <c r="FM26" t="e">
        <f>AND('boilerplate specs'!#REF!,"AAAAAH1baag=")</f>
        <v>#REF!</v>
      </c>
      <c r="FN26" t="e">
        <f>AND('boilerplate specs'!#REF!,"AAAAAH1baak=")</f>
        <v>#REF!</v>
      </c>
      <c r="FO26" t="e">
        <f>AND('boilerplate specs'!#REF!,"AAAAAH1baao=")</f>
        <v>#REF!</v>
      </c>
      <c r="FP26" t="e">
        <f>AND('boilerplate specs'!#REF!,"AAAAAH1baas=")</f>
        <v>#REF!</v>
      </c>
      <c r="FQ26" t="e">
        <f>AND('boilerplate specs'!#REF!,"AAAAAH1baaw=")</f>
        <v>#REF!</v>
      </c>
      <c r="FR26" t="e">
        <f>AND('boilerplate specs'!#REF!,"AAAAAH1baa0=")</f>
        <v>#REF!</v>
      </c>
      <c r="FS26" t="e">
        <f>AND('boilerplate specs'!#REF!,"AAAAAH1baa4=")</f>
        <v>#REF!</v>
      </c>
      <c r="FT26" t="e">
        <f>AND('boilerplate specs'!#REF!,"AAAAAH1baa8=")</f>
        <v>#REF!</v>
      </c>
      <c r="FU26" t="e">
        <f>AND('boilerplate specs'!#REF!,"AAAAAH1babA=")</f>
        <v>#REF!</v>
      </c>
      <c r="FV26" t="e">
        <f>AND('boilerplate specs'!#REF!,"AAAAAH1babE=")</f>
        <v>#REF!</v>
      </c>
      <c r="FW26" t="e">
        <f>AND('boilerplate specs'!#REF!,"AAAAAH1babI=")</f>
        <v>#REF!</v>
      </c>
      <c r="FX26" t="e">
        <f>AND('boilerplate specs'!#REF!,"AAAAAH1babM=")</f>
        <v>#REF!</v>
      </c>
      <c r="FY26">
        <f>IF('boilerplate specs'!139:139,"AAAAAH1babQ=",0)</f>
        <v>0</v>
      </c>
      <c r="FZ26" t="e">
        <f>AND('boilerplate specs'!A139,"AAAAAH1babU=")</f>
        <v>#VALUE!</v>
      </c>
      <c r="GA26" t="e">
        <f>AND('boilerplate specs'!B139,"AAAAAH1babY=")</f>
        <v>#VALUE!</v>
      </c>
      <c r="GB26" t="e">
        <f>AND('boilerplate specs'!C139,"AAAAAH1babc=")</f>
        <v>#VALUE!</v>
      </c>
      <c r="GC26" t="e">
        <f>AND('boilerplate specs'!D139,"AAAAAH1babg=")</f>
        <v>#VALUE!</v>
      </c>
      <c r="GD26" t="e">
        <f>AND('boilerplate specs'!E139,"AAAAAH1babk=")</f>
        <v>#VALUE!</v>
      </c>
      <c r="GE26" t="e">
        <f>AND('boilerplate specs'!F139,"AAAAAH1babo=")</f>
        <v>#VALUE!</v>
      </c>
      <c r="GF26" t="e">
        <f>AND('boilerplate specs'!G139,"AAAAAH1babs=")</f>
        <v>#VALUE!</v>
      </c>
      <c r="GG26" t="e">
        <f>AND('boilerplate specs'!H139,"AAAAAH1babw=")</f>
        <v>#VALUE!</v>
      </c>
      <c r="GH26" t="e">
        <f>AND('boilerplate specs'!I139,"AAAAAH1bab0=")</f>
        <v>#VALUE!</v>
      </c>
      <c r="GI26" t="e">
        <f>AND('boilerplate specs'!J139,"AAAAAH1bab4=")</f>
        <v>#VALUE!</v>
      </c>
      <c r="GJ26" t="e">
        <f>AND('boilerplate specs'!#REF!,"AAAAAH1bab8=")</f>
        <v>#REF!</v>
      </c>
      <c r="GK26" t="e">
        <f>AND('boilerplate specs'!#REF!,"AAAAAH1bacA=")</f>
        <v>#REF!</v>
      </c>
      <c r="GL26" t="e">
        <f>AND('boilerplate specs'!#REF!,"AAAAAH1bacE=")</f>
        <v>#REF!</v>
      </c>
      <c r="GM26" t="e">
        <f>AND('boilerplate specs'!#REF!,"AAAAAH1bacI=")</f>
        <v>#REF!</v>
      </c>
      <c r="GN26" t="e">
        <f>AND('boilerplate specs'!#REF!,"AAAAAH1bacM=")</f>
        <v>#REF!</v>
      </c>
      <c r="GO26" t="e">
        <f>AND('boilerplate specs'!#REF!,"AAAAAH1bacQ=")</f>
        <v>#REF!</v>
      </c>
      <c r="GP26" t="e">
        <f>AND('boilerplate specs'!#REF!,"AAAAAH1bacU=")</f>
        <v>#REF!</v>
      </c>
      <c r="GQ26" t="e">
        <f>AND('boilerplate specs'!#REF!,"AAAAAH1bacY=")</f>
        <v>#REF!</v>
      </c>
      <c r="GR26" t="e">
        <f>AND('boilerplate specs'!#REF!,"AAAAAH1bacc=")</f>
        <v>#REF!</v>
      </c>
      <c r="GS26" t="e">
        <f>AND('boilerplate specs'!#REF!,"AAAAAH1bacg=")</f>
        <v>#REF!</v>
      </c>
      <c r="GT26" t="e">
        <f>AND('boilerplate specs'!#REF!,"AAAAAH1back=")</f>
        <v>#REF!</v>
      </c>
      <c r="GU26" t="e">
        <f>AND('boilerplate specs'!#REF!,"AAAAAH1baco=")</f>
        <v>#REF!</v>
      </c>
      <c r="GV26" t="e">
        <f>AND('boilerplate specs'!#REF!,"AAAAAH1bacs=")</f>
        <v>#REF!</v>
      </c>
      <c r="GW26" t="e">
        <f>AND('boilerplate specs'!#REF!,"AAAAAH1bacw=")</f>
        <v>#REF!</v>
      </c>
      <c r="GX26" t="e">
        <f>AND('boilerplate specs'!#REF!,"AAAAAH1bac0=")</f>
        <v>#REF!</v>
      </c>
      <c r="GY26" t="e">
        <f>AND('boilerplate specs'!#REF!,"AAAAAH1bac4=")</f>
        <v>#REF!</v>
      </c>
      <c r="GZ26" t="e">
        <f>AND('boilerplate specs'!#REF!,"AAAAAH1bac8=")</f>
        <v>#REF!</v>
      </c>
      <c r="HA26" t="e">
        <f>AND('boilerplate specs'!#REF!,"AAAAAH1badA=")</f>
        <v>#REF!</v>
      </c>
      <c r="HB26" t="e">
        <f>AND('boilerplate specs'!#REF!,"AAAAAH1badE=")</f>
        <v>#REF!</v>
      </c>
      <c r="HC26" t="e">
        <f>AND('boilerplate specs'!#REF!,"AAAAAH1badI=")</f>
        <v>#REF!</v>
      </c>
      <c r="HD26" t="e">
        <f>AND('boilerplate specs'!#REF!,"AAAAAH1badM=")</f>
        <v>#REF!</v>
      </c>
      <c r="HE26" t="e">
        <f>AND('boilerplate specs'!#REF!,"AAAAAH1badQ=")</f>
        <v>#REF!</v>
      </c>
      <c r="HF26">
        <f>IF('boilerplate specs'!140:140,"AAAAAH1badU=",0)</f>
        <v>0</v>
      </c>
      <c r="HG26" t="e">
        <f>AND('boilerplate specs'!A140,"AAAAAH1badY=")</f>
        <v>#VALUE!</v>
      </c>
      <c r="HH26" t="e">
        <f>AND('boilerplate specs'!B140,"AAAAAH1badc=")</f>
        <v>#VALUE!</v>
      </c>
      <c r="HI26" t="e">
        <f>AND('boilerplate specs'!C140,"AAAAAH1badg=")</f>
        <v>#VALUE!</v>
      </c>
      <c r="HJ26" t="e">
        <f>AND('boilerplate specs'!D140,"AAAAAH1badk=")</f>
        <v>#VALUE!</v>
      </c>
      <c r="HK26" t="e">
        <f>AND('boilerplate specs'!E140,"AAAAAH1bado=")</f>
        <v>#VALUE!</v>
      </c>
      <c r="HL26" t="e">
        <f>AND('boilerplate specs'!F140,"AAAAAH1bads=")</f>
        <v>#VALUE!</v>
      </c>
      <c r="HM26" t="e">
        <f>AND('boilerplate specs'!G140,"AAAAAH1badw=")</f>
        <v>#VALUE!</v>
      </c>
      <c r="HN26" t="e">
        <f>AND('boilerplate specs'!H140,"AAAAAH1bad0=")</f>
        <v>#VALUE!</v>
      </c>
      <c r="HO26" t="e">
        <f>AND('boilerplate specs'!I140,"AAAAAH1bad4=")</f>
        <v>#VALUE!</v>
      </c>
      <c r="HP26" t="e">
        <f>AND('boilerplate specs'!J140,"AAAAAH1bad8=")</f>
        <v>#VALUE!</v>
      </c>
      <c r="HQ26" t="e">
        <f>AND('boilerplate specs'!#REF!,"AAAAAH1baeA=")</f>
        <v>#REF!</v>
      </c>
      <c r="HR26" t="e">
        <f>AND('boilerplate specs'!#REF!,"AAAAAH1baeE=")</f>
        <v>#REF!</v>
      </c>
      <c r="HS26" t="e">
        <f>AND('boilerplate specs'!#REF!,"AAAAAH1baeI=")</f>
        <v>#REF!</v>
      </c>
      <c r="HT26" t="e">
        <f>AND('boilerplate specs'!#REF!,"AAAAAH1baeM=")</f>
        <v>#REF!</v>
      </c>
      <c r="HU26" t="e">
        <f>AND('boilerplate specs'!#REF!,"AAAAAH1baeQ=")</f>
        <v>#REF!</v>
      </c>
      <c r="HV26" t="e">
        <f>AND('boilerplate specs'!#REF!,"AAAAAH1baeU=")</f>
        <v>#REF!</v>
      </c>
      <c r="HW26" t="e">
        <f>AND('boilerplate specs'!#REF!,"AAAAAH1baeY=")</f>
        <v>#REF!</v>
      </c>
      <c r="HX26" t="e">
        <f>AND('boilerplate specs'!#REF!,"AAAAAH1baec=")</f>
        <v>#REF!</v>
      </c>
      <c r="HY26" t="e">
        <f>AND('boilerplate specs'!#REF!,"AAAAAH1baeg=")</f>
        <v>#REF!</v>
      </c>
      <c r="HZ26" t="e">
        <f>AND('boilerplate specs'!#REF!,"AAAAAH1baek=")</f>
        <v>#REF!</v>
      </c>
      <c r="IA26" t="e">
        <f>AND('boilerplate specs'!#REF!,"AAAAAH1baeo=")</f>
        <v>#REF!</v>
      </c>
      <c r="IB26" t="e">
        <f>AND('boilerplate specs'!#REF!,"AAAAAH1baes=")</f>
        <v>#REF!</v>
      </c>
      <c r="IC26" t="e">
        <f>AND('boilerplate specs'!#REF!,"AAAAAH1baew=")</f>
        <v>#REF!</v>
      </c>
      <c r="ID26" t="e">
        <f>AND('boilerplate specs'!#REF!,"AAAAAH1bae0=")</f>
        <v>#REF!</v>
      </c>
      <c r="IE26" t="e">
        <f>AND('boilerplate specs'!#REF!,"AAAAAH1bae4=")</f>
        <v>#REF!</v>
      </c>
      <c r="IF26" t="e">
        <f>AND('boilerplate specs'!#REF!,"AAAAAH1bae8=")</f>
        <v>#REF!</v>
      </c>
      <c r="IG26" t="e">
        <f>AND('boilerplate specs'!#REF!,"AAAAAH1bafA=")</f>
        <v>#REF!</v>
      </c>
      <c r="IH26" t="e">
        <f>AND('boilerplate specs'!#REF!,"AAAAAH1bafE=")</f>
        <v>#REF!</v>
      </c>
      <c r="II26" t="e">
        <f>AND('boilerplate specs'!#REF!,"AAAAAH1bafI=")</f>
        <v>#REF!</v>
      </c>
      <c r="IJ26" t="e">
        <f>AND('boilerplate specs'!#REF!,"AAAAAH1bafM=")</f>
        <v>#REF!</v>
      </c>
      <c r="IK26" t="e">
        <f>AND('boilerplate specs'!#REF!,"AAAAAH1bafQ=")</f>
        <v>#REF!</v>
      </c>
      <c r="IL26" t="e">
        <f>AND('boilerplate specs'!#REF!,"AAAAAH1bafU=")</f>
        <v>#REF!</v>
      </c>
      <c r="IM26">
        <f>IF('boilerplate specs'!141:141,"AAAAAH1bafY=",0)</f>
        <v>0</v>
      </c>
      <c r="IN26" t="e">
        <f>AND('boilerplate specs'!A141,"AAAAAH1bafc=")</f>
        <v>#VALUE!</v>
      </c>
      <c r="IO26" t="e">
        <f>AND('boilerplate specs'!B141,"AAAAAH1bafg=")</f>
        <v>#VALUE!</v>
      </c>
      <c r="IP26" t="e">
        <f>AND('boilerplate specs'!C141,"AAAAAH1bafk=")</f>
        <v>#VALUE!</v>
      </c>
      <c r="IQ26" t="e">
        <f>AND('boilerplate specs'!D141,"AAAAAH1bafo=")</f>
        <v>#VALUE!</v>
      </c>
      <c r="IR26" t="e">
        <f>AND('boilerplate specs'!E141,"AAAAAH1bafs=")</f>
        <v>#VALUE!</v>
      </c>
      <c r="IS26" t="e">
        <f>AND('boilerplate specs'!F141,"AAAAAH1bafw=")</f>
        <v>#VALUE!</v>
      </c>
      <c r="IT26" t="e">
        <f>AND('boilerplate specs'!G141,"AAAAAH1baf0=")</f>
        <v>#VALUE!</v>
      </c>
      <c r="IU26" t="e">
        <f>AND('boilerplate specs'!H141,"AAAAAH1baf4=")</f>
        <v>#VALUE!</v>
      </c>
      <c r="IV26" t="e">
        <f>AND('boilerplate specs'!I141,"AAAAAH1baf8=")</f>
        <v>#VALUE!</v>
      </c>
    </row>
    <row r="27" spans="1:256" x14ac:dyDescent="0.35">
      <c r="A27" t="e">
        <f>AND('boilerplate specs'!J141,"AAAAAFfS3wA=")</f>
        <v>#VALUE!</v>
      </c>
      <c r="B27" t="e">
        <f>AND('boilerplate specs'!#REF!,"AAAAAFfS3wE=")</f>
        <v>#REF!</v>
      </c>
      <c r="C27" t="e">
        <f>AND('boilerplate specs'!#REF!,"AAAAAFfS3wI=")</f>
        <v>#REF!</v>
      </c>
      <c r="D27" t="e">
        <f>AND('boilerplate specs'!#REF!,"AAAAAFfS3wM=")</f>
        <v>#REF!</v>
      </c>
      <c r="E27" t="e">
        <f>AND('boilerplate specs'!#REF!,"AAAAAFfS3wQ=")</f>
        <v>#REF!</v>
      </c>
      <c r="F27" t="e">
        <f>AND('boilerplate specs'!#REF!,"AAAAAFfS3wU=")</f>
        <v>#REF!</v>
      </c>
      <c r="G27" t="e">
        <f>AND('boilerplate specs'!#REF!,"AAAAAFfS3wY=")</f>
        <v>#REF!</v>
      </c>
      <c r="H27" t="e">
        <f>AND('boilerplate specs'!#REF!,"AAAAAFfS3wc=")</f>
        <v>#REF!</v>
      </c>
      <c r="I27" t="e">
        <f>AND('boilerplate specs'!#REF!,"AAAAAFfS3wg=")</f>
        <v>#REF!</v>
      </c>
      <c r="J27" t="e">
        <f>AND('boilerplate specs'!#REF!,"AAAAAFfS3wk=")</f>
        <v>#REF!</v>
      </c>
      <c r="K27" t="e">
        <f>AND('boilerplate specs'!#REF!,"AAAAAFfS3wo=")</f>
        <v>#REF!</v>
      </c>
      <c r="L27" t="e">
        <f>AND('boilerplate specs'!#REF!,"AAAAAFfS3ws=")</f>
        <v>#REF!</v>
      </c>
      <c r="M27" t="e">
        <f>AND('boilerplate specs'!#REF!,"AAAAAFfS3ww=")</f>
        <v>#REF!</v>
      </c>
      <c r="N27" t="e">
        <f>AND('boilerplate specs'!#REF!,"AAAAAFfS3w0=")</f>
        <v>#REF!</v>
      </c>
      <c r="O27" t="e">
        <f>AND('boilerplate specs'!#REF!,"AAAAAFfS3w4=")</f>
        <v>#REF!</v>
      </c>
      <c r="P27" t="e">
        <f>AND('boilerplate specs'!#REF!,"AAAAAFfS3w8=")</f>
        <v>#REF!</v>
      </c>
      <c r="Q27" t="e">
        <f>AND('boilerplate specs'!#REF!,"AAAAAFfS3xA=")</f>
        <v>#REF!</v>
      </c>
      <c r="R27" t="e">
        <f>AND('boilerplate specs'!#REF!,"AAAAAFfS3xE=")</f>
        <v>#REF!</v>
      </c>
      <c r="S27" t="e">
        <f>AND('boilerplate specs'!#REF!,"AAAAAFfS3xI=")</f>
        <v>#REF!</v>
      </c>
      <c r="T27" t="e">
        <f>AND('boilerplate specs'!#REF!,"AAAAAFfS3xM=")</f>
        <v>#REF!</v>
      </c>
      <c r="U27" t="e">
        <f>AND('boilerplate specs'!#REF!,"AAAAAFfS3xQ=")</f>
        <v>#REF!</v>
      </c>
      <c r="V27" t="e">
        <f>AND('boilerplate specs'!#REF!,"AAAAAFfS3xU=")</f>
        <v>#REF!</v>
      </c>
      <c r="W27" t="e">
        <f>AND('boilerplate specs'!#REF!,"AAAAAFfS3xY=")</f>
        <v>#REF!</v>
      </c>
      <c r="X27">
        <f>IF('boilerplate specs'!142:142,"AAAAAFfS3xc=",0)</f>
        <v>0</v>
      </c>
      <c r="Y27" t="e">
        <f>AND('boilerplate specs'!A142,"AAAAAFfS3xg=")</f>
        <v>#VALUE!</v>
      </c>
      <c r="Z27" t="e">
        <f>AND('boilerplate specs'!B142,"AAAAAFfS3xk=")</f>
        <v>#VALUE!</v>
      </c>
      <c r="AA27" t="e">
        <f>AND('boilerplate specs'!C142,"AAAAAFfS3xo=")</f>
        <v>#VALUE!</v>
      </c>
      <c r="AB27" t="e">
        <f>AND('boilerplate specs'!D142,"AAAAAFfS3xs=")</f>
        <v>#VALUE!</v>
      </c>
      <c r="AC27" t="e">
        <f>AND('boilerplate specs'!E142,"AAAAAFfS3xw=")</f>
        <v>#VALUE!</v>
      </c>
      <c r="AD27" t="e">
        <f>AND('boilerplate specs'!F142,"AAAAAFfS3x0=")</f>
        <v>#VALUE!</v>
      </c>
      <c r="AE27" t="e">
        <f>AND('boilerplate specs'!G142,"AAAAAFfS3x4=")</f>
        <v>#VALUE!</v>
      </c>
      <c r="AF27" t="e">
        <f>AND('boilerplate specs'!H142,"AAAAAFfS3x8=")</f>
        <v>#VALUE!</v>
      </c>
      <c r="AG27" t="e">
        <f>AND('boilerplate specs'!I142,"AAAAAFfS3yA=")</f>
        <v>#VALUE!</v>
      </c>
      <c r="AH27" t="e">
        <f>AND('boilerplate specs'!J142,"AAAAAFfS3yE=")</f>
        <v>#VALUE!</v>
      </c>
      <c r="AI27" t="e">
        <f>AND('boilerplate specs'!#REF!,"AAAAAFfS3yI=")</f>
        <v>#REF!</v>
      </c>
      <c r="AJ27" t="e">
        <f>AND('boilerplate specs'!#REF!,"AAAAAFfS3yM=")</f>
        <v>#REF!</v>
      </c>
      <c r="AK27" t="e">
        <f>AND('boilerplate specs'!#REF!,"AAAAAFfS3yQ=")</f>
        <v>#REF!</v>
      </c>
      <c r="AL27" t="e">
        <f>AND('boilerplate specs'!#REF!,"AAAAAFfS3yU=")</f>
        <v>#REF!</v>
      </c>
      <c r="AM27" t="e">
        <f>AND('boilerplate specs'!#REF!,"AAAAAFfS3yY=")</f>
        <v>#REF!</v>
      </c>
      <c r="AN27" t="e">
        <f>AND('boilerplate specs'!#REF!,"AAAAAFfS3yc=")</f>
        <v>#REF!</v>
      </c>
      <c r="AO27" t="e">
        <f>AND('boilerplate specs'!#REF!,"AAAAAFfS3yg=")</f>
        <v>#REF!</v>
      </c>
      <c r="AP27" t="e">
        <f>AND('boilerplate specs'!#REF!,"AAAAAFfS3yk=")</f>
        <v>#REF!</v>
      </c>
      <c r="AQ27" t="e">
        <f>AND('boilerplate specs'!#REF!,"AAAAAFfS3yo=")</f>
        <v>#REF!</v>
      </c>
      <c r="AR27" t="e">
        <f>AND('boilerplate specs'!#REF!,"AAAAAFfS3ys=")</f>
        <v>#REF!</v>
      </c>
      <c r="AS27" t="e">
        <f>AND('boilerplate specs'!#REF!,"AAAAAFfS3yw=")</f>
        <v>#REF!</v>
      </c>
      <c r="AT27" t="e">
        <f>AND('boilerplate specs'!#REF!,"AAAAAFfS3y0=")</f>
        <v>#REF!</v>
      </c>
      <c r="AU27" t="e">
        <f>AND('boilerplate specs'!#REF!,"AAAAAFfS3y4=")</f>
        <v>#REF!</v>
      </c>
      <c r="AV27" t="e">
        <f>AND('boilerplate specs'!#REF!,"AAAAAFfS3y8=")</f>
        <v>#REF!</v>
      </c>
      <c r="AW27" t="e">
        <f>AND('boilerplate specs'!#REF!,"AAAAAFfS3zA=")</f>
        <v>#REF!</v>
      </c>
      <c r="AX27" t="e">
        <f>AND('boilerplate specs'!#REF!,"AAAAAFfS3zE=")</f>
        <v>#REF!</v>
      </c>
      <c r="AY27" t="e">
        <f>AND('boilerplate specs'!#REF!,"AAAAAFfS3zI=")</f>
        <v>#REF!</v>
      </c>
      <c r="AZ27" t="e">
        <f>AND('boilerplate specs'!#REF!,"AAAAAFfS3zM=")</f>
        <v>#REF!</v>
      </c>
      <c r="BA27" t="e">
        <f>AND('boilerplate specs'!#REF!,"AAAAAFfS3zQ=")</f>
        <v>#REF!</v>
      </c>
      <c r="BB27" t="e">
        <f>AND('boilerplate specs'!#REF!,"AAAAAFfS3zU=")</f>
        <v>#REF!</v>
      </c>
      <c r="BC27" t="e">
        <f>AND('boilerplate specs'!#REF!,"AAAAAFfS3zY=")</f>
        <v>#REF!</v>
      </c>
      <c r="BD27" t="e">
        <f>AND('boilerplate specs'!#REF!,"AAAAAFfS3zc=")</f>
        <v>#REF!</v>
      </c>
      <c r="BE27">
        <f>IF('boilerplate specs'!143:143,"AAAAAFfS3zg=",0)</f>
        <v>0</v>
      </c>
      <c r="BF27" t="e">
        <f>AND('boilerplate specs'!A143,"AAAAAFfS3zk=")</f>
        <v>#VALUE!</v>
      </c>
      <c r="BG27" t="e">
        <f>AND('boilerplate specs'!B143,"AAAAAFfS3zo=")</f>
        <v>#VALUE!</v>
      </c>
      <c r="BH27" t="e">
        <f>AND('boilerplate specs'!C143,"AAAAAFfS3zs=")</f>
        <v>#VALUE!</v>
      </c>
      <c r="BI27" t="e">
        <f>AND('boilerplate specs'!D143,"AAAAAFfS3zw=")</f>
        <v>#VALUE!</v>
      </c>
      <c r="BJ27" t="e">
        <f>AND('boilerplate specs'!E143,"AAAAAFfS3z0=")</f>
        <v>#VALUE!</v>
      </c>
      <c r="BK27" t="e">
        <f>AND('boilerplate specs'!F143,"AAAAAFfS3z4=")</f>
        <v>#VALUE!</v>
      </c>
      <c r="BL27" t="e">
        <f>AND('boilerplate specs'!G143,"AAAAAFfS3z8=")</f>
        <v>#VALUE!</v>
      </c>
      <c r="BM27" t="e">
        <f>AND('boilerplate specs'!H143,"AAAAAFfS30A=")</f>
        <v>#VALUE!</v>
      </c>
      <c r="BN27" t="e">
        <f>AND('boilerplate specs'!I143,"AAAAAFfS30E=")</f>
        <v>#VALUE!</v>
      </c>
      <c r="BO27" t="e">
        <f>AND('boilerplate specs'!J143,"AAAAAFfS30I=")</f>
        <v>#VALUE!</v>
      </c>
      <c r="BP27" t="e">
        <f>AND('boilerplate specs'!#REF!,"AAAAAFfS30M=")</f>
        <v>#REF!</v>
      </c>
      <c r="BQ27" t="e">
        <f>AND('boilerplate specs'!#REF!,"AAAAAFfS30Q=")</f>
        <v>#REF!</v>
      </c>
      <c r="BR27" t="e">
        <f>AND('boilerplate specs'!#REF!,"AAAAAFfS30U=")</f>
        <v>#REF!</v>
      </c>
      <c r="BS27" t="e">
        <f>AND('boilerplate specs'!#REF!,"AAAAAFfS30Y=")</f>
        <v>#REF!</v>
      </c>
      <c r="BT27" t="e">
        <f>AND('boilerplate specs'!#REF!,"AAAAAFfS30c=")</f>
        <v>#REF!</v>
      </c>
      <c r="BU27" t="e">
        <f>AND('boilerplate specs'!#REF!,"AAAAAFfS30g=")</f>
        <v>#REF!</v>
      </c>
      <c r="BV27" t="e">
        <f>AND('boilerplate specs'!#REF!,"AAAAAFfS30k=")</f>
        <v>#REF!</v>
      </c>
      <c r="BW27" t="e">
        <f>AND('boilerplate specs'!#REF!,"AAAAAFfS30o=")</f>
        <v>#REF!</v>
      </c>
      <c r="BX27" t="e">
        <f>AND('boilerplate specs'!#REF!,"AAAAAFfS30s=")</f>
        <v>#REF!</v>
      </c>
      <c r="BY27" t="e">
        <f>AND('boilerplate specs'!#REF!,"AAAAAFfS30w=")</f>
        <v>#REF!</v>
      </c>
      <c r="BZ27" t="e">
        <f>AND('boilerplate specs'!#REF!,"AAAAAFfS300=")</f>
        <v>#REF!</v>
      </c>
      <c r="CA27" t="e">
        <f>AND('boilerplate specs'!#REF!,"AAAAAFfS304=")</f>
        <v>#REF!</v>
      </c>
      <c r="CB27" t="e">
        <f>AND('boilerplate specs'!#REF!,"AAAAAFfS308=")</f>
        <v>#REF!</v>
      </c>
      <c r="CC27" t="e">
        <f>AND('boilerplate specs'!#REF!,"AAAAAFfS31A=")</f>
        <v>#REF!</v>
      </c>
      <c r="CD27" t="e">
        <f>AND('boilerplate specs'!#REF!,"AAAAAFfS31E=")</f>
        <v>#REF!</v>
      </c>
      <c r="CE27" t="e">
        <f>AND('boilerplate specs'!#REF!,"AAAAAFfS31I=")</f>
        <v>#REF!</v>
      </c>
      <c r="CF27" t="e">
        <f>AND('boilerplate specs'!#REF!,"AAAAAFfS31M=")</f>
        <v>#REF!</v>
      </c>
      <c r="CG27" t="e">
        <f>AND('boilerplate specs'!#REF!,"AAAAAFfS31Q=")</f>
        <v>#REF!</v>
      </c>
      <c r="CH27" t="e">
        <f>AND('boilerplate specs'!#REF!,"AAAAAFfS31U=")</f>
        <v>#REF!</v>
      </c>
      <c r="CI27" t="e">
        <f>AND('boilerplate specs'!#REF!,"AAAAAFfS31Y=")</f>
        <v>#REF!</v>
      </c>
      <c r="CJ27" t="e">
        <f>AND('boilerplate specs'!#REF!,"AAAAAFfS31c=")</f>
        <v>#REF!</v>
      </c>
      <c r="CK27" t="e">
        <f>AND('boilerplate specs'!#REF!,"AAAAAFfS31g=")</f>
        <v>#REF!</v>
      </c>
      <c r="CL27">
        <f>IF('boilerplate specs'!144:144,"AAAAAFfS31k=",0)</f>
        <v>0</v>
      </c>
      <c r="CM27" t="e">
        <f>AND('boilerplate specs'!A144,"AAAAAFfS31o=")</f>
        <v>#VALUE!</v>
      </c>
      <c r="CN27" t="e">
        <f>AND('boilerplate specs'!B144,"AAAAAFfS31s=")</f>
        <v>#VALUE!</v>
      </c>
      <c r="CO27" t="e">
        <f>AND('boilerplate specs'!C144,"AAAAAFfS31w=")</f>
        <v>#VALUE!</v>
      </c>
      <c r="CP27" t="e">
        <f>AND('boilerplate specs'!D144,"AAAAAFfS310=")</f>
        <v>#VALUE!</v>
      </c>
      <c r="CQ27" t="e">
        <f>AND('boilerplate specs'!E144,"AAAAAFfS314=")</f>
        <v>#VALUE!</v>
      </c>
      <c r="CR27" t="e">
        <f>AND('boilerplate specs'!F144,"AAAAAFfS318=")</f>
        <v>#VALUE!</v>
      </c>
      <c r="CS27" t="e">
        <f>AND('boilerplate specs'!G144,"AAAAAFfS32A=")</f>
        <v>#VALUE!</v>
      </c>
      <c r="CT27" t="e">
        <f>AND('boilerplate specs'!H144,"AAAAAFfS32E=")</f>
        <v>#VALUE!</v>
      </c>
      <c r="CU27" t="e">
        <f>AND('boilerplate specs'!I144,"AAAAAFfS32I=")</f>
        <v>#VALUE!</v>
      </c>
      <c r="CV27" t="e">
        <f>AND('boilerplate specs'!J144,"AAAAAFfS32M=")</f>
        <v>#VALUE!</v>
      </c>
      <c r="CW27" t="e">
        <f>AND('boilerplate specs'!#REF!,"AAAAAFfS32Q=")</f>
        <v>#REF!</v>
      </c>
      <c r="CX27" t="e">
        <f>AND('boilerplate specs'!#REF!,"AAAAAFfS32U=")</f>
        <v>#REF!</v>
      </c>
      <c r="CY27" t="e">
        <f>AND('boilerplate specs'!#REF!,"AAAAAFfS32Y=")</f>
        <v>#REF!</v>
      </c>
      <c r="CZ27" t="e">
        <f>AND('boilerplate specs'!#REF!,"AAAAAFfS32c=")</f>
        <v>#REF!</v>
      </c>
      <c r="DA27" t="e">
        <f>AND('boilerplate specs'!#REF!,"AAAAAFfS32g=")</f>
        <v>#REF!</v>
      </c>
      <c r="DB27" t="e">
        <f>AND('boilerplate specs'!#REF!,"AAAAAFfS32k=")</f>
        <v>#REF!</v>
      </c>
      <c r="DC27" t="e">
        <f>AND('boilerplate specs'!#REF!,"AAAAAFfS32o=")</f>
        <v>#REF!</v>
      </c>
      <c r="DD27" t="e">
        <f>AND('boilerplate specs'!#REF!,"AAAAAFfS32s=")</f>
        <v>#REF!</v>
      </c>
      <c r="DE27" t="e">
        <f>AND('boilerplate specs'!#REF!,"AAAAAFfS32w=")</f>
        <v>#REF!</v>
      </c>
      <c r="DF27" t="e">
        <f>AND('boilerplate specs'!#REF!,"AAAAAFfS320=")</f>
        <v>#REF!</v>
      </c>
      <c r="DG27" t="e">
        <f>AND('boilerplate specs'!#REF!,"AAAAAFfS324=")</f>
        <v>#REF!</v>
      </c>
      <c r="DH27" t="e">
        <f>AND('boilerplate specs'!#REF!,"AAAAAFfS328=")</f>
        <v>#REF!</v>
      </c>
      <c r="DI27" t="e">
        <f>AND('boilerplate specs'!#REF!,"AAAAAFfS33A=")</f>
        <v>#REF!</v>
      </c>
      <c r="DJ27" t="e">
        <f>AND('boilerplate specs'!#REF!,"AAAAAFfS33E=")</f>
        <v>#REF!</v>
      </c>
      <c r="DK27" t="e">
        <f>AND('boilerplate specs'!#REF!,"AAAAAFfS33I=")</f>
        <v>#REF!</v>
      </c>
      <c r="DL27" t="e">
        <f>AND('boilerplate specs'!#REF!,"AAAAAFfS33M=")</f>
        <v>#REF!</v>
      </c>
      <c r="DM27" t="e">
        <f>AND('boilerplate specs'!#REF!,"AAAAAFfS33Q=")</f>
        <v>#REF!</v>
      </c>
      <c r="DN27" t="e">
        <f>AND('boilerplate specs'!#REF!,"AAAAAFfS33U=")</f>
        <v>#REF!</v>
      </c>
      <c r="DO27" t="e">
        <f>AND('boilerplate specs'!#REF!,"AAAAAFfS33Y=")</f>
        <v>#REF!</v>
      </c>
      <c r="DP27" t="e">
        <f>AND('boilerplate specs'!#REF!,"AAAAAFfS33c=")</f>
        <v>#REF!</v>
      </c>
      <c r="DQ27" t="e">
        <f>AND('boilerplate specs'!#REF!,"AAAAAFfS33g=")</f>
        <v>#REF!</v>
      </c>
      <c r="DR27" t="e">
        <f>AND('boilerplate specs'!#REF!,"AAAAAFfS33k=")</f>
        <v>#REF!</v>
      </c>
      <c r="DS27">
        <f>IF('boilerplate specs'!145:145,"AAAAAFfS33o=",0)</f>
        <v>0</v>
      </c>
      <c r="DT27" t="e">
        <f>AND('boilerplate specs'!A145,"AAAAAFfS33s=")</f>
        <v>#VALUE!</v>
      </c>
      <c r="DU27" t="e">
        <f>AND('boilerplate specs'!B145,"AAAAAFfS33w=")</f>
        <v>#VALUE!</v>
      </c>
      <c r="DV27" t="e">
        <f>AND('boilerplate specs'!C145,"AAAAAFfS330=")</f>
        <v>#VALUE!</v>
      </c>
      <c r="DW27" t="e">
        <f>AND('boilerplate specs'!D145,"AAAAAFfS334=")</f>
        <v>#VALUE!</v>
      </c>
      <c r="DX27" t="e">
        <f>AND('boilerplate specs'!E145,"AAAAAFfS338=")</f>
        <v>#VALUE!</v>
      </c>
      <c r="DY27" t="e">
        <f>AND('boilerplate specs'!F145,"AAAAAFfS34A=")</f>
        <v>#VALUE!</v>
      </c>
      <c r="DZ27" t="e">
        <f>AND('boilerplate specs'!G145,"AAAAAFfS34E=")</f>
        <v>#VALUE!</v>
      </c>
      <c r="EA27" t="e">
        <f>AND('boilerplate specs'!H145,"AAAAAFfS34I=")</f>
        <v>#VALUE!</v>
      </c>
      <c r="EB27" t="e">
        <f>AND('boilerplate specs'!I145,"AAAAAFfS34M=")</f>
        <v>#VALUE!</v>
      </c>
      <c r="EC27" t="e">
        <f>AND('boilerplate specs'!J145,"AAAAAFfS34Q=")</f>
        <v>#VALUE!</v>
      </c>
      <c r="ED27" t="e">
        <f>AND('boilerplate specs'!#REF!,"AAAAAFfS34U=")</f>
        <v>#REF!</v>
      </c>
      <c r="EE27" t="e">
        <f>AND('boilerplate specs'!#REF!,"AAAAAFfS34Y=")</f>
        <v>#REF!</v>
      </c>
      <c r="EF27" t="e">
        <f>AND('boilerplate specs'!#REF!,"AAAAAFfS34c=")</f>
        <v>#REF!</v>
      </c>
      <c r="EG27" t="e">
        <f>AND('boilerplate specs'!#REF!,"AAAAAFfS34g=")</f>
        <v>#REF!</v>
      </c>
      <c r="EH27" t="e">
        <f>AND('boilerplate specs'!#REF!,"AAAAAFfS34k=")</f>
        <v>#REF!</v>
      </c>
      <c r="EI27" t="e">
        <f>AND('boilerplate specs'!#REF!,"AAAAAFfS34o=")</f>
        <v>#REF!</v>
      </c>
      <c r="EJ27" t="e">
        <f>AND('boilerplate specs'!#REF!,"AAAAAFfS34s=")</f>
        <v>#REF!</v>
      </c>
      <c r="EK27" t="e">
        <f>AND('boilerplate specs'!#REF!,"AAAAAFfS34w=")</f>
        <v>#REF!</v>
      </c>
      <c r="EL27" t="e">
        <f>AND('boilerplate specs'!#REF!,"AAAAAFfS340=")</f>
        <v>#REF!</v>
      </c>
      <c r="EM27" t="e">
        <f>AND('boilerplate specs'!#REF!,"AAAAAFfS344=")</f>
        <v>#REF!</v>
      </c>
      <c r="EN27" t="e">
        <f>AND('boilerplate specs'!#REF!,"AAAAAFfS348=")</f>
        <v>#REF!</v>
      </c>
      <c r="EO27" t="e">
        <f>AND('boilerplate specs'!#REF!,"AAAAAFfS35A=")</f>
        <v>#REF!</v>
      </c>
      <c r="EP27" t="e">
        <f>AND('boilerplate specs'!#REF!,"AAAAAFfS35E=")</f>
        <v>#REF!</v>
      </c>
      <c r="EQ27" t="e">
        <f>AND('boilerplate specs'!#REF!,"AAAAAFfS35I=")</f>
        <v>#REF!</v>
      </c>
      <c r="ER27" t="e">
        <f>AND('boilerplate specs'!#REF!,"AAAAAFfS35M=")</f>
        <v>#REF!</v>
      </c>
      <c r="ES27" t="e">
        <f>AND('boilerplate specs'!#REF!,"AAAAAFfS35Q=")</f>
        <v>#REF!</v>
      </c>
      <c r="ET27" t="e">
        <f>AND('boilerplate specs'!#REF!,"AAAAAFfS35U=")</f>
        <v>#REF!</v>
      </c>
      <c r="EU27" t="e">
        <f>AND('boilerplate specs'!#REF!,"AAAAAFfS35Y=")</f>
        <v>#REF!</v>
      </c>
      <c r="EV27" t="e">
        <f>AND('boilerplate specs'!#REF!,"AAAAAFfS35c=")</f>
        <v>#REF!</v>
      </c>
      <c r="EW27" t="e">
        <f>AND('boilerplate specs'!#REF!,"AAAAAFfS35g=")</f>
        <v>#REF!</v>
      </c>
      <c r="EX27" t="e">
        <f>AND('boilerplate specs'!#REF!,"AAAAAFfS35k=")</f>
        <v>#REF!</v>
      </c>
      <c r="EY27" t="e">
        <f>AND('boilerplate specs'!#REF!,"AAAAAFfS35o=")</f>
        <v>#REF!</v>
      </c>
      <c r="EZ27">
        <f>IF('boilerplate specs'!146:146,"AAAAAFfS35s=",0)</f>
        <v>0</v>
      </c>
      <c r="FA27" t="e">
        <f>AND('boilerplate specs'!A146,"AAAAAFfS35w=")</f>
        <v>#VALUE!</v>
      </c>
      <c r="FB27" t="e">
        <f>AND('boilerplate specs'!B146,"AAAAAFfS350=")</f>
        <v>#VALUE!</v>
      </c>
      <c r="FC27" t="e">
        <f>AND('boilerplate specs'!C146,"AAAAAFfS354=")</f>
        <v>#VALUE!</v>
      </c>
      <c r="FD27" t="e">
        <f>AND('boilerplate specs'!D146,"AAAAAFfS358=")</f>
        <v>#VALUE!</v>
      </c>
      <c r="FE27" t="e">
        <f>AND('boilerplate specs'!E146,"AAAAAFfS36A=")</f>
        <v>#VALUE!</v>
      </c>
      <c r="FF27" t="e">
        <f>AND('boilerplate specs'!F146,"AAAAAFfS36E=")</f>
        <v>#VALUE!</v>
      </c>
      <c r="FG27" t="e">
        <f>AND('boilerplate specs'!G146,"AAAAAFfS36I=")</f>
        <v>#VALUE!</v>
      </c>
      <c r="FH27" t="e">
        <f>AND('boilerplate specs'!H146,"AAAAAFfS36M=")</f>
        <v>#VALUE!</v>
      </c>
      <c r="FI27" t="e">
        <f>AND('boilerplate specs'!I146,"AAAAAFfS36Q=")</f>
        <v>#VALUE!</v>
      </c>
      <c r="FJ27" t="e">
        <f>AND('boilerplate specs'!J146,"AAAAAFfS36U=")</f>
        <v>#VALUE!</v>
      </c>
      <c r="FK27" t="e">
        <f>AND('boilerplate specs'!#REF!,"AAAAAFfS36Y=")</f>
        <v>#REF!</v>
      </c>
      <c r="FL27" t="e">
        <f>AND('boilerplate specs'!#REF!,"AAAAAFfS36c=")</f>
        <v>#REF!</v>
      </c>
      <c r="FM27" t="e">
        <f>AND('boilerplate specs'!#REF!,"AAAAAFfS36g=")</f>
        <v>#REF!</v>
      </c>
      <c r="FN27" t="e">
        <f>AND('boilerplate specs'!#REF!,"AAAAAFfS36k=")</f>
        <v>#REF!</v>
      </c>
      <c r="FO27" t="e">
        <f>AND('boilerplate specs'!#REF!,"AAAAAFfS36o=")</f>
        <v>#REF!</v>
      </c>
      <c r="FP27" t="e">
        <f>AND('boilerplate specs'!#REF!,"AAAAAFfS36s=")</f>
        <v>#REF!</v>
      </c>
      <c r="FQ27" t="e">
        <f>AND('boilerplate specs'!#REF!,"AAAAAFfS36w=")</f>
        <v>#REF!</v>
      </c>
      <c r="FR27" t="e">
        <f>AND('boilerplate specs'!#REF!,"AAAAAFfS360=")</f>
        <v>#REF!</v>
      </c>
      <c r="FS27" t="e">
        <f>AND('boilerplate specs'!#REF!,"AAAAAFfS364=")</f>
        <v>#REF!</v>
      </c>
      <c r="FT27" t="e">
        <f>AND('boilerplate specs'!#REF!,"AAAAAFfS368=")</f>
        <v>#REF!</v>
      </c>
      <c r="FU27" t="e">
        <f>AND('boilerplate specs'!#REF!,"AAAAAFfS37A=")</f>
        <v>#REF!</v>
      </c>
      <c r="FV27" t="e">
        <f>AND('boilerplate specs'!#REF!,"AAAAAFfS37E=")</f>
        <v>#REF!</v>
      </c>
      <c r="FW27" t="e">
        <f>AND('boilerplate specs'!#REF!,"AAAAAFfS37I=")</f>
        <v>#REF!</v>
      </c>
      <c r="FX27" t="e">
        <f>AND('boilerplate specs'!#REF!,"AAAAAFfS37M=")</f>
        <v>#REF!</v>
      </c>
      <c r="FY27" t="e">
        <f>AND('boilerplate specs'!#REF!,"AAAAAFfS37Q=")</f>
        <v>#REF!</v>
      </c>
      <c r="FZ27" t="e">
        <f>AND('boilerplate specs'!#REF!,"AAAAAFfS37U=")</f>
        <v>#REF!</v>
      </c>
      <c r="GA27" t="e">
        <f>AND('boilerplate specs'!#REF!,"AAAAAFfS37Y=")</f>
        <v>#REF!</v>
      </c>
      <c r="GB27" t="e">
        <f>AND('boilerplate specs'!#REF!,"AAAAAFfS37c=")</f>
        <v>#REF!</v>
      </c>
      <c r="GC27" t="e">
        <f>AND('boilerplate specs'!#REF!,"AAAAAFfS37g=")</f>
        <v>#REF!</v>
      </c>
      <c r="GD27" t="e">
        <f>AND('boilerplate specs'!#REF!,"AAAAAFfS37k=")</f>
        <v>#REF!</v>
      </c>
      <c r="GE27" t="e">
        <f>AND('boilerplate specs'!#REF!,"AAAAAFfS37o=")</f>
        <v>#REF!</v>
      </c>
      <c r="GF27" t="e">
        <f>AND('boilerplate specs'!#REF!,"AAAAAFfS37s=")</f>
        <v>#REF!</v>
      </c>
      <c r="GG27">
        <f>IF('boilerplate specs'!147:147,"AAAAAFfS37w=",0)</f>
        <v>0</v>
      </c>
      <c r="GH27" t="e">
        <f>AND('boilerplate specs'!A147,"AAAAAFfS370=")</f>
        <v>#VALUE!</v>
      </c>
      <c r="GI27" t="e">
        <f>AND('boilerplate specs'!B147,"AAAAAFfS374=")</f>
        <v>#VALUE!</v>
      </c>
      <c r="GJ27" t="e">
        <f>AND('boilerplate specs'!C147,"AAAAAFfS378=")</f>
        <v>#VALUE!</v>
      </c>
      <c r="GK27" t="e">
        <f>AND('boilerplate specs'!D147,"AAAAAFfS38A=")</f>
        <v>#VALUE!</v>
      </c>
      <c r="GL27" t="e">
        <f>AND('boilerplate specs'!E147,"AAAAAFfS38E=")</f>
        <v>#VALUE!</v>
      </c>
      <c r="GM27" t="e">
        <f>AND('boilerplate specs'!F147,"AAAAAFfS38I=")</f>
        <v>#VALUE!</v>
      </c>
      <c r="GN27" t="e">
        <f>AND('boilerplate specs'!G147,"AAAAAFfS38M=")</f>
        <v>#VALUE!</v>
      </c>
      <c r="GO27" t="e">
        <f>AND('boilerplate specs'!H147,"AAAAAFfS38Q=")</f>
        <v>#VALUE!</v>
      </c>
      <c r="GP27" t="e">
        <f>AND('boilerplate specs'!I147,"AAAAAFfS38U=")</f>
        <v>#VALUE!</v>
      </c>
      <c r="GQ27" t="e">
        <f>AND('boilerplate specs'!J147,"AAAAAFfS38Y=")</f>
        <v>#VALUE!</v>
      </c>
      <c r="GR27" t="e">
        <f>AND('boilerplate specs'!#REF!,"AAAAAFfS38c=")</f>
        <v>#REF!</v>
      </c>
      <c r="GS27" t="e">
        <f>AND('boilerplate specs'!#REF!,"AAAAAFfS38g=")</f>
        <v>#REF!</v>
      </c>
      <c r="GT27" t="e">
        <f>AND('boilerplate specs'!#REF!,"AAAAAFfS38k=")</f>
        <v>#REF!</v>
      </c>
      <c r="GU27" t="e">
        <f>AND('boilerplate specs'!#REF!,"AAAAAFfS38o=")</f>
        <v>#REF!</v>
      </c>
      <c r="GV27" t="e">
        <f>AND('boilerplate specs'!#REF!,"AAAAAFfS38s=")</f>
        <v>#REF!</v>
      </c>
      <c r="GW27" t="e">
        <f>AND('boilerplate specs'!#REF!,"AAAAAFfS38w=")</f>
        <v>#REF!</v>
      </c>
      <c r="GX27" t="e">
        <f>AND('boilerplate specs'!#REF!,"AAAAAFfS380=")</f>
        <v>#REF!</v>
      </c>
      <c r="GY27" t="e">
        <f>AND('boilerplate specs'!#REF!,"AAAAAFfS384=")</f>
        <v>#REF!</v>
      </c>
      <c r="GZ27" t="e">
        <f>AND('boilerplate specs'!#REF!,"AAAAAFfS388=")</f>
        <v>#REF!</v>
      </c>
      <c r="HA27" t="e">
        <f>AND('boilerplate specs'!#REF!,"AAAAAFfS39A=")</f>
        <v>#REF!</v>
      </c>
      <c r="HB27" t="e">
        <f>AND('boilerplate specs'!#REF!,"AAAAAFfS39E=")</f>
        <v>#REF!</v>
      </c>
      <c r="HC27" t="e">
        <f>AND('boilerplate specs'!#REF!,"AAAAAFfS39I=")</f>
        <v>#REF!</v>
      </c>
      <c r="HD27" t="e">
        <f>AND('boilerplate specs'!#REF!,"AAAAAFfS39M=")</f>
        <v>#REF!</v>
      </c>
      <c r="HE27" t="e">
        <f>AND('boilerplate specs'!#REF!,"AAAAAFfS39Q=")</f>
        <v>#REF!</v>
      </c>
      <c r="HF27" t="e">
        <f>AND('boilerplate specs'!#REF!,"AAAAAFfS39U=")</f>
        <v>#REF!</v>
      </c>
      <c r="HG27" t="e">
        <f>AND('boilerplate specs'!#REF!,"AAAAAFfS39Y=")</f>
        <v>#REF!</v>
      </c>
      <c r="HH27" t="e">
        <f>AND('boilerplate specs'!#REF!,"AAAAAFfS39c=")</f>
        <v>#REF!</v>
      </c>
      <c r="HI27" t="e">
        <f>AND('boilerplate specs'!#REF!,"AAAAAFfS39g=")</f>
        <v>#REF!</v>
      </c>
      <c r="HJ27" t="e">
        <f>AND('boilerplate specs'!#REF!,"AAAAAFfS39k=")</f>
        <v>#REF!</v>
      </c>
      <c r="HK27" t="e">
        <f>AND('boilerplate specs'!#REF!,"AAAAAFfS39o=")</f>
        <v>#REF!</v>
      </c>
      <c r="HL27" t="e">
        <f>AND('boilerplate specs'!#REF!,"AAAAAFfS39s=")</f>
        <v>#REF!</v>
      </c>
      <c r="HM27" t="e">
        <f>AND('boilerplate specs'!#REF!,"AAAAAFfS39w=")</f>
        <v>#REF!</v>
      </c>
      <c r="HN27">
        <f>IF('boilerplate specs'!148:148,"AAAAAFfS390=",0)</f>
        <v>0</v>
      </c>
      <c r="HO27" t="e">
        <f>AND('boilerplate specs'!A148,"AAAAAFfS394=")</f>
        <v>#VALUE!</v>
      </c>
      <c r="HP27" t="e">
        <f>AND('boilerplate specs'!B148,"AAAAAFfS398=")</f>
        <v>#VALUE!</v>
      </c>
      <c r="HQ27" t="e">
        <f>AND('boilerplate specs'!C148,"AAAAAFfS3+A=")</f>
        <v>#VALUE!</v>
      </c>
      <c r="HR27" t="e">
        <f>AND('boilerplate specs'!D148,"AAAAAFfS3+E=")</f>
        <v>#VALUE!</v>
      </c>
      <c r="HS27" t="e">
        <f>AND('boilerplate specs'!E148,"AAAAAFfS3+I=")</f>
        <v>#VALUE!</v>
      </c>
      <c r="HT27" t="e">
        <f>AND('boilerplate specs'!F148,"AAAAAFfS3+M=")</f>
        <v>#VALUE!</v>
      </c>
      <c r="HU27" t="e">
        <f>AND('boilerplate specs'!G148,"AAAAAFfS3+Q=")</f>
        <v>#VALUE!</v>
      </c>
      <c r="HV27" t="e">
        <f>AND('boilerplate specs'!H148,"AAAAAFfS3+U=")</f>
        <v>#VALUE!</v>
      </c>
      <c r="HW27" t="e">
        <f>AND('boilerplate specs'!I148,"AAAAAFfS3+Y=")</f>
        <v>#VALUE!</v>
      </c>
      <c r="HX27" t="e">
        <f>AND('boilerplate specs'!J148,"AAAAAFfS3+c=")</f>
        <v>#VALUE!</v>
      </c>
      <c r="HY27" t="e">
        <f>AND('boilerplate specs'!#REF!,"AAAAAFfS3+g=")</f>
        <v>#REF!</v>
      </c>
      <c r="HZ27" t="e">
        <f>AND('boilerplate specs'!#REF!,"AAAAAFfS3+k=")</f>
        <v>#REF!</v>
      </c>
      <c r="IA27" t="e">
        <f>AND('boilerplate specs'!#REF!,"AAAAAFfS3+o=")</f>
        <v>#REF!</v>
      </c>
      <c r="IB27" t="e">
        <f>AND('boilerplate specs'!#REF!,"AAAAAFfS3+s=")</f>
        <v>#REF!</v>
      </c>
      <c r="IC27" t="e">
        <f>AND('boilerplate specs'!#REF!,"AAAAAFfS3+w=")</f>
        <v>#REF!</v>
      </c>
      <c r="ID27" t="e">
        <f>AND('boilerplate specs'!#REF!,"AAAAAFfS3+0=")</f>
        <v>#REF!</v>
      </c>
      <c r="IE27" t="e">
        <f>AND('boilerplate specs'!#REF!,"AAAAAFfS3+4=")</f>
        <v>#REF!</v>
      </c>
      <c r="IF27" t="e">
        <f>AND('boilerplate specs'!#REF!,"AAAAAFfS3+8=")</f>
        <v>#REF!</v>
      </c>
      <c r="IG27" t="e">
        <f>AND('boilerplate specs'!#REF!,"AAAAAFfS3/A=")</f>
        <v>#REF!</v>
      </c>
      <c r="IH27" t="e">
        <f>AND('boilerplate specs'!#REF!,"AAAAAFfS3/E=")</f>
        <v>#REF!</v>
      </c>
      <c r="II27" t="e">
        <f>AND('boilerplate specs'!#REF!,"AAAAAFfS3/I=")</f>
        <v>#REF!</v>
      </c>
      <c r="IJ27" t="e">
        <f>AND('boilerplate specs'!#REF!,"AAAAAFfS3/M=")</f>
        <v>#REF!</v>
      </c>
      <c r="IK27" t="e">
        <f>AND('boilerplate specs'!#REF!,"AAAAAFfS3/Q=")</f>
        <v>#REF!</v>
      </c>
      <c r="IL27" t="e">
        <f>AND('boilerplate specs'!#REF!,"AAAAAFfS3/U=")</f>
        <v>#REF!</v>
      </c>
      <c r="IM27" t="e">
        <f>AND('boilerplate specs'!#REF!,"AAAAAFfS3/Y=")</f>
        <v>#REF!</v>
      </c>
      <c r="IN27" t="e">
        <f>AND('boilerplate specs'!#REF!,"AAAAAFfS3/c=")</f>
        <v>#REF!</v>
      </c>
      <c r="IO27" t="e">
        <f>AND('boilerplate specs'!#REF!,"AAAAAFfS3/g=")</f>
        <v>#REF!</v>
      </c>
      <c r="IP27" t="e">
        <f>AND('boilerplate specs'!#REF!,"AAAAAFfS3/k=")</f>
        <v>#REF!</v>
      </c>
      <c r="IQ27" t="e">
        <f>AND('boilerplate specs'!#REF!,"AAAAAFfS3/o=")</f>
        <v>#REF!</v>
      </c>
      <c r="IR27" t="e">
        <f>AND('boilerplate specs'!#REF!,"AAAAAFfS3/s=")</f>
        <v>#REF!</v>
      </c>
      <c r="IS27" t="e">
        <f>AND('boilerplate specs'!#REF!,"AAAAAFfS3/w=")</f>
        <v>#REF!</v>
      </c>
      <c r="IT27" t="e">
        <f>AND('boilerplate specs'!#REF!,"AAAAAFfS3/0=")</f>
        <v>#REF!</v>
      </c>
      <c r="IU27">
        <f>IF('boilerplate specs'!149:149,"AAAAAFfS3/4=",0)</f>
        <v>0</v>
      </c>
      <c r="IV27" t="e">
        <f>AND('boilerplate specs'!A149,"AAAAAFfS3/8=")</f>
        <v>#VALUE!</v>
      </c>
    </row>
    <row r="28" spans="1:256" x14ac:dyDescent="0.35">
      <c r="A28" t="e">
        <f>AND('boilerplate specs'!B149,"AAAAAGX/aQA=")</f>
        <v>#VALUE!</v>
      </c>
      <c r="B28" t="e">
        <f>AND('boilerplate specs'!C149,"AAAAAGX/aQE=")</f>
        <v>#VALUE!</v>
      </c>
      <c r="C28" t="e">
        <f>AND('boilerplate specs'!D149,"AAAAAGX/aQI=")</f>
        <v>#VALUE!</v>
      </c>
      <c r="D28" t="e">
        <f>AND('boilerplate specs'!E149,"AAAAAGX/aQM=")</f>
        <v>#VALUE!</v>
      </c>
      <c r="E28" t="e">
        <f>AND('boilerplate specs'!F149,"AAAAAGX/aQQ=")</f>
        <v>#VALUE!</v>
      </c>
      <c r="F28" t="e">
        <f>AND('boilerplate specs'!G149,"AAAAAGX/aQU=")</f>
        <v>#VALUE!</v>
      </c>
      <c r="G28" t="e">
        <f>AND('boilerplate specs'!H149,"AAAAAGX/aQY=")</f>
        <v>#VALUE!</v>
      </c>
      <c r="H28" t="e">
        <f>AND('boilerplate specs'!I149,"AAAAAGX/aQc=")</f>
        <v>#VALUE!</v>
      </c>
      <c r="I28" t="e">
        <f>AND('boilerplate specs'!J149,"AAAAAGX/aQg=")</f>
        <v>#VALUE!</v>
      </c>
      <c r="J28" t="e">
        <f>AND('boilerplate specs'!#REF!,"AAAAAGX/aQk=")</f>
        <v>#REF!</v>
      </c>
      <c r="K28" t="e">
        <f>AND('boilerplate specs'!#REF!,"AAAAAGX/aQo=")</f>
        <v>#REF!</v>
      </c>
      <c r="L28" t="e">
        <f>AND('boilerplate specs'!#REF!,"AAAAAGX/aQs=")</f>
        <v>#REF!</v>
      </c>
      <c r="M28" t="e">
        <f>AND('boilerplate specs'!#REF!,"AAAAAGX/aQw=")</f>
        <v>#REF!</v>
      </c>
      <c r="N28" t="e">
        <f>AND('boilerplate specs'!#REF!,"AAAAAGX/aQ0=")</f>
        <v>#REF!</v>
      </c>
      <c r="O28" t="e">
        <f>AND('boilerplate specs'!#REF!,"AAAAAGX/aQ4=")</f>
        <v>#REF!</v>
      </c>
      <c r="P28" t="e">
        <f>AND('boilerplate specs'!#REF!,"AAAAAGX/aQ8=")</f>
        <v>#REF!</v>
      </c>
      <c r="Q28" t="e">
        <f>AND('boilerplate specs'!#REF!,"AAAAAGX/aRA=")</f>
        <v>#REF!</v>
      </c>
      <c r="R28" t="e">
        <f>AND('boilerplate specs'!#REF!,"AAAAAGX/aRE=")</f>
        <v>#REF!</v>
      </c>
      <c r="S28" t="e">
        <f>AND('boilerplate specs'!#REF!,"AAAAAGX/aRI=")</f>
        <v>#REF!</v>
      </c>
      <c r="T28" t="e">
        <f>AND('boilerplate specs'!#REF!,"AAAAAGX/aRM=")</f>
        <v>#REF!</v>
      </c>
      <c r="U28" t="e">
        <f>AND('boilerplate specs'!#REF!,"AAAAAGX/aRQ=")</f>
        <v>#REF!</v>
      </c>
      <c r="V28" t="e">
        <f>AND('boilerplate specs'!#REF!,"AAAAAGX/aRU=")</f>
        <v>#REF!</v>
      </c>
      <c r="W28" t="e">
        <f>AND('boilerplate specs'!#REF!,"AAAAAGX/aRY=")</f>
        <v>#REF!</v>
      </c>
      <c r="X28" t="e">
        <f>AND('boilerplate specs'!#REF!,"AAAAAGX/aRc=")</f>
        <v>#REF!</v>
      </c>
      <c r="Y28" t="e">
        <f>AND('boilerplate specs'!#REF!,"AAAAAGX/aRg=")</f>
        <v>#REF!</v>
      </c>
      <c r="Z28" t="e">
        <f>AND('boilerplate specs'!#REF!,"AAAAAGX/aRk=")</f>
        <v>#REF!</v>
      </c>
      <c r="AA28" t="e">
        <f>AND('boilerplate specs'!#REF!,"AAAAAGX/aRo=")</f>
        <v>#REF!</v>
      </c>
      <c r="AB28" t="e">
        <f>AND('boilerplate specs'!#REF!,"AAAAAGX/aRs=")</f>
        <v>#REF!</v>
      </c>
      <c r="AC28" t="e">
        <f>AND('boilerplate specs'!#REF!,"AAAAAGX/aRw=")</f>
        <v>#REF!</v>
      </c>
      <c r="AD28" t="e">
        <f>AND('boilerplate specs'!#REF!,"AAAAAGX/aR0=")</f>
        <v>#REF!</v>
      </c>
      <c r="AE28" t="e">
        <f>AND('boilerplate specs'!#REF!,"AAAAAGX/aR4=")</f>
        <v>#REF!</v>
      </c>
      <c r="AF28">
        <f>IF('boilerplate specs'!150:150,"AAAAAGX/aR8=",0)</f>
        <v>0</v>
      </c>
      <c r="AG28" t="e">
        <f>AND('boilerplate specs'!A150,"AAAAAGX/aSA=")</f>
        <v>#VALUE!</v>
      </c>
      <c r="AH28" t="e">
        <f>AND('boilerplate specs'!B150,"AAAAAGX/aSE=")</f>
        <v>#VALUE!</v>
      </c>
      <c r="AI28" t="e">
        <f>AND('boilerplate specs'!C150,"AAAAAGX/aSI=")</f>
        <v>#VALUE!</v>
      </c>
      <c r="AJ28" t="e">
        <f>AND('boilerplate specs'!D150,"AAAAAGX/aSM=")</f>
        <v>#VALUE!</v>
      </c>
      <c r="AK28" t="e">
        <f>AND('boilerplate specs'!E150,"AAAAAGX/aSQ=")</f>
        <v>#VALUE!</v>
      </c>
      <c r="AL28" t="e">
        <f>AND('boilerplate specs'!F150,"AAAAAGX/aSU=")</f>
        <v>#VALUE!</v>
      </c>
      <c r="AM28" t="e">
        <f>AND('boilerplate specs'!G150,"AAAAAGX/aSY=")</f>
        <v>#VALUE!</v>
      </c>
      <c r="AN28" t="e">
        <f>AND('boilerplate specs'!H150,"AAAAAGX/aSc=")</f>
        <v>#VALUE!</v>
      </c>
      <c r="AO28" t="e">
        <f>AND('boilerplate specs'!I150,"AAAAAGX/aSg=")</f>
        <v>#VALUE!</v>
      </c>
      <c r="AP28" t="e">
        <f>AND('boilerplate specs'!J150,"AAAAAGX/aSk=")</f>
        <v>#VALUE!</v>
      </c>
      <c r="AQ28" t="e">
        <f>AND('boilerplate specs'!#REF!,"AAAAAGX/aSo=")</f>
        <v>#REF!</v>
      </c>
      <c r="AR28" t="e">
        <f>AND('boilerplate specs'!#REF!,"AAAAAGX/aSs=")</f>
        <v>#REF!</v>
      </c>
      <c r="AS28" t="e">
        <f>AND('boilerplate specs'!#REF!,"AAAAAGX/aSw=")</f>
        <v>#REF!</v>
      </c>
      <c r="AT28" t="e">
        <f>AND('boilerplate specs'!#REF!,"AAAAAGX/aS0=")</f>
        <v>#REF!</v>
      </c>
      <c r="AU28" t="e">
        <f>AND('boilerplate specs'!#REF!,"AAAAAGX/aS4=")</f>
        <v>#REF!</v>
      </c>
      <c r="AV28" t="e">
        <f>AND('boilerplate specs'!#REF!,"AAAAAGX/aS8=")</f>
        <v>#REF!</v>
      </c>
      <c r="AW28" t="e">
        <f>AND('boilerplate specs'!#REF!,"AAAAAGX/aTA=")</f>
        <v>#REF!</v>
      </c>
      <c r="AX28" t="e">
        <f>AND('boilerplate specs'!#REF!,"AAAAAGX/aTE=")</f>
        <v>#REF!</v>
      </c>
      <c r="AY28" t="e">
        <f>AND('boilerplate specs'!#REF!,"AAAAAGX/aTI=")</f>
        <v>#REF!</v>
      </c>
      <c r="AZ28" t="e">
        <f>AND('boilerplate specs'!#REF!,"AAAAAGX/aTM=")</f>
        <v>#REF!</v>
      </c>
      <c r="BA28" t="e">
        <f>AND('boilerplate specs'!#REF!,"AAAAAGX/aTQ=")</f>
        <v>#REF!</v>
      </c>
      <c r="BB28" t="e">
        <f>AND('boilerplate specs'!#REF!,"AAAAAGX/aTU=")</f>
        <v>#REF!</v>
      </c>
      <c r="BC28" t="e">
        <f>AND('boilerplate specs'!#REF!,"AAAAAGX/aTY=")</f>
        <v>#REF!</v>
      </c>
      <c r="BD28" t="e">
        <f>AND('boilerplate specs'!#REF!,"AAAAAGX/aTc=")</f>
        <v>#REF!</v>
      </c>
      <c r="BE28" t="e">
        <f>AND('boilerplate specs'!#REF!,"AAAAAGX/aTg=")</f>
        <v>#REF!</v>
      </c>
      <c r="BF28" t="e">
        <f>AND('boilerplate specs'!#REF!,"AAAAAGX/aTk=")</f>
        <v>#REF!</v>
      </c>
      <c r="BG28" t="e">
        <f>AND('boilerplate specs'!#REF!,"AAAAAGX/aTo=")</f>
        <v>#REF!</v>
      </c>
      <c r="BH28" t="e">
        <f>AND('boilerplate specs'!#REF!,"AAAAAGX/aTs=")</f>
        <v>#REF!</v>
      </c>
      <c r="BI28" t="e">
        <f>AND('boilerplate specs'!#REF!,"AAAAAGX/aTw=")</f>
        <v>#REF!</v>
      </c>
      <c r="BJ28" t="e">
        <f>AND('boilerplate specs'!#REF!,"AAAAAGX/aT0=")</f>
        <v>#REF!</v>
      </c>
      <c r="BK28" t="e">
        <f>AND('boilerplate specs'!#REF!,"AAAAAGX/aT4=")</f>
        <v>#REF!</v>
      </c>
      <c r="BL28" t="e">
        <f>AND('boilerplate specs'!#REF!,"AAAAAGX/aT8=")</f>
        <v>#REF!</v>
      </c>
      <c r="BM28">
        <f>IF('boilerplate specs'!151:151,"AAAAAGX/aUA=",0)</f>
        <v>0</v>
      </c>
      <c r="BN28" t="e">
        <f>AND('boilerplate specs'!A151,"AAAAAGX/aUE=")</f>
        <v>#VALUE!</v>
      </c>
      <c r="BO28" t="e">
        <f>AND('boilerplate specs'!B151,"AAAAAGX/aUI=")</f>
        <v>#VALUE!</v>
      </c>
      <c r="BP28" t="e">
        <f>AND('boilerplate specs'!C151,"AAAAAGX/aUM=")</f>
        <v>#VALUE!</v>
      </c>
      <c r="BQ28" t="e">
        <f>AND('boilerplate specs'!D151,"AAAAAGX/aUQ=")</f>
        <v>#VALUE!</v>
      </c>
      <c r="BR28" t="e">
        <f>AND('boilerplate specs'!E151,"AAAAAGX/aUU=")</f>
        <v>#VALUE!</v>
      </c>
      <c r="BS28" t="e">
        <f>AND('boilerplate specs'!F151,"AAAAAGX/aUY=")</f>
        <v>#VALUE!</v>
      </c>
      <c r="BT28" t="e">
        <f>AND('boilerplate specs'!G151,"AAAAAGX/aUc=")</f>
        <v>#VALUE!</v>
      </c>
      <c r="BU28" t="e">
        <f>AND('boilerplate specs'!H151,"AAAAAGX/aUg=")</f>
        <v>#VALUE!</v>
      </c>
      <c r="BV28" t="e">
        <f>AND('boilerplate specs'!I151,"AAAAAGX/aUk=")</f>
        <v>#VALUE!</v>
      </c>
      <c r="BW28" t="e">
        <f>AND('boilerplate specs'!J151,"AAAAAGX/aUo=")</f>
        <v>#VALUE!</v>
      </c>
      <c r="BX28" t="e">
        <f>AND('boilerplate specs'!#REF!,"AAAAAGX/aUs=")</f>
        <v>#REF!</v>
      </c>
      <c r="BY28" t="e">
        <f>AND('boilerplate specs'!#REF!,"AAAAAGX/aUw=")</f>
        <v>#REF!</v>
      </c>
      <c r="BZ28" t="e">
        <f>AND('boilerplate specs'!#REF!,"AAAAAGX/aU0=")</f>
        <v>#REF!</v>
      </c>
      <c r="CA28" t="e">
        <f>AND('boilerplate specs'!#REF!,"AAAAAGX/aU4=")</f>
        <v>#REF!</v>
      </c>
      <c r="CB28" t="e">
        <f>AND('boilerplate specs'!#REF!,"AAAAAGX/aU8=")</f>
        <v>#REF!</v>
      </c>
      <c r="CC28" t="e">
        <f>AND('boilerplate specs'!#REF!,"AAAAAGX/aVA=")</f>
        <v>#REF!</v>
      </c>
      <c r="CD28" t="e">
        <f>AND('boilerplate specs'!#REF!,"AAAAAGX/aVE=")</f>
        <v>#REF!</v>
      </c>
      <c r="CE28" t="e">
        <f>AND('boilerplate specs'!#REF!,"AAAAAGX/aVI=")</f>
        <v>#REF!</v>
      </c>
      <c r="CF28" t="e">
        <f>AND('boilerplate specs'!#REF!,"AAAAAGX/aVM=")</f>
        <v>#REF!</v>
      </c>
      <c r="CG28" t="e">
        <f>AND('boilerplate specs'!#REF!,"AAAAAGX/aVQ=")</f>
        <v>#REF!</v>
      </c>
      <c r="CH28" t="e">
        <f>AND('boilerplate specs'!#REF!,"AAAAAGX/aVU=")</f>
        <v>#REF!</v>
      </c>
      <c r="CI28" t="e">
        <f>AND('boilerplate specs'!#REF!,"AAAAAGX/aVY=")</f>
        <v>#REF!</v>
      </c>
      <c r="CJ28" t="e">
        <f>AND('boilerplate specs'!#REF!,"AAAAAGX/aVc=")</f>
        <v>#REF!</v>
      </c>
      <c r="CK28" t="e">
        <f>AND('boilerplate specs'!#REF!,"AAAAAGX/aVg=")</f>
        <v>#REF!</v>
      </c>
      <c r="CL28" t="e">
        <f>AND('boilerplate specs'!#REF!,"AAAAAGX/aVk=")</f>
        <v>#REF!</v>
      </c>
      <c r="CM28" t="e">
        <f>AND('boilerplate specs'!#REF!,"AAAAAGX/aVo=")</f>
        <v>#REF!</v>
      </c>
      <c r="CN28" t="e">
        <f>AND('boilerplate specs'!#REF!,"AAAAAGX/aVs=")</f>
        <v>#REF!</v>
      </c>
      <c r="CO28" t="e">
        <f>AND('boilerplate specs'!#REF!,"AAAAAGX/aVw=")</f>
        <v>#REF!</v>
      </c>
      <c r="CP28" t="e">
        <f>AND('boilerplate specs'!#REF!,"AAAAAGX/aV0=")</f>
        <v>#REF!</v>
      </c>
      <c r="CQ28" t="e">
        <f>AND('boilerplate specs'!#REF!,"AAAAAGX/aV4=")</f>
        <v>#REF!</v>
      </c>
      <c r="CR28" t="e">
        <f>AND('boilerplate specs'!#REF!,"AAAAAGX/aV8=")</f>
        <v>#REF!</v>
      </c>
      <c r="CS28" t="e">
        <f>AND('boilerplate specs'!#REF!,"AAAAAGX/aWA=")</f>
        <v>#REF!</v>
      </c>
      <c r="CT28">
        <f>IF('boilerplate specs'!152:152,"AAAAAGX/aWE=",0)</f>
        <v>0</v>
      </c>
      <c r="CU28" t="e">
        <f>AND('boilerplate specs'!A152,"AAAAAGX/aWI=")</f>
        <v>#VALUE!</v>
      </c>
      <c r="CV28" t="e">
        <f>AND('boilerplate specs'!B152,"AAAAAGX/aWM=")</f>
        <v>#VALUE!</v>
      </c>
      <c r="CW28" t="e">
        <f>AND('boilerplate specs'!C152,"AAAAAGX/aWQ=")</f>
        <v>#VALUE!</v>
      </c>
      <c r="CX28" t="e">
        <f>AND('boilerplate specs'!D152,"AAAAAGX/aWU=")</f>
        <v>#VALUE!</v>
      </c>
      <c r="CY28" t="e">
        <f>AND('boilerplate specs'!E152,"AAAAAGX/aWY=")</f>
        <v>#VALUE!</v>
      </c>
      <c r="CZ28" t="e">
        <f>AND('boilerplate specs'!F152,"AAAAAGX/aWc=")</f>
        <v>#VALUE!</v>
      </c>
      <c r="DA28" t="e">
        <f>AND('boilerplate specs'!G152,"AAAAAGX/aWg=")</f>
        <v>#VALUE!</v>
      </c>
      <c r="DB28" t="e">
        <f>AND('boilerplate specs'!H152,"AAAAAGX/aWk=")</f>
        <v>#VALUE!</v>
      </c>
      <c r="DC28" t="e">
        <f>AND('boilerplate specs'!I152,"AAAAAGX/aWo=")</f>
        <v>#VALUE!</v>
      </c>
      <c r="DD28" t="e">
        <f>AND('boilerplate specs'!J152,"AAAAAGX/aWs=")</f>
        <v>#VALUE!</v>
      </c>
      <c r="DE28" t="e">
        <f>AND('boilerplate specs'!#REF!,"AAAAAGX/aWw=")</f>
        <v>#REF!</v>
      </c>
      <c r="DF28" t="e">
        <f>AND('boilerplate specs'!#REF!,"AAAAAGX/aW0=")</f>
        <v>#REF!</v>
      </c>
      <c r="DG28" t="e">
        <f>AND('boilerplate specs'!#REF!,"AAAAAGX/aW4=")</f>
        <v>#REF!</v>
      </c>
      <c r="DH28" t="e">
        <f>AND('boilerplate specs'!#REF!,"AAAAAGX/aW8=")</f>
        <v>#REF!</v>
      </c>
      <c r="DI28" t="e">
        <f>AND('boilerplate specs'!#REF!,"AAAAAGX/aXA=")</f>
        <v>#REF!</v>
      </c>
      <c r="DJ28" t="e">
        <f>AND('boilerplate specs'!#REF!,"AAAAAGX/aXE=")</f>
        <v>#REF!</v>
      </c>
      <c r="DK28" t="e">
        <f>AND('boilerplate specs'!#REF!,"AAAAAGX/aXI=")</f>
        <v>#REF!</v>
      </c>
      <c r="DL28" t="e">
        <f>AND('boilerplate specs'!#REF!,"AAAAAGX/aXM=")</f>
        <v>#REF!</v>
      </c>
      <c r="DM28" t="e">
        <f>AND('boilerplate specs'!#REF!,"AAAAAGX/aXQ=")</f>
        <v>#REF!</v>
      </c>
      <c r="DN28" t="e">
        <f>AND('boilerplate specs'!#REF!,"AAAAAGX/aXU=")</f>
        <v>#REF!</v>
      </c>
      <c r="DO28" t="e">
        <f>AND('boilerplate specs'!#REF!,"AAAAAGX/aXY=")</f>
        <v>#REF!</v>
      </c>
      <c r="DP28" t="e">
        <f>AND('boilerplate specs'!#REF!,"AAAAAGX/aXc=")</f>
        <v>#REF!</v>
      </c>
      <c r="DQ28" t="e">
        <f>AND('boilerplate specs'!#REF!,"AAAAAGX/aXg=")</f>
        <v>#REF!</v>
      </c>
      <c r="DR28" t="e">
        <f>AND('boilerplate specs'!#REF!,"AAAAAGX/aXk=")</f>
        <v>#REF!</v>
      </c>
      <c r="DS28" t="e">
        <f>AND('boilerplate specs'!#REF!,"AAAAAGX/aXo=")</f>
        <v>#REF!</v>
      </c>
      <c r="DT28" t="e">
        <f>AND('boilerplate specs'!#REF!,"AAAAAGX/aXs=")</f>
        <v>#REF!</v>
      </c>
      <c r="DU28" t="e">
        <f>AND('boilerplate specs'!#REF!,"AAAAAGX/aXw=")</f>
        <v>#REF!</v>
      </c>
      <c r="DV28" t="e">
        <f>AND('boilerplate specs'!#REF!,"AAAAAGX/aX0=")</f>
        <v>#REF!</v>
      </c>
      <c r="DW28" t="e">
        <f>AND('boilerplate specs'!#REF!,"AAAAAGX/aX4=")</f>
        <v>#REF!</v>
      </c>
      <c r="DX28" t="e">
        <f>AND('boilerplate specs'!#REF!,"AAAAAGX/aX8=")</f>
        <v>#REF!</v>
      </c>
      <c r="DY28" t="e">
        <f>AND('boilerplate specs'!#REF!,"AAAAAGX/aYA=")</f>
        <v>#REF!</v>
      </c>
      <c r="DZ28" t="e">
        <f>AND('boilerplate specs'!#REF!,"AAAAAGX/aYE=")</f>
        <v>#REF!</v>
      </c>
      <c r="EA28">
        <f>IF('boilerplate specs'!153:153,"AAAAAGX/aYI=",0)</f>
        <v>0</v>
      </c>
      <c r="EB28" t="e">
        <f>AND('boilerplate specs'!A153,"AAAAAGX/aYM=")</f>
        <v>#VALUE!</v>
      </c>
      <c r="EC28" t="e">
        <f>AND('boilerplate specs'!B153,"AAAAAGX/aYQ=")</f>
        <v>#VALUE!</v>
      </c>
      <c r="ED28" t="e">
        <f>AND('boilerplate specs'!C153,"AAAAAGX/aYU=")</f>
        <v>#VALUE!</v>
      </c>
      <c r="EE28" t="e">
        <f>AND('boilerplate specs'!D153,"AAAAAGX/aYY=")</f>
        <v>#VALUE!</v>
      </c>
      <c r="EF28" t="e">
        <f>AND('boilerplate specs'!E153,"AAAAAGX/aYc=")</f>
        <v>#VALUE!</v>
      </c>
      <c r="EG28" t="e">
        <f>AND('boilerplate specs'!F153,"AAAAAGX/aYg=")</f>
        <v>#VALUE!</v>
      </c>
      <c r="EH28" t="e">
        <f>AND('boilerplate specs'!G153,"AAAAAGX/aYk=")</f>
        <v>#VALUE!</v>
      </c>
      <c r="EI28" t="e">
        <f>AND('boilerplate specs'!H153,"AAAAAGX/aYo=")</f>
        <v>#VALUE!</v>
      </c>
      <c r="EJ28" t="e">
        <f>AND('boilerplate specs'!I153,"AAAAAGX/aYs=")</f>
        <v>#VALUE!</v>
      </c>
      <c r="EK28" t="e">
        <f>AND('boilerplate specs'!J153,"AAAAAGX/aYw=")</f>
        <v>#VALUE!</v>
      </c>
      <c r="EL28" t="e">
        <f>AND('boilerplate specs'!#REF!,"AAAAAGX/aY0=")</f>
        <v>#REF!</v>
      </c>
      <c r="EM28" t="e">
        <f>AND('boilerplate specs'!#REF!,"AAAAAGX/aY4=")</f>
        <v>#REF!</v>
      </c>
      <c r="EN28" t="e">
        <f>AND('boilerplate specs'!#REF!,"AAAAAGX/aY8=")</f>
        <v>#REF!</v>
      </c>
      <c r="EO28" t="e">
        <f>AND('boilerplate specs'!#REF!,"AAAAAGX/aZA=")</f>
        <v>#REF!</v>
      </c>
      <c r="EP28" t="e">
        <f>AND('boilerplate specs'!#REF!,"AAAAAGX/aZE=")</f>
        <v>#REF!</v>
      </c>
      <c r="EQ28" t="e">
        <f>AND('boilerplate specs'!#REF!,"AAAAAGX/aZI=")</f>
        <v>#REF!</v>
      </c>
      <c r="ER28" t="e">
        <f>AND('boilerplate specs'!#REF!,"AAAAAGX/aZM=")</f>
        <v>#REF!</v>
      </c>
      <c r="ES28" t="e">
        <f>AND('boilerplate specs'!#REF!,"AAAAAGX/aZQ=")</f>
        <v>#REF!</v>
      </c>
      <c r="ET28" t="e">
        <f>AND('boilerplate specs'!#REF!,"AAAAAGX/aZU=")</f>
        <v>#REF!</v>
      </c>
      <c r="EU28" t="e">
        <f>AND('boilerplate specs'!#REF!,"AAAAAGX/aZY=")</f>
        <v>#REF!</v>
      </c>
      <c r="EV28" t="e">
        <f>AND('boilerplate specs'!#REF!,"AAAAAGX/aZc=")</f>
        <v>#REF!</v>
      </c>
      <c r="EW28" t="e">
        <f>AND('boilerplate specs'!#REF!,"AAAAAGX/aZg=")</f>
        <v>#REF!</v>
      </c>
      <c r="EX28" t="e">
        <f>AND('boilerplate specs'!#REF!,"AAAAAGX/aZk=")</f>
        <v>#REF!</v>
      </c>
      <c r="EY28" t="e">
        <f>AND('boilerplate specs'!#REF!,"AAAAAGX/aZo=")</f>
        <v>#REF!</v>
      </c>
      <c r="EZ28" t="e">
        <f>AND('boilerplate specs'!#REF!,"AAAAAGX/aZs=")</f>
        <v>#REF!</v>
      </c>
      <c r="FA28" t="e">
        <f>AND('boilerplate specs'!#REF!,"AAAAAGX/aZw=")</f>
        <v>#REF!</v>
      </c>
      <c r="FB28" t="e">
        <f>AND('boilerplate specs'!#REF!,"AAAAAGX/aZ0=")</f>
        <v>#REF!</v>
      </c>
      <c r="FC28" t="e">
        <f>AND('boilerplate specs'!#REF!,"AAAAAGX/aZ4=")</f>
        <v>#REF!</v>
      </c>
      <c r="FD28" t="e">
        <f>AND('boilerplate specs'!#REF!,"AAAAAGX/aZ8=")</f>
        <v>#REF!</v>
      </c>
      <c r="FE28" t="e">
        <f>AND('boilerplate specs'!#REF!,"AAAAAGX/aaA=")</f>
        <v>#REF!</v>
      </c>
      <c r="FF28" t="e">
        <f>AND('boilerplate specs'!#REF!,"AAAAAGX/aaE=")</f>
        <v>#REF!</v>
      </c>
      <c r="FG28" t="e">
        <f>AND('boilerplate specs'!#REF!,"AAAAAGX/aaI=")</f>
        <v>#REF!</v>
      </c>
      <c r="FH28">
        <f>IF('boilerplate specs'!154:154,"AAAAAGX/aaM=",0)</f>
        <v>0</v>
      </c>
      <c r="FI28" t="e">
        <f>AND('boilerplate specs'!A154,"AAAAAGX/aaQ=")</f>
        <v>#VALUE!</v>
      </c>
      <c r="FJ28" t="e">
        <f>AND('boilerplate specs'!B154,"AAAAAGX/aaU=")</f>
        <v>#VALUE!</v>
      </c>
      <c r="FK28" t="e">
        <f>AND('boilerplate specs'!C154,"AAAAAGX/aaY=")</f>
        <v>#VALUE!</v>
      </c>
      <c r="FL28" t="e">
        <f>AND('boilerplate specs'!D154,"AAAAAGX/aac=")</f>
        <v>#VALUE!</v>
      </c>
      <c r="FM28" t="e">
        <f>AND('boilerplate specs'!E154,"AAAAAGX/aag=")</f>
        <v>#VALUE!</v>
      </c>
      <c r="FN28" t="e">
        <f>AND('boilerplate specs'!F154,"AAAAAGX/aak=")</f>
        <v>#VALUE!</v>
      </c>
      <c r="FO28" t="e">
        <f>AND('boilerplate specs'!G154,"AAAAAGX/aao=")</f>
        <v>#VALUE!</v>
      </c>
      <c r="FP28" t="e">
        <f>AND('boilerplate specs'!H154,"AAAAAGX/aas=")</f>
        <v>#VALUE!</v>
      </c>
      <c r="FQ28" t="e">
        <f>AND('boilerplate specs'!I154,"AAAAAGX/aaw=")</f>
        <v>#VALUE!</v>
      </c>
      <c r="FR28" t="e">
        <f>AND('boilerplate specs'!J154,"AAAAAGX/aa0=")</f>
        <v>#VALUE!</v>
      </c>
      <c r="FS28" t="e">
        <f>AND('boilerplate specs'!#REF!,"AAAAAGX/aa4=")</f>
        <v>#REF!</v>
      </c>
      <c r="FT28" t="e">
        <f>AND('boilerplate specs'!#REF!,"AAAAAGX/aa8=")</f>
        <v>#REF!</v>
      </c>
      <c r="FU28" t="e">
        <f>AND('boilerplate specs'!#REF!,"AAAAAGX/abA=")</f>
        <v>#REF!</v>
      </c>
      <c r="FV28" t="e">
        <f>AND('boilerplate specs'!#REF!,"AAAAAGX/abE=")</f>
        <v>#REF!</v>
      </c>
      <c r="FW28" t="e">
        <f>AND('boilerplate specs'!#REF!,"AAAAAGX/abI=")</f>
        <v>#REF!</v>
      </c>
      <c r="FX28" t="e">
        <f>AND('boilerplate specs'!#REF!,"AAAAAGX/abM=")</f>
        <v>#REF!</v>
      </c>
      <c r="FY28" t="e">
        <f>AND('boilerplate specs'!#REF!,"AAAAAGX/abQ=")</f>
        <v>#REF!</v>
      </c>
      <c r="FZ28" t="e">
        <f>AND('boilerplate specs'!#REF!,"AAAAAGX/abU=")</f>
        <v>#REF!</v>
      </c>
      <c r="GA28" t="e">
        <f>AND('boilerplate specs'!#REF!,"AAAAAGX/abY=")</f>
        <v>#REF!</v>
      </c>
      <c r="GB28" t="e">
        <f>AND('boilerplate specs'!#REF!,"AAAAAGX/abc=")</f>
        <v>#REF!</v>
      </c>
      <c r="GC28" t="e">
        <f>AND('boilerplate specs'!#REF!,"AAAAAGX/abg=")</f>
        <v>#REF!</v>
      </c>
      <c r="GD28" t="e">
        <f>AND('boilerplate specs'!#REF!,"AAAAAGX/abk=")</f>
        <v>#REF!</v>
      </c>
      <c r="GE28" t="e">
        <f>AND('boilerplate specs'!#REF!,"AAAAAGX/abo=")</f>
        <v>#REF!</v>
      </c>
      <c r="GF28" t="e">
        <f>AND('boilerplate specs'!#REF!,"AAAAAGX/abs=")</f>
        <v>#REF!</v>
      </c>
      <c r="GG28" t="e">
        <f>AND('boilerplate specs'!#REF!,"AAAAAGX/abw=")</f>
        <v>#REF!</v>
      </c>
      <c r="GH28" t="e">
        <f>AND('boilerplate specs'!#REF!,"AAAAAGX/ab0=")</f>
        <v>#REF!</v>
      </c>
      <c r="GI28" t="e">
        <f>AND('boilerplate specs'!#REF!,"AAAAAGX/ab4=")</f>
        <v>#REF!</v>
      </c>
      <c r="GJ28" t="e">
        <f>AND('boilerplate specs'!#REF!,"AAAAAGX/ab8=")</f>
        <v>#REF!</v>
      </c>
      <c r="GK28" t="e">
        <f>AND('boilerplate specs'!#REF!,"AAAAAGX/acA=")</f>
        <v>#REF!</v>
      </c>
      <c r="GL28" t="e">
        <f>AND('boilerplate specs'!#REF!,"AAAAAGX/acE=")</f>
        <v>#REF!</v>
      </c>
      <c r="GM28" t="e">
        <f>AND('boilerplate specs'!#REF!,"AAAAAGX/acI=")</f>
        <v>#REF!</v>
      </c>
      <c r="GN28" t="e">
        <f>AND('boilerplate specs'!#REF!,"AAAAAGX/acM=")</f>
        <v>#REF!</v>
      </c>
      <c r="GO28">
        <f>IF('boilerplate specs'!155:155,"AAAAAGX/acQ=",0)</f>
        <v>0</v>
      </c>
      <c r="GP28" t="e">
        <f>AND('boilerplate specs'!A155,"AAAAAGX/acU=")</f>
        <v>#VALUE!</v>
      </c>
      <c r="GQ28" t="e">
        <f>AND('boilerplate specs'!B155,"AAAAAGX/acY=")</f>
        <v>#VALUE!</v>
      </c>
      <c r="GR28" t="e">
        <f>AND('boilerplate specs'!C155,"AAAAAGX/acc=")</f>
        <v>#VALUE!</v>
      </c>
      <c r="GS28" t="e">
        <f>AND('boilerplate specs'!D155,"AAAAAGX/acg=")</f>
        <v>#VALUE!</v>
      </c>
      <c r="GT28" t="e">
        <f>AND('boilerplate specs'!E155,"AAAAAGX/ack=")</f>
        <v>#VALUE!</v>
      </c>
      <c r="GU28" t="e">
        <f>AND('boilerplate specs'!F155,"AAAAAGX/aco=")</f>
        <v>#VALUE!</v>
      </c>
      <c r="GV28" t="e">
        <f>AND('boilerplate specs'!G155,"AAAAAGX/acs=")</f>
        <v>#VALUE!</v>
      </c>
      <c r="GW28" t="e">
        <f>AND('boilerplate specs'!H155,"AAAAAGX/acw=")</f>
        <v>#VALUE!</v>
      </c>
      <c r="GX28" t="e">
        <f>AND('boilerplate specs'!I155,"AAAAAGX/ac0=")</f>
        <v>#VALUE!</v>
      </c>
      <c r="GY28" t="e">
        <f>AND('boilerplate specs'!J155,"AAAAAGX/ac4=")</f>
        <v>#VALUE!</v>
      </c>
      <c r="GZ28" t="e">
        <f>AND('boilerplate specs'!#REF!,"AAAAAGX/ac8=")</f>
        <v>#REF!</v>
      </c>
      <c r="HA28" t="e">
        <f>AND('boilerplate specs'!#REF!,"AAAAAGX/adA=")</f>
        <v>#REF!</v>
      </c>
      <c r="HB28" t="e">
        <f>AND('boilerplate specs'!#REF!,"AAAAAGX/adE=")</f>
        <v>#REF!</v>
      </c>
      <c r="HC28" t="e">
        <f>AND('boilerplate specs'!#REF!,"AAAAAGX/adI=")</f>
        <v>#REF!</v>
      </c>
      <c r="HD28" t="e">
        <f>AND('boilerplate specs'!#REF!,"AAAAAGX/adM=")</f>
        <v>#REF!</v>
      </c>
      <c r="HE28" t="e">
        <f>AND('boilerplate specs'!#REF!,"AAAAAGX/adQ=")</f>
        <v>#REF!</v>
      </c>
      <c r="HF28" t="e">
        <f>AND('boilerplate specs'!#REF!,"AAAAAGX/adU=")</f>
        <v>#REF!</v>
      </c>
      <c r="HG28" t="e">
        <f>AND('boilerplate specs'!#REF!,"AAAAAGX/adY=")</f>
        <v>#REF!</v>
      </c>
      <c r="HH28" t="e">
        <f>AND('boilerplate specs'!#REF!,"AAAAAGX/adc=")</f>
        <v>#REF!</v>
      </c>
      <c r="HI28" t="e">
        <f>AND('boilerplate specs'!#REF!,"AAAAAGX/adg=")</f>
        <v>#REF!</v>
      </c>
      <c r="HJ28" t="e">
        <f>AND('boilerplate specs'!#REF!,"AAAAAGX/adk=")</f>
        <v>#REF!</v>
      </c>
      <c r="HK28" t="e">
        <f>AND('boilerplate specs'!#REF!,"AAAAAGX/ado=")</f>
        <v>#REF!</v>
      </c>
      <c r="HL28" t="e">
        <f>AND('boilerplate specs'!#REF!,"AAAAAGX/ads=")</f>
        <v>#REF!</v>
      </c>
      <c r="HM28" t="e">
        <f>AND('boilerplate specs'!#REF!,"AAAAAGX/adw=")</f>
        <v>#REF!</v>
      </c>
      <c r="HN28" t="e">
        <f>AND('boilerplate specs'!#REF!,"AAAAAGX/ad0=")</f>
        <v>#REF!</v>
      </c>
      <c r="HO28" t="e">
        <f>AND('boilerplate specs'!#REF!,"AAAAAGX/ad4=")</f>
        <v>#REF!</v>
      </c>
      <c r="HP28" t="e">
        <f>AND('boilerplate specs'!#REF!,"AAAAAGX/ad8=")</f>
        <v>#REF!</v>
      </c>
      <c r="HQ28" t="e">
        <f>AND('boilerplate specs'!#REF!,"AAAAAGX/aeA=")</f>
        <v>#REF!</v>
      </c>
      <c r="HR28" t="e">
        <f>AND('boilerplate specs'!#REF!,"AAAAAGX/aeE=")</f>
        <v>#REF!</v>
      </c>
      <c r="HS28" t="e">
        <f>AND('boilerplate specs'!#REF!,"AAAAAGX/aeI=")</f>
        <v>#REF!</v>
      </c>
      <c r="HT28" t="e">
        <f>AND('boilerplate specs'!#REF!,"AAAAAGX/aeM=")</f>
        <v>#REF!</v>
      </c>
      <c r="HU28" t="e">
        <f>AND('boilerplate specs'!#REF!,"AAAAAGX/aeQ=")</f>
        <v>#REF!</v>
      </c>
      <c r="HV28">
        <f>IF('boilerplate specs'!156:156,"AAAAAGX/aeU=",0)</f>
        <v>0</v>
      </c>
      <c r="HW28" t="e">
        <f>AND('boilerplate specs'!A156,"AAAAAGX/aeY=")</f>
        <v>#VALUE!</v>
      </c>
      <c r="HX28" t="e">
        <f>AND('boilerplate specs'!B156,"AAAAAGX/aec=")</f>
        <v>#VALUE!</v>
      </c>
      <c r="HY28" t="e">
        <f>AND('boilerplate specs'!C156,"AAAAAGX/aeg=")</f>
        <v>#VALUE!</v>
      </c>
      <c r="HZ28" t="e">
        <f>AND('boilerplate specs'!D156,"AAAAAGX/aek=")</f>
        <v>#VALUE!</v>
      </c>
      <c r="IA28" t="e">
        <f>AND('boilerplate specs'!E156,"AAAAAGX/aeo=")</f>
        <v>#VALUE!</v>
      </c>
      <c r="IB28" t="e">
        <f>AND('boilerplate specs'!F156,"AAAAAGX/aes=")</f>
        <v>#VALUE!</v>
      </c>
      <c r="IC28" t="e">
        <f>AND('boilerplate specs'!G156,"AAAAAGX/aew=")</f>
        <v>#VALUE!</v>
      </c>
      <c r="ID28" t="e">
        <f>AND('boilerplate specs'!H156,"AAAAAGX/ae0=")</f>
        <v>#VALUE!</v>
      </c>
      <c r="IE28" t="e">
        <f>AND('boilerplate specs'!I156,"AAAAAGX/ae4=")</f>
        <v>#VALUE!</v>
      </c>
      <c r="IF28" t="e">
        <f>AND('boilerplate specs'!J156,"AAAAAGX/ae8=")</f>
        <v>#VALUE!</v>
      </c>
      <c r="IG28" t="e">
        <f>AND('boilerplate specs'!#REF!,"AAAAAGX/afA=")</f>
        <v>#REF!</v>
      </c>
      <c r="IH28" t="e">
        <f>AND('boilerplate specs'!#REF!,"AAAAAGX/afE=")</f>
        <v>#REF!</v>
      </c>
      <c r="II28" t="e">
        <f>AND('boilerplate specs'!#REF!,"AAAAAGX/afI=")</f>
        <v>#REF!</v>
      </c>
      <c r="IJ28" t="e">
        <f>AND('boilerplate specs'!#REF!,"AAAAAGX/afM=")</f>
        <v>#REF!</v>
      </c>
      <c r="IK28" t="e">
        <f>AND('boilerplate specs'!#REF!,"AAAAAGX/afQ=")</f>
        <v>#REF!</v>
      </c>
      <c r="IL28" t="e">
        <f>AND('boilerplate specs'!#REF!,"AAAAAGX/afU=")</f>
        <v>#REF!</v>
      </c>
      <c r="IM28" t="e">
        <f>AND('boilerplate specs'!#REF!,"AAAAAGX/afY=")</f>
        <v>#REF!</v>
      </c>
      <c r="IN28" t="e">
        <f>AND('boilerplate specs'!#REF!,"AAAAAGX/afc=")</f>
        <v>#REF!</v>
      </c>
      <c r="IO28" t="e">
        <f>AND('boilerplate specs'!#REF!,"AAAAAGX/afg=")</f>
        <v>#REF!</v>
      </c>
      <c r="IP28" t="e">
        <f>AND('boilerplate specs'!#REF!,"AAAAAGX/afk=")</f>
        <v>#REF!</v>
      </c>
      <c r="IQ28" t="e">
        <f>AND('boilerplate specs'!#REF!,"AAAAAGX/afo=")</f>
        <v>#REF!</v>
      </c>
      <c r="IR28" t="e">
        <f>AND('boilerplate specs'!#REF!,"AAAAAGX/afs=")</f>
        <v>#REF!</v>
      </c>
      <c r="IS28" t="e">
        <f>AND('boilerplate specs'!#REF!,"AAAAAGX/afw=")</f>
        <v>#REF!</v>
      </c>
      <c r="IT28" t="e">
        <f>AND('boilerplate specs'!#REF!,"AAAAAGX/af0=")</f>
        <v>#REF!</v>
      </c>
      <c r="IU28" t="e">
        <f>AND('boilerplate specs'!#REF!,"AAAAAGX/af4=")</f>
        <v>#REF!</v>
      </c>
      <c r="IV28" t="e">
        <f>AND('boilerplate specs'!#REF!,"AAAAAGX/af8=")</f>
        <v>#REF!</v>
      </c>
    </row>
    <row r="29" spans="1:256" x14ac:dyDescent="0.35">
      <c r="A29" t="e">
        <f>AND('boilerplate specs'!#REF!,"AAAAAAvP/AA=")</f>
        <v>#REF!</v>
      </c>
      <c r="B29" t="e">
        <f>AND('boilerplate specs'!#REF!,"AAAAAAvP/AE=")</f>
        <v>#REF!</v>
      </c>
      <c r="C29" t="e">
        <f>AND('boilerplate specs'!#REF!,"AAAAAAvP/AI=")</f>
        <v>#REF!</v>
      </c>
      <c r="D29" t="e">
        <f>AND('boilerplate specs'!#REF!,"AAAAAAvP/AM=")</f>
        <v>#REF!</v>
      </c>
      <c r="E29" t="e">
        <f>AND('boilerplate specs'!#REF!,"AAAAAAvP/AQ=")</f>
        <v>#REF!</v>
      </c>
      <c r="F29" t="e">
        <f>AND('boilerplate specs'!#REF!,"AAAAAAvP/AU=")</f>
        <v>#REF!</v>
      </c>
      <c r="G29">
        <f>IF('boilerplate specs'!157:157,"AAAAAAvP/AY=",0)</f>
        <v>0</v>
      </c>
      <c r="H29" t="e">
        <f>AND('boilerplate specs'!A157,"AAAAAAvP/Ac=")</f>
        <v>#VALUE!</v>
      </c>
      <c r="I29" t="e">
        <f>AND('boilerplate specs'!B157,"AAAAAAvP/Ag=")</f>
        <v>#VALUE!</v>
      </c>
      <c r="J29" t="e">
        <f>AND('boilerplate specs'!C157,"AAAAAAvP/Ak=")</f>
        <v>#VALUE!</v>
      </c>
      <c r="K29" t="e">
        <f>AND('boilerplate specs'!D157,"AAAAAAvP/Ao=")</f>
        <v>#VALUE!</v>
      </c>
      <c r="L29" t="e">
        <f>AND('boilerplate specs'!E157,"AAAAAAvP/As=")</f>
        <v>#VALUE!</v>
      </c>
      <c r="M29" t="e">
        <f>AND('boilerplate specs'!F157,"AAAAAAvP/Aw=")</f>
        <v>#VALUE!</v>
      </c>
      <c r="N29" t="e">
        <f>AND('boilerplate specs'!G157,"AAAAAAvP/A0=")</f>
        <v>#VALUE!</v>
      </c>
      <c r="O29" t="e">
        <f>AND('boilerplate specs'!H157,"AAAAAAvP/A4=")</f>
        <v>#VALUE!</v>
      </c>
      <c r="P29" t="e">
        <f>AND('boilerplate specs'!I157,"AAAAAAvP/A8=")</f>
        <v>#VALUE!</v>
      </c>
      <c r="Q29" t="e">
        <f>AND('boilerplate specs'!J157,"AAAAAAvP/BA=")</f>
        <v>#VALUE!</v>
      </c>
      <c r="R29" t="e">
        <f>AND('boilerplate specs'!#REF!,"AAAAAAvP/BE=")</f>
        <v>#REF!</v>
      </c>
      <c r="S29" t="e">
        <f>AND('boilerplate specs'!#REF!,"AAAAAAvP/BI=")</f>
        <v>#REF!</v>
      </c>
      <c r="T29" t="e">
        <f>AND('boilerplate specs'!#REF!,"AAAAAAvP/BM=")</f>
        <v>#REF!</v>
      </c>
      <c r="U29" t="e">
        <f>AND('boilerplate specs'!#REF!,"AAAAAAvP/BQ=")</f>
        <v>#REF!</v>
      </c>
      <c r="V29" t="e">
        <f>AND('boilerplate specs'!#REF!,"AAAAAAvP/BU=")</f>
        <v>#REF!</v>
      </c>
      <c r="W29" t="e">
        <f>AND('boilerplate specs'!#REF!,"AAAAAAvP/BY=")</f>
        <v>#REF!</v>
      </c>
      <c r="X29" t="e">
        <f>AND('boilerplate specs'!#REF!,"AAAAAAvP/Bc=")</f>
        <v>#REF!</v>
      </c>
      <c r="Y29" t="e">
        <f>AND('boilerplate specs'!#REF!,"AAAAAAvP/Bg=")</f>
        <v>#REF!</v>
      </c>
      <c r="Z29" t="e">
        <f>AND('boilerplate specs'!#REF!,"AAAAAAvP/Bk=")</f>
        <v>#REF!</v>
      </c>
      <c r="AA29" t="e">
        <f>AND('boilerplate specs'!#REF!,"AAAAAAvP/Bo=")</f>
        <v>#REF!</v>
      </c>
      <c r="AB29" t="e">
        <f>AND('boilerplate specs'!#REF!,"AAAAAAvP/Bs=")</f>
        <v>#REF!</v>
      </c>
      <c r="AC29" t="e">
        <f>AND('boilerplate specs'!#REF!,"AAAAAAvP/Bw=")</f>
        <v>#REF!</v>
      </c>
      <c r="AD29" t="e">
        <f>AND('boilerplate specs'!#REF!,"AAAAAAvP/B0=")</f>
        <v>#REF!</v>
      </c>
      <c r="AE29" t="e">
        <f>AND('boilerplate specs'!#REF!,"AAAAAAvP/B4=")</f>
        <v>#REF!</v>
      </c>
      <c r="AF29" t="e">
        <f>AND('boilerplate specs'!#REF!,"AAAAAAvP/B8=")</f>
        <v>#REF!</v>
      </c>
      <c r="AG29" t="e">
        <f>AND('boilerplate specs'!#REF!,"AAAAAAvP/CA=")</f>
        <v>#REF!</v>
      </c>
      <c r="AH29" t="e">
        <f>AND('boilerplate specs'!#REF!,"AAAAAAvP/CE=")</f>
        <v>#REF!</v>
      </c>
      <c r="AI29" t="e">
        <f>AND('boilerplate specs'!#REF!,"AAAAAAvP/CI=")</f>
        <v>#REF!</v>
      </c>
      <c r="AJ29" t="e">
        <f>AND('boilerplate specs'!#REF!,"AAAAAAvP/CM=")</f>
        <v>#REF!</v>
      </c>
      <c r="AK29" t="e">
        <f>AND('boilerplate specs'!#REF!,"AAAAAAvP/CQ=")</f>
        <v>#REF!</v>
      </c>
      <c r="AL29" t="e">
        <f>AND('boilerplate specs'!#REF!,"AAAAAAvP/CU=")</f>
        <v>#REF!</v>
      </c>
      <c r="AM29" t="e">
        <f>AND('boilerplate specs'!#REF!,"AAAAAAvP/CY=")</f>
        <v>#REF!</v>
      </c>
      <c r="AN29">
        <f>IF('boilerplate specs'!158:158,"AAAAAAvP/Cc=",0)</f>
        <v>0</v>
      </c>
      <c r="AO29" t="e">
        <f>AND('boilerplate specs'!A158,"AAAAAAvP/Cg=")</f>
        <v>#VALUE!</v>
      </c>
      <c r="AP29" t="e">
        <f>AND('boilerplate specs'!B158,"AAAAAAvP/Ck=")</f>
        <v>#VALUE!</v>
      </c>
      <c r="AQ29" t="e">
        <f>AND('boilerplate specs'!C158,"AAAAAAvP/Co=")</f>
        <v>#VALUE!</v>
      </c>
      <c r="AR29" t="e">
        <f>AND('boilerplate specs'!D158,"AAAAAAvP/Cs=")</f>
        <v>#VALUE!</v>
      </c>
      <c r="AS29" t="e">
        <f>AND('boilerplate specs'!E158,"AAAAAAvP/Cw=")</f>
        <v>#VALUE!</v>
      </c>
      <c r="AT29" t="e">
        <f>AND('boilerplate specs'!F158,"AAAAAAvP/C0=")</f>
        <v>#VALUE!</v>
      </c>
      <c r="AU29" t="e">
        <f>AND('boilerplate specs'!G158,"AAAAAAvP/C4=")</f>
        <v>#VALUE!</v>
      </c>
      <c r="AV29" t="e">
        <f>AND('boilerplate specs'!H158,"AAAAAAvP/C8=")</f>
        <v>#VALUE!</v>
      </c>
      <c r="AW29" t="e">
        <f>AND('boilerplate specs'!I158,"AAAAAAvP/DA=")</f>
        <v>#VALUE!</v>
      </c>
      <c r="AX29" t="e">
        <f>AND('boilerplate specs'!J158,"AAAAAAvP/DE=")</f>
        <v>#VALUE!</v>
      </c>
      <c r="AY29" t="e">
        <f>AND('boilerplate specs'!#REF!,"AAAAAAvP/DI=")</f>
        <v>#REF!</v>
      </c>
      <c r="AZ29" t="e">
        <f>AND('boilerplate specs'!#REF!,"AAAAAAvP/DM=")</f>
        <v>#REF!</v>
      </c>
      <c r="BA29" t="e">
        <f>AND('boilerplate specs'!#REF!,"AAAAAAvP/DQ=")</f>
        <v>#REF!</v>
      </c>
      <c r="BB29" t="e">
        <f>AND('boilerplate specs'!#REF!,"AAAAAAvP/DU=")</f>
        <v>#REF!</v>
      </c>
      <c r="BC29" t="e">
        <f>AND('boilerplate specs'!#REF!,"AAAAAAvP/DY=")</f>
        <v>#REF!</v>
      </c>
      <c r="BD29" t="e">
        <f>AND('boilerplate specs'!#REF!,"AAAAAAvP/Dc=")</f>
        <v>#REF!</v>
      </c>
      <c r="BE29" t="e">
        <f>AND('boilerplate specs'!#REF!,"AAAAAAvP/Dg=")</f>
        <v>#REF!</v>
      </c>
      <c r="BF29" t="e">
        <f>AND('boilerplate specs'!#REF!,"AAAAAAvP/Dk=")</f>
        <v>#REF!</v>
      </c>
      <c r="BG29" t="e">
        <f>AND('boilerplate specs'!#REF!,"AAAAAAvP/Do=")</f>
        <v>#REF!</v>
      </c>
      <c r="BH29" t="e">
        <f>AND('boilerplate specs'!#REF!,"AAAAAAvP/Ds=")</f>
        <v>#REF!</v>
      </c>
      <c r="BI29" t="e">
        <f>AND('boilerplate specs'!#REF!,"AAAAAAvP/Dw=")</f>
        <v>#REF!</v>
      </c>
      <c r="BJ29" t="e">
        <f>AND('boilerplate specs'!#REF!,"AAAAAAvP/D0=")</f>
        <v>#REF!</v>
      </c>
      <c r="BK29" t="e">
        <f>AND('boilerplate specs'!#REF!,"AAAAAAvP/D4=")</f>
        <v>#REF!</v>
      </c>
      <c r="BL29" t="e">
        <f>AND('boilerplate specs'!#REF!,"AAAAAAvP/D8=")</f>
        <v>#REF!</v>
      </c>
      <c r="BM29" t="e">
        <f>AND('boilerplate specs'!#REF!,"AAAAAAvP/EA=")</f>
        <v>#REF!</v>
      </c>
      <c r="BN29" t="e">
        <f>AND('boilerplate specs'!#REF!,"AAAAAAvP/EE=")</f>
        <v>#REF!</v>
      </c>
      <c r="BO29" t="e">
        <f>AND('boilerplate specs'!#REF!,"AAAAAAvP/EI=")</f>
        <v>#REF!</v>
      </c>
      <c r="BP29" t="e">
        <f>AND('boilerplate specs'!#REF!,"AAAAAAvP/EM=")</f>
        <v>#REF!</v>
      </c>
      <c r="BQ29" t="e">
        <f>AND('boilerplate specs'!#REF!,"AAAAAAvP/EQ=")</f>
        <v>#REF!</v>
      </c>
      <c r="BR29" t="e">
        <f>AND('boilerplate specs'!#REF!,"AAAAAAvP/EU=")</f>
        <v>#REF!</v>
      </c>
      <c r="BS29" t="e">
        <f>AND('boilerplate specs'!#REF!,"AAAAAAvP/EY=")</f>
        <v>#REF!</v>
      </c>
      <c r="BT29" t="e">
        <f>AND('boilerplate specs'!#REF!,"AAAAAAvP/Ec=")</f>
        <v>#REF!</v>
      </c>
      <c r="BU29">
        <f>IF('boilerplate specs'!159:159,"AAAAAAvP/Eg=",0)</f>
        <v>0</v>
      </c>
      <c r="BV29" t="e">
        <f>AND('boilerplate specs'!A159,"AAAAAAvP/Ek=")</f>
        <v>#VALUE!</v>
      </c>
      <c r="BW29" t="e">
        <f>AND('boilerplate specs'!B159,"AAAAAAvP/Eo=")</f>
        <v>#VALUE!</v>
      </c>
      <c r="BX29" t="e">
        <f>AND('boilerplate specs'!C159,"AAAAAAvP/Es=")</f>
        <v>#VALUE!</v>
      </c>
      <c r="BY29" t="e">
        <f>AND('boilerplate specs'!D159,"AAAAAAvP/Ew=")</f>
        <v>#VALUE!</v>
      </c>
      <c r="BZ29" t="e">
        <f>AND('boilerplate specs'!E159,"AAAAAAvP/E0=")</f>
        <v>#VALUE!</v>
      </c>
      <c r="CA29" t="e">
        <f>AND('boilerplate specs'!F159,"AAAAAAvP/E4=")</f>
        <v>#VALUE!</v>
      </c>
      <c r="CB29" t="e">
        <f>AND('boilerplate specs'!G159,"AAAAAAvP/E8=")</f>
        <v>#VALUE!</v>
      </c>
      <c r="CC29" t="e">
        <f>AND('boilerplate specs'!H159,"AAAAAAvP/FA=")</f>
        <v>#VALUE!</v>
      </c>
      <c r="CD29" t="e">
        <f>AND('boilerplate specs'!I159,"AAAAAAvP/FE=")</f>
        <v>#VALUE!</v>
      </c>
      <c r="CE29" t="e">
        <f>AND('boilerplate specs'!J159,"AAAAAAvP/FI=")</f>
        <v>#VALUE!</v>
      </c>
      <c r="CF29" t="e">
        <f>AND('boilerplate specs'!#REF!,"AAAAAAvP/FM=")</f>
        <v>#REF!</v>
      </c>
      <c r="CG29" t="e">
        <f>AND('boilerplate specs'!#REF!,"AAAAAAvP/FQ=")</f>
        <v>#REF!</v>
      </c>
      <c r="CH29" t="e">
        <f>AND('boilerplate specs'!#REF!,"AAAAAAvP/FU=")</f>
        <v>#REF!</v>
      </c>
      <c r="CI29" t="e">
        <f>AND('boilerplate specs'!#REF!,"AAAAAAvP/FY=")</f>
        <v>#REF!</v>
      </c>
      <c r="CJ29" t="e">
        <f>AND('boilerplate specs'!#REF!,"AAAAAAvP/Fc=")</f>
        <v>#REF!</v>
      </c>
      <c r="CK29" t="e">
        <f>AND('boilerplate specs'!#REF!,"AAAAAAvP/Fg=")</f>
        <v>#REF!</v>
      </c>
      <c r="CL29" t="e">
        <f>AND('boilerplate specs'!#REF!,"AAAAAAvP/Fk=")</f>
        <v>#REF!</v>
      </c>
      <c r="CM29" t="e">
        <f>AND('boilerplate specs'!#REF!,"AAAAAAvP/Fo=")</f>
        <v>#REF!</v>
      </c>
      <c r="CN29" t="e">
        <f>AND('boilerplate specs'!#REF!,"AAAAAAvP/Fs=")</f>
        <v>#REF!</v>
      </c>
      <c r="CO29" t="e">
        <f>AND('boilerplate specs'!#REF!,"AAAAAAvP/Fw=")</f>
        <v>#REF!</v>
      </c>
      <c r="CP29" t="e">
        <f>AND('boilerplate specs'!#REF!,"AAAAAAvP/F0=")</f>
        <v>#REF!</v>
      </c>
      <c r="CQ29" t="e">
        <f>AND('boilerplate specs'!#REF!,"AAAAAAvP/F4=")</f>
        <v>#REF!</v>
      </c>
      <c r="CR29" t="e">
        <f>AND('boilerplate specs'!#REF!,"AAAAAAvP/F8=")</f>
        <v>#REF!</v>
      </c>
      <c r="CS29" t="e">
        <f>AND('boilerplate specs'!#REF!,"AAAAAAvP/GA=")</f>
        <v>#REF!</v>
      </c>
      <c r="CT29" t="e">
        <f>AND('boilerplate specs'!#REF!,"AAAAAAvP/GE=")</f>
        <v>#REF!</v>
      </c>
      <c r="CU29" t="e">
        <f>AND('boilerplate specs'!#REF!,"AAAAAAvP/GI=")</f>
        <v>#REF!</v>
      </c>
      <c r="CV29" t="e">
        <f>AND('boilerplate specs'!#REF!,"AAAAAAvP/GM=")</f>
        <v>#REF!</v>
      </c>
      <c r="CW29" t="e">
        <f>AND('boilerplate specs'!#REF!,"AAAAAAvP/GQ=")</f>
        <v>#REF!</v>
      </c>
      <c r="CX29" t="e">
        <f>AND('boilerplate specs'!#REF!,"AAAAAAvP/GU=")</f>
        <v>#REF!</v>
      </c>
      <c r="CY29" t="e">
        <f>AND('boilerplate specs'!#REF!,"AAAAAAvP/GY=")</f>
        <v>#REF!</v>
      </c>
      <c r="CZ29" t="e">
        <f>AND('boilerplate specs'!#REF!,"AAAAAAvP/Gc=")</f>
        <v>#REF!</v>
      </c>
      <c r="DA29" t="e">
        <f>AND('boilerplate specs'!#REF!,"AAAAAAvP/Gg=")</f>
        <v>#REF!</v>
      </c>
      <c r="DB29">
        <f>IF('boilerplate specs'!160:160,"AAAAAAvP/Gk=",0)</f>
        <v>0</v>
      </c>
      <c r="DC29" t="e">
        <f>AND('boilerplate specs'!A160,"AAAAAAvP/Go=")</f>
        <v>#VALUE!</v>
      </c>
      <c r="DD29" t="e">
        <f>AND('boilerplate specs'!B160,"AAAAAAvP/Gs=")</f>
        <v>#VALUE!</v>
      </c>
      <c r="DE29" t="e">
        <f>AND('boilerplate specs'!C160,"AAAAAAvP/Gw=")</f>
        <v>#VALUE!</v>
      </c>
      <c r="DF29" t="e">
        <f>AND('boilerplate specs'!D160,"AAAAAAvP/G0=")</f>
        <v>#VALUE!</v>
      </c>
      <c r="DG29" t="e">
        <f>AND('boilerplate specs'!E160,"AAAAAAvP/G4=")</f>
        <v>#VALUE!</v>
      </c>
      <c r="DH29" t="e">
        <f>AND('boilerplate specs'!F160,"AAAAAAvP/G8=")</f>
        <v>#VALUE!</v>
      </c>
      <c r="DI29" t="e">
        <f>AND('boilerplate specs'!G160,"AAAAAAvP/HA=")</f>
        <v>#VALUE!</v>
      </c>
      <c r="DJ29" t="e">
        <f>AND('boilerplate specs'!H160,"AAAAAAvP/HE=")</f>
        <v>#VALUE!</v>
      </c>
      <c r="DK29" t="e">
        <f>AND('boilerplate specs'!I160,"AAAAAAvP/HI=")</f>
        <v>#VALUE!</v>
      </c>
      <c r="DL29" t="e">
        <f>AND('boilerplate specs'!J160,"AAAAAAvP/HM=")</f>
        <v>#VALUE!</v>
      </c>
      <c r="DM29" t="e">
        <f>AND('boilerplate specs'!#REF!,"AAAAAAvP/HQ=")</f>
        <v>#REF!</v>
      </c>
      <c r="DN29" t="e">
        <f>AND('boilerplate specs'!#REF!,"AAAAAAvP/HU=")</f>
        <v>#REF!</v>
      </c>
      <c r="DO29" t="e">
        <f>AND('boilerplate specs'!#REF!,"AAAAAAvP/HY=")</f>
        <v>#REF!</v>
      </c>
      <c r="DP29" t="e">
        <f>AND('boilerplate specs'!#REF!,"AAAAAAvP/Hc=")</f>
        <v>#REF!</v>
      </c>
      <c r="DQ29" t="e">
        <f>AND('boilerplate specs'!#REF!,"AAAAAAvP/Hg=")</f>
        <v>#REF!</v>
      </c>
      <c r="DR29" t="e">
        <f>AND('boilerplate specs'!#REF!,"AAAAAAvP/Hk=")</f>
        <v>#REF!</v>
      </c>
      <c r="DS29" t="e">
        <f>AND('boilerplate specs'!#REF!,"AAAAAAvP/Ho=")</f>
        <v>#REF!</v>
      </c>
      <c r="DT29" t="e">
        <f>AND('boilerplate specs'!#REF!,"AAAAAAvP/Hs=")</f>
        <v>#REF!</v>
      </c>
      <c r="DU29" t="e">
        <f>AND('boilerplate specs'!#REF!,"AAAAAAvP/Hw=")</f>
        <v>#REF!</v>
      </c>
      <c r="DV29" t="e">
        <f>AND('boilerplate specs'!#REF!,"AAAAAAvP/H0=")</f>
        <v>#REF!</v>
      </c>
      <c r="DW29" t="e">
        <f>AND('boilerplate specs'!#REF!,"AAAAAAvP/H4=")</f>
        <v>#REF!</v>
      </c>
      <c r="DX29" t="e">
        <f>AND('boilerplate specs'!#REF!,"AAAAAAvP/H8=")</f>
        <v>#REF!</v>
      </c>
      <c r="DY29" t="e">
        <f>AND('boilerplate specs'!#REF!,"AAAAAAvP/IA=")</f>
        <v>#REF!</v>
      </c>
      <c r="DZ29" t="e">
        <f>AND('boilerplate specs'!#REF!,"AAAAAAvP/IE=")</f>
        <v>#REF!</v>
      </c>
      <c r="EA29" t="e">
        <f>AND('boilerplate specs'!#REF!,"AAAAAAvP/II=")</f>
        <v>#REF!</v>
      </c>
      <c r="EB29" t="e">
        <f>AND('boilerplate specs'!#REF!,"AAAAAAvP/IM=")</f>
        <v>#REF!</v>
      </c>
      <c r="EC29" t="e">
        <f>AND('boilerplate specs'!#REF!,"AAAAAAvP/IQ=")</f>
        <v>#REF!</v>
      </c>
      <c r="ED29" t="e">
        <f>AND('boilerplate specs'!#REF!,"AAAAAAvP/IU=")</f>
        <v>#REF!</v>
      </c>
      <c r="EE29" t="e">
        <f>AND('boilerplate specs'!#REF!,"AAAAAAvP/IY=")</f>
        <v>#REF!</v>
      </c>
      <c r="EF29" t="e">
        <f>AND('boilerplate specs'!#REF!,"AAAAAAvP/Ic=")</f>
        <v>#REF!</v>
      </c>
      <c r="EG29" t="e">
        <f>AND('boilerplate specs'!#REF!,"AAAAAAvP/Ig=")</f>
        <v>#REF!</v>
      </c>
      <c r="EH29" t="e">
        <f>AND('boilerplate specs'!#REF!,"AAAAAAvP/Ik=")</f>
        <v>#REF!</v>
      </c>
      <c r="EI29">
        <f>IF('boilerplate specs'!161:161,"AAAAAAvP/Io=",0)</f>
        <v>0</v>
      </c>
      <c r="EJ29" t="e">
        <f>AND('boilerplate specs'!A161,"AAAAAAvP/Is=")</f>
        <v>#VALUE!</v>
      </c>
      <c r="EK29" t="e">
        <f>AND('boilerplate specs'!B161,"AAAAAAvP/Iw=")</f>
        <v>#VALUE!</v>
      </c>
      <c r="EL29" t="e">
        <f>AND('boilerplate specs'!C161,"AAAAAAvP/I0=")</f>
        <v>#VALUE!</v>
      </c>
      <c r="EM29" t="e">
        <f>AND('boilerplate specs'!D161,"AAAAAAvP/I4=")</f>
        <v>#VALUE!</v>
      </c>
      <c r="EN29" t="e">
        <f>AND('boilerplate specs'!E161,"AAAAAAvP/I8=")</f>
        <v>#VALUE!</v>
      </c>
      <c r="EO29" t="e">
        <f>AND('boilerplate specs'!F161,"AAAAAAvP/JA=")</f>
        <v>#VALUE!</v>
      </c>
      <c r="EP29" t="e">
        <f>AND('boilerplate specs'!G161,"AAAAAAvP/JE=")</f>
        <v>#VALUE!</v>
      </c>
      <c r="EQ29" t="e">
        <f>AND('boilerplate specs'!H161,"AAAAAAvP/JI=")</f>
        <v>#VALUE!</v>
      </c>
      <c r="ER29" t="e">
        <f>AND('boilerplate specs'!I161,"AAAAAAvP/JM=")</f>
        <v>#VALUE!</v>
      </c>
      <c r="ES29" t="e">
        <f>AND('boilerplate specs'!J161,"AAAAAAvP/JQ=")</f>
        <v>#VALUE!</v>
      </c>
      <c r="ET29" t="e">
        <f>AND('boilerplate specs'!#REF!,"AAAAAAvP/JU=")</f>
        <v>#REF!</v>
      </c>
      <c r="EU29" t="e">
        <f>AND('boilerplate specs'!#REF!,"AAAAAAvP/JY=")</f>
        <v>#REF!</v>
      </c>
      <c r="EV29" t="e">
        <f>AND('boilerplate specs'!#REF!,"AAAAAAvP/Jc=")</f>
        <v>#REF!</v>
      </c>
      <c r="EW29" t="e">
        <f>AND('boilerplate specs'!#REF!,"AAAAAAvP/Jg=")</f>
        <v>#REF!</v>
      </c>
      <c r="EX29" t="e">
        <f>AND('boilerplate specs'!#REF!,"AAAAAAvP/Jk=")</f>
        <v>#REF!</v>
      </c>
      <c r="EY29" t="e">
        <f>AND('boilerplate specs'!#REF!,"AAAAAAvP/Jo=")</f>
        <v>#REF!</v>
      </c>
      <c r="EZ29" t="e">
        <f>AND('boilerplate specs'!#REF!,"AAAAAAvP/Js=")</f>
        <v>#REF!</v>
      </c>
      <c r="FA29" t="e">
        <f>AND('boilerplate specs'!#REF!,"AAAAAAvP/Jw=")</f>
        <v>#REF!</v>
      </c>
      <c r="FB29" t="e">
        <f>AND('boilerplate specs'!#REF!,"AAAAAAvP/J0=")</f>
        <v>#REF!</v>
      </c>
      <c r="FC29" t="e">
        <f>AND('boilerplate specs'!#REF!,"AAAAAAvP/J4=")</f>
        <v>#REF!</v>
      </c>
      <c r="FD29" t="e">
        <f>AND('boilerplate specs'!#REF!,"AAAAAAvP/J8=")</f>
        <v>#REF!</v>
      </c>
      <c r="FE29" t="e">
        <f>AND('boilerplate specs'!#REF!,"AAAAAAvP/KA=")</f>
        <v>#REF!</v>
      </c>
      <c r="FF29" t="e">
        <f>AND('boilerplate specs'!#REF!,"AAAAAAvP/KE=")</f>
        <v>#REF!</v>
      </c>
      <c r="FG29" t="e">
        <f>AND('boilerplate specs'!#REF!,"AAAAAAvP/KI=")</f>
        <v>#REF!</v>
      </c>
      <c r="FH29" t="e">
        <f>AND('boilerplate specs'!#REF!,"AAAAAAvP/KM=")</f>
        <v>#REF!</v>
      </c>
      <c r="FI29" t="e">
        <f>AND('boilerplate specs'!#REF!,"AAAAAAvP/KQ=")</f>
        <v>#REF!</v>
      </c>
      <c r="FJ29" t="e">
        <f>AND('boilerplate specs'!#REF!,"AAAAAAvP/KU=")</f>
        <v>#REF!</v>
      </c>
      <c r="FK29" t="e">
        <f>AND('boilerplate specs'!#REF!,"AAAAAAvP/KY=")</f>
        <v>#REF!</v>
      </c>
      <c r="FL29" t="e">
        <f>AND('boilerplate specs'!#REF!,"AAAAAAvP/Kc=")</f>
        <v>#REF!</v>
      </c>
      <c r="FM29" t="e">
        <f>AND('boilerplate specs'!#REF!,"AAAAAAvP/Kg=")</f>
        <v>#REF!</v>
      </c>
      <c r="FN29" t="e">
        <f>AND('boilerplate specs'!#REF!,"AAAAAAvP/Kk=")</f>
        <v>#REF!</v>
      </c>
      <c r="FO29" t="e">
        <f>AND('boilerplate specs'!#REF!,"AAAAAAvP/Ko=")</f>
        <v>#REF!</v>
      </c>
      <c r="FP29">
        <f>IF('boilerplate specs'!162:162,"AAAAAAvP/Ks=",0)</f>
        <v>0</v>
      </c>
      <c r="FQ29" t="e">
        <f>AND('boilerplate specs'!A162,"AAAAAAvP/Kw=")</f>
        <v>#VALUE!</v>
      </c>
      <c r="FR29" t="e">
        <f>AND('boilerplate specs'!B162,"AAAAAAvP/K0=")</f>
        <v>#VALUE!</v>
      </c>
      <c r="FS29" t="e">
        <f>AND('boilerplate specs'!C162,"AAAAAAvP/K4=")</f>
        <v>#VALUE!</v>
      </c>
      <c r="FT29" t="e">
        <f>AND('boilerplate specs'!D162,"AAAAAAvP/K8=")</f>
        <v>#VALUE!</v>
      </c>
      <c r="FU29" t="e">
        <f>AND('boilerplate specs'!E162,"AAAAAAvP/LA=")</f>
        <v>#VALUE!</v>
      </c>
      <c r="FV29" t="e">
        <f>AND('boilerplate specs'!F162,"AAAAAAvP/LE=")</f>
        <v>#VALUE!</v>
      </c>
      <c r="FW29" t="e">
        <f>AND('boilerplate specs'!G162,"AAAAAAvP/LI=")</f>
        <v>#VALUE!</v>
      </c>
      <c r="FX29" t="e">
        <f>AND('boilerplate specs'!H162,"AAAAAAvP/LM=")</f>
        <v>#VALUE!</v>
      </c>
      <c r="FY29" t="e">
        <f>AND('boilerplate specs'!I162,"AAAAAAvP/LQ=")</f>
        <v>#VALUE!</v>
      </c>
      <c r="FZ29" t="e">
        <f>AND('boilerplate specs'!J162,"AAAAAAvP/LU=")</f>
        <v>#VALUE!</v>
      </c>
      <c r="GA29" t="e">
        <f>AND('boilerplate specs'!#REF!,"AAAAAAvP/LY=")</f>
        <v>#REF!</v>
      </c>
      <c r="GB29" t="e">
        <f>AND('boilerplate specs'!#REF!,"AAAAAAvP/Lc=")</f>
        <v>#REF!</v>
      </c>
      <c r="GC29" t="e">
        <f>AND('boilerplate specs'!#REF!,"AAAAAAvP/Lg=")</f>
        <v>#REF!</v>
      </c>
      <c r="GD29" t="e">
        <f>AND('boilerplate specs'!#REF!,"AAAAAAvP/Lk=")</f>
        <v>#REF!</v>
      </c>
      <c r="GE29" t="e">
        <f>AND('boilerplate specs'!#REF!,"AAAAAAvP/Lo=")</f>
        <v>#REF!</v>
      </c>
      <c r="GF29" t="e">
        <f>AND('boilerplate specs'!#REF!,"AAAAAAvP/Ls=")</f>
        <v>#REF!</v>
      </c>
      <c r="GG29" t="e">
        <f>AND('boilerplate specs'!#REF!,"AAAAAAvP/Lw=")</f>
        <v>#REF!</v>
      </c>
      <c r="GH29" t="e">
        <f>AND('boilerplate specs'!#REF!,"AAAAAAvP/L0=")</f>
        <v>#REF!</v>
      </c>
      <c r="GI29" t="e">
        <f>AND('boilerplate specs'!#REF!,"AAAAAAvP/L4=")</f>
        <v>#REF!</v>
      </c>
      <c r="GJ29" t="e">
        <f>AND('boilerplate specs'!#REF!,"AAAAAAvP/L8=")</f>
        <v>#REF!</v>
      </c>
      <c r="GK29" t="e">
        <f>AND('boilerplate specs'!#REF!,"AAAAAAvP/MA=")</f>
        <v>#REF!</v>
      </c>
      <c r="GL29" t="e">
        <f>AND('boilerplate specs'!#REF!,"AAAAAAvP/ME=")</f>
        <v>#REF!</v>
      </c>
      <c r="GM29" t="e">
        <f>AND('boilerplate specs'!#REF!,"AAAAAAvP/MI=")</f>
        <v>#REF!</v>
      </c>
      <c r="GN29" t="e">
        <f>AND('boilerplate specs'!#REF!,"AAAAAAvP/MM=")</f>
        <v>#REF!</v>
      </c>
      <c r="GO29" t="e">
        <f>AND('boilerplate specs'!#REF!,"AAAAAAvP/MQ=")</f>
        <v>#REF!</v>
      </c>
      <c r="GP29" t="e">
        <f>AND('boilerplate specs'!#REF!,"AAAAAAvP/MU=")</f>
        <v>#REF!</v>
      </c>
      <c r="GQ29" t="e">
        <f>AND('boilerplate specs'!#REF!,"AAAAAAvP/MY=")</f>
        <v>#REF!</v>
      </c>
      <c r="GR29" t="e">
        <f>AND('boilerplate specs'!#REF!,"AAAAAAvP/Mc=")</f>
        <v>#REF!</v>
      </c>
      <c r="GS29" t="e">
        <f>AND('boilerplate specs'!#REF!,"AAAAAAvP/Mg=")</f>
        <v>#REF!</v>
      </c>
      <c r="GT29" t="e">
        <f>AND('boilerplate specs'!#REF!,"AAAAAAvP/Mk=")</f>
        <v>#REF!</v>
      </c>
      <c r="GU29" t="e">
        <f>AND('boilerplate specs'!#REF!,"AAAAAAvP/Mo=")</f>
        <v>#REF!</v>
      </c>
      <c r="GV29" t="e">
        <f>AND('boilerplate specs'!#REF!,"AAAAAAvP/Ms=")</f>
        <v>#REF!</v>
      </c>
      <c r="GW29">
        <f>IF('boilerplate specs'!163:163,"AAAAAAvP/Mw=",0)</f>
        <v>0</v>
      </c>
      <c r="GX29" t="e">
        <f>AND('boilerplate specs'!A163,"AAAAAAvP/M0=")</f>
        <v>#VALUE!</v>
      </c>
      <c r="GY29" t="e">
        <f>AND('boilerplate specs'!B163,"AAAAAAvP/M4=")</f>
        <v>#VALUE!</v>
      </c>
      <c r="GZ29" t="e">
        <f>AND('boilerplate specs'!C163,"AAAAAAvP/M8=")</f>
        <v>#VALUE!</v>
      </c>
      <c r="HA29" t="e">
        <f>AND('boilerplate specs'!D163,"AAAAAAvP/NA=")</f>
        <v>#VALUE!</v>
      </c>
      <c r="HB29" t="e">
        <f>AND('boilerplate specs'!E163,"AAAAAAvP/NE=")</f>
        <v>#VALUE!</v>
      </c>
      <c r="HC29" t="e">
        <f>AND('boilerplate specs'!F163,"AAAAAAvP/NI=")</f>
        <v>#VALUE!</v>
      </c>
      <c r="HD29" t="e">
        <f>AND('boilerplate specs'!G163,"AAAAAAvP/NM=")</f>
        <v>#VALUE!</v>
      </c>
      <c r="HE29" t="e">
        <f>AND('boilerplate specs'!H163,"AAAAAAvP/NQ=")</f>
        <v>#VALUE!</v>
      </c>
      <c r="HF29" t="e">
        <f>AND('boilerplate specs'!I163,"AAAAAAvP/NU=")</f>
        <v>#VALUE!</v>
      </c>
      <c r="HG29" t="e">
        <f>AND('boilerplate specs'!J163,"AAAAAAvP/NY=")</f>
        <v>#VALUE!</v>
      </c>
      <c r="HH29" t="e">
        <f>AND('boilerplate specs'!#REF!,"AAAAAAvP/Nc=")</f>
        <v>#REF!</v>
      </c>
      <c r="HI29" t="e">
        <f>AND('boilerplate specs'!#REF!,"AAAAAAvP/Ng=")</f>
        <v>#REF!</v>
      </c>
      <c r="HJ29" t="e">
        <f>AND('boilerplate specs'!#REF!,"AAAAAAvP/Nk=")</f>
        <v>#REF!</v>
      </c>
      <c r="HK29" t="e">
        <f>AND('boilerplate specs'!#REF!,"AAAAAAvP/No=")</f>
        <v>#REF!</v>
      </c>
      <c r="HL29" t="e">
        <f>AND('boilerplate specs'!#REF!,"AAAAAAvP/Ns=")</f>
        <v>#REF!</v>
      </c>
      <c r="HM29" t="e">
        <f>AND('boilerplate specs'!#REF!,"AAAAAAvP/Nw=")</f>
        <v>#REF!</v>
      </c>
      <c r="HN29" t="e">
        <f>AND('boilerplate specs'!#REF!,"AAAAAAvP/N0=")</f>
        <v>#REF!</v>
      </c>
      <c r="HO29" t="e">
        <f>AND('boilerplate specs'!#REF!,"AAAAAAvP/N4=")</f>
        <v>#REF!</v>
      </c>
      <c r="HP29" t="e">
        <f>AND('boilerplate specs'!#REF!,"AAAAAAvP/N8=")</f>
        <v>#REF!</v>
      </c>
      <c r="HQ29" t="e">
        <f>AND('boilerplate specs'!#REF!,"AAAAAAvP/OA=")</f>
        <v>#REF!</v>
      </c>
      <c r="HR29" t="e">
        <f>AND('boilerplate specs'!#REF!,"AAAAAAvP/OE=")</f>
        <v>#REF!</v>
      </c>
      <c r="HS29" t="e">
        <f>AND('boilerplate specs'!#REF!,"AAAAAAvP/OI=")</f>
        <v>#REF!</v>
      </c>
      <c r="HT29" t="e">
        <f>AND('boilerplate specs'!#REF!,"AAAAAAvP/OM=")</f>
        <v>#REF!</v>
      </c>
      <c r="HU29" t="e">
        <f>AND('boilerplate specs'!#REF!,"AAAAAAvP/OQ=")</f>
        <v>#REF!</v>
      </c>
      <c r="HV29" t="e">
        <f>AND('boilerplate specs'!#REF!,"AAAAAAvP/OU=")</f>
        <v>#REF!</v>
      </c>
      <c r="HW29" t="e">
        <f>AND('boilerplate specs'!#REF!,"AAAAAAvP/OY=")</f>
        <v>#REF!</v>
      </c>
      <c r="HX29" t="e">
        <f>AND('boilerplate specs'!#REF!,"AAAAAAvP/Oc=")</f>
        <v>#REF!</v>
      </c>
      <c r="HY29" t="e">
        <f>AND('boilerplate specs'!#REF!,"AAAAAAvP/Og=")</f>
        <v>#REF!</v>
      </c>
      <c r="HZ29" t="e">
        <f>AND('boilerplate specs'!#REF!,"AAAAAAvP/Ok=")</f>
        <v>#REF!</v>
      </c>
      <c r="IA29" t="e">
        <f>AND('boilerplate specs'!#REF!,"AAAAAAvP/Oo=")</f>
        <v>#REF!</v>
      </c>
      <c r="IB29" t="e">
        <f>AND('boilerplate specs'!#REF!,"AAAAAAvP/Os=")</f>
        <v>#REF!</v>
      </c>
      <c r="IC29" t="e">
        <f>AND('boilerplate specs'!#REF!,"AAAAAAvP/Ow=")</f>
        <v>#REF!</v>
      </c>
      <c r="ID29">
        <f>IF('boilerplate specs'!164:164,"AAAAAAvP/O0=",0)</f>
        <v>0</v>
      </c>
      <c r="IE29" t="e">
        <f>AND('boilerplate specs'!A164,"AAAAAAvP/O4=")</f>
        <v>#VALUE!</v>
      </c>
      <c r="IF29" t="e">
        <f>AND('boilerplate specs'!B164,"AAAAAAvP/O8=")</f>
        <v>#VALUE!</v>
      </c>
      <c r="IG29" t="e">
        <f>AND('boilerplate specs'!C164,"AAAAAAvP/PA=")</f>
        <v>#VALUE!</v>
      </c>
      <c r="IH29" t="e">
        <f>AND('boilerplate specs'!D164,"AAAAAAvP/PE=")</f>
        <v>#VALUE!</v>
      </c>
      <c r="II29" t="e">
        <f>AND('boilerplate specs'!E164,"AAAAAAvP/PI=")</f>
        <v>#VALUE!</v>
      </c>
      <c r="IJ29" t="e">
        <f>AND('boilerplate specs'!F164,"AAAAAAvP/PM=")</f>
        <v>#VALUE!</v>
      </c>
      <c r="IK29" t="e">
        <f>AND('boilerplate specs'!G164,"AAAAAAvP/PQ=")</f>
        <v>#VALUE!</v>
      </c>
      <c r="IL29" t="e">
        <f>AND('boilerplate specs'!H164,"AAAAAAvP/PU=")</f>
        <v>#VALUE!</v>
      </c>
      <c r="IM29" t="e">
        <f>AND('boilerplate specs'!I164,"AAAAAAvP/PY=")</f>
        <v>#VALUE!</v>
      </c>
      <c r="IN29" t="e">
        <f>AND('boilerplate specs'!J164,"AAAAAAvP/Pc=")</f>
        <v>#VALUE!</v>
      </c>
      <c r="IO29" t="e">
        <f>AND('boilerplate specs'!#REF!,"AAAAAAvP/Pg=")</f>
        <v>#REF!</v>
      </c>
      <c r="IP29" t="e">
        <f>AND('boilerplate specs'!#REF!,"AAAAAAvP/Pk=")</f>
        <v>#REF!</v>
      </c>
      <c r="IQ29" t="e">
        <f>AND('boilerplate specs'!#REF!,"AAAAAAvP/Po=")</f>
        <v>#REF!</v>
      </c>
      <c r="IR29" t="e">
        <f>AND('boilerplate specs'!#REF!,"AAAAAAvP/Ps=")</f>
        <v>#REF!</v>
      </c>
      <c r="IS29" t="e">
        <f>AND('boilerplate specs'!#REF!,"AAAAAAvP/Pw=")</f>
        <v>#REF!</v>
      </c>
      <c r="IT29" t="e">
        <f>AND('boilerplate specs'!#REF!,"AAAAAAvP/P0=")</f>
        <v>#REF!</v>
      </c>
      <c r="IU29" t="e">
        <f>AND('boilerplate specs'!#REF!,"AAAAAAvP/P4=")</f>
        <v>#REF!</v>
      </c>
      <c r="IV29" t="e">
        <f>AND('boilerplate specs'!#REF!,"AAAAAAvP/P8=")</f>
        <v>#REF!</v>
      </c>
    </row>
    <row r="30" spans="1:256" x14ac:dyDescent="0.35">
      <c r="A30" t="e">
        <f>AND('boilerplate specs'!#REF!,"AAAAAG//qwA=")</f>
        <v>#REF!</v>
      </c>
      <c r="B30" t="e">
        <f>AND('boilerplate specs'!#REF!,"AAAAAG//qwE=")</f>
        <v>#REF!</v>
      </c>
      <c r="C30" t="e">
        <f>AND('boilerplate specs'!#REF!,"AAAAAG//qwI=")</f>
        <v>#REF!</v>
      </c>
      <c r="D30" t="e">
        <f>AND('boilerplate specs'!#REF!,"AAAAAG//qwM=")</f>
        <v>#REF!</v>
      </c>
      <c r="E30" t="e">
        <f>AND('boilerplate specs'!#REF!,"AAAAAG//qwQ=")</f>
        <v>#REF!</v>
      </c>
      <c r="F30" t="e">
        <f>AND('boilerplate specs'!#REF!,"AAAAAG//qwU=")</f>
        <v>#REF!</v>
      </c>
      <c r="G30" t="e">
        <f>AND('boilerplate specs'!#REF!,"AAAAAG//qwY=")</f>
        <v>#REF!</v>
      </c>
      <c r="H30" t="e">
        <f>AND('boilerplate specs'!#REF!,"AAAAAG//qwc=")</f>
        <v>#REF!</v>
      </c>
      <c r="I30" t="e">
        <f>AND('boilerplate specs'!#REF!,"AAAAAG//qwg=")</f>
        <v>#REF!</v>
      </c>
      <c r="J30" t="e">
        <f>AND('boilerplate specs'!#REF!,"AAAAAG//qwk=")</f>
        <v>#REF!</v>
      </c>
      <c r="K30" t="e">
        <f>AND('boilerplate specs'!#REF!,"AAAAAG//qwo=")</f>
        <v>#REF!</v>
      </c>
      <c r="L30" t="e">
        <f>AND('boilerplate specs'!#REF!,"AAAAAG//qws=")</f>
        <v>#REF!</v>
      </c>
      <c r="M30" t="e">
        <f>AND('boilerplate specs'!#REF!,"AAAAAG//qww=")</f>
        <v>#REF!</v>
      </c>
      <c r="N30" t="e">
        <f>AND('boilerplate specs'!#REF!,"AAAAAG//qw0=")</f>
        <v>#REF!</v>
      </c>
      <c r="O30">
        <f>IF('boilerplate specs'!165:165,"AAAAAG//qw4=",0)</f>
        <v>0</v>
      </c>
      <c r="P30" t="e">
        <f>AND('boilerplate specs'!A165,"AAAAAG//qw8=")</f>
        <v>#VALUE!</v>
      </c>
      <c r="Q30" t="e">
        <f>AND('boilerplate specs'!B165,"AAAAAG//qxA=")</f>
        <v>#VALUE!</v>
      </c>
      <c r="R30" t="e">
        <f>AND('boilerplate specs'!C165,"AAAAAG//qxE=")</f>
        <v>#VALUE!</v>
      </c>
      <c r="S30" t="e">
        <f>AND('boilerplate specs'!D165,"AAAAAG//qxI=")</f>
        <v>#VALUE!</v>
      </c>
      <c r="T30" t="e">
        <f>AND('boilerplate specs'!E165,"AAAAAG//qxM=")</f>
        <v>#VALUE!</v>
      </c>
      <c r="U30" t="e">
        <f>AND('boilerplate specs'!F165,"AAAAAG//qxQ=")</f>
        <v>#VALUE!</v>
      </c>
      <c r="V30" t="e">
        <f>AND('boilerplate specs'!G165,"AAAAAG//qxU=")</f>
        <v>#VALUE!</v>
      </c>
      <c r="W30" t="e">
        <f>AND('boilerplate specs'!H165,"AAAAAG//qxY=")</f>
        <v>#VALUE!</v>
      </c>
      <c r="X30" t="e">
        <f>AND('boilerplate specs'!I165,"AAAAAG//qxc=")</f>
        <v>#VALUE!</v>
      </c>
      <c r="Y30" t="e">
        <f>AND('boilerplate specs'!J165,"AAAAAG//qxg=")</f>
        <v>#VALUE!</v>
      </c>
      <c r="Z30" t="e">
        <f>AND('boilerplate specs'!#REF!,"AAAAAG//qxk=")</f>
        <v>#REF!</v>
      </c>
      <c r="AA30" t="e">
        <f>AND('boilerplate specs'!#REF!,"AAAAAG//qxo=")</f>
        <v>#REF!</v>
      </c>
      <c r="AB30" t="e">
        <f>AND('boilerplate specs'!#REF!,"AAAAAG//qxs=")</f>
        <v>#REF!</v>
      </c>
      <c r="AC30" t="e">
        <f>AND('boilerplate specs'!#REF!,"AAAAAG//qxw=")</f>
        <v>#REF!</v>
      </c>
      <c r="AD30" t="e">
        <f>AND('boilerplate specs'!#REF!,"AAAAAG//qx0=")</f>
        <v>#REF!</v>
      </c>
      <c r="AE30" t="e">
        <f>AND('boilerplate specs'!#REF!,"AAAAAG//qx4=")</f>
        <v>#REF!</v>
      </c>
      <c r="AF30" t="e">
        <f>AND('boilerplate specs'!#REF!,"AAAAAG//qx8=")</f>
        <v>#REF!</v>
      </c>
      <c r="AG30" t="e">
        <f>AND('boilerplate specs'!#REF!,"AAAAAG//qyA=")</f>
        <v>#REF!</v>
      </c>
      <c r="AH30" t="e">
        <f>AND('boilerplate specs'!#REF!,"AAAAAG//qyE=")</f>
        <v>#REF!</v>
      </c>
      <c r="AI30" t="e">
        <f>AND('boilerplate specs'!#REF!,"AAAAAG//qyI=")</f>
        <v>#REF!</v>
      </c>
      <c r="AJ30" t="e">
        <f>AND('boilerplate specs'!#REF!,"AAAAAG//qyM=")</f>
        <v>#REF!</v>
      </c>
      <c r="AK30" t="e">
        <f>AND('boilerplate specs'!#REF!,"AAAAAG//qyQ=")</f>
        <v>#REF!</v>
      </c>
      <c r="AL30" t="e">
        <f>AND('boilerplate specs'!#REF!,"AAAAAG//qyU=")</f>
        <v>#REF!</v>
      </c>
      <c r="AM30" t="e">
        <f>AND('boilerplate specs'!#REF!,"AAAAAG//qyY=")</f>
        <v>#REF!</v>
      </c>
      <c r="AN30" t="e">
        <f>AND('boilerplate specs'!#REF!,"AAAAAG//qyc=")</f>
        <v>#REF!</v>
      </c>
      <c r="AO30" t="e">
        <f>AND('boilerplate specs'!#REF!,"AAAAAG//qyg=")</f>
        <v>#REF!</v>
      </c>
      <c r="AP30" t="e">
        <f>AND('boilerplate specs'!#REF!,"AAAAAG//qyk=")</f>
        <v>#REF!</v>
      </c>
      <c r="AQ30" t="e">
        <f>AND('boilerplate specs'!#REF!,"AAAAAG//qyo=")</f>
        <v>#REF!</v>
      </c>
      <c r="AR30" t="e">
        <f>AND('boilerplate specs'!#REF!,"AAAAAG//qys=")</f>
        <v>#REF!</v>
      </c>
      <c r="AS30" t="e">
        <f>AND('boilerplate specs'!#REF!,"AAAAAG//qyw=")</f>
        <v>#REF!</v>
      </c>
      <c r="AT30" t="e">
        <f>AND('boilerplate specs'!#REF!,"AAAAAG//qy0=")</f>
        <v>#REF!</v>
      </c>
      <c r="AU30" t="e">
        <f>AND('boilerplate specs'!#REF!,"AAAAAG//qy4=")</f>
        <v>#REF!</v>
      </c>
      <c r="AV30">
        <f>IF('boilerplate specs'!166:166,"AAAAAG//qy8=",0)</f>
        <v>0</v>
      </c>
      <c r="AW30" t="e">
        <f>AND('boilerplate specs'!A166,"AAAAAG//qzA=")</f>
        <v>#VALUE!</v>
      </c>
      <c r="AX30" t="e">
        <f>AND('boilerplate specs'!B166,"AAAAAG//qzE=")</f>
        <v>#VALUE!</v>
      </c>
      <c r="AY30" t="e">
        <f>AND('boilerplate specs'!C166,"AAAAAG//qzI=")</f>
        <v>#VALUE!</v>
      </c>
      <c r="AZ30" t="e">
        <f>AND('boilerplate specs'!D166,"AAAAAG//qzM=")</f>
        <v>#VALUE!</v>
      </c>
      <c r="BA30" t="e">
        <f>AND('boilerplate specs'!E166,"AAAAAG//qzQ=")</f>
        <v>#VALUE!</v>
      </c>
      <c r="BB30" t="e">
        <f>AND('boilerplate specs'!F166,"AAAAAG//qzU=")</f>
        <v>#VALUE!</v>
      </c>
      <c r="BC30" t="e">
        <f>AND('boilerplate specs'!G166,"AAAAAG//qzY=")</f>
        <v>#VALUE!</v>
      </c>
      <c r="BD30" t="e">
        <f>AND('boilerplate specs'!H166,"AAAAAG//qzc=")</f>
        <v>#VALUE!</v>
      </c>
      <c r="BE30" t="e">
        <f>AND('boilerplate specs'!I166,"AAAAAG//qzg=")</f>
        <v>#VALUE!</v>
      </c>
      <c r="BF30" t="e">
        <f>AND('boilerplate specs'!J166,"AAAAAG//qzk=")</f>
        <v>#VALUE!</v>
      </c>
      <c r="BG30" t="e">
        <f>AND('boilerplate specs'!#REF!,"AAAAAG//qzo=")</f>
        <v>#REF!</v>
      </c>
      <c r="BH30" t="e">
        <f>AND('boilerplate specs'!#REF!,"AAAAAG//qzs=")</f>
        <v>#REF!</v>
      </c>
      <c r="BI30" t="e">
        <f>AND('boilerplate specs'!#REF!,"AAAAAG//qzw=")</f>
        <v>#REF!</v>
      </c>
      <c r="BJ30" t="e">
        <f>AND('boilerplate specs'!#REF!,"AAAAAG//qz0=")</f>
        <v>#REF!</v>
      </c>
      <c r="BK30" t="e">
        <f>AND('boilerplate specs'!#REF!,"AAAAAG//qz4=")</f>
        <v>#REF!</v>
      </c>
      <c r="BL30" t="e">
        <f>AND('boilerplate specs'!#REF!,"AAAAAG//qz8=")</f>
        <v>#REF!</v>
      </c>
      <c r="BM30" t="e">
        <f>AND('boilerplate specs'!#REF!,"AAAAAG//q0A=")</f>
        <v>#REF!</v>
      </c>
      <c r="BN30" t="e">
        <f>AND('boilerplate specs'!#REF!,"AAAAAG//q0E=")</f>
        <v>#REF!</v>
      </c>
      <c r="BO30" t="e">
        <f>AND('boilerplate specs'!#REF!,"AAAAAG//q0I=")</f>
        <v>#REF!</v>
      </c>
      <c r="BP30" t="e">
        <f>AND('boilerplate specs'!#REF!,"AAAAAG//q0M=")</f>
        <v>#REF!</v>
      </c>
      <c r="BQ30" t="e">
        <f>AND('boilerplate specs'!#REF!,"AAAAAG//q0Q=")</f>
        <v>#REF!</v>
      </c>
      <c r="BR30" t="e">
        <f>AND('boilerplate specs'!#REF!,"AAAAAG//q0U=")</f>
        <v>#REF!</v>
      </c>
      <c r="BS30" t="e">
        <f>AND('boilerplate specs'!#REF!,"AAAAAG//q0Y=")</f>
        <v>#REF!</v>
      </c>
      <c r="BT30" t="e">
        <f>AND('boilerplate specs'!#REF!,"AAAAAG//q0c=")</f>
        <v>#REF!</v>
      </c>
      <c r="BU30" t="e">
        <f>AND('boilerplate specs'!#REF!,"AAAAAG//q0g=")</f>
        <v>#REF!</v>
      </c>
      <c r="BV30" t="e">
        <f>AND('boilerplate specs'!#REF!,"AAAAAG//q0k=")</f>
        <v>#REF!</v>
      </c>
      <c r="BW30" t="e">
        <f>AND('boilerplate specs'!#REF!,"AAAAAG//q0o=")</f>
        <v>#REF!</v>
      </c>
      <c r="BX30" t="e">
        <f>AND('boilerplate specs'!#REF!,"AAAAAG//q0s=")</f>
        <v>#REF!</v>
      </c>
      <c r="BY30" t="e">
        <f>AND('boilerplate specs'!#REF!,"AAAAAG//q0w=")</f>
        <v>#REF!</v>
      </c>
      <c r="BZ30" t="e">
        <f>AND('boilerplate specs'!#REF!,"AAAAAG//q00=")</f>
        <v>#REF!</v>
      </c>
      <c r="CA30" t="e">
        <f>AND('boilerplate specs'!#REF!,"AAAAAG//q04=")</f>
        <v>#REF!</v>
      </c>
      <c r="CB30" t="e">
        <f>AND('boilerplate specs'!#REF!,"AAAAAG//q08=")</f>
        <v>#REF!</v>
      </c>
      <c r="CC30">
        <f>IF('boilerplate specs'!167:167,"AAAAAG//q1A=",0)</f>
        <v>0</v>
      </c>
      <c r="CD30" t="e">
        <f>AND('boilerplate specs'!A167,"AAAAAG//q1E=")</f>
        <v>#VALUE!</v>
      </c>
      <c r="CE30" t="e">
        <f>AND('boilerplate specs'!B167,"AAAAAG//q1I=")</f>
        <v>#VALUE!</v>
      </c>
      <c r="CF30" t="e">
        <f>AND('boilerplate specs'!C167,"AAAAAG//q1M=")</f>
        <v>#VALUE!</v>
      </c>
      <c r="CG30" t="e">
        <f>AND('boilerplate specs'!D167,"AAAAAG//q1Q=")</f>
        <v>#VALUE!</v>
      </c>
      <c r="CH30" t="e">
        <f>AND('boilerplate specs'!E167,"AAAAAG//q1U=")</f>
        <v>#VALUE!</v>
      </c>
      <c r="CI30" t="e">
        <f>AND('boilerplate specs'!F167,"AAAAAG//q1Y=")</f>
        <v>#VALUE!</v>
      </c>
      <c r="CJ30" t="e">
        <f>AND('boilerplate specs'!G167,"AAAAAG//q1c=")</f>
        <v>#VALUE!</v>
      </c>
      <c r="CK30" t="e">
        <f>AND('boilerplate specs'!H167,"AAAAAG//q1g=")</f>
        <v>#VALUE!</v>
      </c>
      <c r="CL30" t="e">
        <f>AND('boilerplate specs'!I167,"AAAAAG//q1k=")</f>
        <v>#VALUE!</v>
      </c>
      <c r="CM30" t="e">
        <f>AND('boilerplate specs'!J167,"AAAAAG//q1o=")</f>
        <v>#VALUE!</v>
      </c>
      <c r="CN30" t="e">
        <f>AND('boilerplate specs'!#REF!,"AAAAAG//q1s=")</f>
        <v>#REF!</v>
      </c>
      <c r="CO30" t="e">
        <f>AND('boilerplate specs'!#REF!,"AAAAAG//q1w=")</f>
        <v>#REF!</v>
      </c>
      <c r="CP30" t="e">
        <f>AND('boilerplate specs'!#REF!,"AAAAAG//q10=")</f>
        <v>#REF!</v>
      </c>
      <c r="CQ30" t="e">
        <f>AND('boilerplate specs'!#REF!,"AAAAAG//q14=")</f>
        <v>#REF!</v>
      </c>
      <c r="CR30" t="e">
        <f>AND('boilerplate specs'!#REF!,"AAAAAG//q18=")</f>
        <v>#REF!</v>
      </c>
      <c r="CS30" t="e">
        <f>AND('boilerplate specs'!#REF!,"AAAAAG//q2A=")</f>
        <v>#REF!</v>
      </c>
      <c r="CT30" t="e">
        <f>AND('boilerplate specs'!#REF!,"AAAAAG//q2E=")</f>
        <v>#REF!</v>
      </c>
      <c r="CU30" t="e">
        <f>AND('boilerplate specs'!#REF!,"AAAAAG//q2I=")</f>
        <v>#REF!</v>
      </c>
      <c r="CV30" t="e">
        <f>AND('boilerplate specs'!#REF!,"AAAAAG//q2M=")</f>
        <v>#REF!</v>
      </c>
      <c r="CW30" t="e">
        <f>AND('boilerplate specs'!#REF!,"AAAAAG//q2Q=")</f>
        <v>#REF!</v>
      </c>
      <c r="CX30" t="e">
        <f>AND('boilerplate specs'!#REF!,"AAAAAG//q2U=")</f>
        <v>#REF!</v>
      </c>
      <c r="CY30" t="e">
        <f>AND('boilerplate specs'!#REF!,"AAAAAG//q2Y=")</f>
        <v>#REF!</v>
      </c>
      <c r="CZ30" t="e">
        <f>AND('boilerplate specs'!#REF!,"AAAAAG//q2c=")</f>
        <v>#REF!</v>
      </c>
      <c r="DA30" t="e">
        <f>AND('boilerplate specs'!#REF!,"AAAAAG//q2g=")</f>
        <v>#REF!</v>
      </c>
      <c r="DB30" t="e">
        <f>AND('boilerplate specs'!#REF!,"AAAAAG//q2k=")</f>
        <v>#REF!</v>
      </c>
      <c r="DC30" t="e">
        <f>AND('boilerplate specs'!#REF!,"AAAAAG//q2o=")</f>
        <v>#REF!</v>
      </c>
      <c r="DD30" t="e">
        <f>AND('boilerplate specs'!#REF!,"AAAAAG//q2s=")</f>
        <v>#REF!</v>
      </c>
      <c r="DE30" t="e">
        <f>AND('boilerplate specs'!#REF!,"AAAAAG//q2w=")</f>
        <v>#REF!</v>
      </c>
      <c r="DF30" t="e">
        <f>AND('boilerplate specs'!#REF!,"AAAAAG//q20=")</f>
        <v>#REF!</v>
      </c>
      <c r="DG30" t="e">
        <f>AND('boilerplate specs'!#REF!,"AAAAAG//q24=")</f>
        <v>#REF!</v>
      </c>
      <c r="DH30" t="e">
        <f>AND('boilerplate specs'!#REF!,"AAAAAG//q28=")</f>
        <v>#REF!</v>
      </c>
      <c r="DI30" t="e">
        <f>AND('boilerplate specs'!#REF!,"AAAAAG//q3A=")</f>
        <v>#REF!</v>
      </c>
      <c r="DJ30">
        <f>IF('boilerplate specs'!168:168,"AAAAAG//q3E=",0)</f>
        <v>0</v>
      </c>
      <c r="DK30" t="e">
        <f>AND('boilerplate specs'!A168,"AAAAAG//q3I=")</f>
        <v>#VALUE!</v>
      </c>
      <c r="DL30" t="e">
        <f>AND('boilerplate specs'!B168,"AAAAAG//q3M=")</f>
        <v>#VALUE!</v>
      </c>
      <c r="DM30" t="e">
        <f>AND('boilerplate specs'!C168,"AAAAAG//q3Q=")</f>
        <v>#VALUE!</v>
      </c>
      <c r="DN30" t="e">
        <f>AND('boilerplate specs'!D168,"AAAAAG//q3U=")</f>
        <v>#VALUE!</v>
      </c>
      <c r="DO30" t="e">
        <f>AND('boilerplate specs'!E168,"AAAAAG//q3Y=")</f>
        <v>#VALUE!</v>
      </c>
      <c r="DP30" t="e">
        <f>AND('boilerplate specs'!F168,"AAAAAG//q3c=")</f>
        <v>#VALUE!</v>
      </c>
      <c r="DQ30" t="e">
        <f>AND('boilerplate specs'!G168,"AAAAAG//q3g=")</f>
        <v>#VALUE!</v>
      </c>
      <c r="DR30" t="e">
        <f>AND('boilerplate specs'!H168,"AAAAAG//q3k=")</f>
        <v>#VALUE!</v>
      </c>
      <c r="DS30" t="e">
        <f>AND('boilerplate specs'!I168,"AAAAAG//q3o=")</f>
        <v>#VALUE!</v>
      </c>
      <c r="DT30" t="e">
        <f>AND('boilerplate specs'!J168,"AAAAAG//q3s=")</f>
        <v>#VALUE!</v>
      </c>
      <c r="DU30" t="e">
        <f>AND('boilerplate specs'!#REF!,"AAAAAG//q3w=")</f>
        <v>#REF!</v>
      </c>
      <c r="DV30" t="e">
        <f>AND('boilerplate specs'!#REF!,"AAAAAG//q30=")</f>
        <v>#REF!</v>
      </c>
      <c r="DW30" t="e">
        <f>AND('boilerplate specs'!#REF!,"AAAAAG//q34=")</f>
        <v>#REF!</v>
      </c>
      <c r="DX30" t="e">
        <f>AND('boilerplate specs'!#REF!,"AAAAAG//q38=")</f>
        <v>#REF!</v>
      </c>
      <c r="DY30" t="e">
        <f>AND('boilerplate specs'!#REF!,"AAAAAG//q4A=")</f>
        <v>#REF!</v>
      </c>
      <c r="DZ30" t="e">
        <f>AND('boilerplate specs'!#REF!,"AAAAAG//q4E=")</f>
        <v>#REF!</v>
      </c>
      <c r="EA30" t="e">
        <f>AND('boilerplate specs'!#REF!,"AAAAAG//q4I=")</f>
        <v>#REF!</v>
      </c>
      <c r="EB30" t="e">
        <f>AND('boilerplate specs'!#REF!,"AAAAAG//q4M=")</f>
        <v>#REF!</v>
      </c>
      <c r="EC30" t="e">
        <f>AND('boilerplate specs'!#REF!,"AAAAAG//q4Q=")</f>
        <v>#REF!</v>
      </c>
      <c r="ED30" t="e">
        <f>AND('boilerplate specs'!#REF!,"AAAAAG//q4U=")</f>
        <v>#REF!</v>
      </c>
      <c r="EE30" t="e">
        <f>AND('boilerplate specs'!#REF!,"AAAAAG//q4Y=")</f>
        <v>#REF!</v>
      </c>
      <c r="EF30" t="e">
        <f>AND('boilerplate specs'!#REF!,"AAAAAG//q4c=")</f>
        <v>#REF!</v>
      </c>
      <c r="EG30" t="e">
        <f>AND('boilerplate specs'!#REF!,"AAAAAG//q4g=")</f>
        <v>#REF!</v>
      </c>
      <c r="EH30" t="e">
        <f>AND('boilerplate specs'!#REF!,"AAAAAG//q4k=")</f>
        <v>#REF!</v>
      </c>
      <c r="EI30" t="e">
        <f>AND('boilerplate specs'!#REF!,"AAAAAG//q4o=")</f>
        <v>#REF!</v>
      </c>
      <c r="EJ30" t="e">
        <f>AND('boilerplate specs'!#REF!,"AAAAAG//q4s=")</f>
        <v>#REF!</v>
      </c>
      <c r="EK30" t="e">
        <f>AND('boilerplate specs'!#REF!,"AAAAAG//q4w=")</f>
        <v>#REF!</v>
      </c>
      <c r="EL30" t="e">
        <f>AND('boilerplate specs'!#REF!,"AAAAAG//q40=")</f>
        <v>#REF!</v>
      </c>
      <c r="EM30" t="e">
        <f>AND('boilerplate specs'!#REF!,"AAAAAG//q44=")</f>
        <v>#REF!</v>
      </c>
      <c r="EN30" t="e">
        <f>AND('boilerplate specs'!#REF!,"AAAAAG//q48=")</f>
        <v>#REF!</v>
      </c>
      <c r="EO30" t="e">
        <f>AND('boilerplate specs'!#REF!,"AAAAAG//q5A=")</f>
        <v>#REF!</v>
      </c>
      <c r="EP30" t="e">
        <f>AND('boilerplate specs'!#REF!,"AAAAAG//q5E=")</f>
        <v>#REF!</v>
      </c>
      <c r="EQ30">
        <f>IF('boilerplate specs'!169:169,"AAAAAG//q5I=",0)</f>
        <v>0</v>
      </c>
      <c r="ER30" t="e">
        <f>AND('boilerplate specs'!A169,"AAAAAG//q5M=")</f>
        <v>#VALUE!</v>
      </c>
      <c r="ES30" t="e">
        <f>AND('boilerplate specs'!B169,"AAAAAG//q5Q=")</f>
        <v>#VALUE!</v>
      </c>
      <c r="ET30" t="e">
        <f>AND('boilerplate specs'!C169,"AAAAAG//q5U=")</f>
        <v>#VALUE!</v>
      </c>
      <c r="EU30" t="e">
        <f>AND('boilerplate specs'!D169,"AAAAAG//q5Y=")</f>
        <v>#VALUE!</v>
      </c>
      <c r="EV30" t="e">
        <f>AND('boilerplate specs'!E169,"AAAAAG//q5c=")</f>
        <v>#VALUE!</v>
      </c>
      <c r="EW30" t="e">
        <f>AND('boilerplate specs'!F169,"AAAAAG//q5g=")</f>
        <v>#VALUE!</v>
      </c>
      <c r="EX30" t="e">
        <f>AND('boilerplate specs'!G169,"AAAAAG//q5k=")</f>
        <v>#VALUE!</v>
      </c>
      <c r="EY30" t="e">
        <f>AND('boilerplate specs'!H169,"AAAAAG//q5o=")</f>
        <v>#VALUE!</v>
      </c>
      <c r="EZ30" t="e">
        <f>AND('boilerplate specs'!I169,"AAAAAG//q5s=")</f>
        <v>#VALUE!</v>
      </c>
      <c r="FA30" t="e">
        <f>AND('boilerplate specs'!J169,"AAAAAG//q5w=")</f>
        <v>#VALUE!</v>
      </c>
      <c r="FB30" t="e">
        <f>AND('boilerplate specs'!#REF!,"AAAAAG//q50=")</f>
        <v>#REF!</v>
      </c>
      <c r="FC30" t="e">
        <f>AND('boilerplate specs'!#REF!,"AAAAAG//q54=")</f>
        <v>#REF!</v>
      </c>
      <c r="FD30" t="e">
        <f>AND('boilerplate specs'!#REF!,"AAAAAG//q58=")</f>
        <v>#REF!</v>
      </c>
      <c r="FE30" t="e">
        <f>AND('boilerplate specs'!#REF!,"AAAAAG//q6A=")</f>
        <v>#REF!</v>
      </c>
      <c r="FF30" t="e">
        <f>AND('boilerplate specs'!#REF!,"AAAAAG//q6E=")</f>
        <v>#REF!</v>
      </c>
      <c r="FG30" t="e">
        <f>AND('boilerplate specs'!#REF!,"AAAAAG//q6I=")</f>
        <v>#REF!</v>
      </c>
      <c r="FH30" t="e">
        <f>AND('boilerplate specs'!#REF!,"AAAAAG//q6M=")</f>
        <v>#REF!</v>
      </c>
      <c r="FI30" t="e">
        <f>AND('boilerplate specs'!#REF!,"AAAAAG//q6Q=")</f>
        <v>#REF!</v>
      </c>
      <c r="FJ30" t="e">
        <f>AND('boilerplate specs'!#REF!,"AAAAAG//q6U=")</f>
        <v>#REF!</v>
      </c>
      <c r="FK30" t="e">
        <f>AND('boilerplate specs'!#REF!,"AAAAAG//q6Y=")</f>
        <v>#REF!</v>
      </c>
      <c r="FL30" t="e">
        <f>AND('boilerplate specs'!#REF!,"AAAAAG//q6c=")</f>
        <v>#REF!</v>
      </c>
      <c r="FM30" t="e">
        <f>AND('boilerplate specs'!#REF!,"AAAAAG//q6g=")</f>
        <v>#REF!</v>
      </c>
      <c r="FN30" t="e">
        <f>AND('boilerplate specs'!#REF!,"AAAAAG//q6k=")</f>
        <v>#REF!</v>
      </c>
      <c r="FO30" t="e">
        <f>AND('boilerplate specs'!#REF!,"AAAAAG//q6o=")</f>
        <v>#REF!</v>
      </c>
      <c r="FP30" t="e">
        <f>AND('boilerplate specs'!#REF!,"AAAAAG//q6s=")</f>
        <v>#REF!</v>
      </c>
      <c r="FQ30" t="e">
        <f>AND('boilerplate specs'!#REF!,"AAAAAG//q6w=")</f>
        <v>#REF!</v>
      </c>
      <c r="FR30" t="e">
        <f>AND('boilerplate specs'!#REF!,"AAAAAG//q60=")</f>
        <v>#REF!</v>
      </c>
      <c r="FS30" t="e">
        <f>AND('boilerplate specs'!#REF!,"AAAAAG//q64=")</f>
        <v>#REF!</v>
      </c>
      <c r="FT30" t="e">
        <f>AND('boilerplate specs'!#REF!,"AAAAAG//q68=")</f>
        <v>#REF!</v>
      </c>
      <c r="FU30" t="e">
        <f>AND('boilerplate specs'!#REF!,"AAAAAG//q7A=")</f>
        <v>#REF!</v>
      </c>
      <c r="FV30" t="e">
        <f>AND('boilerplate specs'!#REF!,"AAAAAG//q7E=")</f>
        <v>#REF!</v>
      </c>
      <c r="FW30" t="e">
        <f>AND('boilerplate specs'!#REF!,"AAAAAG//q7I=")</f>
        <v>#REF!</v>
      </c>
      <c r="FX30">
        <f>IF('boilerplate specs'!170:170,"AAAAAG//q7M=",0)</f>
        <v>0</v>
      </c>
      <c r="FY30" t="e">
        <f>AND('boilerplate specs'!A170,"AAAAAG//q7Q=")</f>
        <v>#VALUE!</v>
      </c>
      <c r="FZ30" t="e">
        <f>AND('boilerplate specs'!B170,"AAAAAG//q7U=")</f>
        <v>#VALUE!</v>
      </c>
      <c r="GA30" t="e">
        <f>AND('boilerplate specs'!C170,"AAAAAG//q7Y=")</f>
        <v>#VALUE!</v>
      </c>
      <c r="GB30" t="e">
        <f>AND('boilerplate specs'!D170,"AAAAAG//q7c=")</f>
        <v>#VALUE!</v>
      </c>
      <c r="GC30" t="e">
        <f>AND('boilerplate specs'!E170,"AAAAAG//q7g=")</f>
        <v>#VALUE!</v>
      </c>
      <c r="GD30" t="e">
        <f>AND('boilerplate specs'!F170,"AAAAAG//q7k=")</f>
        <v>#VALUE!</v>
      </c>
      <c r="GE30" t="e">
        <f>AND('boilerplate specs'!G170,"AAAAAG//q7o=")</f>
        <v>#VALUE!</v>
      </c>
      <c r="GF30" t="e">
        <f>AND('boilerplate specs'!H170,"AAAAAG//q7s=")</f>
        <v>#VALUE!</v>
      </c>
      <c r="GG30" t="e">
        <f>AND('boilerplate specs'!I170,"AAAAAG//q7w=")</f>
        <v>#VALUE!</v>
      </c>
      <c r="GH30" t="e">
        <f>AND('boilerplate specs'!J170,"AAAAAG//q70=")</f>
        <v>#VALUE!</v>
      </c>
      <c r="GI30" t="e">
        <f>AND('boilerplate specs'!#REF!,"AAAAAG//q74=")</f>
        <v>#REF!</v>
      </c>
      <c r="GJ30" t="e">
        <f>AND('boilerplate specs'!#REF!,"AAAAAG//q78=")</f>
        <v>#REF!</v>
      </c>
      <c r="GK30" t="e">
        <f>AND('boilerplate specs'!#REF!,"AAAAAG//q8A=")</f>
        <v>#REF!</v>
      </c>
      <c r="GL30" t="e">
        <f>AND('boilerplate specs'!#REF!,"AAAAAG//q8E=")</f>
        <v>#REF!</v>
      </c>
      <c r="GM30" t="e">
        <f>AND('boilerplate specs'!#REF!,"AAAAAG//q8I=")</f>
        <v>#REF!</v>
      </c>
      <c r="GN30" t="e">
        <f>AND('boilerplate specs'!#REF!,"AAAAAG//q8M=")</f>
        <v>#REF!</v>
      </c>
      <c r="GO30" t="e">
        <f>AND('boilerplate specs'!#REF!,"AAAAAG//q8Q=")</f>
        <v>#REF!</v>
      </c>
      <c r="GP30" t="e">
        <f>AND('boilerplate specs'!#REF!,"AAAAAG//q8U=")</f>
        <v>#REF!</v>
      </c>
      <c r="GQ30" t="e">
        <f>AND('boilerplate specs'!#REF!,"AAAAAG//q8Y=")</f>
        <v>#REF!</v>
      </c>
      <c r="GR30" t="e">
        <f>AND('boilerplate specs'!#REF!,"AAAAAG//q8c=")</f>
        <v>#REF!</v>
      </c>
      <c r="GS30" t="e">
        <f>AND('boilerplate specs'!#REF!,"AAAAAG//q8g=")</f>
        <v>#REF!</v>
      </c>
      <c r="GT30" t="e">
        <f>AND('boilerplate specs'!#REF!,"AAAAAG//q8k=")</f>
        <v>#REF!</v>
      </c>
      <c r="GU30" t="e">
        <f>AND('boilerplate specs'!#REF!,"AAAAAG//q8o=")</f>
        <v>#REF!</v>
      </c>
      <c r="GV30" t="e">
        <f>AND('boilerplate specs'!#REF!,"AAAAAG//q8s=")</f>
        <v>#REF!</v>
      </c>
      <c r="GW30" t="e">
        <f>AND('boilerplate specs'!#REF!,"AAAAAG//q8w=")</f>
        <v>#REF!</v>
      </c>
      <c r="GX30" t="e">
        <f>AND('boilerplate specs'!#REF!,"AAAAAG//q80=")</f>
        <v>#REF!</v>
      </c>
      <c r="GY30" t="e">
        <f>AND('boilerplate specs'!#REF!,"AAAAAG//q84=")</f>
        <v>#REF!</v>
      </c>
      <c r="GZ30" t="e">
        <f>AND('boilerplate specs'!#REF!,"AAAAAG//q88=")</f>
        <v>#REF!</v>
      </c>
      <c r="HA30" t="e">
        <f>AND('boilerplate specs'!#REF!,"AAAAAG//q9A=")</f>
        <v>#REF!</v>
      </c>
      <c r="HB30" t="e">
        <f>AND('boilerplate specs'!#REF!,"AAAAAG//q9E=")</f>
        <v>#REF!</v>
      </c>
      <c r="HC30" t="e">
        <f>AND('boilerplate specs'!#REF!,"AAAAAG//q9I=")</f>
        <v>#REF!</v>
      </c>
      <c r="HD30" t="e">
        <f>AND('boilerplate specs'!#REF!,"AAAAAG//q9M=")</f>
        <v>#REF!</v>
      </c>
      <c r="HE30">
        <f>IF('boilerplate specs'!171:171,"AAAAAG//q9Q=",0)</f>
        <v>0</v>
      </c>
      <c r="HF30" t="e">
        <f>AND('boilerplate specs'!A171,"AAAAAG//q9U=")</f>
        <v>#VALUE!</v>
      </c>
      <c r="HG30" t="e">
        <f>AND('boilerplate specs'!B171,"AAAAAG//q9Y=")</f>
        <v>#VALUE!</v>
      </c>
      <c r="HH30" t="e">
        <f>AND('boilerplate specs'!C171,"AAAAAG//q9c=")</f>
        <v>#VALUE!</v>
      </c>
      <c r="HI30" t="e">
        <f>AND('boilerplate specs'!D171,"AAAAAG//q9g=")</f>
        <v>#VALUE!</v>
      </c>
      <c r="HJ30" t="e">
        <f>AND('boilerplate specs'!E171,"AAAAAG//q9k=")</f>
        <v>#VALUE!</v>
      </c>
      <c r="HK30" t="e">
        <f>AND('boilerplate specs'!F171,"AAAAAG//q9o=")</f>
        <v>#VALUE!</v>
      </c>
      <c r="HL30" t="e">
        <f>AND('boilerplate specs'!G171,"AAAAAG//q9s=")</f>
        <v>#VALUE!</v>
      </c>
      <c r="HM30" t="e">
        <f>AND('boilerplate specs'!H171,"AAAAAG//q9w=")</f>
        <v>#VALUE!</v>
      </c>
      <c r="HN30" t="e">
        <f>AND('boilerplate specs'!I171,"AAAAAG//q90=")</f>
        <v>#VALUE!</v>
      </c>
      <c r="HO30" t="e">
        <f>AND('boilerplate specs'!J171,"AAAAAG//q94=")</f>
        <v>#VALUE!</v>
      </c>
      <c r="HP30" t="e">
        <f>AND('boilerplate specs'!#REF!,"AAAAAG//q98=")</f>
        <v>#REF!</v>
      </c>
      <c r="HQ30" t="e">
        <f>AND('boilerplate specs'!#REF!,"AAAAAG//q+A=")</f>
        <v>#REF!</v>
      </c>
      <c r="HR30" t="e">
        <f>AND('boilerplate specs'!#REF!,"AAAAAG//q+E=")</f>
        <v>#REF!</v>
      </c>
      <c r="HS30" t="e">
        <f>AND('boilerplate specs'!#REF!,"AAAAAG//q+I=")</f>
        <v>#REF!</v>
      </c>
      <c r="HT30" t="e">
        <f>AND('boilerplate specs'!#REF!,"AAAAAG//q+M=")</f>
        <v>#REF!</v>
      </c>
      <c r="HU30" t="e">
        <f>AND('boilerplate specs'!#REF!,"AAAAAG//q+Q=")</f>
        <v>#REF!</v>
      </c>
      <c r="HV30" t="e">
        <f>AND('boilerplate specs'!#REF!,"AAAAAG//q+U=")</f>
        <v>#REF!</v>
      </c>
      <c r="HW30" t="e">
        <f>AND('boilerplate specs'!#REF!,"AAAAAG//q+Y=")</f>
        <v>#REF!</v>
      </c>
      <c r="HX30" t="e">
        <f>AND('boilerplate specs'!#REF!,"AAAAAG//q+c=")</f>
        <v>#REF!</v>
      </c>
      <c r="HY30" t="e">
        <f>AND('boilerplate specs'!#REF!,"AAAAAG//q+g=")</f>
        <v>#REF!</v>
      </c>
      <c r="HZ30" t="e">
        <f>AND('boilerplate specs'!#REF!,"AAAAAG//q+k=")</f>
        <v>#REF!</v>
      </c>
      <c r="IA30" t="e">
        <f>AND('boilerplate specs'!#REF!,"AAAAAG//q+o=")</f>
        <v>#REF!</v>
      </c>
      <c r="IB30" t="e">
        <f>AND('boilerplate specs'!#REF!,"AAAAAG//q+s=")</f>
        <v>#REF!</v>
      </c>
      <c r="IC30" t="e">
        <f>AND('boilerplate specs'!#REF!,"AAAAAG//q+w=")</f>
        <v>#REF!</v>
      </c>
      <c r="ID30" t="e">
        <f>AND('boilerplate specs'!#REF!,"AAAAAG//q+0=")</f>
        <v>#REF!</v>
      </c>
      <c r="IE30" t="e">
        <f>AND('boilerplate specs'!#REF!,"AAAAAG//q+4=")</f>
        <v>#REF!</v>
      </c>
      <c r="IF30" t="e">
        <f>AND('boilerplate specs'!#REF!,"AAAAAG//q+8=")</f>
        <v>#REF!</v>
      </c>
      <c r="IG30" t="e">
        <f>AND('boilerplate specs'!#REF!,"AAAAAG//q/A=")</f>
        <v>#REF!</v>
      </c>
      <c r="IH30" t="e">
        <f>AND('boilerplate specs'!#REF!,"AAAAAG//q/E=")</f>
        <v>#REF!</v>
      </c>
      <c r="II30" t="e">
        <f>AND('boilerplate specs'!#REF!,"AAAAAG//q/I=")</f>
        <v>#REF!</v>
      </c>
      <c r="IJ30" t="e">
        <f>AND('boilerplate specs'!#REF!,"AAAAAG//q/M=")</f>
        <v>#REF!</v>
      </c>
      <c r="IK30" t="e">
        <f>AND('boilerplate specs'!#REF!,"AAAAAG//q/Q=")</f>
        <v>#REF!</v>
      </c>
      <c r="IL30">
        <f>IF('boilerplate specs'!172:172,"AAAAAG//q/U=",0)</f>
        <v>0</v>
      </c>
      <c r="IM30" t="e">
        <f>AND('boilerplate specs'!A172,"AAAAAG//q/Y=")</f>
        <v>#VALUE!</v>
      </c>
      <c r="IN30" t="e">
        <f>AND('boilerplate specs'!B172,"AAAAAG//q/c=")</f>
        <v>#VALUE!</v>
      </c>
      <c r="IO30" t="e">
        <f>AND('boilerplate specs'!C172,"AAAAAG//q/g=")</f>
        <v>#VALUE!</v>
      </c>
      <c r="IP30" t="e">
        <f>AND('boilerplate specs'!D172,"AAAAAG//q/k=")</f>
        <v>#VALUE!</v>
      </c>
      <c r="IQ30" t="e">
        <f>AND('boilerplate specs'!E172,"AAAAAG//q/o=")</f>
        <v>#VALUE!</v>
      </c>
      <c r="IR30" t="e">
        <f>AND('boilerplate specs'!F172,"AAAAAG//q/s=")</f>
        <v>#VALUE!</v>
      </c>
      <c r="IS30" t="e">
        <f>AND('boilerplate specs'!G172,"AAAAAG//q/w=")</f>
        <v>#VALUE!</v>
      </c>
      <c r="IT30" t="e">
        <f>AND('boilerplate specs'!H172,"AAAAAG//q/0=")</f>
        <v>#VALUE!</v>
      </c>
      <c r="IU30" t="e">
        <f>AND('boilerplate specs'!I172,"AAAAAG//q/4=")</f>
        <v>#VALUE!</v>
      </c>
      <c r="IV30" t="e">
        <f>AND('boilerplate specs'!J172,"AAAAAG//q/8=")</f>
        <v>#VALUE!</v>
      </c>
    </row>
    <row r="31" spans="1:256" x14ac:dyDescent="0.35">
      <c r="A31" t="e">
        <f>AND('boilerplate specs'!#REF!,"AAAAAHv8+wA=")</f>
        <v>#REF!</v>
      </c>
      <c r="B31" t="e">
        <f>AND('boilerplate specs'!#REF!,"AAAAAHv8+wE=")</f>
        <v>#REF!</v>
      </c>
      <c r="C31" t="e">
        <f>AND('boilerplate specs'!#REF!,"AAAAAHv8+wI=")</f>
        <v>#REF!</v>
      </c>
      <c r="D31" t="e">
        <f>AND('boilerplate specs'!#REF!,"AAAAAHv8+wM=")</f>
        <v>#REF!</v>
      </c>
      <c r="E31" t="e">
        <f>AND('boilerplate specs'!#REF!,"AAAAAHv8+wQ=")</f>
        <v>#REF!</v>
      </c>
      <c r="F31" t="e">
        <f>AND('boilerplate specs'!#REF!,"AAAAAHv8+wU=")</f>
        <v>#REF!</v>
      </c>
      <c r="G31" t="e">
        <f>AND('boilerplate specs'!#REF!,"AAAAAHv8+wY=")</f>
        <v>#REF!</v>
      </c>
      <c r="H31" t="e">
        <f>AND('boilerplate specs'!#REF!,"AAAAAHv8+wc=")</f>
        <v>#REF!</v>
      </c>
      <c r="I31" t="e">
        <f>AND('boilerplate specs'!#REF!,"AAAAAHv8+wg=")</f>
        <v>#REF!</v>
      </c>
      <c r="J31" t="e">
        <f>AND('boilerplate specs'!#REF!,"AAAAAHv8+wk=")</f>
        <v>#REF!</v>
      </c>
      <c r="K31" t="e">
        <f>AND('boilerplate specs'!#REF!,"AAAAAHv8+wo=")</f>
        <v>#REF!</v>
      </c>
      <c r="L31" t="e">
        <f>AND('boilerplate specs'!#REF!,"AAAAAHv8+ws=")</f>
        <v>#REF!</v>
      </c>
      <c r="M31" t="e">
        <f>AND('boilerplate specs'!#REF!,"AAAAAHv8+ww=")</f>
        <v>#REF!</v>
      </c>
      <c r="N31" t="e">
        <f>AND('boilerplate specs'!#REF!,"AAAAAHv8+w0=")</f>
        <v>#REF!</v>
      </c>
      <c r="O31" t="e">
        <f>AND('boilerplate specs'!#REF!,"AAAAAHv8+w4=")</f>
        <v>#REF!</v>
      </c>
      <c r="P31" t="e">
        <f>AND('boilerplate specs'!#REF!,"AAAAAHv8+w8=")</f>
        <v>#REF!</v>
      </c>
      <c r="Q31" t="e">
        <f>AND('boilerplate specs'!#REF!,"AAAAAHv8+xA=")</f>
        <v>#REF!</v>
      </c>
      <c r="R31" t="e">
        <f>AND('boilerplate specs'!#REF!,"AAAAAHv8+xE=")</f>
        <v>#REF!</v>
      </c>
      <c r="S31" t="e">
        <f>AND('boilerplate specs'!#REF!,"AAAAAHv8+xI=")</f>
        <v>#REF!</v>
      </c>
      <c r="T31" t="e">
        <f>AND('boilerplate specs'!#REF!,"AAAAAHv8+xM=")</f>
        <v>#REF!</v>
      </c>
      <c r="U31" t="e">
        <f>AND('boilerplate specs'!#REF!,"AAAAAHv8+xQ=")</f>
        <v>#REF!</v>
      </c>
      <c r="V31" t="e">
        <f>AND('boilerplate specs'!#REF!,"AAAAAHv8+xU=")</f>
        <v>#REF!</v>
      </c>
      <c r="W31">
        <f>IF('boilerplate specs'!173:173,"AAAAAHv8+xY=",0)</f>
        <v>0</v>
      </c>
      <c r="X31" t="e">
        <f>AND('boilerplate specs'!A173,"AAAAAHv8+xc=")</f>
        <v>#VALUE!</v>
      </c>
      <c r="Y31" t="e">
        <f>AND('boilerplate specs'!B173,"AAAAAHv8+xg=")</f>
        <v>#VALUE!</v>
      </c>
      <c r="Z31" t="e">
        <f>AND('boilerplate specs'!C173,"AAAAAHv8+xk=")</f>
        <v>#VALUE!</v>
      </c>
      <c r="AA31" t="e">
        <f>AND('boilerplate specs'!D173,"AAAAAHv8+xo=")</f>
        <v>#VALUE!</v>
      </c>
      <c r="AB31" t="e">
        <f>AND('boilerplate specs'!E173,"AAAAAHv8+xs=")</f>
        <v>#VALUE!</v>
      </c>
      <c r="AC31" t="e">
        <f>AND('boilerplate specs'!F173,"AAAAAHv8+xw=")</f>
        <v>#VALUE!</v>
      </c>
      <c r="AD31" t="e">
        <f>AND('boilerplate specs'!G173,"AAAAAHv8+x0=")</f>
        <v>#VALUE!</v>
      </c>
      <c r="AE31" t="e">
        <f>AND('boilerplate specs'!H173,"AAAAAHv8+x4=")</f>
        <v>#VALUE!</v>
      </c>
      <c r="AF31" t="e">
        <f>AND('boilerplate specs'!I173,"AAAAAHv8+x8=")</f>
        <v>#VALUE!</v>
      </c>
      <c r="AG31" t="e">
        <f>AND('boilerplate specs'!J173,"AAAAAHv8+yA=")</f>
        <v>#VALUE!</v>
      </c>
      <c r="AH31" t="e">
        <f>AND('boilerplate specs'!#REF!,"AAAAAHv8+yE=")</f>
        <v>#REF!</v>
      </c>
      <c r="AI31" t="e">
        <f>AND('boilerplate specs'!#REF!,"AAAAAHv8+yI=")</f>
        <v>#REF!</v>
      </c>
      <c r="AJ31" t="e">
        <f>AND('boilerplate specs'!#REF!,"AAAAAHv8+yM=")</f>
        <v>#REF!</v>
      </c>
      <c r="AK31" t="e">
        <f>AND('boilerplate specs'!#REF!,"AAAAAHv8+yQ=")</f>
        <v>#REF!</v>
      </c>
      <c r="AL31" t="e">
        <f>AND('boilerplate specs'!#REF!,"AAAAAHv8+yU=")</f>
        <v>#REF!</v>
      </c>
      <c r="AM31" t="e">
        <f>AND('boilerplate specs'!#REF!,"AAAAAHv8+yY=")</f>
        <v>#REF!</v>
      </c>
      <c r="AN31" t="e">
        <f>AND('boilerplate specs'!#REF!,"AAAAAHv8+yc=")</f>
        <v>#REF!</v>
      </c>
      <c r="AO31" t="e">
        <f>AND('boilerplate specs'!#REF!,"AAAAAHv8+yg=")</f>
        <v>#REF!</v>
      </c>
      <c r="AP31" t="e">
        <f>AND('boilerplate specs'!#REF!,"AAAAAHv8+yk=")</f>
        <v>#REF!</v>
      </c>
      <c r="AQ31" t="e">
        <f>AND('boilerplate specs'!#REF!,"AAAAAHv8+yo=")</f>
        <v>#REF!</v>
      </c>
      <c r="AR31" t="e">
        <f>AND('boilerplate specs'!#REF!,"AAAAAHv8+ys=")</f>
        <v>#REF!</v>
      </c>
      <c r="AS31" t="e">
        <f>AND('boilerplate specs'!#REF!,"AAAAAHv8+yw=")</f>
        <v>#REF!</v>
      </c>
      <c r="AT31" t="e">
        <f>AND('boilerplate specs'!#REF!,"AAAAAHv8+y0=")</f>
        <v>#REF!</v>
      </c>
      <c r="AU31" t="e">
        <f>AND('boilerplate specs'!#REF!,"AAAAAHv8+y4=")</f>
        <v>#REF!</v>
      </c>
      <c r="AV31" t="e">
        <f>AND('boilerplate specs'!#REF!,"AAAAAHv8+y8=")</f>
        <v>#REF!</v>
      </c>
      <c r="AW31" t="e">
        <f>AND('boilerplate specs'!#REF!,"AAAAAHv8+zA=")</f>
        <v>#REF!</v>
      </c>
      <c r="AX31" t="e">
        <f>AND('boilerplate specs'!#REF!,"AAAAAHv8+zE=")</f>
        <v>#REF!</v>
      </c>
      <c r="AY31" t="e">
        <f>AND('boilerplate specs'!#REF!,"AAAAAHv8+zI=")</f>
        <v>#REF!</v>
      </c>
      <c r="AZ31" t="e">
        <f>AND('boilerplate specs'!#REF!,"AAAAAHv8+zM=")</f>
        <v>#REF!</v>
      </c>
      <c r="BA31" t="e">
        <f>AND('boilerplate specs'!#REF!,"AAAAAHv8+zQ=")</f>
        <v>#REF!</v>
      </c>
      <c r="BB31" t="e">
        <f>AND('boilerplate specs'!#REF!,"AAAAAHv8+zU=")</f>
        <v>#REF!</v>
      </c>
      <c r="BC31" t="e">
        <f>AND('boilerplate specs'!#REF!,"AAAAAHv8+zY=")</f>
        <v>#REF!</v>
      </c>
      <c r="BD31">
        <f>IF('boilerplate specs'!174:174,"AAAAAHv8+zc=",0)</f>
        <v>0</v>
      </c>
      <c r="BE31" t="e">
        <f>AND('boilerplate specs'!A174,"AAAAAHv8+zg=")</f>
        <v>#VALUE!</v>
      </c>
      <c r="BF31" t="e">
        <f>AND('boilerplate specs'!B174,"AAAAAHv8+zk=")</f>
        <v>#VALUE!</v>
      </c>
      <c r="BG31" t="e">
        <f>AND('boilerplate specs'!C174,"AAAAAHv8+zo=")</f>
        <v>#VALUE!</v>
      </c>
      <c r="BH31" t="e">
        <f>AND('boilerplate specs'!D174,"AAAAAHv8+zs=")</f>
        <v>#VALUE!</v>
      </c>
      <c r="BI31" t="e">
        <f>AND('boilerplate specs'!E174,"AAAAAHv8+zw=")</f>
        <v>#VALUE!</v>
      </c>
      <c r="BJ31" t="e">
        <f>AND('boilerplate specs'!F174,"AAAAAHv8+z0=")</f>
        <v>#VALUE!</v>
      </c>
      <c r="BK31" t="e">
        <f>AND('boilerplate specs'!G174,"AAAAAHv8+z4=")</f>
        <v>#VALUE!</v>
      </c>
      <c r="BL31" t="e">
        <f>AND('boilerplate specs'!H174,"AAAAAHv8+z8=")</f>
        <v>#VALUE!</v>
      </c>
      <c r="BM31" t="e">
        <f>AND('boilerplate specs'!I174,"AAAAAHv8+0A=")</f>
        <v>#VALUE!</v>
      </c>
      <c r="BN31" t="e">
        <f>AND('boilerplate specs'!J174,"AAAAAHv8+0E=")</f>
        <v>#VALUE!</v>
      </c>
      <c r="BO31" t="e">
        <f>AND('boilerplate specs'!#REF!,"AAAAAHv8+0I=")</f>
        <v>#REF!</v>
      </c>
      <c r="BP31" t="e">
        <f>AND('boilerplate specs'!#REF!,"AAAAAHv8+0M=")</f>
        <v>#REF!</v>
      </c>
      <c r="BQ31" t="e">
        <f>AND('boilerplate specs'!#REF!,"AAAAAHv8+0Q=")</f>
        <v>#REF!</v>
      </c>
      <c r="BR31" t="e">
        <f>AND('boilerplate specs'!#REF!,"AAAAAHv8+0U=")</f>
        <v>#REF!</v>
      </c>
      <c r="BS31" t="e">
        <f>AND('boilerplate specs'!#REF!,"AAAAAHv8+0Y=")</f>
        <v>#REF!</v>
      </c>
      <c r="BT31" t="e">
        <f>AND('boilerplate specs'!#REF!,"AAAAAHv8+0c=")</f>
        <v>#REF!</v>
      </c>
      <c r="BU31" t="e">
        <f>AND('boilerplate specs'!#REF!,"AAAAAHv8+0g=")</f>
        <v>#REF!</v>
      </c>
      <c r="BV31" t="e">
        <f>AND('boilerplate specs'!#REF!,"AAAAAHv8+0k=")</f>
        <v>#REF!</v>
      </c>
      <c r="BW31" t="e">
        <f>AND('boilerplate specs'!#REF!,"AAAAAHv8+0o=")</f>
        <v>#REF!</v>
      </c>
      <c r="BX31" t="e">
        <f>AND('boilerplate specs'!#REF!,"AAAAAHv8+0s=")</f>
        <v>#REF!</v>
      </c>
      <c r="BY31" t="e">
        <f>AND('boilerplate specs'!#REF!,"AAAAAHv8+0w=")</f>
        <v>#REF!</v>
      </c>
      <c r="BZ31" t="e">
        <f>AND('boilerplate specs'!#REF!,"AAAAAHv8+00=")</f>
        <v>#REF!</v>
      </c>
      <c r="CA31" t="e">
        <f>AND('boilerplate specs'!#REF!,"AAAAAHv8+04=")</f>
        <v>#REF!</v>
      </c>
      <c r="CB31" t="e">
        <f>AND('boilerplate specs'!#REF!,"AAAAAHv8+08=")</f>
        <v>#REF!</v>
      </c>
      <c r="CC31" t="e">
        <f>AND('boilerplate specs'!#REF!,"AAAAAHv8+1A=")</f>
        <v>#REF!</v>
      </c>
      <c r="CD31" t="e">
        <f>AND('boilerplate specs'!#REF!,"AAAAAHv8+1E=")</f>
        <v>#REF!</v>
      </c>
      <c r="CE31" t="e">
        <f>AND('boilerplate specs'!#REF!,"AAAAAHv8+1I=")</f>
        <v>#REF!</v>
      </c>
      <c r="CF31" t="e">
        <f>AND('boilerplate specs'!#REF!,"AAAAAHv8+1M=")</f>
        <v>#REF!</v>
      </c>
      <c r="CG31" t="e">
        <f>AND('boilerplate specs'!#REF!,"AAAAAHv8+1Q=")</f>
        <v>#REF!</v>
      </c>
      <c r="CH31" t="e">
        <f>AND('boilerplate specs'!#REF!,"AAAAAHv8+1U=")</f>
        <v>#REF!</v>
      </c>
      <c r="CI31" t="e">
        <f>AND('boilerplate specs'!#REF!,"AAAAAHv8+1Y=")</f>
        <v>#REF!</v>
      </c>
      <c r="CJ31" t="e">
        <f>AND('boilerplate specs'!#REF!,"AAAAAHv8+1c=")</f>
        <v>#REF!</v>
      </c>
      <c r="CK31">
        <f>IF('boilerplate specs'!175:175,"AAAAAHv8+1g=",0)</f>
        <v>0</v>
      </c>
      <c r="CL31" t="e">
        <f>AND('boilerplate specs'!A175,"AAAAAHv8+1k=")</f>
        <v>#VALUE!</v>
      </c>
      <c r="CM31" t="e">
        <f>AND('boilerplate specs'!B175,"AAAAAHv8+1o=")</f>
        <v>#VALUE!</v>
      </c>
      <c r="CN31" t="e">
        <f>AND('boilerplate specs'!C175,"AAAAAHv8+1s=")</f>
        <v>#VALUE!</v>
      </c>
      <c r="CO31" t="e">
        <f>AND('boilerplate specs'!D175,"AAAAAHv8+1w=")</f>
        <v>#VALUE!</v>
      </c>
      <c r="CP31" t="e">
        <f>AND('boilerplate specs'!E175,"AAAAAHv8+10=")</f>
        <v>#VALUE!</v>
      </c>
      <c r="CQ31" t="e">
        <f>AND('boilerplate specs'!F175,"AAAAAHv8+14=")</f>
        <v>#VALUE!</v>
      </c>
      <c r="CR31" t="e">
        <f>AND('boilerplate specs'!G175,"AAAAAHv8+18=")</f>
        <v>#VALUE!</v>
      </c>
      <c r="CS31" t="e">
        <f>AND('boilerplate specs'!H175,"AAAAAHv8+2A=")</f>
        <v>#VALUE!</v>
      </c>
      <c r="CT31" t="e">
        <f>AND('boilerplate specs'!I175,"AAAAAHv8+2E=")</f>
        <v>#VALUE!</v>
      </c>
      <c r="CU31" t="e">
        <f>AND('boilerplate specs'!J175,"AAAAAHv8+2I=")</f>
        <v>#VALUE!</v>
      </c>
      <c r="CV31" t="e">
        <f>AND('boilerplate specs'!#REF!,"AAAAAHv8+2M=")</f>
        <v>#REF!</v>
      </c>
      <c r="CW31" t="e">
        <f>AND('boilerplate specs'!#REF!,"AAAAAHv8+2Q=")</f>
        <v>#REF!</v>
      </c>
      <c r="CX31" t="e">
        <f>AND('boilerplate specs'!#REF!,"AAAAAHv8+2U=")</f>
        <v>#REF!</v>
      </c>
      <c r="CY31" t="e">
        <f>AND('boilerplate specs'!#REF!,"AAAAAHv8+2Y=")</f>
        <v>#REF!</v>
      </c>
      <c r="CZ31" t="e">
        <f>AND('boilerplate specs'!#REF!,"AAAAAHv8+2c=")</f>
        <v>#REF!</v>
      </c>
      <c r="DA31" t="e">
        <f>AND('boilerplate specs'!#REF!,"AAAAAHv8+2g=")</f>
        <v>#REF!</v>
      </c>
      <c r="DB31" t="e">
        <f>AND('boilerplate specs'!#REF!,"AAAAAHv8+2k=")</f>
        <v>#REF!</v>
      </c>
      <c r="DC31" t="e">
        <f>AND('boilerplate specs'!#REF!,"AAAAAHv8+2o=")</f>
        <v>#REF!</v>
      </c>
      <c r="DD31" t="e">
        <f>AND('boilerplate specs'!#REF!,"AAAAAHv8+2s=")</f>
        <v>#REF!</v>
      </c>
      <c r="DE31" t="e">
        <f>AND('boilerplate specs'!#REF!,"AAAAAHv8+2w=")</f>
        <v>#REF!</v>
      </c>
      <c r="DF31" t="e">
        <f>AND('boilerplate specs'!#REF!,"AAAAAHv8+20=")</f>
        <v>#REF!</v>
      </c>
      <c r="DG31" t="e">
        <f>AND('boilerplate specs'!#REF!,"AAAAAHv8+24=")</f>
        <v>#REF!</v>
      </c>
      <c r="DH31" t="e">
        <f>AND('boilerplate specs'!#REF!,"AAAAAHv8+28=")</f>
        <v>#REF!</v>
      </c>
      <c r="DI31" t="e">
        <f>AND('boilerplate specs'!#REF!,"AAAAAHv8+3A=")</f>
        <v>#REF!</v>
      </c>
      <c r="DJ31" t="e">
        <f>AND('boilerplate specs'!#REF!,"AAAAAHv8+3E=")</f>
        <v>#REF!</v>
      </c>
      <c r="DK31" t="e">
        <f>AND('boilerplate specs'!#REF!,"AAAAAHv8+3I=")</f>
        <v>#REF!</v>
      </c>
      <c r="DL31" t="e">
        <f>AND('boilerplate specs'!#REF!,"AAAAAHv8+3M=")</f>
        <v>#REF!</v>
      </c>
      <c r="DM31" t="e">
        <f>AND('boilerplate specs'!#REF!,"AAAAAHv8+3Q=")</f>
        <v>#REF!</v>
      </c>
      <c r="DN31" t="e">
        <f>AND('boilerplate specs'!#REF!,"AAAAAHv8+3U=")</f>
        <v>#REF!</v>
      </c>
      <c r="DO31" t="e">
        <f>AND('boilerplate specs'!#REF!,"AAAAAHv8+3Y=")</f>
        <v>#REF!</v>
      </c>
      <c r="DP31" t="e">
        <f>AND('boilerplate specs'!#REF!,"AAAAAHv8+3c=")</f>
        <v>#REF!</v>
      </c>
      <c r="DQ31" t="e">
        <f>AND('boilerplate specs'!#REF!,"AAAAAHv8+3g=")</f>
        <v>#REF!</v>
      </c>
      <c r="DR31">
        <f>IF('boilerplate specs'!176:176,"AAAAAHv8+3k=",0)</f>
        <v>0</v>
      </c>
      <c r="DS31" t="e">
        <f>AND('boilerplate specs'!A176,"AAAAAHv8+3o=")</f>
        <v>#VALUE!</v>
      </c>
      <c r="DT31" t="e">
        <f>AND('boilerplate specs'!B176,"AAAAAHv8+3s=")</f>
        <v>#VALUE!</v>
      </c>
      <c r="DU31" t="e">
        <f>AND('boilerplate specs'!C176,"AAAAAHv8+3w=")</f>
        <v>#VALUE!</v>
      </c>
      <c r="DV31" t="e">
        <f>AND('boilerplate specs'!D176,"AAAAAHv8+30=")</f>
        <v>#VALUE!</v>
      </c>
      <c r="DW31" t="e">
        <f>AND('boilerplate specs'!E176,"AAAAAHv8+34=")</f>
        <v>#VALUE!</v>
      </c>
      <c r="DX31" t="e">
        <f>AND('boilerplate specs'!F176,"AAAAAHv8+38=")</f>
        <v>#VALUE!</v>
      </c>
      <c r="DY31" t="e">
        <f>AND('boilerplate specs'!G176,"AAAAAHv8+4A=")</f>
        <v>#VALUE!</v>
      </c>
      <c r="DZ31" t="e">
        <f>AND('boilerplate specs'!H176,"AAAAAHv8+4E=")</f>
        <v>#VALUE!</v>
      </c>
      <c r="EA31" t="e">
        <f>AND('boilerplate specs'!I176,"AAAAAHv8+4I=")</f>
        <v>#VALUE!</v>
      </c>
      <c r="EB31" t="e">
        <f>AND('boilerplate specs'!J176,"AAAAAHv8+4M=")</f>
        <v>#VALUE!</v>
      </c>
      <c r="EC31" t="e">
        <f>AND('boilerplate specs'!#REF!,"AAAAAHv8+4Q=")</f>
        <v>#REF!</v>
      </c>
      <c r="ED31" t="e">
        <f>AND('boilerplate specs'!#REF!,"AAAAAHv8+4U=")</f>
        <v>#REF!</v>
      </c>
      <c r="EE31" t="e">
        <f>AND('boilerplate specs'!#REF!,"AAAAAHv8+4Y=")</f>
        <v>#REF!</v>
      </c>
      <c r="EF31" t="e">
        <f>AND('boilerplate specs'!#REF!,"AAAAAHv8+4c=")</f>
        <v>#REF!</v>
      </c>
      <c r="EG31" t="e">
        <f>AND('boilerplate specs'!#REF!,"AAAAAHv8+4g=")</f>
        <v>#REF!</v>
      </c>
      <c r="EH31" t="e">
        <f>AND('boilerplate specs'!#REF!,"AAAAAHv8+4k=")</f>
        <v>#REF!</v>
      </c>
      <c r="EI31" t="e">
        <f>AND('boilerplate specs'!#REF!,"AAAAAHv8+4o=")</f>
        <v>#REF!</v>
      </c>
      <c r="EJ31" t="e">
        <f>AND('boilerplate specs'!#REF!,"AAAAAHv8+4s=")</f>
        <v>#REF!</v>
      </c>
      <c r="EK31" t="e">
        <f>AND('boilerplate specs'!#REF!,"AAAAAHv8+4w=")</f>
        <v>#REF!</v>
      </c>
      <c r="EL31" t="e">
        <f>AND('boilerplate specs'!#REF!,"AAAAAHv8+40=")</f>
        <v>#REF!</v>
      </c>
      <c r="EM31" t="e">
        <f>AND('boilerplate specs'!#REF!,"AAAAAHv8+44=")</f>
        <v>#REF!</v>
      </c>
      <c r="EN31" t="e">
        <f>AND('boilerplate specs'!#REF!,"AAAAAHv8+48=")</f>
        <v>#REF!</v>
      </c>
      <c r="EO31" t="e">
        <f>AND('boilerplate specs'!#REF!,"AAAAAHv8+5A=")</f>
        <v>#REF!</v>
      </c>
      <c r="EP31" t="e">
        <f>AND('boilerplate specs'!#REF!,"AAAAAHv8+5E=")</f>
        <v>#REF!</v>
      </c>
      <c r="EQ31" t="e">
        <f>AND('boilerplate specs'!#REF!,"AAAAAHv8+5I=")</f>
        <v>#REF!</v>
      </c>
      <c r="ER31" t="e">
        <f>AND('boilerplate specs'!#REF!,"AAAAAHv8+5M=")</f>
        <v>#REF!</v>
      </c>
      <c r="ES31" t="e">
        <f>AND('boilerplate specs'!#REF!,"AAAAAHv8+5Q=")</f>
        <v>#REF!</v>
      </c>
      <c r="ET31" t="e">
        <f>AND('boilerplate specs'!#REF!,"AAAAAHv8+5U=")</f>
        <v>#REF!</v>
      </c>
      <c r="EU31" t="e">
        <f>AND('boilerplate specs'!#REF!,"AAAAAHv8+5Y=")</f>
        <v>#REF!</v>
      </c>
      <c r="EV31" t="e">
        <f>AND('boilerplate specs'!#REF!,"AAAAAHv8+5c=")</f>
        <v>#REF!</v>
      </c>
      <c r="EW31" t="e">
        <f>AND('boilerplate specs'!#REF!,"AAAAAHv8+5g=")</f>
        <v>#REF!</v>
      </c>
      <c r="EX31" t="e">
        <f>AND('boilerplate specs'!#REF!,"AAAAAHv8+5k=")</f>
        <v>#REF!</v>
      </c>
      <c r="EY31">
        <f>IF('boilerplate specs'!177:177,"AAAAAHv8+5o=",0)</f>
        <v>0</v>
      </c>
      <c r="EZ31" t="e">
        <f>AND('boilerplate specs'!A177,"AAAAAHv8+5s=")</f>
        <v>#VALUE!</v>
      </c>
      <c r="FA31" t="e">
        <f>AND('boilerplate specs'!B177,"AAAAAHv8+5w=")</f>
        <v>#VALUE!</v>
      </c>
      <c r="FB31" t="e">
        <f>AND('boilerplate specs'!C177,"AAAAAHv8+50=")</f>
        <v>#VALUE!</v>
      </c>
      <c r="FC31" t="e">
        <f>AND('boilerplate specs'!D177,"AAAAAHv8+54=")</f>
        <v>#VALUE!</v>
      </c>
      <c r="FD31" t="e">
        <f>AND('boilerplate specs'!E177,"AAAAAHv8+58=")</f>
        <v>#VALUE!</v>
      </c>
      <c r="FE31" t="e">
        <f>AND('boilerplate specs'!F177,"AAAAAHv8+6A=")</f>
        <v>#VALUE!</v>
      </c>
      <c r="FF31" t="e">
        <f>AND('boilerplate specs'!G177,"AAAAAHv8+6E=")</f>
        <v>#VALUE!</v>
      </c>
      <c r="FG31" t="e">
        <f>AND('boilerplate specs'!H177,"AAAAAHv8+6I=")</f>
        <v>#VALUE!</v>
      </c>
      <c r="FH31" t="e">
        <f>AND('boilerplate specs'!I177,"AAAAAHv8+6M=")</f>
        <v>#VALUE!</v>
      </c>
      <c r="FI31" t="e">
        <f>AND('boilerplate specs'!J177,"AAAAAHv8+6Q=")</f>
        <v>#VALUE!</v>
      </c>
      <c r="FJ31" t="e">
        <f>AND('boilerplate specs'!#REF!,"AAAAAHv8+6U=")</f>
        <v>#REF!</v>
      </c>
      <c r="FK31" t="e">
        <f>AND('boilerplate specs'!#REF!,"AAAAAHv8+6Y=")</f>
        <v>#REF!</v>
      </c>
      <c r="FL31" t="e">
        <f>AND('boilerplate specs'!#REF!,"AAAAAHv8+6c=")</f>
        <v>#REF!</v>
      </c>
      <c r="FM31" t="e">
        <f>AND('boilerplate specs'!#REF!,"AAAAAHv8+6g=")</f>
        <v>#REF!</v>
      </c>
      <c r="FN31" t="e">
        <f>AND('boilerplate specs'!#REF!,"AAAAAHv8+6k=")</f>
        <v>#REF!</v>
      </c>
      <c r="FO31" t="e">
        <f>AND('boilerplate specs'!#REF!,"AAAAAHv8+6o=")</f>
        <v>#REF!</v>
      </c>
      <c r="FP31" t="e">
        <f>AND('boilerplate specs'!#REF!,"AAAAAHv8+6s=")</f>
        <v>#REF!</v>
      </c>
      <c r="FQ31" t="e">
        <f>AND('boilerplate specs'!#REF!,"AAAAAHv8+6w=")</f>
        <v>#REF!</v>
      </c>
      <c r="FR31" t="e">
        <f>AND('boilerplate specs'!#REF!,"AAAAAHv8+60=")</f>
        <v>#REF!</v>
      </c>
      <c r="FS31" t="e">
        <f>AND('boilerplate specs'!#REF!,"AAAAAHv8+64=")</f>
        <v>#REF!</v>
      </c>
      <c r="FT31" t="e">
        <f>AND('boilerplate specs'!#REF!,"AAAAAHv8+68=")</f>
        <v>#REF!</v>
      </c>
      <c r="FU31" t="e">
        <f>AND('boilerplate specs'!#REF!,"AAAAAHv8+7A=")</f>
        <v>#REF!</v>
      </c>
      <c r="FV31" t="e">
        <f>AND('boilerplate specs'!#REF!,"AAAAAHv8+7E=")</f>
        <v>#REF!</v>
      </c>
      <c r="FW31" t="e">
        <f>AND('boilerplate specs'!#REF!,"AAAAAHv8+7I=")</f>
        <v>#REF!</v>
      </c>
      <c r="FX31" t="e">
        <f>AND('boilerplate specs'!#REF!,"AAAAAHv8+7M=")</f>
        <v>#REF!</v>
      </c>
      <c r="FY31" t="e">
        <f>AND('boilerplate specs'!#REF!,"AAAAAHv8+7Q=")</f>
        <v>#REF!</v>
      </c>
      <c r="FZ31" t="e">
        <f>AND('boilerplate specs'!#REF!,"AAAAAHv8+7U=")</f>
        <v>#REF!</v>
      </c>
      <c r="GA31" t="e">
        <f>AND('boilerplate specs'!#REF!,"AAAAAHv8+7Y=")</f>
        <v>#REF!</v>
      </c>
      <c r="GB31" t="e">
        <f>AND('boilerplate specs'!#REF!,"AAAAAHv8+7c=")</f>
        <v>#REF!</v>
      </c>
      <c r="GC31" t="e">
        <f>AND('boilerplate specs'!#REF!,"AAAAAHv8+7g=")</f>
        <v>#REF!</v>
      </c>
      <c r="GD31" t="e">
        <f>AND('boilerplate specs'!#REF!,"AAAAAHv8+7k=")</f>
        <v>#REF!</v>
      </c>
      <c r="GE31" t="e">
        <f>AND('boilerplate specs'!#REF!,"AAAAAHv8+7o=")</f>
        <v>#REF!</v>
      </c>
      <c r="GF31">
        <f>IF('boilerplate specs'!178:178,"AAAAAHv8+7s=",0)</f>
        <v>0</v>
      </c>
      <c r="GG31" t="e">
        <f>AND('boilerplate specs'!A178,"AAAAAHv8+7w=")</f>
        <v>#VALUE!</v>
      </c>
      <c r="GH31" t="e">
        <f>AND('boilerplate specs'!B178,"AAAAAHv8+70=")</f>
        <v>#VALUE!</v>
      </c>
      <c r="GI31" t="e">
        <f>AND('boilerplate specs'!C178,"AAAAAHv8+74=")</f>
        <v>#VALUE!</v>
      </c>
      <c r="GJ31" t="e">
        <f>AND('boilerplate specs'!D178,"AAAAAHv8+78=")</f>
        <v>#VALUE!</v>
      </c>
      <c r="GK31" t="e">
        <f>AND('boilerplate specs'!E178,"AAAAAHv8+8A=")</f>
        <v>#VALUE!</v>
      </c>
      <c r="GL31" t="e">
        <f>AND('boilerplate specs'!F178,"AAAAAHv8+8E=")</f>
        <v>#VALUE!</v>
      </c>
      <c r="GM31" t="e">
        <f>AND('boilerplate specs'!G178,"AAAAAHv8+8I=")</f>
        <v>#VALUE!</v>
      </c>
      <c r="GN31" t="e">
        <f>AND('boilerplate specs'!H178,"AAAAAHv8+8M=")</f>
        <v>#VALUE!</v>
      </c>
      <c r="GO31" t="e">
        <f>AND('boilerplate specs'!I178,"AAAAAHv8+8Q=")</f>
        <v>#VALUE!</v>
      </c>
      <c r="GP31" t="e">
        <f>AND('boilerplate specs'!J178,"AAAAAHv8+8U=")</f>
        <v>#VALUE!</v>
      </c>
      <c r="GQ31" t="e">
        <f>AND('boilerplate specs'!#REF!,"AAAAAHv8+8Y=")</f>
        <v>#REF!</v>
      </c>
      <c r="GR31" t="e">
        <f>AND('boilerplate specs'!#REF!,"AAAAAHv8+8c=")</f>
        <v>#REF!</v>
      </c>
      <c r="GS31" t="e">
        <f>AND('boilerplate specs'!#REF!,"AAAAAHv8+8g=")</f>
        <v>#REF!</v>
      </c>
      <c r="GT31" t="e">
        <f>AND('boilerplate specs'!#REF!,"AAAAAHv8+8k=")</f>
        <v>#REF!</v>
      </c>
      <c r="GU31" t="e">
        <f>AND('boilerplate specs'!#REF!,"AAAAAHv8+8o=")</f>
        <v>#REF!</v>
      </c>
      <c r="GV31" t="e">
        <f>AND('boilerplate specs'!#REF!,"AAAAAHv8+8s=")</f>
        <v>#REF!</v>
      </c>
      <c r="GW31" t="e">
        <f>AND('boilerplate specs'!#REF!,"AAAAAHv8+8w=")</f>
        <v>#REF!</v>
      </c>
      <c r="GX31" t="e">
        <f>AND('boilerplate specs'!#REF!,"AAAAAHv8+80=")</f>
        <v>#REF!</v>
      </c>
      <c r="GY31" t="e">
        <f>AND('boilerplate specs'!#REF!,"AAAAAHv8+84=")</f>
        <v>#REF!</v>
      </c>
      <c r="GZ31" t="e">
        <f>AND('boilerplate specs'!#REF!,"AAAAAHv8+88=")</f>
        <v>#REF!</v>
      </c>
      <c r="HA31" t="e">
        <f>AND('boilerplate specs'!#REF!,"AAAAAHv8+9A=")</f>
        <v>#REF!</v>
      </c>
      <c r="HB31" t="e">
        <f>AND('boilerplate specs'!#REF!,"AAAAAHv8+9E=")</f>
        <v>#REF!</v>
      </c>
      <c r="HC31" t="e">
        <f>AND('boilerplate specs'!#REF!,"AAAAAHv8+9I=")</f>
        <v>#REF!</v>
      </c>
      <c r="HD31" t="e">
        <f>AND('boilerplate specs'!#REF!,"AAAAAHv8+9M=")</f>
        <v>#REF!</v>
      </c>
      <c r="HE31" t="e">
        <f>AND('boilerplate specs'!#REF!,"AAAAAHv8+9Q=")</f>
        <v>#REF!</v>
      </c>
      <c r="HF31" t="e">
        <f>AND('boilerplate specs'!#REF!,"AAAAAHv8+9U=")</f>
        <v>#REF!</v>
      </c>
      <c r="HG31" t="e">
        <f>AND('boilerplate specs'!#REF!,"AAAAAHv8+9Y=")</f>
        <v>#REF!</v>
      </c>
      <c r="HH31" t="e">
        <f>AND('boilerplate specs'!#REF!,"AAAAAHv8+9c=")</f>
        <v>#REF!</v>
      </c>
      <c r="HI31" t="e">
        <f>AND('boilerplate specs'!#REF!,"AAAAAHv8+9g=")</f>
        <v>#REF!</v>
      </c>
      <c r="HJ31" t="e">
        <f>AND('boilerplate specs'!#REF!,"AAAAAHv8+9k=")</f>
        <v>#REF!</v>
      </c>
      <c r="HK31" t="e">
        <f>AND('boilerplate specs'!#REF!,"AAAAAHv8+9o=")</f>
        <v>#REF!</v>
      </c>
      <c r="HL31" t="e">
        <f>AND('boilerplate specs'!#REF!,"AAAAAHv8+9s=")</f>
        <v>#REF!</v>
      </c>
      <c r="HM31">
        <f>IF('boilerplate specs'!179:179,"AAAAAHv8+9w=",0)</f>
        <v>0</v>
      </c>
      <c r="HN31" t="e">
        <f>AND('boilerplate specs'!A179,"AAAAAHv8+90=")</f>
        <v>#VALUE!</v>
      </c>
      <c r="HO31" t="e">
        <f>AND('boilerplate specs'!B179,"AAAAAHv8+94=")</f>
        <v>#VALUE!</v>
      </c>
      <c r="HP31" t="e">
        <f>AND('boilerplate specs'!C179,"AAAAAHv8+98=")</f>
        <v>#VALUE!</v>
      </c>
      <c r="HQ31" t="e">
        <f>AND('boilerplate specs'!D179,"AAAAAHv8++A=")</f>
        <v>#VALUE!</v>
      </c>
      <c r="HR31" t="e">
        <f>AND('boilerplate specs'!E179,"AAAAAHv8++E=")</f>
        <v>#VALUE!</v>
      </c>
      <c r="HS31" t="e">
        <f>AND('boilerplate specs'!F179,"AAAAAHv8++I=")</f>
        <v>#VALUE!</v>
      </c>
      <c r="HT31" t="e">
        <f>AND('boilerplate specs'!G179,"AAAAAHv8++M=")</f>
        <v>#VALUE!</v>
      </c>
      <c r="HU31" t="e">
        <f>AND('boilerplate specs'!H179,"AAAAAHv8++Q=")</f>
        <v>#VALUE!</v>
      </c>
      <c r="HV31" t="e">
        <f>AND('boilerplate specs'!I179,"AAAAAHv8++U=")</f>
        <v>#VALUE!</v>
      </c>
      <c r="HW31" t="e">
        <f>AND('boilerplate specs'!J179,"AAAAAHv8++Y=")</f>
        <v>#VALUE!</v>
      </c>
      <c r="HX31" t="e">
        <f>AND('boilerplate specs'!#REF!,"AAAAAHv8++c=")</f>
        <v>#REF!</v>
      </c>
      <c r="HY31" t="e">
        <f>AND('boilerplate specs'!#REF!,"AAAAAHv8++g=")</f>
        <v>#REF!</v>
      </c>
      <c r="HZ31" t="e">
        <f>AND('boilerplate specs'!#REF!,"AAAAAHv8++k=")</f>
        <v>#REF!</v>
      </c>
      <c r="IA31" t="e">
        <f>AND('boilerplate specs'!#REF!,"AAAAAHv8++o=")</f>
        <v>#REF!</v>
      </c>
      <c r="IB31" t="e">
        <f>AND('boilerplate specs'!#REF!,"AAAAAHv8++s=")</f>
        <v>#REF!</v>
      </c>
      <c r="IC31" t="e">
        <f>AND('boilerplate specs'!#REF!,"AAAAAHv8++w=")</f>
        <v>#REF!</v>
      </c>
      <c r="ID31" t="e">
        <f>AND('boilerplate specs'!#REF!,"AAAAAHv8++0=")</f>
        <v>#REF!</v>
      </c>
      <c r="IE31" t="e">
        <f>AND('boilerplate specs'!#REF!,"AAAAAHv8++4=")</f>
        <v>#REF!</v>
      </c>
      <c r="IF31" t="e">
        <f>AND('boilerplate specs'!#REF!,"AAAAAHv8++8=")</f>
        <v>#REF!</v>
      </c>
      <c r="IG31" t="e">
        <f>AND('boilerplate specs'!#REF!,"AAAAAHv8+/A=")</f>
        <v>#REF!</v>
      </c>
      <c r="IH31" t="e">
        <f>AND('boilerplate specs'!#REF!,"AAAAAHv8+/E=")</f>
        <v>#REF!</v>
      </c>
      <c r="II31" t="e">
        <f>AND('boilerplate specs'!#REF!,"AAAAAHv8+/I=")</f>
        <v>#REF!</v>
      </c>
      <c r="IJ31" t="e">
        <f>AND('boilerplate specs'!#REF!,"AAAAAHv8+/M=")</f>
        <v>#REF!</v>
      </c>
      <c r="IK31" t="e">
        <f>AND('boilerplate specs'!#REF!,"AAAAAHv8+/Q=")</f>
        <v>#REF!</v>
      </c>
      <c r="IL31" t="e">
        <f>AND('boilerplate specs'!#REF!,"AAAAAHv8+/U=")</f>
        <v>#REF!</v>
      </c>
      <c r="IM31" t="e">
        <f>AND('boilerplate specs'!#REF!,"AAAAAHv8+/Y=")</f>
        <v>#REF!</v>
      </c>
      <c r="IN31" t="e">
        <f>AND('boilerplate specs'!#REF!,"AAAAAHv8+/c=")</f>
        <v>#REF!</v>
      </c>
      <c r="IO31" t="e">
        <f>AND('boilerplate specs'!#REF!,"AAAAAHv8+/g=")</f>
        <v>#REF!</v>
      </c>
      <c r="IP31" t="e">
        <f>AND('boilerplate specs'!#REF!,"AAAAAHv8+/k=")</f>
        <v>#REF!</v>
      </c>
      <c r="IQ31" t="e">
        <f>AND('boilerplate specs'!#REF!,"AAAAAHv8+/o=")</f>
        <v>#REF!</v>
      </c>
      <c r="IR31" t="e">
        <f>AND('boilerplate specs'!#REF!,"AAAAAHv8+/s=")</f>
        <v>#REF!</v>
      </c>
      <c r="IS31" t="e">
        <f>AND('boilerplate specs'!#REF!,"AAAAAHv8+/w=")</f>
        <v>#REF!</v>
      </c>
      <c r="IT31">
        <f>IF('boilerplate specs'!180:180,"AAAAAHv8+/0=",0)</f>
        <v>0</v>
      </c>
      <c r="IU31" t="e">
        <f>AND('boilerplate specs'!A180,"AAAAAHv8+/4=")</f>
        <v>#VALUE!</v>
      </c>
      <c r="IV31" t="e">
        <f>AND('boilerplate specs'!B180,"AAAAAHv8+/8=")</f>
        <v>#VALUE!</v>
      </c>
    </row>
    <row r="32" spans="1:256" x14ac:dyDescent="0.35">
      <c r="A32" t="e">
        <f>AND('boilerplate specs'!C180,"AAAAAH5vvgA=")</f>
        <v>#VALUE!</v>
      </c>
      <c r="B32" t="e">
        <f>AND('boilerplate specs'!D180,"AAAAAH5vvgE=")</f>
        <v>#VALUE!</v>
      </c>
      <c r="C32" t="e">
        <f>AND('boilerplate specs'!E180,"AAAAAH5vvgI=")</f>
        <v>#VALUE!</v>
      </c>
      <c r="D32" t="e">
        <f>AND('boilerplate specs'!F180,"AAAAAH5vvgM=")</f>
        <v>#VALUE!</v>
      </c>
      <c r="E32" t="e">
        <f>AND('boilerplate specs'!G180,"AAAAAH5vvgQ=")</f>
        <v>#VALUE!</v>
      </c>
      <c r="F32" t="e">
        <f>AND('boilerplate specs'!H180,"AAAAAH5vvgU=")</f>
        <v>#VALUE!</v>
      </c>
      <c r="G32" t="e">
        <f>AND('boilerplate specs'!I180,"AAAAAH5vvgY=")</f>
        <v>#VALUE!</v>
      </c>
      <c r="H32" t="e">
        <f>AND('boilerplate specs'!J180,"AAAAAH5vvgc=")</f>
        <v>#VALUE!</v>
      </c>
      <c r="I32" t="e">
        <f>AND('boilerplate specs'!#REF!,"AAAAAH5vvgg=")</f>
        <v>#REF!</v>
      </c>
      <c r="J32" t="e">
        <f>AND('boilerplate specs'!#REF!,"AAAAAH5vvgk=")</f>
        <v>#REF!</v>
      </c>
      <c r="K32" t="e">
        <f>AND('boilerplate specs'!#REF!,"AAAAAH5vvgo=")</f>
        <v>#REF!</v>
      </c>
      <c r="L32" t="e">
        <f>AND('boilerplate specs'!#REF!,"AAAAAH5vvgs=")</f>
        <v>#REF!</v>
      </c>
      <c r="M32" t="e">
        <f>AND('boilerplate specs'!#REF!,"AAAAAH5vvgw=")</f>
        <v>#REF!</v>
      </c>
      <c r="N32" t="e">
        <f>AND('boilerplate specs'!#REF!,"AAAAAH5vvg0=")</f>
        <v>#REF!</v>
      </c>
      <c r="O32" t="e">
        <f>AND('boilerplate specs'!#REF!,"AAAAAH5vvg4=")</f>
        <v>#REF!</v>
      </c>
      <c r="P32" t="e">
        <f>AND('boilerplate specs'!#REF!,"AAAAAH5vvg8=")</f>
        <v>#REF!</v>
      </c>
      <c r="Q32" t="e">
        <f>AND('boilerplate specs'!#REF!,"AAAAAH5vvhA=")</f>
        <v>#REF!</v>
      </c>
      <c r="R32" t="e">
        <f>AND('boilerplate specs'!#REF!,"AAAAAH5vvhE=")</f>
        <v>#REF!</v>
      </c>
      <c r="S32" t="e">
        <f>AND('boilerplate specs'!#REF!,"AAAAAH5vvhI=")</f>
        <v>#REF!</v>
      </c>
      <c r="T32" t="e">
        <f>AND('boilerplate specs'!#REF!,"AAAAAH5vvhM=")</f>
        <v>#REF!</v>
      </c>
      <c r="U32" t="e">
        <f>AND('boilerplate specs'!#REF!,"AAAAAH5vvhQ=")</f>
        <v>#REF!</v>
      </c>
      <c r="V32" t="e">
        <f>AND('boilerplate specs'!#REF!,"AAAAAH5vvhU=")</f>
        <v>#REF!</v>
      </c>
      <c r="W32" t="e">
        <f>AND('boilerplate specs'!#REF!,"AAAAAH5vvhY=")</f>
        <v>#REF!</v>
      </c>
      <c r="X32" t="e">
        <f>AND('boilerplate specs'!#REF!,"AAAAAH5vvhc=")</f>
        <v>#REF!</v>
      </c>
      <c r="Y32" t="e">
        <f>AND('boilerplate specs'!#REF!,"AAAAAH5vvhg=")</f>
        <v>#REF!</v>
      </c>
      <c r="Z32" t="e">
        <f>AND('boilerplate specs'!#REF!,"AAAAAH5vvhk=")</f>
        <v>#REF!</v>
      </c>
      <c r="AA32" t="e">
        <f>AND('boilerplate specs'!#REF!,"AAAAAH5vvho=")</f>
        <v>#REF!</v>
      </c>
      <c r="AB32" t="e">
        <f>AND('boilerplate specs'!#REF!,"AAAAAH5vvhs=")</f>
        <v>#REF!</v>
      </c>
      <c r="AC32" t="e">
        <f>AND('boilerplate specs'!#REF!,"AAAAAH5vvhw=")</f>
        <v>#REF!</v>
      </c>
      <c r="AD32" t="e">
        <f>AND('boilerplate specs'!#REF!,"AAAAAH5vvh0=")</f>
        <v>#REF!</v>
      </c>
      <c r="AE32">
        <f>IF('boilerplate specs'!181:181,"AAAAAH5vvh4=",0)</f>
        <v>0</v>
      </c>
      <c r="AF32" t="e">
        <f>AND('boilerplate specs'!A181,"AAAAAH5vvh8=")</f>
        <v>#VALUE!</v>
      </c>
      <c r="AG32" t="e">
        <f>AND('boilerplate specs'!B181,"AAAAAH5vviA=")</f>
        <v>#VALUE!</v>
      </c>
      <c r="AH32" t="e">
        <f>AND('boilerplate specs'!C181,"AAAAAH5vviE=")</f>
        <v>#VALUE!</v>
      </c>
      <c r="AI32" t="e">
        <f>AND('boilerplate specs'!D181,"AAAAAH5vviI=")</f>
        <v>#VALUE!</v>
      </c>
      <c r="AJ32" t="e">
        <f>AND('boilerplate specs'!E181,"AAAAAH5vviM=")</f>
        <v>#VALUE!</v>
      </c>
      <c r="AK32" t="e">
        <f>AND('boilerplate specs'!F181,"AAAAAH5vviQ=")</f>
        <v>#VALUE!</v>
      </c>
      <c r="AL32" t="e">
        <f>AND('boilerplate specs'!G181,"AAAAAH5vviU=")</f>
        <v>#VALUE!</v>
      </c>
      <c r="AM32" t="e">
        <f>AND('boilerplate specs'!H181,"AAAAAH5vviY=")</f>
        <v>#VALUE!</v>
      </c>
      <c r="AN32" t="e">
        <f>AND('boilerplate specs'!I181,"AAAAAH5vvic=")</f>
        <v>#VALUE!</v>
      </c>
      <c r="AO32" t="e">
        <f>AND('boilerplate specs'!J181,"AAAAAH5vvig=")</f>
        <v>#VALUE!</v>
      </c>
      <c r="AP32" t="e">
        <f>AND('boilerplate specs'!#REF!,"AAAAAH5vvik=")</f>
        <v>#REF!</v>
      </c>
      <c r="AQ32" t="e">
        <f>AND('boilerplate specs'!#REF!,"AAAAAH5vvio=")</f>
        <v>#REF!</v>
      </c>
      <c r="AR32" t="e">
        <f>AND('boilerplate specs'!#REF!,"AAAAAH5vvis=")</f>
        <v>#REF!</v>
      </c>
      <c r="AS32" t="e">
        <f>AND('boilerplate specs'!#REF!,"AAAAAH5vviw=")</f>
        <v>#REF!</v>
      </c>
      <c r="AT32" t="e">
        <f>AND('boilerplate specs'!#REF!,"AAAAAH5vvi0=")</f>
        <v>#REF!</v>
      </c>
      <c r="AU32" t="e">
        <f>AND('boilerplate specs'!#REF!,"AAAAAH5vvi4=")</f>
        <v>#REF!</v>
      </c>
      <c r="AV32" t="e">
        <f>AND('boilerplate specs'!#REF!,"AAAAAH5vvi8=")</f>
        <v>#REF!</v>
      </c>
      <c r="AW32" t="e">
        <f>AND('boilerplate specs'!#REF!,"AAAAAH5vvjA=")</f>
        <v>#REF!</v>
      </c>
      <c r="AX32" t="e">
        <f>AND('boilerplate specs'!#REF!,"AAAAAH5vvjE=")</f>
        <v>#REF!</v>
      </c>
      <c r="AY32" t="e">
        <f>AND('boilerplate specs'!#REF!,"AAAAAH5vvjI=")</f>
        <v>#REF!</v>
      </c>
      <c r="AZ32" t="e">
        <f>AND('boilerplate specs'!#REF!,"AAAAAH5vvjM=")</f>
        <v>#REF!</v>
      </c>
      <c r="BA32" t="e">
        <f>AND('boilerplate specs'!#REF!,"AAAAAH5vvjQ=")</f>
        <v>#REF!</v>
      </c>
      <c r="BB32" t="e">
        <f>AND('boilerplate specs'!#REF!,"AAAAAH5vvjU=")</f>
        <v>#REF!</v>
      </c>
      <c r="BC32" t="e">
        <f>AND('boilerplate specs'!#REF!,"AAAAAH5vvjY=")</f>
        <v>#REF!</v>
      </c>
      <c r="BD32" t="e">
        <f>AND('boilerplate specs'!#REF!,"AAAAAH5vvjc=")</f>
        <v>#REF!</v>
      </c>
      <c r="BE32" t="e">
        <f>AND('boilerplate specs'!#REF!,"AAAAAH5vvjg=")</f>
        <v>#REF!</v>
      </c>
      <c r="BF32" t="e">
        <f>AND('boilerplate specs'!#REF!,"AAAAAH5vvjk=")</f>
        <v>#REF!</v>
      </c>
      <c r="BG32" t="e">
        <f>AND('boilerplate specs'!#REF!,"AAAAAH5vvjo=")</f>
        <v>#REF!</v>
      </c>
      <c r="BH32" t="e">
        <f>AND('boilerplate specs'!#REF!,"AAAAAH5vvjs=")</f>
        <v>#REF!</v>
      </c>
      <c r="BI32" t="e">
        <f>AND('boilerplate specs'!#REF!,"AAAAAH5vvjw=")</f>
        <v>#REF!</v>
      </c>
      <c r="BJ32" t="e">
        <f>AND('boilerplate specs'!#REF!,"AAAAAH5vvj0=")</f>
        <v>#REF!</v>
      </c>
      <c r="BK32" t="e">
        <f>AND('boilerplate specs'!#REF!,"AAAAAH5vvj4=")</f>
        <v>#REF!</v>
      </c>
      <c r="BL32">
        <f>IF('boilerplate specs'!182:182,"AAAAAH5vvj8=",0)</f>
        <v>0</v>
      </c>
      <c r="BM32" t="e">
        <f>AND('boilerplate specs'!A182,"AAAAAH5vvkA=")</f>
        <v>#VALUE!</v>
      </c>
      <c r="BN32" t="e">
        <f>AND('boilerplate specs'!B182,"AAAAAH5vvkE=")</f>
        <v>#VALUE!</v>
      </c>
      <c r="BO32" t="e">
        <f>AND('boilerplate specs'!C182,"AAAAAH5vvkI=")</f>
        <v>#VALUE!</v>
      </c>
      <c r="BP32" t="e">
        <f>AND('boilerplate specs'!D182,"AAAAAH5vvkM=")</f>
        <v>#VALUE!</v>
      </c>
      <c r="BQ32" t="e">
        <f>AND('boilerplate specs'!E182,"AAAAAH5vvkQ=")</f>
        <v>#VALUE!</v>
      </c>
      <c r="BR32" t="e">
        <f>AND('boilerplate specs'!F182,"AAAAAH5vvkU=")</f>
        <v>#VALUE!</v>
      </c>
      <c r="BS32" t="e">
        <f>AND('boilerplate specs'!G182,"AAAAAH5vvkY=")</f>
        <v>#VALUE!</v>
      </c>
      <c r="BT32" t="e">
        <f>AND('boilerplate specs'!H182,"AAAAAH5vvkc=")</f>
        <v>#VALUE!</v>
      </c>
      <c r="BU32" t="e">
        <f>AND('boilerplate specs'!I182,"AAAAAH5vvkg=")</f>
        <v>#VALUE!</v>
      </c>
      <c r="BV32" t="e">
        <f>AND('boilerplate specs'!J182,"AAAAAH5vvkk=")</f>
        <v>#VALUE!</v>
      </c>
      <c r="BW32" t="e">
        <f>AND('boilerplate specs'!#REF!,"AAAAAH5vvko=")</f>
        <v>#REF!</v>
      </c>
      <c r="BX32" t="e">
        <f>AND('boilerplate specs'!#REF!,"AAAAAH5vvks=")</f>
        <v>#REF!</v>
      </c>
      <c r="BY32" t="e">
        <f>AND('boilerplate specs'!#REF!,"AAAAAH5vvkw=")</f>
        <v>#REF!</v>
      </c>
      <c r="BZ32" t="e">
        <f>AND('boilerplate specs'!#REF!,"AAAAAH5vvk0=")</f>
        <v>#REF!</v>
      </c>
      <c r="CA32" t="e">
        <f>AND('boilerplate specs'!#REF!,"AAAAAH5vvk4=")</f>
        <v>#REF!</v>
      </c>
      <c r="CB32" t="e">
        <f>AND('boilerplate specs'!#REF!,"AAAAAH5vvk8=")</f>
        <v>#REF!</v>
      </c>
      <c r="CC32" t="e">
        <f>AND('boilerplate specs'!#REF!,"AAAAAH5vvlA=")</f>
        <v>#REF!</v>
      </c>
      <c r="CD32" t="e">
        <f>AND('boilerplate specs'!#REF!,"AAAAAH5vvlE=")</f>
        <v>#REF!</v>
      </c>
      <c r="CE32" t="e">
        <f>AND('boilerplate specs'!#REF!,"AAAAAH5vvlI=")</f>
        <v>#REF!</v>
      </c>
      <c r="CF32" t="e">
        <f>AND('boilerplate specs'!#REF!,"AAAAAH5vvlM=")</f>
        <v>#REF!</v>
      </c>
      <c r="CG32" t="e">
        <f>AND('boilerplate specs'!#REF!,"AAAAAH5vvlQ=")</f>
        <v>#REF!</v>
      </c>
      <c r="CH32" t="e">
        <f>AND('boilerplate specs'!#REF!,"AAAAAH5vvlU=")</f>
        <v>#REF!</v>
      </c>
      <c r="CI32" t="e">
        <f>AND('boilerplate specs'!#REF!,"AAAAAH5vvlY=")</f>
        <v>#REF!</v>
      </c>
      <c r="CJ32" t="e">
        <f>AND('boilerplate specs'!#REF!,"AAAAAH5vvlc=")</f>
        <v>#REF!</v>
      </c>
      <c r="CK32" t="e">
        <f>AND('boilerplate specs'!#REF!,"AAAAAH5vvlg=")</f>
        <v>#REF!</v>
      </c>
      <c r="CL32" t="e">
        <f>AND('boilerplate specs'!#REF!,"AAAAAH5vvlk=")</f>
        <v>#REF!</v>
      </c>
      <c r="CM32" t="e">
        <f>AND('boilerplate specs'!#REF!,"AAAAAH5vvlo=")</f>
        <v>#REF!</v>
      </c>
      <c r="CN32" t="e">
        <f>AND('boilerplate specs'!#REF!,"AAAAAH5vvls=")</f>
        <v>#REF!</v>
      </c>
      <c r="CO32" t="e">
        <f>AND('boilerplate specs'!#REF!,"AAAAAH5vvlw=")</f>
        <v>#REF!</v>
      </c>
      <c r="CP32" t="e">
        <f>AND('boilerplate specs'!#REF!,"AAAAAH5vvl0=")</f>
        <v>#REF!</v>
      </c>
      <c r="CQ32" t="e">
        <f>AND('boilerplate specs'!#REF!,"AAAAAH5vvl4=")</f>
        <v>#REF!</v>
      </c>
      <c r="CR32" t="e">
        <f>AND('boilerplate specs'!#REF!,"AAAAAH5vvl8=")</f>
        <v>#REF!</v>
      </c>
      <c r="CS32">
        <f>IF('boilerplate specs'!183:183,"AAAAAH5vvmA=",0)</f>
        <v>0</v>
      </c>
      <c r="CT32" t="e">
        <f>AND('boilerplate specs'!A183,"AAAAAH5vvmE=")</f>
        <v>#VALUE!</v>
      </c>
      <c r="CU32" t="e">
        <f>AND('boilerplate specs'!B183,"AAAAAH5vvmI=")</f>
        <v>#VALUE!</v>
      </c>
      <c r="CV32" t="e">
        <f>AND('boilerplate specs'!C183,"AAAAAH5vvmM=")</f>
        <v>#VALUE!</v>
      </c>
      <c r="CW32" t="e">
        <f>AND('boilerplate specs'!D183,"AAAAAH5vvmQ=")</f>
        <v>#VALUE!</v>
      </c>
      <c r="CX32" t="e">
        <f>AND('boilerplate specs'!E183,"AAAAAH5vvmU=")</f>
        <v>#VALUE!</v>
      </c>
      <c r="CY32" t="e">
        <f>AND('boilerplate specs'!F183,"AAAAAH5vvmY=")</f>
        <v>#VALUE!</v>
      </c>
      <c r="CZ32" t="e">
        <f>AND('boilerplate specs'!G183,"AAAAAH5vvmc=")</f>
        <v>#VALUE!</v>
      </c>
      <c r="DA32" t="e">
        <f>AND('boilerplate specs'!H183,"AAAAAH5vvmg=")</f>
        <v>#VALUE!</v>
      </c>
      <c r="DB32" t="e">
        <f>AND('boilerplate specs'!I183,"AAAAAH5vvmk=")</f>
        <v>#VALUE!</v>
      </c>
      <c r="DC32" t="e">
        <f>AND('boilerplate specs'!J183,"AAAAAH5vvmo=")</f>
        <v>#VALUE!</v>
      </c>
      <c r="DD32" t="e">
        <f>AND('boilerplate specs'!#REF!,"AAAAAH5vvms=")</f>
        <v>#REF!</v>
      </c>
      <c r="DE32" t="e">
        <f>AND('boilerplate specs'!#REF!,"AAAAAH5vvmw=")</f>
        <v>#REF!</v>
      </c>
      <c r="DF32" t="e">
        <f>AND('boilerplate specs'!#REF!,"AAAAAH5vvm0=")</f>
        <v>#REF!</v>
      </c>
      <c r="DG32" t="e">
        <f>AND('boilerplate specs'!#REF!,"AAAAAH5vvm4=")</f>
        <v>#REF!</v>
      </c>
      <c r="DH32" t="e">
        <f>AND('boilerplate specs'!#REF!,"AAAAAH5vvm8=")</f>
        <v>#REF!</v>
      </c>
      <c r="DI32" t="e">
        <f>AND('boilerplate specs'!#REF!,"AAAAAH5vvnA=")</f>
        <v>#REF!</v>
      </c>
      <c r="DJ32" t="e">
        <f>AND('boilerplate specs'!#REF!,"AAAAAH5vvnE=")</f>
        <v>#REF!</v>
      </c>
      <c r="DK32" t="e">
        <f>AND('boilerplate specs'!#REF!,"AAAAAH5vvnI=")</f>
        <v>#REF!</v>
      </c>
      <c r="DL32" t="e">
        <f>AND('boilerplate specs'!#REF!,"AAAAAH5vvnM=")</f>
        <v>#REF!</v>
      </c>
      <c r="DM32" t="e">
        <f>AND('boilerplate specs'!#REF!,"AAAAAH5vvnQ=")</f>
        <v>#REF!</v>
      </c>
      <c r="DN32" t="e">
        <f>AND('boilerplate specs'!#REF!,"AAAAAH5vvnU=")</f>
        <v>#REF!</v>
      </c>
      <c r="DO32" t="e">
        <f>AND('boilerplate specs'!#REF!,"AAAAAH5vvnY=")</f>
        <v>#REF!</v>
      </c>
      <c r="DP32" t="e">
        <f>AND('boilerplate specs'!#REF!,"AAAAAH5vvnc=")</f>
        <v>#REF!</v>
      </c>
      <c r="DQ32" t="e">
        <f>AND('boilerplate specs'!#REF!,"AAAAAH5vvng=")</f>
        <v>#REF!</v>
      </c>
      <c r="DR32" t="e">
        <f>AND('boilerplate specs'!#REF!,"AAAAAH5vvnk=")</f>
        <v>#REF!</v>
      </c>
      <c r="DS32" t="e">
        <f>AND('boilerplate specs'!#REF!,"AAAAAH5vvno=")</f>
        <v>#REF!</v>
      </c>
      <c r="DT32" t="e">
        <f>AND('boilerplate specs'!#REF!,"AAAAAH5vvns=")</f>
        <v>#REF!</v>
      </c>
      <c r="DU32" t="e">
        <f>AND('boilerplate specs'!#REF!,"AAAAAH5vvnw=")</f>
        <v>#REF!</v>
      </c>
      <c r="DV32" t="e">
        <f>AND('boilerplate specs'!#REF!,"AAAAAH5vvn0=")</f>
        <v>#REF!</v>
      </c>
      <c r="DW32" t="e">
        <f>AND('boilerplate specs'!#REF!,"AAAAAH5vvn4=")</f>
        <v>#REF!</v>
      </c>
      <c r="DX32" t="e">
        <f>AND('boilerplate specs'!#REF!,"AAAAAH5vvn8=")</f>
        <v>#REF!</v>
      </c>
      <c r="DY32" t="e">
        <f>AND('boilerplate specs'!#REF!,"AAAAAH5vvoA=")</f>
        <v>#REF!</v>
      </c>
      <c r="DZ32">
        <f>IF('boilerplate specs'!184:184,"AAAAAH5vvoE=",0)</f>
        <v>0</v>
      </c>
      <c r="EA32" t="e">
        <f>AND('boilerplate specs'!A184,"AAAAAH5vvoI=")</f>
        <v>#VALUE!</v>
      </c>
      <c r="EB32" t="e">
        <f>AND('boilerplate specs'!B184,"AAAAAH5vvoM=")</f>
        <v>#VALUE!</v>
      </c>
      <c r="EC32" t="e">
        <f>AND('boilerplate specs'!C184,"AAAAAH5vvoQ=")</f>
        <v>#VALUE!</v>
      </c>
      <c r="ED32" t="e">
        <f>AND('boilerplate specs'!D184,"AAAAAH5vvoU=")</f>
        <v>#VALUE!</v>
      </c>
      <c r="EE32" t="e">
        <f>AND('boilerplate specs'!E184,"AAAAAH5vvoY=")</f>
        <v>#VALUE!</v>
      </c>
      <c r="EF32" t="e">
        <f>AND('boilerplate specs'!F184,"AAAAAH5vvoc=")</f>
        <v>#VALUE!</v>
      </c>
      <c r="EG32" t="e">
        <f>AND('boilerplate specs'!G184,"AAAAAH5vvog=")</f>
        <v>#VALUE!</v>
      </c>
      <c r="EH32" t="e">
        <f>AND('boilerplate specs'!H184,"AAAAAH5vvok=")</f>
        <v>#VALUE!</v>
      </c>
      <c r="EI32" t="e">
        <f>AND('boilerplate specs'!I184,"AAAAAH5vvoo=")</f>
        <v>#VALUE!</v>
      </c>
      <c r="EJ32" t="e">
        <f>AND('boilerplate specs'!J184,"AAAAAH5vvos=")</f>
        <v>#VALUE!</v>
      </c>
      <c r="EK32" t="e">
        <f>AND('boilerplate specs'!#REF!,"AAAAAH5vvow=")</f>
        <v>#REF!</v>
      </c>
      <c r="EL32" t="e">
        <f>AND('boilerplate specs'!#REF!,"AAAAAH5vvo0=")</f>
        <v>#REF!</v>
      </c>
      <c r="EM32" t="e">
        <f>AND('boilerplate specs'!#REF!,"AAAAAH5vvo4=")</f>
        <v>#REF!</v>
      </c>
      <c r="EN32" t="e">
        <f>AND('boilerplate specs'!#REF!,"AAAAAH5vvo8=")</f>
        <v>#REF!</v>
      </c>
      <c r="EO32" t="e">
        <f>AND('boilerplate specs'!#REF!,"AAAAAH5vvpA=")</f>
        <v>#REF!</v>
      </c>
      <c r="EP32" t="e">
        <f>AND('boilerplate specs'!#REF!,"AAAAAH5vvpE=")</f>
        <v>#REF!</v>
      </c>
      <c r="EQ32" t="e">
        <f>AND('boilerplate specs'!#REF!,"AAAAAH5vvpI=")</f>
        <v>#REF!</v>
      </c>
      <c r="ER32" t="e">
        <f>AND('boilerplate specs'!#REF!,"AAAAAH5vvpM=")</f>
        <v>#REF!</v>
      </c>
      <c r="ES32" t="e">
        <f>AND('boilerplate specs'!#REF!,"AAAAAH5vvpQ=")</f>
        <v>#REF!</v>
      </c>
      <c r="ET32" t="e">
        <f>AND('boilerplate specs'!#REF!,"AAAAAH5vvpU=")</f>
        <v>#REF!</v>
      </c>
      <c r="EU32" t="e">
        <f>AND('boilerplate specs'!#REF!,"AAAAAH5vvpY=")</f>
        <v>#REF!</v>
      </c>
      <c r="EV32" t="e">
        <f>AND('boilerplate specs'!#REF!,"AAAAAH5vvpc=")</f>
        <v>#REF!</v>
      </c>
      <c r="EW32" t="e">
        <f>AND('boilerplate specs'!#REF!,"AAAAAH5vvpg=")</f>
        <v>#REF!</v>
      </c>
      <c r="EX32" t="e">
        <f>AND('boilerplate specs'!#REF!,"AAAAAH5vvpk=")</f>
        <v>#REF!</v>
      </c>
      <c r="EY32" t="e">
        <f>AND('boilerplate specs'!#REF!,"AAAAAH5vvpo=")</f>
        <v>#REF!</v>
      </c>
      <c r="EZ32" t="e">
        <f>AND('boilerplate specs'!#REF!,"AAAAAH5vvps=")</f>
        <v>#REF!</v>
      </c>
      <c r="FA32" t="e">
        <f>AND('boilerplate specs'!#REF!,"AAAAAH5vvpw=")</f>
        <v>#REF!</v>
      </c>
      <c r="FB32" t="e">
        <f>AND('boilerplate specs'!#REF!,"AAAAAH5vvp0=")</f>
        <v>#REF!</v>
      </c>
      <c r="FC32" t="e">
        <f>AND('boilerplate specs'!#REF!,"AAAAAH5vvp4=")</f>
        <v>#REF!</v>
      </c>
      <c r="FD32" t="e">
        <f>AND('boilerplate specs'!#REF!,"AAAAAH5vvp8=")</f>
        <v>#REF!</v>
      </c>
      <c r="FE32" t="e">
        <f>AND('boilerplate specs'!#REF!,"AAAAAH5vvqA=")</f>
        <v>#REF!</v>
      </c>
      <c r="FF32" t="e">
        <f>AND('boilerplate specs'!#REF!,"AAAAAH5vvqE=")</f>
        <v>#REF!</v>
      </c>
      <c r="FG32">
        <f>IF('boilerplate specs'!185:185,"AAAAAH5vvqI=",0)</f>
        <v>0</v>
      </c>
      <c r="FH32" t="e">
        <f>AND('boilerplate specs'!A185,"AAAAAH5vvqM=")</f>
        <v>#VALUE!</v>
      </c>
      <c r="FI32" t="e">
        <f>AND('boilerplate specs'!B185,"AAAAAH5vvqQ=")</f>
        <v>#VALUE!</v>
      </c>
      <c r="FJ32" t="e">
        <f>AND('boilerplate specs'!C185,"AAAAAH5vvqU=")</f>
        <v>#VALUE!</v>
      </c>
      <c r="FK32" t="e">
        <f>AND('boilerplate specs'!D185,"AAAAAH5vvqY=")</f>
        <v>#VALUE!</v>
      </c>
      <c r="FL32" t="e">
        <f>AND('boilerplate specs'!E185,"AAAAAH5vvqc=")</f>
        <v>#VALUE!</v>
      </c>
      <c r="FM32" t="e">
        <f>AND('boilerplate specs'!F185,"AAAAAH5vvqg=")</f>
        <v>#VALUE!</v>
      </c>
      <c r="FN32" t="e">
        <f>AND('boilerplate specs'!G185,"AAAAAH5vvqk=")</f>
        <v>#VALUE!</v>
      </c>
      <c r="FO32" t="e">
        <f>AND('boilerplate specs'!H185,"AAAAAH5vvqo=")</f>
        <v>#VALUE!</v>
      </c>
      <c r="FP32" t="e">
        <f>AND('boilerplate specs'!I185,"AAAAAH5vvqs=")</f>
        <v>#VALUE!</v>
      </c>
      <c r="FQ32" t="e">
        <f>AND('boilerplate specs'!J185,"AAAAAH5vvqw=")</f>
        <v>#VALUE!</v>
      </c>
      <c r="FR32" t="e">
        <f>AND('boilerplate specs'!#REF!,"AAAAAH5vvq0=")</f>
        <v>#REF!</v>
      </c>
      <c r="FS32" t="e">
        <f>AND('boilerplate specs'!#REF!,"AAAAAH5vvq4=")</f>
        <v>#REF!</v>
      </c>
      <c r="FT32" t="e">
        <f>AND('boilerplate specs'!#REF!,"AAAAAH5vvq8=")</f>
        <v>#REF!</v>
      </c>
      <c r="FU32" t="e">
        <f>AND('boilerplate specs'!#REF!,"AAAAAH5vvrA=")</f>
        <v>#REF!</v>
      </c>
      <c r="FV32" t="e">
        <f>AND('boilerplate specs'!#REF!,"AAAAAH5vvrE=")</f>
        <v>#REF!</v>
      </c>
      <c r="FW32" t="e">
        <f>AND('boilerplate specs'!#REF!,"AAAAAH5vvrI=")</f>
        <v>#REF!</v>
      </c>
      <c r="FX32" t="e">
        <f>AND('boilerplate specs'!#REF!,"AAAAAH5vvrM=")</f>
        <v>#REF!</v>
      </c>
      <c r="FY32" t="e">
        <f>AND('boilerplate specs'!#REF!,"AAAAAH5vvrQ=")</f>
        <v>#REF!</v>
      </c>
      <c r="FZ32" t="e">
        <f>AND('boilerplate specs'!#REF!,"AAAAAH5vvrU=")</f>
        <v>#REF!</v>
      </c>
      <c r="GA32" t="e">
        <f>AND('boilerplate specs'!#REF!,"AAAAAH5vvrY=")</f>
        <v>#REF!</v>
      </c>
      <c r="GB32" t="e">
        <f>AND('boilerplate specs'!#REF!,"AAAAAH5vvrc=")</f>
        <v>#REF!</v>
      </c>
      <c r="GC32" t="e">
        <f>AND('boilerplate specs'!#REF!,"AAAAAH5vvrg=")</f>
        <v>#REF!</v>
      </c>
      <c r="GD32" t="e">
        <f>AND('boilerplate specs'!#REF!,"AAAAAH5vvrk=")</f>
        <v>#REF!</v>
      </c>
      <c r="GE32" t="e">
        <f>AND('boilerplate specs'!#REF!,"AAAAAH5vvro=")</f>
        <v>#REF!</v>
      </c>
      <c r="GF32" t="e">
        <f>AND('boilerplate specs'!#REF!,"AAAAAH5vvrs=")</f>
        <v>#REF!</v>
      </c>
      <c r="GG32" t="e">
        <f>AND('boilerplate specs'!#REF!,"AAAAAH5vvrw=")</f>
        <v>#REF!</v>
      </c>
      <c r="GH32" t="e">
        <f>AND('boilerplate specs'!#REF!,"AAAAAH5vvr0=")</f>
        <v>#REF!</v>
      </c>
      <c r="GI32" t="e">
        <f>AND('boilerplate specs'!#REF!,"AAAAAH5vvr4=")</f>
        <v>#REF!</v>
      </c>
      <c r="GJ32" t="e">
        <f>AND('boilerplate specs'!#REF!,"AAAAAH5vvr8=")</f>
        <v>#REF!</v>
      </c>
      <c r="GK32" t="e">
        <f>AND('boilerplate specs'!#REF!,"AAAAAH5vvsA=")</f>
        <v>#REF!</v>
      </c>
      <c r="GL32" t="e">
        <f>AND('boilerplate specs'!#REF!,"AAAAAH5vvsE=")</f>
        <v>#REF!</v>
      </c>
      <c r="GM32" t="e">
        <f>AND('boilerplate specs'!#REF!,"AAAAAH5vvsI=")</f>
        <v>#REF!</v>
      </c>
      <c r="GN32">
        <f>IF('boilerplate specs'!186:186,"AAAAAH5vvsM=",0)</f>
        <v>0</v>
      </c>
      <c r="GO32" t="e">
        <f>AND('boilerplate specs'!A186,"AAAAAH5vvsQ=")</f>
        <v>#VALUE!</v>
      </c>
      <c r="GP32" t="e">
        <f>AND('boilerplate specs'!B186,"AAAAAH5vvsU=")</f>
        <v>#VALUE!</v>
      </c>
      <c r="GQ32" t="e">
        <f>AND('boilerplate specs'!C186,"AAAAAH5vvsY=")</f>
        <v>#VALUE!</v>
      </c>
      <c r="GR32" t="e">
        <f>AND('boilerplate specs'!D186,"AAAAAH5vvsc=")</f>
        <v>#VALUE!</v>
      </c>
      <c r="GS32" t="e">
        <f>AND('boilerplate specs'!E186,"AAAAAH5vvsg=")</f>
        <v>#VALUE!</v>
      </c>
      <c r="GT32" t="e">
        <f>AND('boilerplate specs'!F186,"AAAAAH5vvsk=")</f>
        <v>#VALUE!</v>
      </c>
      <c r="GU32" t="e">
        <f>AND('boilerplate specs'!G186,"AAAAAH5vvso=")</f>
        <v>#VALUE!</v>
      </c>
      <c r="GV32" t="e">
        <f>AND('boilerplate specs'!H186,"AAAAAH5vvss=")</f>
        <v>#VALUE!</v>
      </c>
      <c r="GW32" t="e">
        <f>AND('boilerplate specs'!I186,"AAAAAH5vvsw=")</f>
        <v>#VALUE!</v>
      </c>
      <c r="GX32" t="e">
        <f>AND('boilerplate specs'!J186,"AAAAAH5vvs0=")</f>
        <v>#VALUE!</v>
      </c>
      <c r="GY32" t="e">
        <f>AND('boilerplate specs'!#REF!,"AAAAAH5vvs4=")</f>
        <v>#REF!</v>
      </c>
      <c r="GZ32" t="e">
        <f>AND('boilerplate specs'!#REF!,"AAAAAH5vvs8=")</f>
        <v>#REF!</v>
      </c>
      <c r="HA32" t="e">
        <f>AND('boilerplate specs'!#REF!,"AAAAAH5vvtA=")</f>
        <v>#REF!</v>
      </c>
      <c r="HB32" t="e">
        <f>AND('boilerplate specs'!#REF!,"AAAAAH5vvtE=")</f>
        <v>#REF!</v>
      </c>
      <c r="HC32" t="e">
        <f>AND('boilerplate specs'!#REF!,"AAAAAH5vvtI=")</f>
        <v>#REF!</v>
      </c>
      <c r="HD32" t="e">
        <f>AND('boilerplate specs'!#REF!,"AAAAAH5vvtM=")</f>
        <v>#REF!</v>
      </c>
      <c r="HE32" t="e">
        <f>AND('boilerplate specs'!#REF!,"AAAAAH5vvtQ=")</f>
        <v>#REF!</v>
      </c>
      <c r="HF32" t="e">
        <f>AND('boilerplate specs'!#REF!,"AAAAAH5vvtU=")</f>
        <v>#REF!</v>
      </c>
      <c r="HG32" t="e">
        <f>AND('boilerplate specs'!#REF!,"AAAAAH5vvtY=")</f>
        <v>#REF!</v>
      </c>
      <c r="HH32" t="e">
        <f>AND('boilerplate specs'!#REF!,"AAAAAH5vvtc=")</f>
        <v>#REF!</v>
      </c>
      <c r="HI32" t="e">
        <f>AND('boilerplate specs'!#REF!,"AAAAAH5vvtg=")</f>
        <v>#REF!</v>
      </c>
      <c r="HJ32" t="e">
        <f>AND('boilerplate specs'!#REF!,"AAAAAH5vvtk=")</f>
        <v>#REF!</v>
      </c>
      <c r="HK32" t="e">
        <f>AND('boilerplate specs'!#REF!,"AAAAAH5vvto=")</f>
        <v>#REF!</v>
      </c>
      <c r="HL32" t="e">
        <f>AND('boilerplate specs'!#REF!,"AAAAAH5vvts=")</f>
        <v>#REF!</v>
      </c>
      <c r="HM32" t="e">
        <f>AND('boilerplate specs'!#REF!,"AAAAAH5vvtw=")</f>
        <v>#REF!</v>
      </c>
      <c r="HN32" t="e">
        <f>AND('boilerplate specs'!#REF!,"AAAAAH5vvt0=")</f>
        <v>#REF!</v>
      </c>
      <c r="HO32" t="e">
        <f>AND('boilerplate specs'!#REF!,"AAAAAH5vvt4=")</f>
        <v>#REF!</v>
      </c>
      <c r="HP32" t="e">
        <f>AND('boilerplate specs'!#REF!,"AAAAAH5vvt8=")</f>
        <v>#REF!</v>
      </c>
      <c r="HQ32" t="e">
        <f>AND('boilerplate specs'!#REF!,"AAAAAH5vvuA=")</f>
        <v>#REF!</v>
      </c>
      <c r="HR32" t="e">
        <f>AND('boilerplate specs'!#REF!,"AAAAAH5vvuE=")</f>
        <v>#REF!</v>
      </c>
      <c r="HS32" t="e">
        <f>AND('boilerplate specs'!#REF!,"AAAAAH5vvuI=")</f>
        <v>#REF!</v>
      </c>
      <c r="HT32" t="e">
        <f>AND('boilerplate specs'!#REF!,"AAAAAH5vvuM=")</f>
        <v>#REF!</v>
      </c>
      <c r="HU32">
        <f>IF('boilerplate specs'!187:187,"AAAAAH5vvuQ=",0)</f>
        <v>0</v>
      </c>
      <c r="HV32" t="e">
        <f>AND('boilerplate specs'!A187,"AAAAAH5vvuU=")</f>
        <v>#VALUE!</v>
      </c>
      <c r="HW32" t="e">
        <f>AND('boilerplate specs'!B187,"AAAAAH5vvuY=")</f>
        <v>#VALUE!</v>
      </c>
      <c r="HX32" t="e">
        <f>AND('boilerplate specs'!C187,"AAAAAH5vvuc=")</f>
        <v>#VALUE!</v>
      </c>
      <c r="HY32" t="e">
        <f>AND('boilerplate specs'!D187,"AAAAAH5vvug=")</f>
        <v>#VALUE!</v>
      </c>
      <c r="HZ32" t="e">
        <f>AND('boilerplate specs'!E187,"AAAAAH5vvuk=")</f>
        <v>#VALUE!</v>
      </c>
      <c r="IA32" t="e">
        <f>AND('boilerplate specs'!F187,"AAAAAH5vvuo=")</f>
        <v>#VALUE!</v>
      </c>
      <c r="IB32" t="e">
        <f>AND('boilerplate specs'!G187,"AAAAAH5vvus=")</f>
        <v>#VALUE!</v>
      </c>
      <c r="IC32" t="e">
        <f>AND('boilerplate specs'!H187,"AAAAAH5vvuw=")</f>
        <v>#VALUE!</v>
      </c>
      <c r="ID32" t="e">
        <f>AND('boilerplate specs'!I187,"AAAAAH5vvu0=")</f>
        <v>#VALUE!</v>
      </c>
      <c r="IE32" t="e">
        <f>AND('boilerplate specs'!J187,"AAAAAH5vvu4=")</f>
        <v>#VALUE!</v>
      </c>
      <c r="IF32" t="e">
        <f>AND('boilerplate specs'!#REF!,"AAAAAH5vvu8=")</f>
        <v>#REF!</v>
      </c>
      <c r="IG32" t="e">
        <f>AND('boilerplate specs'!#REF!,"AAAAAH5vvvA=")</f>
        <v>#REF!</v>
      </c>
      <c r="IH32" t="e">
        <f>AND('boilerplate specs'!#REF!,"AAAAAH5vvvE=")</f>
        <v>#REF!</v>
      </c>
      <c r="II32" t="e">
        <f>AND('boilerplate specs'!#REF!,"AAAAAH5vvvI=")</f>
        <v>#REF!</v>
      </c>
      <c r="IJ32" t="e">
        <f>AND('boilerplate specs'!#REF!,"AAAAAH5vvvM=")</f>
        <v>#REF!</v>
      </c>
      <c r="IK32" t="e">
        <f>AND('boilerplate specs'!#REF!,"AAAAAH5vvvQ=")</f>
        <v>#REF!</v>
      </c>
      <c r="IL32" t="e">
        <f>AND('boilerplate specs'!#REF!,"AAAAAH5vvvU=")</f>
        <v>#REF!</v>
      </c>
      <c r="IM32" t="e">
        <f>AND('boilerplate specs'!#REF!,"AAAAAH5vvvY=")</f>
        <v>#REF!</v>
      </c>
      <c r="IN32" t="e">
        <f>AND('boilerplate specs'!#REF!,"AAAAAH5vvvc=")</f>
        <v>#REF!</v>
      </c>
      <c r="IO32" t="e">
        <f>AND('boilerplate specs'!#REF!,"AAAAAH5vvvg=")</f>
        <v>#REF!</v>
      </c>
      <c r="IP32" t="e">
        <f>AND('boilerplate specs'!#REF!,"AAAAAH5vvvk=")</f>
        <v>#REF!</v>
      </c>
      <c r="IQ32" t="e">
        <f>AND('boilerplate specs'!#REF!,"AAAAAH5vvvo=")</f>
        <v>#REF!</v>
      </c>
      <c r="IR32" t="e">
        <f>AND('boilerplate specs'!#REF!,"AAAAAH5vvvs=")</f>
        <v>#REF!</v>
      </c>
      <c r="IS32" t="e">
        <f>AND('boilerplate specs'!#REF!,"AAAAAH5vvvw=")</f>
        <v>#REF!</v>
      </c>
      <c r="IT32" t="e">
        <f>AND('boilerplate specs'!#REF!,"AAAAAH5vvv0=")</f>
        <v>#REF!</v>
      </c>
      <c r="IU32" t="e">
        <f>AND('boilerplate specs'!#REF!,"AAAAAH5vvv4=")</f>
        <v>#REF!</v>
      </c>
      <c r="IV32" t="e">
        <f>AND('boilerplate specs'!#REF!,"AAAAAH5vvv8=")</f>
        <v>#REF!</v>
      </c>
    </row>
    <row r="33" spans="1:256" x14ac:dyDescent="0.35">
      <c r="A33" t="e">
        <f>AND('boilerplate specs'!#REF!,"AAAAAH11dwA=")</f>
        <v>#REF!</v>
      </c>
      <c r="B33" t="e">
        <f>AND('boilerplate specs'!#REF!,"AAAAAH11dwE=")</f>
        <v>#REF!</v>
      </c>
      <c r="C33" t="e">
        <f>AND('boilerplate specs'!#REF!,"AAAAAH11dwI=")</f>
        <v>#REF!</v>
      </c>
      <c r="D33" t="e">
        <f>AND('boilerplate specs'!#REF!,"AAAAAH11dwM=")</f>
        <v>#REF!</v>
      </c>
      <c r="E33" t="e">
        <f>AND('boilerplate specs'!#REF!,"AAAAAH11dwQ=")</f>
        <v>#REF!</v>
      </c>
      <c r="F33">
        <f>IF('boilerplate specs'!188:188,"AAAAAH11dwU=",0)</f>
        <v>0</v>
      </c>
      <c r="G33" t="e">
        <f>AND('boilerplate specs'!A188,"AAAAAH11dwY=")</f>
        <v>#VALUE!</v>
      </c>
      <c r="H33" t="e">
        <f>AND('boilerplate specs'!B188,"AAAAAH11dwc=")</f>
        <v>#VALUE!</v>
      </c>
      <c r="I33" t="e">
        <f>AND('boilerplate specs'!C188,"AAAAAH11dwg=")</f>
        <v>#VALUE!</v>
      </c>
      <c r="J33" t="e">
        <f>AND('boilerplate specs'!D188,"AAAAAH11dwk=")</f>
        <v>#VALUE!</v>
      </c>
      <c r="K33" t="e">
        <f>AND('boilerplate specs'!E188,"AAAAAH11dwo=")</f>
        <v>#VALUE!</v>
      </c>
      <c r="L33" t="e">
        <f>AND('boilerplate specs'!F188,"AAAAAH11dws=")</f>
        <v>#VALUE!</v>
      </c>
      <c r="M33" t="e">
        <f>AND('boilerplate specs'!G188,"AAAAAH11dww=")</f>
        <v>#VALUE!</v>
      </c>
      <c r="N33" t="e">
        <f>AND('boilerplate specs'!H188,"AAAAAH11dw0=")</f>
        <v>#VALUE!</v>
      </c>
      <c r="O33" t="e">
        <f>AND('boilerplate specs'!I188,"AAAAAH11dw4=")</f>
        <v>#VALUE!</v>
      </c>
      <c r="P33" t="e">
        <f>AND('boilerplate specs'!J188,"AAAAAH11dw8=")</f>
        <v>#VALUE!</v>
      </c>
      <c r="Q33" t="e">
        <f>AND('boilerplate specs'!#REF!,"AAAAAH11dxA=")</f>
        <v>#REF!</v>
      </c>
      <c r="R33" t="e">
        <f>AND('boilerplate specs'!#REF!,"AAAAAH11dxE=")</f>
        <v>#REF!</v>
      </c>
      <c r="S33" t="e">
        <f>AND('boilerplate specs'!#REF!,"AAAAAH11dxI=")</f>
        <v>#REF!</v>
      </c>
      <c r="T33" t="e">
        <f>AND('boilerplate specs'!#REF!,"AAAAAH11dxM=")</f>
        <v>#REF!</v>
      </c>
      <c r="U33" t="e">
        <f>AND('boilerplate specs'!#REF!,"AAAAAH11dxQ=")</f>
        <v>#REF!</v>
      </c>
      <c r="V33" t="e">
        <f>AND('boilerplate specs'!#REF!,"AAAAAH11dxU=")</f>
        <v>#REF!</v>
      </c>
      <c r="W33" t="e">
        <f>AND('boilerplate specs'!#REF!,"AAAAAH11dxY=")</f>
        <v>#REF!</v>
      </c>
      <c r="X33" t="e">
        <f>AND('boilerplate specs'!#REF!,"AAAAAH11dxc=")</f>
        <v>#REF!</v>
      </c>
      <c r="Y33" t="e">
        <f>AND('boilerplate specs'!#REF!,"AAAAAH11dxg=")</f>
        <v>#REF!</v>
      </c>
      <c r="Z33" t="e">
        <f>AND('boilerplate specs'!#REF!,"AAAAAH11dxk=")</f>
        <v>#REF!</v>
      </c>
      <c r="AA33" t="e">
        <f>AND('boilerplate specs'!#REF!,"AAAAAH11dxo=")</f>
        <v>#REF!</v>
      </c>
      <c r="AB33" t="e">
        <f>AND('boilerplate specs'!#REF!,"AAAAAH11dxs=")</f>
        <v>#REF!</v>
      </c>
      <c r="AC33" t="e">
        <f>AND('boilerplate specs'!#REF!,"AAAAAH11dxw=")</f>
        <v>#REF!</v>
      </c>
      <c r="AD33" t="e">
        <f>AND('boilerplate specs'!#REF!,"AAAAAH11dx0=")</f>
        <v>#REF!</v>
      </c>
      <c r="AE33" t="e">
        <f>AND('boilerplate specs'!#REF!,"AAAAAH11dx4=")</f>
        <v>#REF!</v>
      </c>
      <c r="AF33" t="e">
        <f>AND('boilerplate specs'!#REF!,"AAAAAH11dx8=")</f>
        <v>#REF!</v>
      </c>
      <c r="AG33" t="e">
        <f>AND('boilerplate specs'!#REF!,"AAAAAH11dyA=")</f>
        <v>#REF!</v>
      </c>
      <c r="AH33" t="e">
        <f>AND('boilerplate specs'!#REF!,"AAAAAH11dyE=")</f>
        <v>#REF!</v>
      </c>
      <c r="AI33" t="e">
        <f>AND('boilerplate specs'!#REF!,"AAAAAH11dyI=")</f>
        <v>#REF!</v>
      </c>
      <c r="AJ33" t="e">
        <f>AND('boilerplate specs'!#REF!,"AAAAAH11dyM=")</f>
        <v>#REF!</v>
      </c>
      <c r="AK33" t="e">
        <f>AND('boilerplate specs'!#REF!,"AAAAAH11dyQ=")</f>
        <v>#REF!</v>
      </c>
      <c r="AL33" t="e">
        <f>AND('boilerplate specs'!#REF!,"AAAAAH11dyU=")</f>
        <v>#REF!</v>
      </c>
      <c r="AM33">
        <f>IF('boilerplate specs'!189:189,"AAAAAH11dyY=",0)</f>
        <v>0</v>
      </c>
      <c r="AN33" t="e">
        <f>AND('boilerplate specs'!A189,"AAAAAH11dyc=")</f>
        <v>#VALUE!</v>
      </c>
      <c r="AO33" t="e">
        <f>AND('boilerplate specs'!B189,"AAAAAH11dyg=")</f>
        <v>#VALUE!</v>
      </c>
      <c r="AP33" t="e">
        <f>AND('boilerplate specs'!C189,"AAAAAH11dyk=")</f>
        <v>#VALUE!</v>
      </c>
      <c r="AQ33" t="e">
        <f>AND('boilerplate specs'!D189,"AAAAAH11dyo=")</f>
        <v>#VALUE!</v>
      </c>
      <c r="AR33" t="e">
        <f>AND('boilerplate specs'!E189,"AAAAAH11dys=")</f>
        <v>#VALUE!</v>
      </c>
      <c r="AS33" t="e">
        <f>AND('boilerplate specs'!F189,"AAAAAH11dyw=")</f>
        <v>#VALUE!</v>
      </c>
      <c r="AT33" t="e">
        <f>AND('boilerplate specs'!G189,"AAAAAH11dy0=")</f>
        <v>#VALUE!</v>
      </c>
      <c r="AU33" t="e">
        <f>AND('boilerplate specs'!H189,"AAAAAH11dy4=")</f>
        <v>#VALUE!</v>
      </c>
      <c r="AV33" t="e">
        <f>AND('boilerplate specs'!I189,"AAAAAH11dy8=")</f>
        <v>#VALUE!</v>
      </c>
      <c r="AW33" t="e">
        <f>AND('boilerplate specs'!J189,"AAAAAH11dzA=")</f>
        <v>#VALUE!</v>
      </c>
      <c r="AX33" t="e">
        <f>AND('boilerplate specs'!#REF!,"AAAAAH11dzE=")</f>
        <v>#REF!</v>
      </c>
      <c r="AY33" t="e">
        <f>AND('boilerplate specs'!#REF!,"AAAAAH11dzI=")</f>
        <v>#REF!</v>
      </c>
      <c r="AZ33" t="e">
        <f>AND('boilerplate specs'!#REF!,"AAAAAH11dzM=")</f>
        <v>#REF!</v>
      </c>
      <c r="BA33" t="e">
        <f>AND('boilerplate specs'!#REF!,"AAAAAH11dzQ=")</f>
        <v>#REF!</v>
      </c>
      <c r="BB33" t="e">
        <f>AND('boilerplate specs'!#REF!,"AAAAAH11dzU=")</f>
        <v>#REF!</v>
      </c>
      <c r="BC33" t="e">
        <f>AND('boilerplate specs'!#REF!,"AAAAAH11dzY=")</f>
        <v>#REF!</v>
      </c>
      <c r="BD33" t="e">
        <f>AND('boilerplate specs'!#REF!,"AAAAAH11dzc=")</f>
        <v>#REF!</v>
      </c>
      <c r="BE33" t="e">
        <f>AND('boilerplate specs'!#REF!,"AAAAAH11dzg=")</f>
        <v>#REF!</v>
      </c>
      <c r="BF33" t="e">
        <f>AND('boilerplate specs'!#REF!,"AAAAAH11dzk=")</f>
        <v>#REF!</v>
      </c>
      <c r="BG33" t="e">
        <f>AND('boilerplate specs'!#REF!,"AAAAAH11dzo=")</f>
        <v>#REF!</v>
      </c>
      <c r="BH33" t="e">
        <f>AND('boilerplate specs'!#REF!,"AAAAAH11dzs=")</f>
        <v>#REF!</v>
      </c>
      <c r="BI33" t="e">
        <f>AND('boilerplate specs'!#REF!,"AAAAAH11dzw=")</f>
        <v>#REF!</v>
      </c>
      <c r="BJ33" t="e">
        <f>AND('boilerplate specs'!#REF!,"AAAAAH11dz0=")</f>
        <v>#REF!</v>
      </c>
      <c r="BK33" t="e">
        <f>AND('boilerplate specs'!#REF!,"AAAAAH11dz4=")</f>
        <v>#REF!</v>
      </c>
      <c r="BL33" t="e">
        <f>AND('boilerplate specs'!#REF!,"AAAAAH11dz8=")</f>
        <v>#REF!</v>
      </c>
      <c r="BM33" t="e">
        <f>AND('boilerplate specs'!#REF!,"AAAAAH11d0A=")</f>
        <v>#REF!</v>
      </c>
      <c r="BN33" t="e">
        <f>AND('boilerplate specs'!#REF!,"AAAAAH11d0E=")</f>
        <v>#REF!</v>
      </c>
      <c r="BO33" t="e">
        <f>AND('boilerplate specs'!#REF!,"AAAAAH11d0I=")</f>
        <v>#REF!</v>
      </c>
      <c r="BP33" t="e">
        <f>AND('boilerplate specs'!#REF!,"AAAAAH11d0M=")</f>
        <v>#REF!</v>
      </c>
      <c r="BQ33" t="e">
        <f>AND('boilerplate specs'!#REF!,"AAAAAH11d0Q=")</f>
        <v>#REF!</v>
      </c>
      <c r="BR33" t="e">
        <f>AND('boilerplate specs'!#REF!,"AAAAAH11d0U=")</f>
        <v>#REF!</v>
      </c>
      <c r="BS33" t="e">
        <f>AND('boilerplate specs'!#REF!,"AAAAAH11d0Y=")</f>
        <v>#REF!</v>
      </c>
      <c r="BT33">
        <f>IF('boilerplate specs'!190:190,"AAAAAH11d0c=",0)</f>
        <v>0</v>
      </c>
      <c r="BU33" t="e">
        <f>AND('boilerplate specs'!A190,"AAAAAH11d0g=")</f>
        <v>#VALUE!</v>
      </c>
      <c r="BV33" t="e">
        <f>AND('boilerplate specs'!B190,"AAAAAH11d0k=")</f>
        <v>#VALUE!</v>
      </c>
      <c r="BW33" t="e">
        <f>AND('boilerplate specs'!C190,"AAAAAH11d0o=")</f>
        <v>#VALUE!</v>
      </c>
      <c r="BX33" t="e">
        <f>AND('boilerplate specs'!D190,"AAAAAH11d0s=")</f>
        <v>#VALUE!</v>
      </c>
      <c r="BY33" t="e">
        <f>AND('boilerplate specs'!E190,"AAAAAH11d0w=")</f>
        <v>#VALUE!</v>
      </c>
      <c r="BZ33" t="e">
        <f>AND('boilerplate specs'!F190,"AAAAAH11d00=")</f>
        <v>#VALUE!</v>
      </c>
      <c r="CA33" t="e">
        <f>AND('boilerplate specs'!G190,"AAAAAH11d04=")</f>
        <v>#VALUE!</v>
      </c>
      <c r="CB33" t="e">
        <f>AND('boilerplate specs'!H190,"AAAAAH11d08=")</f>
        <v>#VALUE!</v>
      </c>
      <c r="CC33" t="e">
        <f>AND('boilerplate specs'!I190,"AAAAAH11d1A=")</f>
        <v>#VALUE!</v>
      </c>
      <c r="CD33" t="e">
        <f>AND('boilerplate specs'!J190,"AAAAAH11d1E=")</f>
        <v>#VALUE!</v>
      </c>
      <c r="CE33" t="e">
        <f>AND('boilerplate specs'!#REF!,"AAAAAH11d1I=")</f>
        <v>#REF!</v>
      </c>
      <c r="CF33" t="e">
        <f>AND('boilerplate specs'!#REF!,"AAAAAH11d1M=")</f>
        <v>#REF!</v>
      </c>
      <c r="CG33" t="e">
        <f>AND('boilerplate specs'!#REF!,"AAAAAH11d1Q=")</f>
        <v>#REF!</v>
      </c>
      <c r="CH33" t="e">
        <f>AND('boilerplate specs'!#REF!,"AAAAAH11d1U=")</f>
        <v>#REF!</v>
      </c>
      <c r="CI33" t="e">
        <f>AND('boilerplate specs'!#REF!,"AAAAAH11d1Y=")</f>
        <v>#REF!</v>
      </c>
      <c r="CJ33" t="e">
        <f>AND('boilerplate specs'!#REF!,"AAAAAH11d1c=")</f>
        <v>#REF!</v>
      </c>
      <c r="CK33" t="e">
        <f>AND('boilerplate specs'!#REF!,"AAAAAH11d1g=")</f>
        <v>#REF!</v>
      </c>
      <c r="CL33" t="e">
        <f>AND('boilerplate specs'!#REF!,"AAAAAH11d1k=")</f>
        <v>#REF!</v>
      </c>
      <c r="CM33" t="e">
        <f>AND('boilerplate specs'!#REF!,"AAAAAH11d1o=")</f>
        <v>#REF!</v>
      </c>
      <c r="CN33" t="e">
        <f>AND('boilerplate specs'!#REF!,"AAAAAH11d1s=")</f>
        <v>#REF!</v>
      </c>
      <c r="CO33" t="e">
        <f>AND('boilerplate specs'!#REF!,"AAAAAH11d1w=")</f>
        <v>#REF!</v>
      </c>
      <c r="CP33" t="e">
        <f>AND('boilerplate specs'!#REF!,"AAAAAH11d10=")</f>
        <v>#REF!</v>
      </c>
      <c r="CQ33" t="e">
        <f>AND('boilerplate specs'!#REF!,"AAAAAH11d14=")</f>
        <v>#REF!</v>
      </c>
      <c r="CR33" t="e">
        <f>AND('boilerplate specs'!#REF!,"AAAAAH11d18=")</f>
        <v>#REF!</v>
      </c>
      <c r="CS33" t="e">
        <f>AND('boilerplate specs'!#REF!,"AAAAAH11d2A=")</f>
        <v>#REF!</v>
      </c>
      <c r="CT33" t="e">
        <f>AND('boilerplate specs'!#REF!,"AAAAAH11d2E=")</f>
        <v>#REF!</v>
      </c>
      <c r="CU33" t="e">
        <f>AND('boilerplate specs'!#REF!,"AAAAAH11d2I=")</f>
        <v>#REF!</v>
      </c>
      <c r="CV33" t="e">
        <f>AND('boilerplate specs'!#REF!,"AAAAAH11d2M=")</f>
        <v>#REF!</v>
      </c>
      <c r="CW33" t="e">
        <f>AND('boilerplate specs'!#REF!,"AAAAAH11d2Q=")</f>
        <v>#REF!</v>
      </c>
      <c r="CX33" t="e">
        <f>AND('boilerplate specs'!#REF!,"AAAAAH11d2U=")</f>
        <v>#REF!</v>
      </c>
      <c r="CY33" t="e">
        <f>AND('boilerplate specs'!#REF!,"AAAAAH11d2Y=")</f>
        <v>#REF!</v>
      </c>
      <c r="CZ33" t="e">
        <f>AND('boilerplate specs'!#REF!,"AAAAAH11d2c=")</f>
        <v>#REF!</v>
      </c>
      <c r="DA33">
        <f>IF('boilerplate specs'!191:191,"AAAAAH11d2g=",0)</f>
        <v>0</v>
      </c>
      <c r="DB33" t="e">
        <f>AND('boilerplate specs'!A191,"AAAAAH11d2k=")</f>
        <v>#VALUE!</v>
      </c>
      <c r="DC33" t="e">
        <f>AND('boilerplate specs'!B191,"AAAAAH11d2o=")</f>
        <v>#VALUE!</v>
      </c>
      <c r="DD33" t="e">
        <f>AND('boilerplate specs'!C191,"AAAAAH11d2s=")</f>
        <v>#VALUE!</v>
      </c>
      <c r="DE33" t="e">
        <f>AND('boilerplate specs'!D191,"AAAAAH11d2w=")</f>
        <v>#VALUE!</v>
      </c>
      <c r="DF33" t="e">
        <f>AND('boilerplate specs'!E191,"AAAAAH11d20=")</f>
        <v>#VALUE!</v>
      </c>
      <c r="DG33" t="e">
        <f>AND('boilerplate specs'!F191,"AAAAAH11d24=")</f>
        <v>#VALUE!</v>
      </c>
      <c r="DH33" t="e">
        <f>AND('boilerplate specs'!G191,"AAAAAH11d28=")</f>
        <v>#VALUE!</v>
      </c>
      <c r="DI33" t="e">
        <f>AND('boilerplate specs'!H191,"AAAAAH11d3A=")</f>
        <v>#VALUE!</v>
      </c>
      <c r="DJ33" t="e">
        <f>AND('boilerplate specs'!I191,"AAAAAH11d3E=")</f>
        <v>#VALUE!</v>
      </c>
      <c r="DK33" t="e">
        <f>AND('boilerplate specs'!J191,"AAAAAH11d3I=")</f>
        <v>#VALUE!</v>
      </c>
      <c r="DL33" t="e">
        <f>AND('boilerplate specs'!#REF!,"AAAAAH11d3M=")</f>
        <v>#REF!</v>
      </c>
      <c r="DM33" t="e">
        <f>AND('boilerplate specs'!#REF!,"AAAAAH11d3Q=")</f>
        <v>#REF!</v>
      </c>
      <c r="DN33" t="e">
        <f>AND('boilerplate specs'!#REF!,"AAAAAH11d3U=")</f>
        <v>#REF!</v>
      </c>
      <c r="DO33" t="e">
        <f>AND('boilerplate specs'!#REF!,"AAAAAH11d3Y=")</f>
        <v>#REF!</v>
      </c>
      <c r="DP33" t="e">
        <f>AND('boilerplate specs'!#REF!,"AAAAAH11d3c=")</f>
        <v>#REF!</v>
      </c>
      <c r="DQ33" t="e">
        <f>AND('boilerplate specs'!#REF!,"AAAAAH11d3g=")</f>
        <v>#REF!</v>
      </c>
      <c r="DR33" t="e">
        <f>AND('boilerplate specs'!#REF!,"AAAAAH11d3k=")</f>
        <v>#REF!</v>
      </c>
      <c r="DS33" t="e">
        <f>AND('boilerplate specs'!#REF!,"AAAAAH11d3o=")</f>
        <v>#REF!</v>
      </c>
      <c r="DT33" t="e">
        <f>AND('boilerplate specs'!#REF!,"AAAAAH11d3s=")</f>
        <v>#REF!</v>
      </c>
      <c r="DU33" t="e">
        <f>AND('boilerplate specs'!#REF!,"AAAAAH11d3w=")</f>
        <v>#REF!</v>
      </c>
      <c r="DV33" t="e">
        <f>AND('boilerplate specs'!#REF!,"AAAAAH11d30=")</f>
        <v>#REF!</v>
      </c>
      <c r="DW33" t="e">
        <f>AND('boilerplate specs'!#REF!,"AAAAAH11d34=")</f>
        <v>#REF!</v>
      </c>
      <c r="DX33" t="e">
        <f>AND('boilerplate specs'!#REF!,"AAAAAH11d38=")</f>
        <v>#REF!</v>
      </c>
      <c r="DY33" t="e">
        <f>AND('boilerplate specs'!#REF!,"AAAAAH11d4A=")</f>
        <v>#REF!</v>
      </c>
      <c r="DZ33" t="e">
        <f>AND('boilerplate specs'!#REF!,"AAAAAH11d4E=")</f>
        <v>#REF!</v>
      </c>
      <c r="EA33" t="e">
        <f>AND('boilerplate specs'!#REF!,"AAAAAH11d4I=")</f>
        <v>#REF!</v>
      </c>
      <c r="EB33" t="e">
        <f>AND('boilerplate specs'!#REF!,"AAAAAH11d4M=")</f>
        <v>#REF!</v>
      </c>
      <c r="EC33" t="e">
        <f>AND('boilerplate specs'!#REF!,"AAAAAH11d4Q=")</f>
        <v>#REF!</v>
      </c>
      <c r="ED33" t="e">
        <f>AND('boilerplate specs'!#REF!,"AAAAAH11d4U=")</f>
        <v>#REF!</v>
      </c>
      <c r="EE33" t="e">
        <f>AND('boilerplate specs'!#REF!,"AAAAAH11d4Y=")</f>
        <v>#REF!</v>
      </c>
      <c r="EF33" t="e">
        <f>AND('boilerplate specs'!#REF!,"AAAAAH11d4c=")</f>
        <v>#REF!</v>
      </c>
      <c r="EG33" t="e">
        <f>AND('boilerplate specs'!#REF!,"AAAAAH11d4g=")</f>
        <v>#REF!</v>
      </c>
      <c r="EH33">
        <f>IF('boilerplate specs'!192:192,"AAAAAH11d4k=",0)</f>
        <v>0</v>
      </c>
      <c r="EI33" t="e">
        <f>AND('boilerplate specs'!A192,"AAAAAH11d4o=")</f>
        <v>#VALUE!</v>
      </c>
      <c r="EJ33" t="e">
        <f>AND('boilerplate specs'!B192,"AAAAAH11d4s=")</f>
        <v>#VALUE!</v>
      </c>
      <c r="EK33" t="e">
        <f>AND('boilerplate specs'!C192,"AAAAAH11d4w=")</f>
        <v>#VALUE!</v>
      </c>
      <c r="EL33" t="e">
        <f>AND('boilerplate specs'!D192,"AAAAAH11d40=")</f>
        <v>#VALUE!</v>
      </c>
      <c r="EM33" t="e">
        <f>AND('boilerplate specs'!E192,"AAAAAH11d44=")</f>
        <v>#VALUE!</v>
      </c>
      <c r="EN33" t="e">
        <f>AND('boilerplate specs'!F192,"AAAAAH11d48=")</f>
        <v>#VALUE!</v>
      </c>
      <c r="EO33" t="e">
        <f>AND('boilerplate specs'!G192,"AAAAAH11d5A=")</f>
        <v>#VALUE!</v>
      </c>
      <c r="EP33" t="e">
        <f>AND('boilerplate specs'!H192,"AAAAAH11d5E=")</f>
        <v>#VALUE!</v>
      </c>
      <c r="EQ33" t="e">
        <f>AND('boilerplate specs'!I192,"AAAAAH11d5I=")</f>
        <v>#VALUE!</v>
      </c>
      <c r="ER33" t="e">
        <f>AND('boilerplate specs'!J192,"AAAAAH11d5M=")</f>
        <v>#VALUE!</v>
      </c>
      <c r="ES33" t="e">
        <f>AND('boilerplate specs'!#REF!,"AAAAAH11d5Q=")</f>
        <v>#REF!</v>
      </c>
      <c r="ET33" t="e">
        <f>AND('boilerplate specs'!#REF!,"AAAAAH11d5U=")</f>
        <v>#REF!</v>
      </c>
      <c r="EU33" t="e">
        <f>AND('boilerplate specs'!#REF!,"AAAAAH11d5Y=")</f>
        <v>#REF!</v>
      </c>
      <c r="EV33" t="e">
        <f>AND('boilerplate specs'!#REF!,"AAAAAH11d5c=")</f>
        <v>#REF!</v>
      </c>
      <c r="EW33" t="e">
        <f>AND('boilerplate specs'!#REF!,"AAAAAH11d5g=")</f>
        <v>#REF!</v>
      </c>
      <c r="EX33" t="e">
        <f>AND('boilerplate specs'!#REF!,"AAAAAH11d5k=")</f>
        <v>#REF!</v>
      </c>
      <c r="EY33" t="e">
        <f>AND('boilerplate specs'!#REF!,"AAAAAH11d5o=")</f>
        <v>#REF!</v>
      </c>
      <c r="EZ33" t="e">
        <f>AND('boilerplate specs'!#REF!,"AAAAAH11d5s=")</f>
        <v>#REF!</v>
      </c>
      <c r="FA33" t="e">
        <f>AND('boilerplate specs'!#REF!,"AAAAAH11d5w=")</f>
        <v>#REF!</v>
      </c>
      <c r="FB33" t="e">
        <f>AND('boilerplate specs'!#REF!,"AAAAAH11d50=")</f>
        <v>#REF!</v>
      </c>
      <c r="FC33" t="e">
        <f>AND('boilerplate specs'!#REF!,"AAAAAH11d54=")</f>
        <v>#REF!</v>
      </c>
      <c r="FD33" t="e">
        <f>AND('boilerplate specs'!#REF!,"AAAAAH11d58=")</f>
        <v>#REF!</v>
      </c>
      <c r="FE33" t="e">
        <f>AND('boilerplate specs'!#REF!,"AAAAAH11d6A=")</f>
        <v>#REF!</v>
      </c>
      <c r="FF33" t="e">
        <f>AND('boilerplate specs'!#REF!,"AAAAAH11d6E=")</f>
        <v>#REF!</v>
      </c>
      <c r="FG33" t="e">
        <f>AND('boilerplate specs'!#REF!,"AAAAAH11d6I=")</f>
        <v>#REF!</v>
      </c>
      <c r="FH33" t="e">
        <f>AND('boilerplate specs'!#REF!,"AAAAAH11d6M=")</f>
        <v>#REF!</v>
      </c>
      <c r="FI33" t="e">
        <f>AND('boilerplate specs'!#REF!,"AAAAAH11d6Q=")</f>
        <v>#REF!</v>
      </c>
      <c r="FJ33" t="e">
        <f>AND('boilerplate specs'!#REF!,"AAAAAH11d6U=")</f>
        <v>#REF!</v>
      </c>
      <c r="FK33" t="e">
        <f>AND('boilerplate specs'!#REF!,"AAAAAH11d6Y=")</f>
        <v>#REF!</v>
      </c>
      <c r="FL33" t="e">
        <f>AND('boilerplate specs'!#REF!,"AAAAAH11d6c=")</f>
        <v>#REF!</v>
      </c>
      <c r="FM33" t="e">
        <f>AND('boilerplate specs'!#REF!,"AAAAAH11d6g=")</f>
        <v>#REF!</v>
      </c>
      <c r="FN33" t="e">
        <f>AND('boilerplate specs'!#REF!,"AAAAAH11d6k=")</f>
        <v>#REF!</v>
      </c>
      <c r="FO33">
        <f>IF('boilerplate specs'!193:193,"AAAAAH11d6o=",0)</f>
        <v>0</v>
      </c>
      <c r="FP33" t="e">
        <f>AND('boilerplate specs'!A193,"AAAAAH11d6s=")</f>
        <v>#VALUE!</v>
      </c>
      <c r="FQ33" t="e">
        <f>AND('boilerplate specs'!B193,"AAAAAH11d6w=")</f>
        <v>#VALUE!</v>
      </c>
      <c r="FR33" t="e">
        <f>AND('boilerplate specs'!C193,"AAAAAH11d60=")</f>
        <v>#VALUE!</v>
      </c>
      <c r="FS33" t="e">
        <f>AND('boilerplate specs'!D193,"AAAAAH11d64=")</f>
        <v>#VALUE!</v>
      </c>
      <c r="FT33" t="e">
        <f>AND('boilerplate specs'!E193,"AAAAAH11d68=")</f>
        <v>#VALUE!</v>
      </c>
      <c r="FU33" t="e">
        <f>AND('boilerplate specs'!F193,"AAAAAH11d7A=")</f>
        <v>#VALUE!</v>
      </c>
      <c r="FV33" t="e">
        <f>AND('boilerplate specs'!G193,"AAAAAH11d7E=")</f>
        <v>#VALUE!</v>
      </c>
      <c r="FW33" t="e">
        <f>AND('boilerplate specs'!H193,"AAAAAH11d7I=")</f>
        <v>#VALUE!</v>
      </c>
      <c r="FX33" t="e">
        <f>AND('boilerplate specs'!I193,"AAAAAH11d7M=")</f>
        <v>#VALUE!</v>
      </c>
      <c r="FY33" t="e">
        <f>AND('boilerplate specs'!J193,"AAAAAH11d7Q=")</f>
        <v>#VALUE!</v>
      </c>
      <c r="FZ33" t="e">
        <f>AND('boilerplate specs'!#REF!,"AAAAAH11d7U=")</f>
        <v>#REF!</v>
      </c>
      <c r="GA33" t="e">
        <f>AND('boilerplate specs'!#REF!,"AAAAAH11d7Y=")</f>
        <v>#REF!</v>
      </c>
      <c r="GB33" t="e">
        <f>AND('boilerplate specs'!#REF!,"AAAAAH11d7c=")</f>
        <v>#REF!</v>
      </c>
      <c r="GC33" t="e">
        <f>AND('boilerplate specs'!#REF!,"AAAAAH11d7g=")</f>
        <v>#REF!</v>
      </c>
      <c r="GD33" t="e">
        <f>AND('boilerplate specs'!#REF!,"AAAAAH11d7k=")</f>
        <v>#REF!</v>
      </c>
      <c r="GE33" t="e">
        <f>AND('boilerplate specs'!#REF!,"AAAAAH11d7o=")</f>
        <v>#REF!</v>
      </c>
      <c r="GF33" t="e">
        <f>AND('boilerplate specs'!#REF!,"AAAAAH11d7s=")</f>
        <v>#REF!</v>
      </c>
      <c r="GG33" t="e">
        <f>AND('boilerplate specs'!#REF!,"AAAAAH11d7w=")</f>
        <v>#REF!</v>
      </c>
      <c r="GH33" t="e">
        <f>AND('boilerplate specs'!#REF!,"AAAAAH11d70=")</f>
        <v>#REF!</v>
      </c>
      <c r="GI33" t="e">
        <f>AND('boilerplate specs'!#REF!,"AAAAAH11d74=")</f>
        <v>#REF!</v>
      </c>
      <c r="GJ33" t="e">
        <f>AND('boilerplate specs'!#REF!,"AAAAAH11d78=")</f>
        <v>#REF!</v>
      </c>
      <c r="GK33" t="e">
        <f>AND('boilerplate specs'!#REF!,"AAAAAH11d8A=")</f>
        <v>#REF!</v>
      </c>
      <c r="GL33" t="e">
        <f>AND('boilerplate specs'!#REF!,"AAAAAH11d8E=")</f>
        <v>#REF!</v>
      </c>
      <c r="GM33" t="e">
        <f>AND('boilerplate specs'!#REF!,"AAAAAH11d8I=")</f>
        <v>#REF!</v>
      </c>
      <c r="GN33" t="e">
        <f>AND('boilerplate specs'!#REF!,"AAAAAH11d8M=")</f>
        <v>#REF!</v>
      </c>
      <c r="GO33" t="e">
        <f>AND('boilerplate specs'!#REF!,"AAAAAH11d8Q=")</f>
        <v>#REF!</v>
      </c>
      <c r="GP33" t="e">
        <f>AND('boilerplate specs'!#REF!,"AAAAAH11d8U=")</f>
        <v>#REF!</v>
      </c>
      <c r="GQ33" t="e">
        <f>AND('boilerplate specs'!#REF!,"AAAAAH11d8Y=")</f>
        <v>#REF!</v>
      </c>
      <c r="GR33" t="e">
        <f>AND('boilerplate specs'!#REF!,"AAAAAH11d8c=")</f>
        <v>#REF!</v>
      </c>
      <c r="GS33" t="e">
        <f>AND('boilerplate specs'!#REF!,"AAAAAH11d8g=")</f>
        <v>#REF!</v>
      </c>
      <c r="GT33" t="e">
        <f>AND('boilerplate specs'!#REF!,"AAAAAH11d8k=")</f>
        <v>#REF!</v>
      </c>
      <c r="GU33" t="e">
        <f>AND('boilerplate specs'!#REF!,"AAAAAH11d8o=")</f>
        <v>#REF!</v>
      </c>
      <c r="GV33">
        <f>IF('boilerplate specs'!194:194,"AAAAAH11d8s=",0)</f>
        <v>0</v>
      </c>
      <c r="GW33" t="e">
        <f>AND('boilerplate specs'!A194,"AAAAAH11d8w=")</f>
        <v>#VALUE!</v>
      </c>
      <c r="GX33" t="e">
        <f>AND('boilerplate specs'!B194,"AAAAAH11d80=")</f>
        <v>#VALUE!</v>
      </c>
      <c r="GY33" t="e">
        <f>AND('boilerplate specs'!C194,"AAAAAH11d84=")</f>
        <v>#VALUE!</v>
      </c>
      <c r="GZ33" t="e">
        <f>AND('boilerplate specs'!D194,"AAAAAH11d88=")</f>
        <v>#VALUE!</v>
      </c>
      <c r="HA33" t="e">
        <f>AND('boilerplate specs'!E194,"AAAAAH11d9A=")</f>
        <v>#VALUE!</v>
      </c>
      <c r="HB33" t="e">
        <f>AND('boilerplate specs'!F194,"AAAAAH11d9E=")</f>
        <v>#VALUE!</v>
      </c>
      <c r="HC33" t="e">
        <f>AND('boilerplate specs'!G194,"AAAAAH11d9I=")</f>
        <v>#VALUE!</v>
      </c>
      <c r="HD33" t="e">
        <f>AND('boilerplate specs'!H194,"AAAAAH11d9M=")</f>
        <v>#VALUE!</v>
      </c>
      <c r="HE33" t="e">
        <f>AND('boilerplate specs'!I194,"AAAAAH11d9Q=")</f>
        <v>#VALUE!</v>
      </c>
      <c r="HF33" t="e">
        <f>AND('boilerplate specs'!J194,"AAAAAH11d9U=")</f>
        <v>#VALUE!</v>
      </c>
      <c r="HG33" t="e">
        <f>AND('boilerplate specs'!#REF!,"AAAAAH11d9Y=")</f>
        <v>#REF!</v>
      </c>
      <c r="HH33" t="e">
        <f>AND('boilerplate specs'!#REF!,"AAAAAH11d9c=")</f>
        <v>#REF!</v>
      </c>
      <c r="HI33" t="e">
        <f>AND('boilerplate specs'!#REF!,"AAAAAH11d9g=")</f>
        <v>#REF!</v>
      </c>
      <c r="HJ33" t="e">
        <f>AND('boilerplate specs'!#REF!,"AAAAAH11d9k=")</f>
        <v>#REF!</v>
      </c>
      <c r="HK33" t="e">
        <f>AND('boilerplate specs'!#REF!,"AAAAAH11d9o=")</f>
        <v>#REF!</v>
      </c>
      <c r="HL33" t="e">
        <f>AND('boilerplate specs'!#REF!,"AAAAAH11d9s=")</f>
        <v>#REF!</v>
      </c>
      <c r="HM33" t="e">
        <f>AND('boilerplate specs'!#REF!,"AAAAAH11d9w=")</f>
        <v>#REF!</v>
      </c>
      <c r="HN33" t="e">
        <f>AND('boilerplate specs'!#REF!,"AAAAAH11d90=")</f>
        <v>#REF!</v>
      </c>
      <c r="HO33" t="e">
        <f>AND('boilerplate specs'!#REF!,"AAAAAH11d94=")</f>
        <v>#REF!</v>
      </c>
      <c r="HP33" t="e">
        <f>AND('boilerplate specs'!#REF!,"AAAAAH11d98=")</f>
        <v>#REF!</v>
      </c>
      <c r="HQ33" t="e">
        <f>AND('boilerplate specs'!#REF!,"AAAAAH11d+A=")</f>
        <v>#REF!</v>
      </c>
      <c r="HR33" t="e">
        <f>AND('boilerplate specs'!#REF!,"AAAAAH11d+E=")</f>
        <v>#REF!</v>
      </c>
      <c r="HS33" t="e">
        <f>AND('boilerplate specs'!#REF!,"AAAAAH11d+I=")</f>
        <v>#REF!</v>
      </c>
      <c r="HT33" t="e">
        <f>AND('boilerplate specs'!#REF!,"AAAAAH11d+M=")</f>
        <v>#REF!</v>
      </c>
      <c r="HU33" t="e">
        <f>AND('boilerplate specs'!#REF!,"AAAAAH11d+Q=")</f>
        <v>#REF!</v>
      </c>
      <c r="HV33" t="e">
        <f>AND('boilerplate specs'!#REF!,"AAAAAH11d+U=")</f>
        <v>#REF!</v>
      </c>
      <c r="HW33" t="e">
        <f>AND('boilerplate specs'!#REF!,"AAAAAH11d+Y=")</f>
        <v>#REF!</v>
      </c>
      <c r="HX33" t="e">
        <f>AND('boilerplate specs'!#REF!,"AAAAAH11d+c=")</f>
        <v>#REF!</v>
      </c>
      <c r="HY33" t="e">
        <f>AND('boilerplate specs'!#REF!,"AAAAAH11d+g=")</f>
        <v>#REF!</v>
      </c>
      <c r="HZ33" t="e">
        <f>AND('boilerplate specs'!#REF!,"AAAAAH11d+k=")</f>
        <v>#REF!</v>
      </c>
      <c r="IA33" t="e">
        <f>AND('boilerplate specs'!#REF!,"AAAAAH11d+o=")</f>
        <v>#REF!</v>
      </c>
      <c r="IB33" t="e">
        <f>AND('boilerplate specs'!#REF!,"AAAAAH11d+s=")</f>
        <v>#REF!</v>
      </c>
      <c r="IC33">
        <f>IF('boilerplate specs'!195:195,"AAAAAH11d+w=",0)</f>
        <v>0</v>
      </c>
      <c r="ID33" t="e">
        <f>AND('boilerplate specs'!A195,"AAAAAH11d+0=")</f>
        <v>#VALUE!</v>
      </c>
      <c r="IE33" t="e">
        <f>AND('boilerplate specs'!B195,"AAAAAH11d+4=")</f>
        <v>#VALUE!</v>
      </c>
      <c r="IF33" t="e">
        <f>AND('boilerplate specs'!C195,"AAAAAH11d+8=")</f>
        <v>#VALUE!</v>
      </c>
      <c r="IG33" t="e">
        <f>AND('boilerplate specs'!D195,"AAAAAH11d/A=")</f>
        <v>#VALUE!</v>
      </c>
      <c r="IH33" t="e">
        <f>AND('boilerplate specs'!E195,"AAAAAH11d/E=")</f>
        <v>#VALUE!</v>
      </c>
      <c r="II33" t="e">
        <f>AND('boilerplate specs'!F195,"AAAAAH11d/I=")</f>
        <v>#VALUE!</v>
      </c>
      <c r="IJ33" t="e">
        <f>AND('boilerplate specs'!G195,"AAAAAH11d/M=")</f>
        <v>#VALUE!</v>
      </c>
      <c r="IK33" t="e">
        <f>AND('boilerplate specs'!H195,"AAAAAH11d/Q=")</f>
        <v>#VALUE!</v>
      </c>
      <c r="IL33" t="e">
        <f>AND('boilerplate specs'!I195,"AAAAAH11d/U=")</f>
        <v>#VALUE!</v>
      </c>
      <c r="IM33" t="e">
        <f>AND('boilerplate specs'!J195,"AAAAAH11d/Y=")</f>
        <v>#VALUE!</v>
      </c>
      <c r="IN33" t="e">
        <f>AND('boilerplate specs'!#REF!,"AAAAAH11d/c=")</f>
        <v>#REF!</v>
      </c>
      <c r="IO33" t="e">
        <f>AND('boilerplate specs'!#REF!,"AAAAAH11d/g=")</f>
        <v>#REF!</v>
      </c>
      <c r="IP33" t="e">
        <f>AND('boilerplate specs'!#REF!,"AAAAAH11d/k=")</f>
        <v>#REF!</v>
      </c>
      <c r="IQ33" t="e">
        <f>AND('boilerplate specs'!#REF!,"AAAAAH11d/o=")</f>
        <v>#REF!</v>
      </c>
      <c r="IR33" t="e">
        <f>AND('boilerplate specs'!#REF!,"AAAAAH11d/s=")</f>
        <v>#REF!</v>
      </c>
      <c r="IS33" t="e">
        <f>AND('boilerplate specs'!#REF!,"AAAAAH11d/w=")</f>
        <v>#REF!</v>
      </c>
      <c r="IT33" t="e">
        <f>AND('boilerplate specs'!#REF!,"AAAAAH11d/0=")</f>
        <v>#REF!</v>
      </c>
      <c r="IU33" t="e">
        <f>AND('boilerplate specs'!#REF!,"AAAAAH11d/4=")</f>
        <v>#REF!</v>
      </c>
      <c r="IV33" t="e">
        <f>AND('boilerplate specs'!#REF!,"AAAAAH11d/8=")</f>
        <v>#REF!</v>
      </c>
    </row>
    <row r="34" spans="1:256" x14ac:dyDescent="0.35">
      <c r="A34" t="e">
        <f>AND('boilerplate specs'!#REF!,"AAAAADf/fwA=")</f>
        <v>#REF!</v>
      </c>
      <c r="B34" t="e">
        <f>AND('boilerplate specs'!#REF!,"AAAAADf/fwE=")</f>
        <v>#REF!</v>
      </c>
      <c r="C34" t="e">
        <f>AND('boilerplate specs'!#REF!,"AAAAADf/fwI=")</f>
        <v>#REF!</v>
      </c>
      <c r="D34" t="e">
        <f>AND('boilerplate specs'!#REF!,"AAAAADf/fwM=")</f>
        <v>#REF!</v>
      </c>
      <c r="E34" t="e">
        <f>AND('boilerplate specs'!#REF!,"AAAAADf/fwQ=")</f>
        <v>#REF!</v>
      </c>
      <c r="F34" t="e">
        <f>AND('boilerplate specs'!#REF!,"AAAAADf/fwU=")</f>
        <v>#REF!</v>
      </c>
      <c r="G34" t="e">
        <f>AND('boilerplate specs'!#REF!,"AAAAADf/fwY=")</f>
        <v>#REF!</v>
      </c>
      <c r="H34" t="e">
        <f>AND('boilerplate specs'!#REF!,"AAAAADf/fwc=")</f>
        <v>#REF!</v>
      </c>
      <c r="I34" t="e">
        <f>AND('boilerplate specs'!#REF!,"AAAAADf/fwg=")</f>
        <v>#REF!</v>
      </c>
      <c r="J34" t="e">
        <f>AND('boilerplate specs'!#REF!,"AAAAADf/fwk=")</f>
        <v>#REF!</v>
      </c>
      <c r="K34" t="e">
        <f>AND('boilerplate specs'!#REF!,"AAAAADf/fwo=")</f>
        <v>#REF!</v>
      </c>
      <c r="L34" t="e">
        <f>AND('boilerplate specs'!#REF!,"AAAAADf/fws=")</f>
        <v>#REF!</v>
      </c>
      <c r="M34" t="e">
        <f>AND('boilerplate specs'!#REF!,"AAAAADf/fww=")</f>
        <v>#REF!</v>
      </c>
      <c r="N34">
        <f>IF('boilerplate specs'!196:196,"AAAAADf/fw0=",0)</f>
        <v>0</v>
      </c>
      <c r="O34" t="e">
        <f>AND('boilerplate specs'!A196,"AAAAADf/fw4=")</f>
        <v>#VALUE!</v>
      </c>
      <c r="P34" t="e">
        <f>AND('boilerplate specs'!B196,"AAAAADf/fw8=")</f>
        <v>#VALUE!</v>
      </c>
      <c r="Q34" t="e">
        <f>AND('boilerplate specs'!C196,"AAAAADf/fxA=")</f>
        <v>#VALUE!</v>
      </c>
      <c r="R34" t="e">
        <f>AND('boilerplate specs'!D196,"AAAAADf/fxE=")</f>
        <v>#VALUE!</v>
      </c>
      <c r="S34" t="e">
        <f>AND('boilerplate specs'!E196,"AAAAADf/fxI=")</f>
        <v>#VALUE!</v>
      </c>
      <c r="T34" t="e">
        <f>AND('boilerplate specs'!F196,"AAAAADf/fxM=")</f>
        <v>#VALUE!</v>
      </c>
      <c r="U34" t="e">
        <f>AND('boilerplate specs'!G196,"AAAAADf/fxQ=")</f>
        <v>#VALUE!</v>
      </c>
      <c r="V34" t="e">
        <f>AND('boilerplate specs'!H196,"AAAAADf/fxU=")</f>
        <v>#VALUE!</v>
      </c>
      <c r="W34" t="e">
        <f>AND('boilerplate specs'!I196,"AAAAADf/fxY=")</f>
        <v>#VALUE!</v>
      </c>
      <c r="X34" t="e">
        <f>AND('boilerplate specs'!J196,"AAAAADf/fxc=")</f>
        <v>#VALUE!</v>
      </c>
      <c r="Y34" t="e">
        <f>AND('boilerplate specs'!#REF!,"AAAAADf/fxg=")</f>
        <v>#REF!</v>
      </c>
      <c r="Z34" t="e">
        <f>AND('boilerplate specs'!#REF!,"AAAAADf/fxk=")</f>
        <v>#REF!</v>
      </c>
      <c r="AA34" t="e">
        <f>AND('boilerplate specs'!#REF!,"AAAAADf/fxo=")</f>
        <v>#REF!</v>
      </c>
      <c r="AB34" t="e">
        <f>AND('boilerplate specs'!#REF!,"AAAAADf/fxs=")</f>
        <v>#REF!</v>
      </c>
      <c r="AC34" t="e">
        <f>AND('boilerplate specs'!#REF!,"AAAAADf/fxw=")</f>
        <v>#REF!</v>
      </c>
      <c r="AD34" t="e">
        <f>AND('boilerplate specs'!#REF!,"AAAAADf/fx0=")</f>
        <v>#REF!</v>
      </c>
      <c r="AE34" t="e">
        <f>AND('boilerplate specs'!#REF!,"AAAAADf/fx4=")</f>
        <v>#REF!</v>
      </c>
      <c r="AF34" t="e">
        <f>AND('boilerplate specs'!#REF!,"AAAAADf/fx8=")</f>
        <v>#REF!</v>
      </c>
      <c r="AG34" t="e">
        <f>AND('boilerplate specs'!#REF!,"AAAAADf/fyA=")</f>
        <v>#REF!</v>
      </c>
      <c r="AH34" t="e">
        <f>AND('boilerplate specs'!#REF!,"AAAAADf/fyE=")</f>
        <v>#REF!</v>
      </c>
      <c r="AI34" t="e">
        <f>AND('boilerplate specs'!#REF!,"AAAAADf/fyI=")</f>
        <v>#REF!</v>
      </c>
      <c r="AJ34" t="e">
        <f>AND('boilerplate specs'!#REF!,"AAAAADf/fyM=")</f>
        <v>#REF!</v>
      </c>
      <c r="AK34" t="e">
        <f>AND('boilerplate specs'!#REF!,"AAAAADf/fyQ=")</f>
        <v>#REF!</v>
      </c>
      <c r="AL34" t="e">
        <f>AND('boilerplate specs'!#REF!,"AAAAADf/fyU=")</f>
        <v>#REF!</v>
      </c>
      <c r="AM34" t="e">
        <f>AND('boilerplate specs'!#REF!,"AAAAADf/fyY=")</f>
        <v>#REF!</v>
      </c>
      <c r="AN34" t="e">
        <f>AND('boilerplate specs'!#REF!,"AAAAADf/fyc=")</f>
        <v>#REF!</v>
      </c>
      <c r="AO34" t="e">
        <f>AND('boilerplate specs'!#REF!,"AAAAADf/fyg=")</f>
        <v>#REF!</v>
      </c>
      <c r="AP34" t="e">
        <f>AND('boilerplate specs'!#REF!,"AAAAADf/fyk=")</f>
        <v>#REF!</v>
      </c>
      <c r="AQ34" t="e">
        <f>AND('boilerplate specs'!#REF!,"AAAAADf/fyo=")</f>
        <v>#REF!</v>
      </c>
      <c r="AR34" t="e">
        <f>AND('boilerplate specs'!#REF!,"AAAAADf/fys=")</f>
        <v>#REF!</v>
      </c>
      <c r="AS34" t="e">
        <f>AND('boilerplate specs'!#REF!,"AAAAADf/fyw=")</f>
        <v>#REF!</v>
      </c>
      <c r="AT34" t="e">
        <f>AND('boilerplate specs'!#REF!,"AAAAADf/fy0=")</f>
        <v>#REF!</v>
      </c>
      <c r="AU34">
        <f>IF('boilerplate specs'!197:197,"AAAAADf/fy4=",0)</f>
        <v>0</v>
      </c>
      <c r="AV34" t="e">
        <f>AND('boilerplate specs'!A197,"AAAAADf/fy8=")</f>
        <v>#VALUE!</v>
      </c>
      <c r="AW34" t="e">
        <f>AND('boilerplate specs'!B197,"AAAAADf/fzA=")</f>
        <v>#VALUE!</v>
      </c>
      <c r="AX34" t="e">
        <f>AND('boilerplate specs'!C197,"AAAAADf/fzE=")</f>
        <v>#VALUE!</v>
      </c>
      <c r="AY34" t="e">
        <f>AND('boilerplate specs'!D197,"AAAAADf/fzI=")</f>
        <v>#VALUE!</v>
      </c>
      <c r="AZ34" t="e">
        <f>AND('boilerplate specs'!E197,"AAAAADf/fzM=")</f>
        <v>#VALUE!</v>
      </c>
      <c r="BA34" t="e">
        <f>AND('boilerplate specs'!F197,"AAAAADf/fzQ=")</f>
        <v>#VALUE!</v>
      </c>
      <c r="BB34" t="e">
        <f>AND('boilerplate specs'!G197,"AAAAADf/fzU=")</f>
        <v>#VALUE!</v>
      </c>
      <c r="BC34" t="e">
        <f>AND('boilerplate specs'!H197,"AAAAADf/fzY=")</f>
        <v>#VALUE!</v>
      </c>
      <c r="BD34" t="e">
        <f>AND('boilerplate specs'!I197,"AAAAADf/fzc=")</f>
        <v>#VALUE!</v>
      </c>
      <c r="BE34" t="e">
        <f>AND('boilerplate specs'!J197,"AAAAADf/fzg=")</f>
        <v>#VALUE!</v>
      </c>
      <c r="BF34" t="e">
        <f>AND('boilerplate specs'!#REF!,"AAAAADf/fzk=")</f>
        <v>#REF!</v>
      </c>
      <c r="BG34" t="e">
        <f>AND('boilerplate specs'!#REF!,"AAAAADf/fzo=")</f>
        <v>#REF!</v>
      </c>
      <c r="BH34" t="e">
        <f>AND('boilerplate specs'!#REF!,"AAAAADf/fzs=")</f>
        <v>#REF!</v>
      </c>
      <c r="BI34" t="e">
        <f>AND('boilerplate specs'!#REF!,"AAAAADf/fzw=")</f>
        <v>#REF!</v>
      </c>
      <c r="BJ34" t="e">
        <f>AND('boilerplate specs'!#REF!,"AAAAADf/fz0=")</f>
        <v>#REF!</v>
      </c>
      <c r="BK34" t="e">
        <f>AND('boilerplate specs'!#REF!,"AAAAADf/fz4=")</f>
        <v>#REF!</v>
      </c>
      <c r="BL34" t="e">
        <f>AND('boilerplate specs'!#REF!,"AAAAADf/fz8=")</f>
        <v>#REF!</v>
      </c>
      <c r="BM34" t="e">
        <f>AND('boilerplate specs'!#REF!,"AAAAADf/f0A=")</f>
        <v>#REF!</v>
      </c>
      <c r="BN34" t="e">
        <f>AND('boilerplate specs'!#REF!,"AAAAADf/f0E=")</f>
        <v>#REF!</v>
      </c>
      <c r="BO34" t="e">
        <f>AND('boilerplate specs'!#REF!,"AAAAADf/f0I=")</f>
        <v>#REF!</v>
      </c>
      <c r="BP34" t="e">
        <f>AND('boilerplate specs'!#REF!,"AAAAADf/f0M=")</f>
        <v>#REF!</v>
      </c>
      <c r="BQ34" t="e">
        <f>AND('boilerplate specs'!#REF!,"AAAAADf/f0Q=")</f>
        <v>#REF!</v>
      </c>
      <c r="BR34" t="e">
        <f>AND('boilerplate specs'!#REF!,"AAAAADf/f0U=")</f>
        <v>#REF!</v>
      </c>
      <c r="BS34" t="e">
        <f>AND('boilerplate specs'!#REF!,"AAAAADf/f0Y=")</f>
        <v>#REF!</v>
      </c>
      <c r="BT34" t="e">
        <f>AND('boilerplate specs'!#REF!,"AAAAADf/f0c=")</f>
        <v>#REF!</v>
      </c>
      <c r="BU34" t="e">
        <f>AND('boilerplate specs'!#REF!,"AAAAADf/f0g=")</f>
        <v>#REF!</v>
      </c>
      <c r="BV34" t="e">
        <f>AND('boilerplate specs'!#REF!,"AAAAADf/f0k=")</f>
        <v>#REF!</v>
      </c>
      <c r="BW34" t="e">
        <f>AND('boilerplate specs'!#REF!,"AAAAADf/f0o=")</f>
        <v>#REF!</v>
      </c>
      <c r="BX34" t="e">
        <f>AND('boilerplate specs'!#REF!,"AAAAADf/f0s=")</f>
        <v>#REF!</v>
      </c>
      <c r="BY34" t="e">
        <f>AND('boilerplate specs'!#REF!,"AAAAADf/f0w=")</f>
        <v>#REF!</v>
      </c>
      <c r="BZ34" t="e">
        <f>AND('boilerplate specs'!#REF!,"AAAAADf/f00=")</f>
        <v>#REF!</v>
      </c>
      <c r="CA34" t="e">
        <f>AND('boilerplate specs'!#REF!,"AAAAADf/f04=")</f>
        <v>#REF!</v>
      </c>
      <c r="CB34">
        <f>IF('boilerplate specs'!198:198,"AAAAADf/f08=",0)</f>
        <v>0</v>
      </c>
      <c r="CC34" t="e">
        <f>AND('boilerplate specs'!A198,"AAAAADf/f1A=")</f>
        <v>#VALUE!</v>
      </c>
      <c r="CD34" t="e">
        <f>AND('boilerplate specs'!B198,"AAAAADf/f1E=")</f>
        <v>#VALUE!</v>
      </c>
      <c r="CE34" t="e">
        <f>AND('boilerplate specs'!C198,"AAAAADf/f1I=")</f>
        <v>#VALUE!</v>
      </c>
      <c r="CF34" t="e">
        <f>AND('boilerplate specs'!D198,"AAAAADf/f1M=")</f>
        <v>#VALUE!</v>
      </c>
      <c r="CG34" t="e">
        <f>AND('boilerplate specs'!E198,"AAAAADf/f1Q=")</f>
        <v>#VALUE!</v>
      </c>
      <c r="CH34" t="e">
        <f>AND('boilerplate specs'!F198,"AAAAADf/f1U=")</f>
        <v>#VALUE!</v>
      </c>
      <c r="CI34" t="e">
        <f>AND('boilerplate specs'!G198,"AAAAADf/f1Y=")</f>
        <v>#VALUE!</v>
      </c>
      <c r="CJ34" t="e">
        <f>AND('boilerplate specs'!H198,"AAAAADf/f1c=")</f>
        <v>#VALUE!</v>
      </c>
      <c r="CK34" t="e">
        <f>AND('boilerplate specs'!I198,"AAAAADf/f1g=")</f>
        <v>#VALUE!</v>
      </c>
      <c r="CL34" t="e">
        <f>AND('boilerplate specs'!J198,"AAAAADf/f1k=")</f>
        <v>#VALUE!</v>
      </c>
      <c r="CM34" t="e">
        <f>AND('boilerplate specs'!#REF!,"AAAAADf/f1o=")</f>
        <v>#REF!</v>
      </c>
      <c r="CN34" t="e">
        <f>AND('boilerplate specs'!#REF!,"AAAAADf/f1s=")</f>
        <v>#REF!</v>
      </c>
      <c r="CO34" t="e">
        <f>AND('boilerplate specs'!#REF!,"AAAAADf/f1w=")</f>
        <v>#REF!</v>
      </c>
      <c r="CP34" t="e">
        <f>AND('boilerplate specs'!#REF!,"AAAAADf/f10=")</f>
        <v>#REF!</v>
      </c>
      <c r="CQ34" t="e">
        <f>AND('boilerplate specs'!#REF!,"AAAAADf/f14=")</f>
        <v>#REF!</v>
      </c>
      <c r="CR34" t="e">
        <f>AND('boilerplate specs'!#REF!,"AAAAADf/f18=")</f>
        <v>#REF!</v>
      </c>
      <c r="CS34" t="e">
        <f>AND('boilerplate specs'!#REF!,"AAAAADf/f2A=")</f>
        <v>#REF!</v>
      </c>
      <c r="CT34" t="e">
        <f>AND('boilerplate specs'!#REF!,"AAAAADf/f2E=")</f>
        <v>#REF!</v>
      </c>
      <c r="CU34" t="e">
        <f>AND('boilerplate specs'!#REF!,"AAAAADf/f2I=")</f>
        <v>#REF!</v>
      </c>
      <c r="CV34" t="e">
        <f>AND('boilerplate specs'!#REF!,"AAAAADf/f2M=")</f>
        <v>#REF!</v>
      </c>
      <c r="CW34" t="e">
        <f>AND('boilerplate specs'!#REF!,"AAAAADf/f2Q=")</f>
        <v>#REF!</v>
      </c>
      <c r="CX34" t="e">
        <f>AND('boilerplate specs'!#REF!,"AAAAADf/f2U=")</f>
        <v>#REF!</v>
      </c>
      <c r="CY34" t="e">
        <f>AND('boilerplate specs'!#REF!,"AAAAADf/f2Y=")</f>
        <v>#REF!</v>
      </c>
      <c r="CZ34" t="e">
        <f>AND('boilerplate specs'!#REF!,"AAAAADf/f2c=")</f>
        <v>#REF!</v>
      </c>
      <c r="DA34" t="e">
        <f>AND('boilerplate specs'!#REF!,"AAAAADf/f2g=")</f>
        <v>#REF!</v>
      </c>
      <c r="DB34" t="e">
        <f>AND('boilerplate specs'!#REF!,"AAAAADf/f2k=")</f>
        <v>#REF!</v>
      </c>
      <c r="DC34" t="e">
        <f>AND('boilerplate specs'!#REF!,"AAAAADf/f2o=")</f>
        <v>#REF!</v>
      </c>
      <c r="DD34" t="e">
        <f>AND('boilerplate specs'!#REF!,"AAAAADf/f2s=")</f>
        <v>#REF!</v>
      </c>
      <c r="DE34" t="e">
        <f>AND('boilerplate specs'!#REF!,"AAAAADf/f2w=")</f>
        <v>#REF!</v>
      </c>
      <c r="DF34" t="e">
        <f>AND('boilerplate specs'!#REF!,"AAAAADf/f20=")</f>
        <v>#REF!</v>
      </c>
      <c r="DG34" t="e">
        <f>AND('boilerplate specs'!#REF!,"AAAAADf/f24=")</f>
        <v>#REF!</v>
      </c>
      <c r="DH34" t="e">
        <f>AND('boilerplate specs'!#REF!,"AAAAADf/f28=")</f>
        <v>#REF!</v>
      </c>
      <c r="DI34">
        <f>IF('boilerplate specs'!199:199,"AAAAADf/f3A=",0)</f>
        <v>0</v>
      </c>
      <c r="DJ34" t="e">
        <f>AND('boilerplate specs'!A199,"AAAAADf/f3E=")</f>
        <v>#VALUE!</v>
      </c>
      <c r="DK34" t="e">
        <f>AND('boilerplate specs'!B199,"AAAAADf/f3I=")</f>
        <v>#VALUE!</v>
      </c>
      <c r="DL34" t="e">
        <f>AND('boilerplate specs'!C199,"AAAAADf/f3M=")</f>
        <v>#VALUE!</v>
      </c>
      <c r="DM34" t="e">
        <f>AND('boilerplate specs'!D199,"AAAAADf/f3Q=")</f>
        <v>#VALUE!</v>
      </c>
      <c r="DN34" t="e">
        <f>AND('boilerplate specs'!E199,"AAAAADf/f3U=")</f>
        <v>#VALUE!</v>
      </c>
      <c r="DO34" t="e">
        <f>AND('boilerplate specs'!F199,"AAAAADf/f3Y=")</f>
        <v>#VALUE!</v>
      </c>
      <c r="DP34" t="e">
        <f>AND('boilerplate specs'!G199,"AAAAADf/f3c=")</f>
        <v>#VALUE!</v>
      </c>
      <c r="DQ34" t="e">
        <f>AND('boilerplate specs'!H199,"AAAAADf/f3g=")</f>
        <v>#VALUE!</v>
      </c>
      <c r="DR34" t="e">
        <f>AND('boilerplate specs'!I199,"AAAAADf/f3k=")</f>
        <v>#VALUE!</v>
      </c>
      <c r="DS34" t="e">
        <f>AND('boilerplate specs'!J199,"AAAAADf/f3o=")</f>
        <v>#VALUE!</v>
      </c>
      <c r="DT34" t="e">
        <f>AND('boilerplate specs'!#REF!,"AAAAADf/f3s=")</f>
        <v>#REF!</v>
      </c>
      <c r="DU34" t="e">
        <f>AND('boilerplate specs'!#REF!,"AAAAADf/f3w=")</f>
        <v>#REF!</v>
      </c>
      <c r="DV34" t="e">
        <f>AND('boilerplate specs'!#REF!,"AAAAADf/f30=")</f>
        <v>#REF!</v>
      </c>
      <c r="DW34" t="e">
        <f>AND('boilerplate specs'!#REF!,"AAAAADf/f34=")</f>
        <v>#REF!</v>
      </c>
      <c r="DX34" t="e">
        <f>AND('boilerplate specs'!#REF!,"AAAAADf/f38=")</f>
        <v>#REF!</v>
      </c>
      <c r="DY34" t="e">
        <f>AND('boilerplate specs'!#REF!,"AAAAADf/f4A=")</f>
        <v>#REF!</v>
      </c>
      <c r="DZ34" t="e">
        <f>AND('boilerplate specs'!#REF!,"AAAAADf/f4E=")</f>
        <v>#REF!</v>
      </c>
      <c r="EA34" t="e">
        <f>AND('boilerplate specs'!#REF!,"AAAAADf/f4I=")</f>
        <v>#REF!</v>
      </c>
      <c r="EB34" t="e">
        <f>AND('boilerplate specs'!#REF!,"AAAAADf/f4M=")</f>
        <v>#REF!</v>
      </c>
      <c r="EC34" t="e">
        <f>AND('boilerplate specs'!#REF!,"AAAAADf/f4Q=")</f>
        <v>#REF!</v>
      </c>
      <c r="ED34" t="e">
        <f>AND('boilerplate specs'!#REF!,"AAAAADf/f4U=")</f>
        <v>#REF!</v>
      </c>
      <c r="EE34" t="e">
        <f>AND('boilerplate specs'!#REF!,"AAAAADf/f4Y=")</f>
        <v>#REF!</v>
      </c>
      <c r="EF34" t="e">
        <f>AND('boilerplate specs'!#REF!,"AAAAADf/f4c=")</f>
        <v>#REF!</v>
      </c>
      <c r="EG34" t="e">
        <f>AND('boilerplate specs'!#REF!,"AAAAADf/f4g=")</f>
        <v>#REF!</v>
      </c>
      <c r="EH34" t="e">
        <f>AND('boilerplate specs'!#REF!,"AAAAADf/f4k=")</f>
        <v>#REF!</v>
      </c>
      <c r="EI34" t="e">
        <f>AND('boilerplate specs'!#REF!,"AAAAADf/f4o=")</f>
        <v>#REF!</v>
      </c>
      <c r="EJ34" t="e">
        <f>AND('boilerplate specs'!#REF!,"AAAAADf/f4s=")</f>
        <v>#REF!</v>
      </c>
      <c r="EK34" t="e">
        <f>AND('boilerplate specs'!#REF!,"AAAAADf/f4w=")</f>
        <v>#REF!</v>
      </c>
      <c r="EL34" t="e">
        <f>AND('boilerplate specs'!#REF!,"AAAAADf/f40=")</f>
        <v>#REF!</v>
      </c>
      <c r="EM34" t="e">
        <f>AND('boilerplate specs'!#REF!,"AAAAADf/f44=")</f>
        <v>#REF!</v>
      </c>
      <c r="EN34" t="e">
        <f>AND('boilerplate specs'!#REF!,"AAAAADf/f48=")</f>
        <v>#REF!</v>
      </c>
      <c r="EO34" t="e">
        <f>AND('boilerplate specs'!#REF!,"AAAAADf/f5A=")</f>
        <v>#REF!</v>
      </c>
      <c r="EP34">
        <f>IF('boilerplate specs'!200:200,"AAAAADf/f5E=",0)</f>
        <v>0</v>
      </c>
      <c r="EQ34" t="e">
        <f>AND('boilerplate specs'!A200,"AAAAADf/f5I=")</f>
        <v>#VALUE!</v>
      </c>
      <c r="ER34" t="e">
        <f>AND('boilerplate specs'!B200,"AAAAADf/f5M=")</f>
        <v>#VALUE!</v>
      </c>
      <c r="ES34" t="e">
        <f>AND('boilerplate specs'!C200,"AAAAADf/f5Q=")</f>
        <v>#VALUE!</v>
      </c>
      <c r="ET34" t="e">
        <f>AND('boilerplate specs'!D200,"AAAAADf/f5U=")</f>
        <v>#VALUE!</v>
      </c>
      <c r="EU34" t="e">
        <f>AND('boilerplate specs'!E200,"AAAAADf/f5Y=")</f>
        <v>#VALUE!</v>
      </c>
      <c r="EV34" t="e">
        <f>AND('boilerplate specs'!F200,"AAAAADf/f5c=")</f>
        <v>#VALUE!</v>
      </c>
      <c r="EW34" t="e">
        <f>AND('boilerplate specs'!G200,"AAAAADf/f5g=")</f>
        <v>#VALUE!</v>
      </c>
      <c r="EX34" t="e">
        <f>AND('boilerplate specs'!H200,"AAAAADf/f5k=")</f>
        <v>#VALUE!</v>
      </c>
      <c r="EY34" t="e">
        <f>AND('boilerplate specs'!I200,"AAAAADf/f5o=")</f>
        <v>#VALUE!</v>
      </c>
      <c r="EZ34" t="e">
        <f>AND('boilerplate specs'!J200,"AAAAADf/f5s=")</f>
        <v>#VALUE!</v>
      </c>
      <c r="FA34" t="e">
        <f>AND('boilerplate specs'!#REF!,"AAAAADf/f5w=")</f>
        <v>#REF!</v>
      </c>
      <c r="FB34" t="e">
        <f>AND('boilerplate specs'!#REF!,"AAAAADf/f50=")</f>
        <v>#REF!</v>
      </c>
      <c r="FC34" t="e">
        <f>AND('boilerplate specs'!#REF!,"AAAAADf/f54=")</f>
        <v>#REF!</v>
      </c>
      <c r="FD34" t="e">
        <f>AND('boilerplate specs'!#REF!,"AAAAADf/f58=")</f>
        <v>#REF!</v>
      </c>
      <c r="FE34" t="e">
        <f>AND('boilerplate specs'!#REF!,"AAAAADf/f6A=")</f>
        <v>#REF!</v>
      </c>
      <c r="FF34" t="e">
        <f>AND('boilerplate specs'!#REF!,"AAAAADf/f6E=")</f>
        <v>#REF!</v>
      </c>
      <c r="FG34" t="e">
        <f>AND('boilerplate specs'!#REF!,"AAAAADf/f6I=")</f>
        <v>#REF!</v>
      </c>
      <c r="FH34" t="e">
        <f>AND('boilerplate specs'!#REF!,"AAAAADf/f6M=")</f>
        <v>#REF!</v>
      </c>
      <c r="FI34" t="e">
        <f>AND('boilerplate specs'!#REF!,"AAAAADf/f6Q=")</f>
        <v>#REF!</v>
      </c>
      <c r="FJ34" t="e">
        <f>AND('boilerplate specs'!#REF!,"AAAAADf/f6U=")</f>
        <v>#REF!</v>
      </c>
      <c r="FK34" t="e">
        <f>AND('boilerplate specs'!#REF!,"AAAAADf/f6Y=")</f>
        <v>#REF!</v>
      </c>
      <c r="FL34" t="e">
        <f>AND('boilerplate specs'!#REF!,"AAAAADf/f6c=")</f>
        <v>#REF!</v>
      </c>
      <c r="FM34" t="e">
        <f>AND('boilerplate specs'!#REF!,"AAAAADf/f6g=")</f>
        <v>#REF!</v>
      </c>
      <c r="FN34" t="e">
        <f>AND('boilerplate specs'!#REF!,"AAAAADf/f6k=")</f>
        <v>#REF!</v>
      </c>
      <c r="FO34" t="e">
        <f>AND('boilerplate specs'!#REF!,"AAAAADf/f6o=")</f>
        <v>#REF!</v>
      </c>
      <c r="FP34" t="e">
        <f>AND('boilerplate specs'!#REF!,"AAAAADf/f6s=")</f>
        <v>#REF!</v>
      </c>
      <c r="FQ34" t="e">
        <f>AND('boilerplate specs'!#REF!,"AAAAADf/f6w=")</f>
        <v>#REF!</v>
      </c>
      <c r="FR34" t="e">
        <f>AND('boilerplate specs'!#REF!,"AAAAADf/f60=")</f>
        <v>#REF!</v>
      </c>
      <c r="FS34" t="e">
        <f>AND('boilerplate specs'!#REF!,"AAAAADf/f64=")</f>
        <v>#REF!</v>
      </c>
      <c r="FT34" t="e">
        <f>AND('boilerplate specs'!#REF!,"AAAAADf/f68=")</f>
        <v>#REF!</v>
      </c>
      <c r="FU34" t="e">
        <f>AND('boilerplate specs'!#REF!,"AAAAADf/f7A=")</f>
        <v>#REF!</v>
      </c>
      <c r="FV34" t="e">
        <f>AND('boilerplate specs'!#REF!,"AAAAADf/f7E=")</f>
        <v>#REF!</v>
      </c>
      <c r="FW34">
        <f>IF('boilerplate specs'!201:201,"AAAAADf/f7I=",0)</f>
        <v>0</v>
      </c>
      <c r="FX34" t="e">
        <f>AND('boilerplate specs'!A201,"AAAAADf/f7M=")</f>
        <v>#VALUE!</v>
      </c>
      <c r="FY34" t="e">
        <f>AND('boilerplate specs'!B201,"AAAAADf/f7Q=")</f>
        <v>#VALUE!</v>
      </c>
      <c r="FZ34" t="e">
        <f>AND('boilerplate specs'!C201,"AAAAADf/f7U=")</f>
        <v>#VALUE!</v>
      </c>
      <c r="GA34" t="e">
        <f>AND('boilerplate specs'!D201,"AAAAADf/f7Y=")</f>
        <v>#VALUE!</v>
      </c>
      <c r="GB34" t="e">
        <f>AND('boilerplate specs'!E201,"AAAAADf/f7c=")</f>
        <v>#VALUE!</v>
      </c>
      <c r="GC34" t="e">
        <f>AND('boilerplate specs'!F201,"AAAAADf/f7g=")</f>
        <v>#VALUE!</v>
      </c>
      <c r="GD34" t="e">
        <f>AND('boilerplate specs'!G201,"AAAAADf/f7k=")</f>
        <v>#VALUE!</v>
      </c>
      <c r="GE34" t="e">
        <f>AND('boilerplate specs'!H201,"AAAAADf/f7o=")</f>
        <v>#VALUE!</v>
      </c>
      <c r="GF34" t="e">
        <f>AND('boilerplate specs'!I201,"AAAAADf/f7s=")</f>
        <v>#VALUE!</v>
      </c>
      <c r="GG34" t="e">
        <f>AND('boilerplate specs'!J201,"AAAAADf/f7w=")</f>
        <v>#VALUE!</v>
      </c>
      <c r="GH34" t="e">
        <f>AND('boilerplate specs'!#REF!,"AAAAADf/f70=")</f>
        <v>#REF!</v>
      </c>
      <c r="GI34" t="e">
        <f>AND('boilerplate specs'!#REF!,"AAAAADf/f74=")</f>
        <v>#REF!</v>
      </c>
      <c r="GJ34" t="e">
        <f>AND('boilerplate specs'!#REF!,"AAAAADf/f78=")</f>
        <v>#REF!</v>
      </c>
      <c r="GK34" t="e">
        <f>AND('boilerplate specs'!#REF!,"AAAAADf/f8A=")</f>
        <v>#REF!</v>
      </c>
      <c r="GL34" t="e">
        <f>AND('boilerplate specs'!#REF!,"AAAAADf/f8E=")</f>
        <v>#REF!</v>
      </c>
      <c r="GM34" t="e">
        <f>AND('boilerplate specs'!#REF!,"AAAAADf/f8I=")</f>
        <v>#REF!</v>
      </c>
      <c r="GN34" t="e">
        <f>AND('boilerplate specs'!#REF!,"AAAAADf/f8M=")</f>
        <v>#REF!</v>
      </c>
      <c r="GO34" t="e">
        <f>AND('boilerplate specs'!#REF!,"AAAAADf/f8Q=")</f>
        <v>#REF!</v>
      </c>
      <c r="GP34" t="e">
        <f>AND('boilerplate specs'!#REF!,"AAAAADf/f8U=")</f>
        <v>#REF!</v>
      </c>
      <c r="GQ34" t="e">
        <f>AND('boilerplate specs'!#REF!,"AAAAADf/f8Y=")</f>
        <v>#REF!</v>
      </c>
      <c r="GR34" t="e">
        <f>AND('boilerplate specs'!#REF!,"AAAAADf/f8c=")</f>
        <v>#REF!</v>
      </c>
      <c r="GS34" t="e">
        <f>AND('boilerplate specs'!#REF!,"AAAAADf/f8g=")</f>
        <v>#REF!</v>
      </c>
      <c r="GT34" t="e">
        <f>AND('boilerplate specs'!#REF!,"AAAAADf/f8k=")</f>
        <v>#REF!</v>
      </c>
      <c r="GU34" t="e">
        <f>AND('boilerplate specs'!#REF!,"AAAAADf/f8o=")</f>
        <v>#REF!</v>
      </c>
      <c r="GV34" t="e">
        <f>AND('boilerplate specs'!#REF!,"AAAAADf/f8s=")</f>
        <v>#REF!</v>
      </c>
      <c r="GW34" t="e">
        <f>AND('boilerplate specs'!#REF!,"AAAAADf/f8w=")</f>
        <v>#REF!</v>
      </c>
      <c r="GX34" t="e">
        <f>AND('boilerplate specs'!#REF!,"AAAAADf/f80=")</f>
        <v>#REF!</v>
      </c>
      <c r="GY34" t="e">
        <f>AND('boilerplate specs'!#REF!,"AAAAADf/f84=")</f>
        <v>#REF!</v>
      </c>
      <c r="GZ34" t="e">
        <f>AND('boilerplate specs'!#REF!,"AAAAADf/f88=")</f>
        <v>#REF!</v>
      </c>
      <c r="HA34" t="e">
        <f>AND('boilerplate specs'!#REF!,"AAAAADf/f9A=")</f>
        <v>#REF!</v>
      </c>
      <c r="HB34" t="e">
        <f>AND('boilerplate specs'!#REF!,"AAAAADf/f9E=")</f>
        <v>#REF!</v>
      </c>
      <c r="HC34" t="e">
        <f>AND('boilerplate specs'!#REF!,"AAAAADf/f9I=")</f>
        <v>#REF!</v>
      </c>
      <c r="HD34">
        <f>IF('boilerplate specs'!202:202,"AAAAADf/f9M=",0)</f>
        <v>0</v>
      </c>
      <c r="HE34" t="e">
        <f>AND('boilerplate specs'!A202,"AAAAADf/f9Q=")</f>
        <v>#VALUE!</v>
      </c>
      <c r="HF34" t="e">
        <f>AND('boilerplate specs'!B202,"AAAAADf/f9U=")</f>
        <v>#VALUE!</v>
      </c>
      <c r="HG34" t="e">
        <f>AND('boilerplate specs'!C202,"AAAAADf/f9Y=")</f>
        <v>#VALUE!</v>
      </c>
      <c r="HH34" t="e">
        <f>AND('boilerplate specs'!D202,"AAAAADf/f9c=")</f>
        <v>#VALUE!</v>
      </c>
      <c r="HI34" t="e">
        <f>AND('boilerplate specs'!E202,"AAAAADf/f9g=")</f>
        <v>#VALUE!</v>
      </c>
      <c r="HJ34" t="e">
        <f>AND('boilerplate specs'!F202,"AAAAADf/f9k=")</f>
        <v>#VALUE!</v>
      </c>
      <c r="HK34" t="e">
        <f>AND('boilerplate specs'!G202,"AAAAADf/f9o=")</f>
        <v>#VALUE!</v>
      </c>
      <c r="HL34" t="e">
        <f>AND('boilerplate specs'!H202,"AAAAADf/f9s=")</f>
        <v>#VALUE!</v>
      </c>
      <c r="HM34" t="e">
        <f>AND('boilerplate specs'!I202,"AAAAADf/f9w=")</f>
        <v>#VALUE!</v>
      </c>
      <c r="HN34" t="e">
        <f>AND('boilerplate specs'!J202,"AAAAADf/f90=")</f>
        <v>#VALUE!</v>
      </c>
      <c r="HO34" t="e">
        <f>AND('boilerplate specs'!#REF!,"AAAAADf/f94=")</f>
        <v>#REF!</v>
      </c>
      <c r="HP34" t="e">
        <f>AND('boilerplate specs'!#REF!,"AAAAADf/f98=")</f>
        <v>#REF!</v>
      </c>
      <c r="HQ34" t="e">
        <f>AND('boilerplate specs'!#REF!,"AAAAADf/f+A=")</f>
        <v>#REF!</v>
      </c>
      <c r="HR34" t="e">
        <f>AND('boilerplate specs'!#REF!,"AAAAADf/f+E=")</f>
        <v>#REF!</v>
      </c>
      <c r="HS34" t="e">
        <f>AND('boilerplate specs'!#REF!,"AAAAADf/f+I=")</f>
        <v>#REF!</v>
      </c>
      <c r="HT34" t="e">
        <f>AND('boilerplate specs'!#REF!,"AAAAADf/f+M=")</f>
        <v>#REF!</v>
      </c>
      <c r="HU34" t="e">
        <f>AND('boilerplate specs'!#REF!,"AAAAADf/f+Q=")</f>
        <v>#REF!</v>
      </c>
      <c r="HV34" t="e">
        <f>AND('boilerplate specs'!#REF!,"AAAAADf/f+U=")</f>
        <v>#REF!</v>
      </c>
      <c r="HW34" t="e">
        <f>AND('boilerplate specs'!#REF!,"AAAAADf/f+Y=")</f>
        <v>#REF!</v>
      </c>
      <c r="HX34" t="e">
        <f>AND('boilerplate specs'!#REF!,"AAAAADf/f+c=")</f>
        <v>#REF!</v>
      </c>
      <c r="HY34" t="e">
        <f>AND('boilerplate specs'!#REF!,"AAAAADf/f+g=")</f>
        <v>#REF!</v>
      </c>
      <c r="HZ34" t="e">
        <f>AND('boilerplate specs'!#REF!,"AAAAADf/f+k=")</f>
        <v>#REF!</v>
      </c>
      <c r="IA34" t="e">
        <f>AND('boilerplate specs'!#REF!,"AAAAADf/f+o=")</f>
        <v>#REF!</v>
      </c>
      <c r="IB34" t="e">
        <f>AND('boilerplate specs'!#REF!,"AAAAADf/f+s=")</f>
        <v>#REF!</v>
      </c>
      <c r="IC34" t="e">
        <f>AND('boilerplate specs'!#REF!,"AAAAADf/f+w=")</f>
        <v>#REF!</v>
      </c>
      <c r="ID34" t="e">
        <f>AND('boilerplate specs'!#REF!,"AAAAADf/f+0=")</f>
        <v>#REF!</v>
      </c>
      <c r="IE34" t="e">
        <f>AND('boilerplate specs'!#REF!,"AAAAADf/f+4=")</f>
        <v>#REF!</v>
      </c>
      <c r="IF34" t="e">
        <f>AND('boilerplate specs'!#REF!,"AAAAADf/f+8=")</f>
        <v>#REF!</v>
      </c>
      <c r="IG34" t="e">
        <f>AND('boilerplate specs'!#REF!,"AAAAADf/f/A=")</f>
        <v>#REF!</v>
      </c>
      <c r="IH34" t="e">
        <f>AND('boilerplate specs'!#REF!,"AAAAADf/f/E=")</f>
        <v>#REF!</v>
      </c>
      <c r="II34" t="e">
        <f>AND('boilerplate specs'!#REF!,"AAAAADf/f/I=")</f>
        <v>#REF!</v>
      </c>
      <c r="IJ34" t="e">
        <f>AND('boilerplate specs'!#REF!,"AAAAADf/f/M=")</f>
        <v>#REF!</v>
      </c>
      <c r="IK34">
        <f>IF('boilerplate specs'!203:203,"AAAAADf/f/Q=",0)</f>
        <v>0</v>
      </c>
      <c r="IL34" t="e">
        <f>AND('boilerplate specs'!A203,"AAAAADf/f/U=")</f>
        <v>#VALUE!</v>
      </c>
      <c r="IM34" t="e">
        <f>AND('boilerplate specs'!B203,"AAAAADf/f/Y=")</f>
        <v>#VALUE!</v>
      </c>
      <c r="IN34" t="e">
        <f>AND('boilerplate specs'!C203,"AAAAADf/f/c=")</f>
        <v>#VALUE!</v>
      </c>
      <c r="IO34" t="e">
        <f>AND('boilerplate specs'!D203,"AAAAADf/f/g=")</f>
        <v>#VALUE!</v>
      </c>
      <c r="IP34" t="e">
        <f>AND('boilerplate specs'!E203,"AAAAADf/f/k=")</f>
        <v>#VALUE!</v>
      </c>
      <c r="IQ34" t="e">
        <f>AND('boilerplate specs'!F203,"AAAAADf/f/o=")</f>
        <v>#VALUE!</v>
      </c>
      <c r="IR34" t="e">
        <f>AND('boilerplate specs'!G203,"AAAAADf/f/s=")</f>
        <v>#VALUE!</v>
      </c>
      <c r="IS34" t="e">
        <f>AND('boilerplate specs'!H203,"AAAAADf/f/w=")</f>
        <v>#VALUE!</v>
      </c>
      <c r="IT34" t="e">
        <f>AND('boilerplate specs'!I203,"AAAAADf/f/0=")</f>
        <v>#VALUE!</v>
      </c>
      <c r="IU34" t="e">
        <f>AND('boilerplate specs'!J203,"AAAAADf/f/4=")</f>
        <v>#VALUE!</v>
      </c>
      <c r="IV34" t="e">
        <f>AND('boilerplate specs'!#REF!,"AAAAADf/f/8=")</f>
        <v>#REF!</v>
      </c>
    </row>
    <row r="35" spans="1:256" x14ac:dyDescent="0.35">
      <c r="A35" t="e">
        <f>AND('boilerplate specs'!#REF!,"AAAAAGte8QA=")</f>
        <v>#REF!</v>
      </c>
      <c r="B35" t="e">
        <f>AND('boilerplate specs'!#REF!,"AAAAAGte8QE=")</f>
        <v>#REF!</v>
      </c>
      <c r="C35" t="e">
        <f>AND('boilerplate specs'!#REF!,"AAAAAGte8QI=")</f>
        <v>#REF!</v>
      </c>
      <c r="D35" t="e">
        <f>AND('boilerplate specs'!#REF!,"AAAAAGte8QM=")</f>
        <v>#REF!</v>
      </c>
      <c r="E35" t="e">
        <f>AND('boilerplate specs'!#REF!,"AAAAAGte8QQ=")</f>
        <v>#REF!</v>
      </c>
      <c r="F35" t="e">
        <f>AND('boilerplate specs'!#REF!,"AAAAAGte8QU=")</f>
        <v>#REF!</v>
      </c>
      <c r="G35" t="e">
        <f>AND('boilerplate specs'!#REF!,"AAAAAGte8QY=")</f>
        <v>#REF!</v>
      </c>
      <c r="H35" t="e">
        <f>AND('boilerplate specs'!#REF!,"AAAAAGte8Qc=")</f>
        <v>#REF!</v>
      </c>
      <c r="I35" t="e">
        <f>AND('boilerplate specs'!#REF!,"AAAAAGte8Qg=")</f>
        <v>#REF!</v>
      </c>
      <c r="J35" t="e">
        <f>AND('boilerplate specs'!#REF!,"AAAAAGte8Qk=")</f>
        <v>#REF!</v>
      </c>
      <c r="K35" t="e">
        <f>AND('boilerplate specs'!#REF!,"AAAAAGte8Qo=")</f>
        <v>#REF!</v>
      </c>
      <c r="L35" t="e">
        <f>AND('boilerplate specs'!#REF!,"AAAAAGte8Qs=")</f>
        <v>#REF!</v>
      </c>
      <c r="M35" t="e">
        <f>AND('boilerplate specs'!#REF!,"AAAAAGte8Qw=")</f>
        <v>#REF!</v>
      </c>
      <c r="N35" t="e">
        <f>AND('boilerplate specs'!#REF!,"AAAAAGte8Q0=")</f>
        <v>#REF!</v>
      </c>
      <c r="O35" t="e">
        <f>AND('boilerplate specs'!#REF!,"AAAAAGte8Q4=")</f>
        <v>#REF!</v>
      </c>
      <c r="P35" t="e">
        <f>AND('boilerplate specs'!#REF!,"AAAAAGte8Q8=")</f>
        <v>#REF!</v>
      </c>
      <c r="Q35" t="e">
        <f>AND('boilerplate specs'!#REF!,"AAAAAGte8RA=")</f>
        <v>#REF!</v>
      </c>
      <c r="R35" t="e">
        <f>AND('boilerplate specs'!#REF!,"AAAAAGte8RE=")</f>
        <v>#REF!</v>
      </c>
      <c r="S35" t="e">
        <f>AND('boilerplate specs'!#REF!,"AAAAAGte8RI=")</f>
        <v>#REF!</v>
      </c>
      <c r="T35" t="e">
        <f>AND('boilerplate specs'!#REF!,"AAAAAGte8RM=")</f>
        <v>#REF!</v>
      </c>
      <c r="U35" t="e">
        <f>AND('boilerplate specs'!#REF!,"AAAAAGte8RQ=")</f>
        <v>#REF!</v>
      </c>
      <c r="V35">
        <f>IF('boilerplate specs'!204:204,"AAAAAGte8RU=",0)</f>
        <v>0</v>
      </c>
      <c r="W35" t="e">
        <f>AND('boilerplate specs'!A204,"AAAAAGte8RY=")</f>
        <v>#VALUE!</v>
      </c>
      <c r="X35" t="e">
        <f>AND('boilerplate specs'!B204,"AAAAAGte8Rc=")</f>
        <v>#VALUE!</v>
      </c>
      <c r="Y35" t="e">
        <f>AND('boilerplate specs'!C204,"AAAAAGte8Rg=")</f>
        <v>#VALUE!</v>
      </c>
      <c r="Z35" t="e">
        <f>AND('boilerplate specs'!D204,"AAAAAGte8Rk=")</f>
        <v>#VALUE!</v>
      </c>
      <c r="AA35" t="e">
        <f>AND('boilerplate specs'!E204,"AAAAAGte8Ro=")</f>
        <v>#VALUE!</v>
      </c>
      <c r="AB35" t="e">
        <f>AND('boilerplate specs'!F204,"AAAAAGte8Rs=")</f>
        <v>#VALUE!</v>
      </c>
      <c r="AC35" t="e">
        <f>AND('boilerplate specs'!G204,"AAAAAGte8Rw=")</f>
        <v>#VALUE!</v>
      </c>
      <c r="AD35" t="e">
        <f>AND('boilerplate specs'!H204,"AAAAAGte8R0=")</f>
        <v>#VALUE!</v>
      </c>
      <c r="AE35" t="e">
        <f>AND('boilerplate specs'!I204,"AAAAAGte8R4=")</f>
        <v>#VALUE!</v>
      </c>
      <c r="AF35" t="e">
        <f>AND('boilerplate specs'!J204,"AAAAAGte8R8=")</f>
        <v>#VALUE!</v>
      </c>
      <c r="AG35" t="e">
        <f>AND('boilerplate specs'!#REF!,"AAAAAGte8SA=")</f>
        <v>#REF!</v>
      </c>
      <c r="AH35" t="e">
        <f>AND('boilerplate specs'!#REF!,"AAAAAGte8SE=")</f>
        <v>#REF!</v>
      </c>
      <c r="AI35" t="e">
        <f>AND('boilerplate specs'!#REF!,"AAAAAGte8SI=")</f>
        <v>#REF!</v>
      </c>
      <c r="AJ35" t="e">
        <f>AND('boilerplate specs'!#REF!,"AAAAAGte8SM=")</f>
        <v>#REF!</v>
      </c>
      <c r="AK35" t="e">
        <f>AND('boilerplate specs'!#REF!,"AAAAAGte8SQ=")</f>
        <v>#REF!</v>
      </c>
      <c r="AL35" t="e">
        <f>AND('boilerplate specs'!#REF!,"AAAAAGte8SU=")</f>
        <v>#REF!</v>
      </c>
      <c r="AM35" t="e">
        <f>AND('boilerplate specs'!#REF!,"AAAAAGte8SY=")</f>
        <v>#REF!</v>
      </c>
      <c r="AN35" t="e">
        <f>AND('boilerplate specs'!#REF!,"AAAAAGte8Sc=")</f>
        <v>#REF!</v>
      </c>
      <c r="AO35" t="e">
        <f>AND('boilerplate specs'!#REF!,"AAAAAGte8Sg=")</f>
        <v>#REF!</v>
      </c>
      <c r="AP35" t="e">
        <f>AND('boilerplate specs'!#REF!,"AAAAAGte8Sk=")</f>
        <v>#REF!</v>
      </c>
      <c r="AQ35" t="e">
        <f>AND('boilerplate specs'!#REF!,"AAAAAGte8So=")</f>
        <v>#REF!</v>
      </c>
      <c r="AR35" t="e">
        <f>AND('boilerplate specs'!#REF!,"AAAAAGte8Ss=")</f>
        <v>#REF!</v>
      </c>
      <c r="AS35" t="e">
        <f>AND('boilerplate specs'!#REF!,"AAAAAGte8Sw=")</f>
        <v>#REF!</v>
      </c>
      <c r="AT35" t="e">
        <f>AND('boilerplate specs'!#REF!,"AAAAAGte8S0=")</f>
        <v>#REF!</v>
      </c>
      <c r="AU35" t="e">
        <f>AND('boilerplate specs'!#REF!,"AAAAAGte8S4=")</f>
        <v>#REF!</v>
      </c>
      <c r="AV35" t="e">
        <f>AND('boilerplate specs'!#REF!,"AAAAAGte8S8=")</f>
        <v>#REF!</v>
      </c>
      <c r="AW35" t="e">
        <f>AND('boilerplate specs'!#REF!,"AAAAAGte8TA=")</f>
        <v>#REF!</v>
      </c>
      <c r="AX35" t="e">
        <f>AND('boilerplate specs'!#REF!,"AAAAAGte8TE=")</f>
        <v>#REF!</v>
      </c>
      <c r="AY35" t="e">
        <f>AND('boilerplate specs'!#REF!,"AAAAAGte8TI=")</f>
        <v>#REF!</v>
      </c>
      <c r="AZ35" t="e">
        <f>AND('boilerplate specs'!#REF!,"AAAAAGte8TM=")</f>
        <v>#REF!</v>
      </c>
      <c r="BA35" t="e">
        <f>AND('boilerplate specs'!#REF!,"AAAAAGte8TQ=")</f>
        <v>#REF!</v>
      </c>
      <c r="BB35" t="e">
        <f>AND('boilerplate specs'!#REF!,"AAAAAGte8TU=")</f>
        <v>#REF!</v>
      </c>
      <c r="BC35">
        <f>IF('boilerplate specs'!205:205,"AAAAAGte8TY=",0)</f>
        <v>0</v>
      </c>
      <c r="BD35" t="e">
        <f>AND('boilerplate specs'!A205,"AAAAAGte8Tc=")</f>
        <v>#VALUE!</v>
      </c>
      <c r="BE35" t="e">
        <f>AND('boilerplate specs'!B205,"AAAAAGte8Tg=")</f>
        <v>#VALUE!</v>
      </c>
      <c r="BF35" t="e">
        <f>AND('boilerplate specs'!C205,"AAAAAGte8Tk=")</f>
        <v>#VALUE!</v>
      </c>
      <c r="BG35" t="e">
        <f>AND('boilerplate specs'!D205,"AAAAAGte8To=")</f>
        <v>#VALUE!</v>
      </c>
      <c r="BH35" t="e">
        <f>AND('boilerplate specs'!E205,"AAAAAGte8Ts=")</f>
        <v>#VALUE!</v>
      </c>
      <c r="BI35" t="e">
        <f>AND('boilerplate specs'!F205,"AAAAAGte8Tw=")</f>
        <v>#VALUE!</v>
      </c>
      <c r="BJ35" t="e">
        <f>AND('boilerplate specs'!G205,"AAAAAGte8T0=")</f>
        <v>#VALUE!</v>
      </c>
      <c r="BK35" t="e">
        <f>AND('boilerplate specs'!H205,"AAAAAGte8T4=")</f>
        <v>#VALUE!</v>
      </c>
      <c r="BL35" t="e">
        <f>AND('boilerplate specs'!I205,"AAAAAGte8T8=")</f>
        <v>#VALUE!</v>
      </c>
      <c r="BM35" t="e">
        <f>AND('boilerplate specs'!J205,"AAAAAGte8UA=")</f>
        <v>#VALUE!</v>
      </c>
      <c r="BN35" t="e">
        <f>AND('boilerplate specs'!#REF!,"AAAAAGte8UE=")</f>
        <v>#REF!</v>
      </c>
      <c r="BO35" t="e">
        <f>AND('boilerplate specs'!#REF!,"AAAAAGte8UI=")</f>
        <v>#REF!</v>
      </c>
      <c r="BP35" t="e">
        <f>AND('boilerplate specs'!#REF!,"AAAAAGte8UM=")</f>
        <v>#REF!</v>
      </c>
      <c r="BQ35" t="e">
        <f>AND('boilerplate specs'!#REF!,"AAAAAGte8UQ=")</f>
        <v>#REF!</v>
      </c>
      <c r="BR35" t="e">
        <f>AND('boilerplate specs'!#REF!,"AAAAAGte8UU=")</f>
        <v>#REF!</v>
      </c>
      <c r="BS35" t="e">
        <f>AND('boilerplate specs'!#REF!,"AAAAAGte8UY=")</f>
        <v>#REF!</v>
      </c>
      <c r="BT35" t="e">
        <f>AND('boilerplate specs'!#REF!,"AAAAAGte8Uc=")</f>
        <v>#REF!</v>
      </c>
      <c r="BU35" t="e">
        <f>AND('boilerplate specs'!#REF!,"AAAAAGte8Ug=")</f>
        <v>#REF!</v>
      </c>
      <c r="BV35" t="e">
        <f>AND('boilerplate specs'!#REF!,"AAAAAGte8Uk=")</f>
        <v>#REF!</v>
      </c>
      <c r="BW35" t="e">
        <f>AND('boilerplate specs'!#REF!,"AAAAAGte8Uo=")</f>
        <v>#REF!</v>
      </c>
      <c r="BX35" t="e">
        <f>AND('boilerplate specs'!#REF!,"AAAAAGte8Us=")</f>
        <v>#REF!</v>
      </c>
      <c r="BY35" t="e">
        <f>AND('boilerplate specs'!#REF!,"AAAAAGte8Uw=")</f>
        <v>#REF!</v>
      </c>
      <c r="BZ35" t="e">
        <f>AND('boilerplate specs'!#REF!,"AAAAAGte8U0=")</f>
        <v>#REF!</v>
      </c>
      <c r="CA35" t="e">
        <f>AND('boilerplate specs'!#REF!,"AAAAAGte8U4=")</f>
        <v>#REF!</v>
      </c>
      <c r="CB35" t="e">
        <f>AND('boilerplate specs'!#REF!,"AAAAAGte8U8=")</f>
        <v>#REF!</v>
      </c>
      <c r="CC35" t="e">
        <f>AND('boilerplate specs'!#REF!,"AAAAAGte8VA=")</f>
        <v>#REF!</v>
      </c>
      <c r="CD35" t="e">
        <f>AND('boilerplate specs'!#REF!,"AAAAAGte8VE=")</f>
        <v>#REF!</v>
      </c>
      <c r="CE35" t="e">
        <f>AND('boilerplate specs'!#REF!,"AAAAAGte8VI=")</f>
        <v>#REF!</v>
      </c>
      <c r="CF35" t="e">
        <f>AND('boilerplate specs'!#REF!,"AAAAAGte8VM=")</f>
        <v>#REF!</v>
      </c>
      <c r="CG35" t="e">
        <f>AND('boilerplate specs'!#REF!,"AAAAAGte8VQ=")</f>
        <v>#REF!</v>
      </c>
      <c r="CH35" t="e">
        <f>AND('boilerplate specs'!#REF!,"AAAAAGte8VU=")</f>
        <v>#REF!</v>
      </c>
      <c r="CI35" t="e">
        <f>AND('boilerplate specs'!#REF!,"AAAAAGte8VY=")</f>
        <v>#REF!</v>
      </c>
      <c r="CJ35">
        <f>IF('boilerplate specs'!206:206,"AAAAAGte8Vc=",0)</f>
        <v>0</v>
      </c>
      <c r="CK35" t="e">
        <f>AND('boilerplate specs'!A206,"AAAAAGte8Vg=")</f>
        <v>#VALUE!</v>
      </c>
      <c r="CL35" t="e">
        <f>AND('boilerplate specs'!B206,"AAAAAGte8Vk=")</f>
        <v>#VALUE!</v>
      </c>
      <c r="CM35" t="e">
        <f>AND('boilerplate specs'!C206,"AAAAAGte8Vo=")</f>
        <v>#VALUE!</v>
      </c>
      <c r="CN35" t="e">
        <f>AND('boilerplate specs'!D206,"AAAAAGte8Vs=")</f>
        <v>#VALUE!</v>
      </c>
      <c r="CO35" t="e">
        <f>AND('boilerplate specs'!E206,"AAAAAGte8Vw=")</f>
        <v>#VALUE!</v>
      </c>
      <c r="CP35" t="e">
        <f>AND('boilerplate specs'!F206,"AAAAAGte8V0=")</f>
        <v>#VALUE!</v>
      </c>
      <c r="CQ35" t="e">
        <f>AND('boilerplate specs'!G206,"AAAAAGte8V4=")</f>
        <v>#VALUE!</v>
      </c>
      <c r="CR35" t="e">
        <f>AND('boilerplate specs'!H206,"AAAAAGte8V8=")</f>
        <v>#VALUE!</v>
      </c>
      <c r="CS35" t="e">
        <f>AND('boilerplate specs'!I206,"AAAAAGte8WA=")</f>
        <v>#VALUE!</v>
      </c>
      <c r="CT35" t="e">
        <f>AND('boilerplate specs'!J206,"AAAAAGte8WE=")</f>
        <v>#VALUE!</v>
      </c>
      <c r="CU35" t="e">
        <f>AND('boilerplate specs'!#REF!,"AAAAAGte8WI=")</f>
        <v>#REF!</v>
      </c>
      <c r="CV35" t="e">
        <f>AND('boilerplate specs'!#REF!,"AAAAAGte8WM=")</f>
        <v>#REF!</v>
      </c>
      <c r="CW35" t="e">
        <f>AND('boilerplate specs'!#REF!,"AAAAAGte8WQ=")</f>
        <v>#REF!</v>
      </c>
      <c r="CX35" t="e">
        <f>AND('boilerplate specs'!#REF!,"AAAAAGte8WU=")</f>
        <v>#REF!</v>
      </c>
      <c r="CY35" t="e">
        <f>AND('boilerplate specs'!#REF!,"AAAAAGte8WY=")</f>
        <v>#REF!</v>
      </c>
      <c r="CZ35" t="e">
        <f>AND('boilerplate specs'!#REF!,"AAAAAGte8Wc=")</f>
        <v>#REF!</v>
      </c>
      <c r="DA35" t="e">
        <f>AND('boilerplate specs'!#REF!,"AAAAAGte8Wg=")</f>
        <v>#REF!</v>
      </c>
      <c r="DB35" t="e">
        <f>AND('boilerplate specs'!#REF!,"AAAAAGte8Wk=")</f>
        <v>#REF!</v>
      </c>
      <c r="DC35" t="e">
        <f>AND('boilerplate specs'!#REF!,"AAAAAGte8Wo=")</f>
        <v>#REF!</v>
      </c>
      <c r="DD35" t="e">
        <f>AND('boilerplate specs'!#REF!,"AAAAAGte8Ws=")</f>
        <v>#REF!</v>
      </c>
      <c r="DE35" t="e">
        <f>AND('boilerplate specs'!#REF!,"AAAAAGte8Ww=")</f>
        <v>#REF!</v>
      </c>
      <c r="DF35" t="e">
        <f>AND('boilerplate specs'!#REF!,"AAAAAGte8W0=")</f>
        <v>#REF!</v>
      </c>
      <c r="DG35" t="e">
        <f>AND('boilerplate specs'!#REF!,"AAAAAGte8W4=")</f>
        <v>#REF!</v>
      </c>
      <c r="DH35" t="e">
        <f>AND('boilerplate specs'!#REF!,"AAAAAGte8W8=")</f>
        <v>#REF!</v>
      </c>
      <c r="DI35" t="e">
        <f>AND('boilerplate specs'!#REF!,"AAAAAGte8XA=")</f>
        <v>#REF!</v>
      </c>
      <c r="DJ35" t="e">
        <f>AND('boilerplate specs'!#REF!,"AAAAAGte8XE=")</f>
        <v>#REF!</v>
      </c>
      <c r="DK35" t="e">
        <f>AND('boilerplate specs'!#REF!,"AAAAAGte8XI=")</f>
        <v>#REF!</v>
      </c>
      <c r="DL35" t="e">
        <f>AND('boilerplate specs'!#REF!,"AAAAAGte8XM=")</f>
        <v>#REF!</v>
      </c>
      <c r="DM35" t="e">
        <f>AND('boilerplate specs'!#REF!,"AAAAAGte8XQ=")</f>
        <v>#REF!</v>
      </c>
      <c r="DN35" t="e">
        <f>AND('boilerplate specs'!#REF!,"AAAAAGte8XU=")</f>
        <v>#REF!</v>
      </c>
      <c r="DO35" t="e">
        <f>AND('boilerplate specs'!#REF!,"AAAAAGte8XY=")</f>
        <v>#REF!</v>
      </c>
      <c r="DP35" t="e">
        <f>AND('boilerplate specs'!#REF!,"AAAAAGte8Xc=")</f>
        <v>#REF!</v>
      </c>
      <c r="DQ35">
        <f>IF('boilerplate specs'!207:207,"AAAAAGte8Xg=",0)</f>
        <v>0</v>
      </c>
      <c r="DR35" t="e">
        <f>AND('boilerplate specs'!A207,"AAAAAGte8Xk=")</f>
        <v>#VALUE!</v>
      </c>
      <c r="DS35" t="e">
        <f>AND('boilerplate specs'!B207,"AAAAAGte8Xo=")</f>
        <v>#VALUE!</v>
      </c>
      <c r="DT35" t="e">
        <f>AND('boilerplate specs'!C207,"AAAAAGte8Xs=")</f>
        <v>#VALUE!</v>
      </c>
      <c r="DU35" t="e">
        <f>AND('boilerplate specs'!D207,"AAAAAGte8Xw=")</f>
        <v>#VALUE!</v>
      </c>
      <c r="DV35" t="e">
        <f>AND('boilerplate specs'!E207,"AAAAAGte8X0=")</f>
        <v>#VALUE!</v>
      </c>
      <c r="DW35" t="e">
        <f>AND('boilerplate specs'!F207,"AAAAAGte8X4=")</f>
        <v>#VALUE!</v>
      </c>
      <c r="DX35" t="e">
        <f>AND('boilerplate specs'!G207,"AAAAAGte8X8=")</f>
        <v>#VALUE!</v>
      </c>
      <c r="DY35" t="e">
        <f>AND('boilerplate specs'!H207,"AAAAAGte8YA=")</f>
        <v>#VALUE!</v>
      </c>
      <c r="DZ35" t="e">
        <f>AND('boilerplate specs'!I207,"AAAAAGte8YE=")</f>
        <v>#VALUE!</v>
      </c>
      <c r="EA35" t="e">
        <f>AND('boilerplate specs'!J207,"AAAAAGte8YI=")</f>
        <v>#VALUE!</v>
      </c>
      <c r="EB35" t="e">
        <f>AND('boilerplate specs'!#REF!,"AAAAAGte8YM=")</f>
        <v>#REF!</v>
      </c>
      <c r="EC35" t="e">
        <f>AND('boilerplate specs'!#REF!,"AAAAAGte8YQ=")</f>
        <v>#REF!</v>
      </c>
      <c r="ED35" t="e">
        <f>AND('boilerplate specs'!#REF!,"AAAAAGte8YU=")</f>
        <v>#REF!</v>
      </c>
      <c r="EE35" t="e">
        <f>AND('boilerplate specs'!#REF!,"AAAAAGte8YY=")</f>
        <v>#REF!</v>
      </c>
      <c r="EF35" t="e">
        <f>AND('boilerplate specs'!#REF!,"AAAAAGte8Yc=")</f>
        <v>#REF!</v>
      </c>
      <c r="EG35" t="e">
        <f>AND('boilerplate specs'!#REF!,"AAAAAGte8Yg=")</f>
        <v>#REF!</v>
      </c>
      <c r="EH35" t="e">
        <f>AND('boilerplate specs'!#REF!,"AAAAAGte8Yk=")</f>
        <v>#REF!</v>
      </c>
      <c r="EI35" t="e">
        <f>AND('boilerplate specs'!#REF!,"AAAAAGte8Yo=")</f>
        <v>#REF!</v>
      </c>
      <c r="EJ35" t="e">
        <f>AND('boilerplate specs'!#REF!,"AAAAAGte8Ys=")</f>
        <v>#REF!</v>
      </c>
      <c r="EK35" t="e">
        <f>AND('boilerplate specs'!#REF!,"AAAAAGte8Yw=")</f>
        <v>#REF!</v>
      </c>
      <c r="EL35" t="e">
        <f>AND('boilerplate specs'!#REF!,"AAAAAGte8Y0=")</f>
        <v>#REF!</v>
      </c>
      <c r="EM35" t="e">
        <f>AND('boilerplate specs'!#REF!,"AAAAAGte8Y4=")</f>
        <v>#REF!</v>
      </c>
      <c r="EN35" t="e">
        <f>AND('boilerplate specs'!#REF!,"AAAAAGte8Y8=")</f>
        <v>#REF!</v>
      </c>
      <c r="EO35" t="e">
        <f>AND('boilerplate specs'!#REF!,"AAAAAGte8ZA=")</f>
        <v>#REF!</v>
      </c>
      <c r="EP35" t="e">
        <f>AND('boilerplate specs'!#REF!,"AAAAAGte8ZE=")</f>
        <v>#REF!</v>
      </c>
      <c r="EQ35" t="e">
        <f>AND('boilerplate specs'!#REF!,"AAAAAGte8ZI=")</f>
        <v>#REF!</v>
      </c>
      <c r="ER35" t="e">
        <f>AND('boilerplate specs'!#REF!,"AAAAAGte8ZM=")</f>
        <v>#REF!</v>
      </c>
      <c r="ES35" t="e">
        <f>AND('boilerplate specs'!#REF!,"AAAAAGte8ZQ=")</f>
        <v>#REF!</v>
      </c>
      <c r="ET35" t="e">
        <f>AND('boilerplate specs'!#REF!,"AAAAAGte8ZU=")</f>
        <v>#REF!</v>
      </c>
      <c r="EU35" t="e">
        <f>AND('boilerplate specs'!#REF!,"AAAAAGte8ZY=")</f>
        <v>#REF!</v>
      </c>
      <c r="EV35" t="e">
        <f>AND('boilerplate specs'!#REF!,"AAAAAGte8Zc=")</f>
        <v>#REF!</v>
      </c>
      <c r="EW35" t="e">
        <f>AND('boilerplate specs'!#REF!,"AAAAAGte8Zg=")</f>
        <v>#REF!</v>
      </c>
      <c r="EX35">
        <f>IF('boilerplate specs'!208:208,"AAAAAGte8Zk=",0)</f>
        <v>0</v>
      </c>
      <c r="EY35" t="e">
        <f>AND('boilerplate specs'!A208,"AAAAAGte8Zo=")</f>
        <v>#VALUE!</v>
      </c>
      <c r="EZ35" t="e">
        <f>AND('boilerplate specs'!B208,"AAAAAGte8Zs=")</f>
        <v>#VALUE!</v>
      </c>
      <c r="FA35" t="e">
        <f>AND('boilerplate specs'!C208,"AAAAAGte8Zw=")</f>
        <v>#VALUE!</v>
      </c>
      <c r="FB35" t="e">
        <f>AND('boilerplate specs'!D208,"AAAAAGte8Z0=")</f>
        <v>#VALUE!</v>
      </c>
      <c r="FC35" t="e">
        <f>AND('boilerplate specs'!E208,"AAAAAGte8Z4=")</f>
        <v>#VALUE!</v>
      </c>
      <c r="FD35" t="e">
        <f>AND('boilerplate specs'!F208,"AAAAAGte8Z8=")</f>
        <v>#VALUE!</v>
      </c>
      <c r="FE35" t="e">
        <f>AND('boilerplate specs'!G208,"AAAAAGte8aA=")</f>
        <v>#VALUE!</v>
      </c>
      <c r="FF35" t="e">
        <f>AND('boilerplate specs'!H208,"AAAAAGte8aE=")</f>
        <v>#VALUE!</v>
      </c>
      <c r="FG35" t="e">
        <f>AND('boilerplate specs'!I208,"AAAAAGte8aI=")</f>
        <v>#VALUE!</v>
      </c>
      <c r="FH35" t="e">
        <f>AND('boilerplate specs'!J208,"AAAAAGte8aM=")</f>
        <v>#VALUE!</v>
      </c>
      <c r="FI35" t="e">
        <f>AND('boilerplate specs'!#REF!,"AAAAAGte8aQ=")</f>
        <v>#REF!</v>
      </c>
      <c r="FJ35" t="e">
        <f>AND('boilerplate specs'!#REF!,"AAAAAGte8aU=")</f>
        <v>#REF!</v>
      </c>
      <c r="FK35" t="e">
        <f>AND('boilerplate specs'!#REF!,"AAAAAGte8aY=")</f>
        <v>#REF!</v>
      </c>
      <c r="FL35" t="e">
        <f>AND('boilerplate specs'!#REF!,"AAAAAGte8ac=")</f>
        <v>#REF!</v>
      </c>
      <c r="FM35" t="e">
        <f>AND('boilerplate specs'!#REF!,"AAAAAGte8ag=")</f>
        <v>#REF!</v>
      </c>
      <c r="FN35" t="e">
        <f>AND('boilerplate specs'!#REF!,"AAAAAGte8ak=")</f>
        <v>#REF!</v>
      </c>
      <c r="FO35" t="e">
        <f>AND('boilerplate specs'!#REF!,"AAAAAGte8ao=")</f>
        <v>#REF!</v>
      </c>
      <c r="FP35" t="e">
        <f>AND('boilerplate specs'!#REF!,"AAAAAGte8as=")</f>
        <v>#REF!</v>
      </c>
      <c r="FQ35" t="e">
        <f>AND('boilerplate specs'!#REF!,"AAAAAGte8aw=")</f>
        <v>#REF!</v>
      </c>
      <c r="FR35" t="e">
        <f>AND('boilerplate specs'!#REF!,"AAAAAGte8a0=")</f>
        <v>#REF!</v>
      </c>
      <c r="FS35" t="e">
        <f>AND('boilerplate specs'!#REF!,"AAAAAGte8a4=")</f>
        <v>#REF!</v>
      </c>
      <c r="FT35" t="e">
        <f>AND('boilerplate specs'!#REF!,"AAAAAGte8a8=")</f>
        <v>#REF!</v>
      </c>
      <c r="FU35" t="e">
        <f>AND('boilerplate specs'!#REF!,"AAAAAGte8bA=")</f>
        <v>#REF!</v>
      </c>
      <c r="FV35" t="e">
        <f>AND('boilerplate specs'!#REF!,"AAAAAGte8bE=")</f>
        <v>#REF!</v>
      </c>
      <c r="FW35" t="e">
        <f>AND('boilerplate specs'!#REF!,"AAAAAGte8bI=")</f>
        <v>#REF!</v>
      </c>
      <c r="FX35" t="e">
        <f>AND('boilerplate specs'!#REF!,"AAAAAGte8bM=")</f>
        <v>#REF!</v>
      </c>
      <c r="FY35" t="e">
        <f>AND('boilerplate specs'!#REF!,"AAAAAGte8bQ=")</f>
        <v>#REF!</v>
      </c>
      <c r="FZ35" t="e">
        <f>AND('boilerplate specs'!#REF!,"AAAAAGte8bU=")</f>
        <v>#REF!</v>
      </c>
      <c r="GA35" t="e">
        <f>AND('boilerplate specs'!#REF!,"AAAAAGte8bY=")</f>
        <v>#REF!</v>
      </c>
      <c r="GB35" t="e">
        <f>AND('boilerplate specs'!#REF!,"AAAAAGte8bc=")</f>
        <v>#REF!</v>
      </c>
      <c r="GC35" t="e">
        <f>AND('boilerplate specs'!#REF!,"AAAAAGte8bg=")</f>
        <v>#REF!</v>
      </c>
      <c r="GD35" t="e">
        <f>AND('boilerplate specs'!#REF!,"AAAAAGte8bk=")</f>
        <v>#REF!</v>
      </c>
      <c r="GE35">
        <f>IF('boilerplate specs'!209:209,"AAAAAGte8bo=",0)</f>
        <v>0</v>
      </c>
      <c r="GF35" t="e">
        <f>AND('boilerplate specs'!A209,"AAAAAGte8bs=")</f>
        <v>#VALUE!</v>
      </c>
      <c r="GG35" t="e">
        <f>AND('boilerplate specs'!B209,"AAAAAGte8bw=")</f>
        <v>#VALUE!</v>
      </c>
      <c r="GH35" t="e">
        <f>AND('boilerplate specs'!C209,"AAAAAGte8b0=")</f>
        <v>#VALUE!</v>
      </c>
      <c r="GI35" t="e">
        <f>AND('boilerplate specs'!D209,"AAAAAGte8b4=")</f>
        <v>#VALUE!</v>
      </c>
      <c r="GJ35" t="e">
        <f>AND('boilerplate specs'!E209,"AAAAAGte8b8=")</f>
        <v>#VALUE!</v>
      </c>
      <c r="GK35" t="e">
        <f>AND('boilerplate specs'!F209,"AAAAAGte8cA=")</f>
        <v>#VALUE!</v>
      </c>
      <c r="GL35" t="e">
        <f>AND('boilerplate specs'!G209,"AAAAAGte8cE=")</f>
        <v>#VALUE!</v>
      </c>
      <c r="GM35" t="e">
        <f>AND('boilerplate specs'!H209,"AAAAAGte8cI=")</f>
        <v>#VALUE!</v>
      </c>
      <c r="GN35" t="e">
        <f>AND('boilerplate specs'!I209,"AAAAAGte8cM=")</f>
        <v>#VALUE!</v>
      </c>
      <c r="GO35" t="e">
        <f>AND('boilerplate specs'!J209,"AAAAAGte8cQ=")</f>
        <v>#VALUE!</v>
      </c>
      <c r="GP35" t="e">
        <f>AND('boilerplate specs'!#REF!,"AAAAAGte8cU=")</f>
        <v>#REF!</v>
      </c>
      <c r="GQ35" t="e">
        <f>AND('boilerplate specs'!#REF!,"AAAAAGte8cY=")</f>
        <v>#REF!</v>
      </c>
      <c r="GR35" t="e">
        <f>AND('boilerplate specs'!#REF!,"AAAAAGte8cc=")</f>
        <v>#REF!</v>
      </c>
      <c r="GS35" t="e">
        <f>AND('boilerplate specs'!#REF!,"AAAAAGte8cg=")</f>
        <v>#REF!</v>
      </c>
      <c r="GT35" t="e">
        <f>AND('boilerplate specs'!#REF!,"AAAAAGte8ck=")</f>
        <v>#REF!</v>
      </c>
      <c r="GU35" t="e">
        <f>AND('boilerplate specs'!#REF!,"AAAAAGte8co=")</f>
        <v>#REF!</v>
      </c>
      <c r="GV35" t="e">
        <f>AND('boilerplate specs'!#REF!,"AAAAAGte8cs=")</f>
        <v>#REF!</v>
      </c>
      <c r="GW35" t="e">
        <f>AND('boilerplate specs'!#REF!,"AAAAAGte8cw=")</f>
        <v>#REF!</v>
      </c>
      <c r="GX35" t="e">
        <f>AND('boilerplate specs'!#REF!,"AAAAAGte8c0=")</f>
        <v>#REF!</v>
      </c>
      <c r="GY35" t="e">
        <f>AND('boilerplate specs'!#REF!,"AAAAAGte8c4=")</f>
        <v>#REF!</v>
      </c>
      <c r="GZ35" t="e">
        <f>AND('boilerplate specs'!#REF!,"AAAAAGte8c8=")</f>
        <v>#REF!</v>
      </c>
      <c r="HA35" t="e">
        <f>AND('boilerplate specs'!#REF!,"AAAAAGte8dA=")</f>
        <v>#REF!</v>
      </c>
      <c r="HB35" t="e">
        <f>AND('boilerplate specs'!#REF!,"AAAAAGte8dE=")</f>
        <v>#REF!</v>
      </c>
      <c r="HC35" t="e">
        <f>AND('boilerplate specs'!#REF!,"AAAAAGte8dI=")</f>
        <v>#REF!</v>
      </c>
      <c r="HD35" t="e">
        <f>AND('boilerplate specs'!#REF!,"AAAAAGte8dM=")</f>
        <v>#REF!</v>
      </c>
      <c r="HE35" t="e">
        <f>AND('boilerplate specs'!#REF!,"AAAAAGte8dQ=")</f>
        <v>#REF!</v>
      </c>
      <c r="HF35" t="e">
        <f>AND('boilerplate specs'!#REF!,"AAAAAGte8dU=")</f>
        <v>#REF!</v>
      </c>
      <c r="HG35" t="e">
        <f>AND('boilerplate specs'!#REF!,"AAAAAGte8dY=")</f>
        <v>#REF!</v>
      </c>
      <c r="HH35" t="e">
        <f>AND('boilerplate specs'!#REF!,"AAAAAGte8dc=")</f>
        <v>#REF!</v>
      </c>
      <c r="HI35" t="e">
        <f>AND('boilerplate specs'!#REF!,"AAAAAGte8dg=")</f>
        <v>#REF!</v>
      </c>
      <c r="HJ35" t="e">
        <f>AND('boilerplate specs'!#REF!,"AAAAAGte8dk=")</f>
        <v>#REF!</v>
      </c>
      <c r="HK35" t="e">
        <f>AND('boilerplate specs'!#REF!,"AAAAAGte8do=")</f>
        <v>#REF!</v>
      </c>
      <c r="HL35">
        <f>IF('boilerplate specs'!210:210,"AAAAAGte8ds=",0)</f>
        <v>0</v>
      </c>
      <c r="HM35" t="e">
        <f>AND('boilerplate specs'!A210,"AAAAAGte8dw=")</f>
        <v>#VALUE!</v>
      </c>
      <c r="HN35" t="e">
        <f>AND('boilerplate specs'!B210,"AAAAAGte8d0=")</f>
        <v>#VALUE!</v>
      </c>
      <c r="HO35" t="e">
        <f>AND('boilerplate specs'!C210,"AAAAAGte8d4=")</f>
        <v>#VALUE!</v>
      </c>
      <c r="HP35" t="e">
        <f>AND('boilerplate specs'!D210,"AAAAAGte8d8=")</f>
        <v>#VALUE!</v>
      </c>
      <c r="HQ35" t="e">
        <f>AND('boilerplate specs'!E210,"AAAAAGte8eA=")</f>
        <v>#VALUE!</v>
      </c>
      <c r="HR35" t="e">
        <f>AND('boilerplate specs'!F210,"AAAAAGte8eE=")</f>
        <v>#VALUE!</v>
      </c>
      <c r="HS35" t="e">
        <f>AND('boilerplate specs'!G210,"AAAAAGte8eI=")</f>
        <v>#VALUE!</v>
      </c>
      <c r="HT35" t="e">
        <f>AND('boilerplate specs'!H210,"AAAAAGte8eM=")</f>
        <v>#VALUE!</v>
      </c>
      <c r="HU35" t="e">
        <f>AND('boilerplate specs'!I210,"AAAAAGte8eQ=")</f>
        <v>#VALUE!</v>
      </c>
      <c r="HV35" t="e">
        <f>AND('boilerplate specs'!J210,"AAAAAGte8eU=")</f>
        <v>#VALUE!</v>
      </c>
      <c r="HW35" t="e">
        <f>AND('boilerplate specs'!#REF!,"AAAAAGte8eY=")</f>
        <v>#REF!</v>
      </c>
      <c r="HX35" t="e">
        <f>AND('boilerplate specs'!#REF!,"AAAAAGte8ec=")</f>
        <v>#REF!</v>
      </c>
      <c r="HY35" t="e">
        <f>AND('boilerplate specs'!#REF!,"AAAAAGte8eg=")</f>
        <v>#REF!</v>
      </c>
      <c r="HZ35" t="e">
        <f>AND('boilerplate specs'!#REF!,"AAAAAGte8ek=")</f>
        <v>#REF!</v>
      </c>
      <c r="IA35" t="e">
        <f>AND('boilerplate specs'!#REF!,"AAAAAGte8eo=")</f>
        <v>#REF!</v>
      </c>
      <c r="IB35" t="e">
        <f>AND('boilerplate specs'!#REF!,"AAAAAGte8es=")</f>
        <v>#REF!</v>
      </c>
      <c r="IC35" t="e">
        <f>AND('boilerplate specs'!#REF!,"AAAAAGte8ew=")</f>
        <v>#REF!</v>
      </c>
      <c r="ID35" t="e">
        <f>AND('boilerplate specs'!#REF!,"AAAAAGte8e0=")</f>
        <v>#REF!</v>
      </c>
      <c r="IE35" t="e">
        <f>AND('boilerplate specs'!#REF!,"AAAAAGte8e4=")</f>
        <v>#REF!</v>
      </c>
      <c r="IF35" t="e">
        <f>AND('boilerplate specs'!#REF!,"AAAAAGte8e8=")</f>
        <v>#REF!</v>
      </c>
      <c r="IG35" t="e">
        <f>AND('boilerplate specs'!#REF!,"AAAAAGte8fA=")</f>
        <v>#REF!</v>
      </c>
      <c r="IH35" t="e">
        <f>AND('boilerplate specs'!#REF!,"AAAAAGte8fE=")</f>
        <v>#REF!</v>
      </c>
      <c r="II35" t="e">
        <f>AND('boilerplate specs'!#REF!,"AAAAAGte8fI=")</f>
        <v>#REF!</v>
      </c>
      <c r="IJ35" t="e">
        <f>AND('boilerplate specs'!#REF!,"AAAAAGte8fM=")</f>
        <v>#REF!</v>
      </c>
      <c r="IK35" t="e">
        <f>AND('boilerplate specs'!#REF!,"AAAAAGte8fQ=")</f>
        <v>#REF!</v>
      </c>
      <c r="IL35" t="e">
        <f>AND('boilerplate specs'!#REF!,"AAAAAGte8fU=")</f>
        <v>#REF!</v>
      </c>
      <c r="IM35" t="e">
        <f>AND('boilerplate specs'!#REF!,"AAAAAGte8fY=")</f>
        <v>#REF!</v>
      </c>
      <c r="IN35" t="e">
        <f>AND('boilerplate specs'!#REF!,"AAAAAGte8fc=")</f>
        <v>#REF!</v>
      </c>
      <c r="IO35" t="e">
        <f>AND('boilerplate specs'!#REF!,"AAAAAGte8fg=")</f>
        <v>#REF!</v>
      </c>
      <c r="IP35" t="e">
        <f>AND('boilerplate specs'!#REF!,"AAAAAGte8fk=")</f>
        <v>#REF!</v>
      </c>
      <c r="IQ35" t="e">
        <f>AND('boilerplate specs'!#REF!,"AAAAAGte8fo=")</f>
        <v>#REF!</v>
      </c>
      <c r="IR35" t="e">
        <f>AND('boilerplate specs'!#REF!,"AAAAAGte8fs=")</f>
        <v>#REF!</v>
      </c>
      <c r="IS35">
        <f>IF('boilerplate specs'!211:211,"AAAAAGte8fw=",0)</f>
        <v>0</v>
      </c>
      <c r="IT35" t="e">
        <f>AND('boilerplate specs'!A211,"AAAAAGte8f0=")</f>
        <v>#VALUE!</v>
      </c>
      <c r="IU35" t="e">
        <f>AND('boilerplate specs'!B211,"AAAAAGte8f4=")</f>
        <v>#VALUE!</v>
      </c>
      <c r="IV35" t="e">
        <f>AND('boilerplate specs'!C211,"AAAAAGte8f8=")</f>
        <v>#VALUE!</v>
      </c>
    </row>
    <row r="36" spans="1:256" x14ac:dyDescent="0.35">
      <c r="A36" t="e">
        <f>AND('boilerplate specs'!D211,"AAAAAF7PcwA=")</f>
        <v>#VALUE!</v>
      </c>
      <c r="B36" t="e">
        <f>AND('boilerplate specs'!E211,"AAAAAF7PcwE=")</f>
        <v>#VALUE!</v>
      </c>
      <c r="C36" t="e">
        <f>AND('boilerplate specs'!F211,"AAAAAF7PcwI=")</f>
        <v>#VALUE!</v>
      </c>
      <c r="D36" t="e">
        <f>AND('boilerplate specs'!G211,"AAAAAF7PcwM=")</f>
        <v>#VALUE!</v>
      </c>
      <c r="E36" t="e">
        <f>AND('boilerplate specs'!H211,"AAAAAF7PcwQ=")</f>
        <v>#VALUE!</v>
      </c>
      <c r="F36" t="e">
        <f>AND('boilerplate specs'!I211,"AAAAAF7PcwU=")</f>
        <v>#VALUE!</v>
      </c>
      <c r="G36" t="e">
        <f>AND('boilerplate specs'!J211,"AAAAAF7PcwY=")</f>
        <v>#VALUE!</v>
      </c>
      <c r="H36" t="e">
        <f>AND('boilerplate specs'!#REF!,"AAAAAF7Pcwc=")</f>
        <v>#REF!</v>
      </c>
      <c r="I36" t="e">
        <f>AND('boilerplate specs'!#REF!,"AAAAAF7Pcwg=")</f>
        <v>#REF!</v>
      </c>
      <c r="J36" t="e">
        <f>AND('boilerplate specs'!#REF!,"AAAAAF7Pcwk=")</f>
        <v>#REF!</v>
      </c>
      <c r="K36" t="e">
        <f>AND('boilerplate specs'!#REF!,"AAAAAF7Pcwo=")</f>
        <v>#REF!</v>
      </c>
      <c r="L36" t="e">
        <f>AND('boilerplate specs'!#REF!,"AAAAAF7Pcws=")</f>
        <v>#REF!</v>
      </c>
      <c r="M36" t="e">
        <f>AND('boilerplate specs'!#REF!,"AAAAAF7Pcww=")</f>
        <v>#REF!</v>
      </c>
      <c r="N36" t="e">
        <f>AND('boilerplate specs'!#REF!,"AAAAAF7Pcw0=")</f>
        <v>#REF!</v>
      </c>
      <c r="O36" t="e">
        <f>AND('boilerplate specs'!#REF!,"AAAAAF7Pcw4=")</f>
        <v>#REF!</v>
      </c>
      <c r="P36" t="e">
        <f>AND('boilerplate specs'!#REF!,"AAAAAF7Pcw8=")</f>
        <v>#REF!</v>
      </c>
      <c r="Q36" t="e">
        <f>AND('boilerplate specs'!#REF!,"AAAAAF7PcxA=")</f>
        <v>#REF!</v>
      </c>
      <c r="R36" t="e">
        <f>AND('boilerplate specs'!#REF!,"AAAAAF7PcxE=")</f>
        <v>#REF!</v>
      </c>
      <c r="S36" t="e">
        <f>AND('boilerplate specs'!#REF!,"AAAAAF7PcxI=")</f>
        <v>#REF!</v>
      </c>
      <c r="T36" t="e">
        <f>AND('boilerplate specs'!#REF!,"AAAAAF7PcxM=")</f>
        <v>#REF!</v>
      </c>
      <c r="U36" t="e">
        <f>AND('boilerplate specs'!#REF!,"AAAAAF7PcxQ=")</f>
        <v>#REF!</v>
      </c>
      <c r="V36" t="e">
        <f>AND('boilerplate specs'!#REF!,"AAAAAF7PcxU=")</f>
        <v>#REF!</v>
      </c>
      <c r="W36" t="e">
        <f>AND('boilerplate specs'!#REF!,"AAAAAF7PcxY=")</f>
        <v>#REF!</v>
      </c>
      <c r="X36" t="e">
        <f>AND('boilerplate specs'!#REF!,"AAAAAF7Pcxc=")</f>
        <v>#REF!</v>
      </c>
      <c r="Y36" t="e">
        <f>AND('boilerplate specs'!#REF!,"AAAAAF7Pcxg=")</f>
        <v>#REF!</v>
      </c>
      <c r="Z36" t="e">
        <f>AND('boilerplate specs'!#REF!,"AAAAAF7Pcxk=")</f>
        <v>#REF!</v>
      </c>
      <c r="AA36" t="e">
        <f>AND('boilerplate specs'!#REF!,"AAAAAF7Pcxo=")</f>
        <v>#REF!</v>
      </c>
      <c r="AB36" t="e">
        <f>AND('boilerplate specs'!#REF!,"AAAAAF7Pcxs=")</f>
        <v>#REF!</v>
      </c>
      <c r="AC36" t="e">
        <f>AND('boilerplate specs'!#REF!,"AAAAAF7Pcxw=")</f>
        <v>#REF!</v>
      </c>
      <c r="AD36">
        <f>IF('boilerplate specs'!212:212,"AAAAAF7Pcx0=",0)</f>
        <v>0</v>
      </c>
      <c r="AE36" t="e">
        <f>AND('boilerplate specs'!A212,"AAAAAF7Pcx4=")</f>
        <v>#VALUE!</v>
      </c>
      <c r="AF36" t="e">
        <f>AND('boilerplate specs'!B212,"AAAAAF7Pcx8=")</f>
        <v>#VALUE!</v>
      </c>
      <c r="AG36" t="e">
        <f>AND('boilerplate specs'!C212,"AAAAAF7PcyA=")</f>
        <v>#VALUE!</v>
      </c>
      <c r="AH36" t="e">
        <f>AND('boilerplate specs'!D212,"AAAAAF7PcyE=")</f>
        <v>#VALUE!</v>
      </c>
      <c r="AI36" t="e">
        <f>AND('boilerplate specs'!E212,"AAAAAF7PcyI=")</f>
        <v>#VALUE!</v>
      </c>
      <c r="AJ36" t="e">
        <f>AND('boilerplate specs'!F212,"AAAAAF7PcyM=")</f>
        <v>#VALUE!</v>
      </c>
      <c r="AK36" t="e">
        <f>AND('boilerplate specs'!G212,"AAAAAF7PcyQ=")</f>
        <v>#VALUE!</v>
      </c>
      <c r="AL36" t="e">
        <f>AND('boilerplate specs'!H212,"AAAAAF7PcyU=")</f>
        <v>#VALUE!</v>
      </c>
      <c r="AM36" t="e">
        <f>AND('boilerplate specs'!I212,"AAAAAF7PcyY=")</f>
        <v>#VALUE!</v>
      </c>
      <c r="AN36" t="e">
        <f>AND('boilerplate specs'!J212,"AAAAAF7Pcyc=")</f>
        <v>#VALUE!</v>
      </c>
      <c r="AO36" t="e">
        <f>AND('boilerplate specs'!#REF!,"AAAAAF7Pcyg=")</f>
        <v>#REF!</v>
      </c>
      <c r="AP36" t="e">
        <f>AND('boilerplate specs'!#REF!,"AAAAAF7Pcyk=")</f>
        <v>#REF!</v>
      </c>
      <c r="AQ36" t="e">
        <f>AND('boilerplate specs'!#REF!,"AAAAAF7Pcyo=")</f>
        <v>#REF!</v>
      </c>
      <c r="AR36" t="e">
        <f>AND('boilerplate specs'!#REF!,"AAAAAF7Pcys=")</f>
        <v>#REF!</v>
      </c>
      <c r="AS36" t="e">
        <f>AND('boilerplate specs'!#REF!,"AAAAAF7Pcyw=")</f>
        <v>#REF!</v>
      </c>
      <c r="AT36" t="e">
        <f>AND('boilerplate specs'!#REF!,"AAAAAF7Pcy0=")</f>
        <v>#REF!</v>
      </c>
      <c r="AU36" t="e">
        <f>AND('boilerplate specs'!#REF!,"AAAAAF7Pcy4=")</f>
        <v>#REF!</v>
      </c>
      <c r="AV36" t="e">
        <f>AND('boilerplate specs'!#REF!,"AAAAAF7Pcy8=")</f>
        <v>#REF!</v>
      </c>
      <c r="AW36" t="e">
        <f>AND('boilerplate specs'!#REF!,"AAAAAF7PczA=")</f>
        <v>#REF!</v>
      </c>
      <c r="AX36" t="e">
        <f>AND('boilerplate specs'!#REF!,"AAAAAF7PczE=")</f>
        <v>#REF!</v>
      </c>
      <c r="AY36" t="e">
        <f>AND('boilerplate specs'!#REF!,"AAAAAF7PczI=")</f>
        <v>#REF!</v>
      </c>
      <c r="AZ36" t="e">
        <f>AND('boilerplate specs'!#REF!,"AAAAAF7PczM=")</f>
        <v>#REF!</v>
      </c>
      <c r="BA36" t="e">
        <f>AND('boilerplate specs'!#REF!,"AAAAAF7PczQ=")</f>
        <v>#REF!</v>
      </c>
      <c r="BB36" t="e">
        <f>AND('boilerplate specs'!#REF!,"AAAAAF7PczU=")</f>
        <v>#REF!</v>
      </c>
      <c r="BC36" t="e">
        <f>AND('boilerplate specs'!#REF!,"AAAAAF7PczY=")</f>
        <v>#REF!</v>
      </c>
      <c r="BD36" t="e">
        <f>AND('boilerplate specs'!#REF!,"AAAAAF7Pczc=")</f>
        <v>#REF!</v>
      </c>
      <c r="BE36" t="e">
        <f>AND('boilerplate specs'!#REF!,"AAAAAF7Pczg=")</f>
        <v>#REF!</v>
      </c>
      <c r="BF36" t="e">
        <f>AND('boilerplate specs'!#REF!,"AAAAAF7Pczk=")</f>
        <v>#REF!</v>
      </c>
      <c r="BG36" t="e">
        <f>AND('boilerplate specs'!#REF!,"AAAAAF7Pczo=")</f>
        <v>#REF!</v>
      </c>
      <c r="BH36" t="e">
        <f>AND('boilerplate specs'!#REF!,"AAAAAF7Pczs=")</f>
        <v>#REF!</v>
      </c>
      <c r="BI36" t="e">
        <f>AND('boilerplate specs'!#REF!,"AAAAAF7Pczw=")</f>
        <v>#REF!</v>
      </c>
      <c r="BJ36" t="e">
        <f>AND('boilerplate specs'!#REF!,"AAAAAF7Pcz0=")</f>
        <v>#REF!</v>
      </c>
      <c r="BK36">
        <f>IF('boilerplate specs'!213:213,"AAAAAF7Pcz4=",0)</f>
        <v>0</v>
      </c>
      <c r="BL36" t="e">
        <f>AND('boilerplate specs'!A213,"AAAAAF7Pcz8=")</f>
        <v>#VALUE!</v>
      </c>
      <c r="BM36" t="e">
        <f>AND('boilerplate specs'!B213,"AAAAAF7Pc0A=")</f>
        <v>#VALUE!</v>
      </c>
      <c r="BN36" t="e">
        <f>AND('boilerplate specs'!C213,"AAAAAF7Pc0E=")</f>
        <v>#VALUE!</v>
      </c>
      <c r="BO36" t="e">
        <f>AND('boilerplate specs'!D213,"AAAAAF7Pc0I=")</f>
        <v>#VALUE!</v>
      </c>
      <c r="BP36" t="e">
        <f>AND('boilerplate specs'!E213,"AAAAAF7Pc0M=")</f>
        <v>#VALUE!</v>
      </c>
      <c r="BQ36" t="e">
        <f>AND('boilerplate specs'!F213,"AAAAAF7Pc0Q=")</f>
        <v>#VALUE!</v>
      </c>
      <c r="BR36" t="e">
        <f>AND('boilerplate specs'!G213,"AAAAAF7Pc0U=")</f>
        <v>#VALUE!</v>
      </c>
      <c r="BS36" t="e">
        <f>AND('boilerplate specs'!H213,"AAAAAF7Pc0Y=")</f>
        <v>#VALUE!</v>
      </c>
      <c r="BT36" t="e">
        <f>AND('boilerplate specs'!I213,"AAAAAF7Pc0c=")</f>
        <v>#VALUE!</v>
      </c>
      <c r="BU36" t="e">
        <f>AND('boilerplate specs'!J213,"AAAAAF7Pc0g=")</f>
        <v>#VALUE!</v>
      </c>
      <c r="BV36" t="e">
        <f>AND('boilerplate specs'!#REF!,"AAAAAF7Pc0k=")</f>
        <v>#REF!</v>
      </c>
      <c r="BW36" t="e">
        <f>AND('boilerplate specs'!#REF!,"AAAAAF7Pc0o=")</f>
        <v>#REF!</v>
      </c>
      <c r="BX36" t="e">
        <f>AND('boilerplate specs'!#REF!,"AAAAAF7Pc0s=")</f>
        <v>#REF!</v>
      </c>
      <c r="BY36" t="e">
        <f>AND('boilerplate specs'!#REF!,"AAAAAF7Pc0w=")</f>
        <v>#REF!</v>
      </c>
      <c r="BZ36" t="e">
        <f>AND('boilerplate specs'!#REF!,"AAAAAF7Pc00=")</f>
        <v>#REF!</v>
      </c>
      <c r="CA36" t="e">
        <f>AND('boilerplate specs'!#REF!,"AAAAAF7Pc04=")</f>
        <v>#REF!</v>
      </c>
      <c r="CB36" t="e">
        <f>AND('boilerplate specs'!#REF!,"AAAAAF7Pc08=")</f>
        <v>#REF!</v>
      </c>
      <c r="CC36" t="e">
        <f>AND('boilerplate specs'!#REF!,"AAAAAF7Pc1A=")</f>
        <v>#REF!</v>
      </c>
      <c r="CD36" t="e">
        <f>AND('boilerplate specs'!#REF!,"AAAAAF7Pc1E=")</f>
        <v>#REF!</v>
      </c>
      <c r="CE36" t="e">
        <f>AND('boilerplate specs'!#REF!,"AAAAAF7Pc1I=")</f>
        <v>#REF!</v>
      </c>
      <c r="CF36" t="e">
        <f>AND('boilerplate specs'!#REF!,"AAAAAF7Pc1M=")</f>
        <v>#REF!</v>
      </c>
      <c r="CG36" t="e">
        <f>AND('boilerplate specs'!#REF!,"AAAAAF7Pc1Q=")</f>
        <v>#REF!</v>
      </c>
      <c r="CH36" t="e">
        <f>AND('boilerplate specs'!#REF!,"AAAAAF7Pc1U=")</f>
        <v>#REF!</v>
      </c>
      <c r="CI36" t="e">
        <f>AND('boilerplate specs'!#REF!,"AAAAAF7Pc1Y=")</f>
        <v>#REF!</v>
      </c>
      <c r="CJ36" t="e">
        <f>AND('boilerplate specs'!#REF!,"AAAAAF7Pc1c=")</f>
        <v>#REF!</v>
      </c>
      <c r="CK36" t="e">
        <f>AND('boilerplate specs'!#REF!,"AAAAAF7Pc1g=")</f>
        <v>#REF!</v>
      </c>
      <c r="CL36" t="e">
        <f>AND('boilerplate specs'!#REF!,"AAAAAF7Pc1k=")</f>
        <v>#REF!</v>
      </c>
      <c r="CM36" t="e">
        <f>AND('boilerplate specs'!#REF!,"AAAAAF7Pc1o=")</f>
        <v>#REF!</v>
      </c>
      <c r="CN36" t="e">
        <f>AND('boilerplate specs'!#REF!,"AAAAAF7Pc1s=")</f>
        <v>#REF!</v>
      </c>
      <c r="CO36" t="e">
        <f>AND('boilerplate specs'!#REF!,"AAAAAF7Pc1w=")</f>
        <v>#REF!</v>
      </c>
      <c r="CP36" t="e">
        <f>AND('boilerplate specs'!#REF!,"AAAAAF7Pc10=")</f>
        <v>#REF!</v>
      </c>
      <c r="CQ36" t="e">
        <f>AND('boilerplate specs'!#REF!,"AAAAAF7Pc14=")</f>
        <v>#REF!</v>
      </c>
      <c r="CR36">
        <f>IF('boilerplate specs'!214:214,"AAAAAF7Pc18=",0)</f>
        <v>0</v>
      </c>
      <c r="CS36" t="e">
        <f>AND('boilerplate specs'!A214,"AAAAAF7Pc2A=")</f>
        <v>#VALUE!</v>
      </c>
      <c r="CT36" t="e">
        <f>AND('boilerplate specs'!B214,"AAAAAF7Pc2E=")</f>
        <v>#VALUE!</v>
      </c>
      <c r="CU36" t="e">
        <f>AND('boilerplate specs'!C214,"AAAAAF7Pc2I=")</f>
        <v>#VALUE!</v>
      </c>
      <c r="CV36" t="e">
        <f>AND('boilerplate specs'!D214,"AAAAAF7Pc2M=")</f>
        <v>#VALUE!</v>
      </c>
      <c r="CW36" t="e">
        <f>AND('boilerplate specs'!E214,"AAAAAF7Pc2Q=")</f>
        <v>#VALUE!</v>
      </c>
      <c r="CX36" t="e">
        <f>AND('boilerplate specs'!F214,"AAAAAF7Pc2U=")</f>
        <v>#VALUE!</v>
      </c>
      <c r="CY36" t="e">
        <f>AND('boilerplate specs'!G214,"AAAAAF7Pc2Y=")</f>
        <v>#VALUE!</v>
      </c>
      <c r="CZ36" t="e">
        <f>AND('boilerplate specs'!H214,"AAAAAF7Pc2c=")</f>
        <v>#VALUE!</v>
      </c>
      <c r="DA36" t="e">
        <f>AND('boilerplate specs'!I214,"AAAAAF7Pc2g=")</f>
        <v>#VALUE!</v>
      </c>
      <c r="DB36" t="e">
        <f>AND('boilerplate specs'!J214,"AAAAAF7Pc2k=")</f>
        <v>#VALUE!</v>
      </c>
      <c r="DC36" t="e">
        <f>AND('boilerplate specs'!#REF!,"AAAAAF7Pc2o=")</f>
        <v>#REF!</v>
      </c>
      <c r="DD36" t="e">
        <f>AND('boilerplate specs'!#REF!,"AAAAAF7Pc2s=")</f>
        <v>#REF!</v>
      </c>
      <c r="DE36" t="e">
        <f>AND('boilerplate specs'!#REF!,"AAAAAF7Pc2w=")</f>
        <v>#REF!</v>
      </c>
      <c r="DF36" t="e">
        <f>AND('boilerplate specs'!#REF!,"AAAAAF7Pc20=")</f>
        <v>#REF!</v>
      </c>
      <c r="DG36" t="e">
        <f>AND('boilerplate specs'!#REF!,"AAAAAF7Pc24=")</f>
        <v>#REF!</v>
      </c>
      <c r="DH36" t="e">
        <f>AND('boilerplate specs'!#REF!,"AAAAAF7Pc28=")</f>
        <v>#REF!</v>
      </c>
      <c r="DI36" t="e">
        <f>AND('boilerplate specs'!#REF!,"AAAAAF7Pc3A=")</f>
        <v>#REF!</v>
      </c>
      <c r="DJ36" t="e">
        <f>AND('boilerplate specs'!#REF!,"AAAAAF7Pc3E=")</f>
        <v>#REF!</v>
      </c>
      <c r="DK36" t="e">
        <f>AND('boilerplate specs'!#REF!,"AAAAAF7Pc3I=")</f>
        <v>#REF!</v>
      </c>
      <c r="DL36" t="e">
        <f>AND('boilerplate specs'!#REF!,"AAAAAF7Pc3M=")</f>
        <v>#REF!</v>
      </c>
      <c r="DM36" t="e">
        <f>AND('boilerplate specs'!#REF!,"AAAAAF7Pc3Q=")</f>
        <v>#REF!</v>
      </c>
      <c r="DN36" t="e">
        <f>AND('boilerplate specs'!#REF!,"AAAAAF7Pc3U=")</f>
        <v>#REF!</v>
      </c>
      <c r="DO36" t="e">
        <f>AND('boilerplate specs'!#REF!,"AAAAAF7Pc3Y=")</f>
        <v>#REF!</v>
      </c>
      <c r="DP36" t="e">
        <f>AND('boilerplate specs'!#REF!,"AAAAAF7Pc3c=")</f>
        <v>#REF!</v>
      </c>
      <c r="DQ36" t="e">
        <f>AND('boilerplate specs'!#REF!,"AAAAAF7Pc3g=")</f>
        <v>#REF!</v>
      </c>
      <c r="DR36" t="e">
        <f>AND('boilerplate specs'!#REF!,"AAAAAF7Pc3k=")</f>
        <v>#REF!</v>
      </c>
      <c r="DS36" t="e">
        <f>AND('boilerplate specs'!#REF!,"AAAAAF7Pc3o=")</f>
        <v>#REF!</v>
      </c>
      <c r="DT36" t="e">
        <f>AND('boilerplate specs'!#REF!,"AAAAAF7Pc3s=")</f>
        <v>#REF!</v>
      </c>
      <c r="DU36" t="e">
        <f>AND('boilerplate specs'!#REF!,"AAAAAF7Pc3w=")</f>
        <v>#REF!</v>
      </c>
      <c r="DV36" t="e">
        <f>AND('boilerplate specs'!#REF!,"AAAAAF7Pc30=")</f>
        <v>#REF!</v>
      </c>
      <c r="DW36" t="e">
        <f>AND('boilerplate specs'!#REF!,"AAAAAF7Pc34=")</f>
        <v>#REF!</v>
      </c>
      <c r="DX36" t="e">
        <f>AND('boilerplate specs'!#REF!,"AAAAAF7Pc38=")</f>
        <v>#REF!</v>
      </c>
      <c r="DY36">
        <f>IF('boilerplate specs'!215:215,"AAAAAF7Pc4A=",0)</f>
        <v>0</v>
      </c>
      <c r="DZ36" t="e">
        <f>AND('boilerplate specs'!A215,"AAAAAF7Pc4E=")</f>
        <v>#VALUE!</v>
      </c>
      <c r="EA36" t="e">
        <f>AND('boilerplate specs'!B215,"AAAAAF7Pc4I=")</f>
        <v>#VALUE!</v>
      </c>
      <c r="EB36" t="e">
        <f>AND('boilerplate specs'!C215,"AAAAAF7Pc4M=")</f>
        <v>#VALUE!</v>
      </c>
      <c r="EC36" t="e">
        <f>AND('boilerplate specs'!D215,"AAAAAF7Pc4Q=")</f>
        <v>#VALUE!</v>
      </c>
      <c r="ED36" t="e">
        <f>AND('boilerplate specs'!E215,"AAAAAF7Pc4U=")</f>
        <v>#VALUE!</v>
      </c>
      <c r="EE36" t="e">
        <f>AND('boilerplate specs'!F215,"AAAAAF7Pc4Y=")</f>
        <v>#VALUE!</v>
      </c>
      <c r="EF36" t="e">
        <f>AND('boilerplate specs'!G215,"AAAAAF7Pc4c=")</f>
        <v>#VALUE!</v>
      </c>
      <c r="EG36" t="e">
        <f>AND('boilerplate specs'!H215,"AAAAAF7Pc4g=")</f>
        <v>#VALUE!</v>
      </c>
      <c r="EH36" t="e">
        <f>AND('boilerplate specs'!I215,"AAAAAF7Pc4k=")</f>
        <v>#VALUE!</v>
      </c>
      <c r="EI36" t="e">
        <f>AND('boilerplate specs'!J215,"AAAAAF7Pc4o=")</f>
        <v>#VALUE!</v>
      </c>
      <c r="EJ36" t="e">
        <f>AND('boilerplate specs'!#REF!,"AAAAAF7Pc4s=")</f>
        <v>#REF!</v>
      </c>
      <c r="EK36" t="e">
        <f>AND('boilerplate specs'!#REF!,"AAAAAF7Pc4w=")</f>
        <v>#REF!</v>
      </c>
      <c r="EL36" t="e">
        <f>AND('boilerplate specs'!#REF!,"AAAAAF7Pc40=")</f>
        <v>#REF!</v>
      </c>
      <c r="EM36" t="e">
        <f>AND('boilerplate specs'!#REF!,"AAAAAF7Pc44=")</f>
        <v>#REF!</v>
      </c>
      <c r="EN36" t="e">
        <f>AND('boilerplate specs'!#REF!,"AAAAAF7Pc48=")</f>
        <v>#REF!</v>
      </c>
      <c r="EO36" t="e">
        <f>AND('boilerplate specs'!#REF!,"AAAAAF7Pc5A=")</f>
        <v>#REF!</v>
      </c>
      <c r="EP36" t="e">
        <f>AND('boilerplate specs'!#REF!,"AAAAAF7Pc5E=")</f>
        <v>#REF!</v>
      </c>
      <c r="EQ36" t="e">
        <f>AND('boilerplate specs'!#REF!,"AAAAAF7Pc5I=")</f>
        <v>#REF!</v>
      </c>
      <c r="ER36" t="e">
        <f>AND('boilerplate specs'!#REF!,"AAAAAF7Pc5M=")</f>
        <v>#REF!</v>
      </c>
      <c r="ES36" t="e">
        <f>AND('boilerplate specs'!#REF!,"AAAAAF7Pc5Q=")</f>
        <v>#REF!</v>
      </c>
      <c r="ET36" t="e">
        <f>AND('boilerplate specs'!#REF!,"AAAAAF7Pc5U=")</f>
        <v>#REF!</v>
      </c>
      <c r="EU36" t="e">
        <f>AND('boilerplate specs'!#REF!,"AAAAAF7Pc5Y=")</f>
        <v>#REF!</v>
      </c>
      <c r="EV36" t="e">
        <f>AND('boilerplate specs'!#REF!,"AAAAAF7Pc5c=")</f>
        <v>#REF!</v>
      </c>
      <c r="EW36" t="e">
        <f>AND('boilerplate specs'!#REF!,"AAAAAF7Pc5g=")</f>
        <v>#REF!</v>
      </c>
      <c r="EX36" t="e">
        <f>AND('boilerplate specs'!#REF!,"AAAAAF7Pc5k=")</f>
        <v>#REF!</v>
      </c>
      <c r="EY36" t="e">
        <f>AND('boilerplate specs'!#REF!,"AAAAAF7Pc5o=")</f>
        <v>#REF!</v>
      </c>
      <c r="EZ36" t="e">
        <f>AND('boilerplate specs'!#REF!,"AAAAAF7Pc5s=")</f>
        <v>#REF!</v>
      </c>
      <c r="FA36" t="e">
        <f>AND('boilerplate specs'!#REF!,"AAAAAF7Pc5w=")</f>
        <v>#REF!</v>
      </c>
      <c r="FB36" t="e">
        <f>AND('boilerplate specs'!#REF!,"AAAAAF7Pc50=")</f>
        <v>#REF!</v>
      </c>
      <c r="FC36" t="e">
        <f>AND('boilerplate specs'!#REF!,"AAAAAF7Pc54=")</f>
        <v>#REF!</v>
      </c>
      <c r="FD36" t="e">
        <f>AND('boilerplate specs'!#REF!,"AAAAAF7Pc58=")</f>
        <v>#REF!</v>
      </c>
      <c r="FE36" t="e">
        <f>AND('boilerplate specs'!#REF!,"AAAAAF7Pc6A=")</f>
        <v>#REF!</v>
      </c>
      <c r="FF36">
        <f>IF('boilerplate specs'!216:216,"AAAAAF7Pc6E=",0)</f>
        <v>0</v>
      </c>
      <c r="FG36" t="e">
        <f>AND('boilerplate specs'!A216,"AAAAAF7Pc6I=")</f>
        <v>#VALUE!</v>
      </c>
      <c r="FH36" t="e">
        <f>AND('boilerplate specs'!B216,"AAAAAF7Pc6M=")</f>
        <v>#VALUE!</v>
      </c>
      <c r="FI36" t="e">
        <f>AND('boilerplate specs'!C216,"AAAAAF7Pc6Q=")</f>
        <v>#VALUE!</v>
      </c>
      <c r="FJ36" t="e">
        <f>AND('boilerplate specs'!D216,"AAAAAF7Pc6U=")</f>
        <v>#VALUE!</v>
      </c>
      <c r="FK36" t="e">
        <f>AND('boilerplate specs'!E216,"AAAAAF7Pc6Y=")</f>
        <v>#VALUE!</v>
      </c>
      <c r="FL36" t="e">
        <f>AND('boilerplate specs'!F216,"AAAAAF7Pc6c=")</f>
        <v>#VALUE!</v>
      </c>
      <c r="FM36" t="e">
        <f>AND('boilerplate specs'!G216,"AAAAAF7Pc6g=")</f>
        <v>#VALUE!</v>
      </c>
      <c r="FN36" t="e">
        <f>AND('boilerplate specs'!H216,"AAAAAF7Pc6k=")</f>
        <v>#VALUE!</v>
      </c>
      <c r="FO36" t="e">
        <f>AND('boilerplate specs'!I216,"AAAAAF7Pc6o=")</f>
        <v>#VALUE!</v>
      </c>
      <c r="FP36" t="e">
        <f>AND('boilerplate specs'!J216,"AAAAAF7Pc6s=")</f>
        <v>#VALUE!</v>
      </c>
      <c r="FQ36" t="e">
        <f>AND('boilerplate specs'!#REF!,"AAAAAF7Pc6w=")</f>
        <v>#REF!</v>
      </c>
      <c r="FR36" t="e">
        <f>AND('boilerplate specs'!#REF!,"AAAAAF7Pc60=")</f>
        <v>#REF!</v>
      </c>
      <c r="FS36" t="e">
        <f>AND('boilerplate specs'!#REF!,"AAAAAF7Pc64=")</f>
        <v>#REF!</v>
      </c>
      <c r="FT36" t="e">
        <f>AND('boilerplate specs'!#REF!,"AAAAAF7Pc68=")</f>
        <v>#REF!</v>
      </c>
      <c r="FU36" t="e">
        <f>AND('boilerplate specs'!#REF!,"AAAAAF7Pc7A=")</f>
        <v>#REF!</v>
      </c>
      <c r="FV36" t="e">
        <f>AND('boilerplate specs'!#REF!,"AAAAAF7Pc7E=")</f>
        <v>#REF!</v>
      </c>
      <c r="FW36" t="e">
        <f>AND('boilerplate specs'!#REF!,"AAAAAF7Pc7I=")</f>
        <v>#REF!</v>
      </c>
      <c r="FX36" t="e">
        <f>AND('boilerplate specs'!#REF!,"AAAAAF7Pc7M=")</f>
        <v>#REF!</v>
      </c>
      <c r="FY36" t="e">
        <f>AND('boilerplate specs'!#REF!,"AAAAAF7Pc7Q=")</f>
        <v>#REF!</v>
      </c>
      <c r="FZ36" t="e">
        <f>AND('boilerplate specs'!#REF!,"AAAAAF7Pc7U=")</f>
        <v>#REF!</v>
      </c>
      <c r="GA36" t="e">
        <f>AND('boilerplate specs'!#REF!,"AAAAAF7Pc7Y=")</f>
        <v>#REF!</v>
      </c>
      <c r="GB36" t="e">
        <f>AND('boilerplate specs'!#REF!,"AAAAAF7Pc7c=")</f>
        <v>#REF!</v>
      </c>
      <c r="GC36" t="e">
        <f>AND('boilerplate specs'!#REF!,"AAAAAF7Pc7g=")</f>
        <v>#REF!</v>
      </c>
      <c r="GD36" t="e">
        <f>AND('boilerplate specs'!#REF!,"AAAAAF7Pc7k=")</f>
        <v>#REF!</v>
      </c>
      <c r="GE36" t="e">
        <f>AND('boilerplate specs'!#REF!,"AAAAAF7Pc7o=")</f>
        <v>#REF!</v>
      </c>
      <c r="GF36" t="e">
        <f>AND('boilerplate specs'!#REF!,"AAAAAF7Pc7s=")</f>
        <v>#REF!</v>
      </c>
      <c r="GG36" t="e">
        <f>AND('boilerplate specs'!#REF!,"AAAAAF7Pc7w=")</f>
        <v>#REF!</v>
      </c>
      <c r="GH36" t="e">
        <f>AND('boilerplate specs'!#REF!,"AAAAAF7Pc70=")</f>
        <v>#REF!</v>
      </c>
      <c r="GI36" t="e">
        <f>AND('boilerplate specs'!#REF!,"AAAAAF7Pc74=")</f>
        <v>#REF!</v>
      </c>
      <c r="GJ36" t="e">
        <f>AND('boilerplate specs'!#REF!,"AAAAAF7Pc78=")</f>
        <v>#REF!</v>
      </c>
      <c r="GK36" t="e">
        <f>AND('boilerplate specs'!#REF!,"AAAAAF7Pc8A=")</f>
        <v>#REF!</v>
      </c>
      <c r="GL36" t="e">
        <f>AND('boilerplate specs'!#REF!,"AAAAAF7Pc8E=")</f>
        <v>#REF!</v>
      </c>
      <c r="GM36">
        <f>IF('boilerplate specs'!217:217,"AAAAAF7Pc8I=",0)</f>
        <v>0</v>
      </c>
      <c r="GN36" t="e">
        <f>AND('boilerplate specs'!A217,"AAAAAF7Pc8M=")</f>
        <v>#VALUE!</v>
      </c>
      <c r="GO36" t="e">
        <f>AND('boilerplate specs'!B217,"AAAAAF7Pc8Q=")</f>
        <v>#VALUE!</v>
      </c>
      <c r="GP36" t="e">
        <f>AND('boilerplate specs'!C217,"AAAAAF7Pc8U=")</f>
        <v>#VALUE!</v>
      </c>
      <c r="GQ36" t="e">
        <f>AND('boilerplate specs'!D217,"AAAAAF7Pc8Y=")</f>
        <v>#VALUE!</v>
      </c>
      <c r="GR36" t="e">
        <f>AND('boilerplate specs'!E217,"AAAAAF7Pc8c=")</f>
        <v>#VALUE!</v>
      </c>
      <c r="GS36" t="e">
        <f>AND('boilerplate specs'!F217,"AAAAAF7Pc8g=")</f>
        <v>#VALUE!</v>
      </c>
      <c r="GT36" t="e">
        <f>AND('boilerplate specs'!G217,"AAAAAF7Pc8k=")</f>
        <v>#VALUE!</v>
      </c>
      <c r="GU36" t="e">
        <f>AND('boilerplate specs'!H217,"AAAAAF7Pc8o=")</f>
        <v>#VALUE!</v>
      </c>
      <c r="GV36" t="e">
        <f>AND('boilerplate specs'!I217,"AAAAAF7Pc8s=")</f>
        <v>#VALUE!</v>
      </c>
      <c r="GW36" t="e">
        <f>AND('boilerplate specs'!J217,"AAAAAF7Pc8w=")</f>
        <v>#VALUE!</v>
      </c>
      <c r="GX36" t="e">
        <f>AND('boilerplate specs'!#REF!,"AAAAAF7Pc80=")</f>
        <v>#REF!</v>
      </c>
      <c r="GY36" t="e">
        <f>AND('boilerplate specs'!#REF!,"AAAAAF7Pc84=")</f>
        <v>#REF!</v>
      </c>
      <c r="GZ36" t="e">
        <f>AND('boilerplate specs'!#REF!,"AAAAAF7Pc88=")</f>
        <v>#REF!</v>
      </c>
      <c r="HA36" t="e">
        <f>AND('boilerplate specs'!#REF!,"AAAAAF7Pc9A=")</f>
        <v>#REF!</v>
      </c>
      <c r="HB36" t="e">
        <f>AND('boilerplate specs'!#REF!,"AAAAAF7Pc9E=")</f>
        <v>#REF!</v>
      </c>
      <c r="HC36" t="e">
        <f>AND('boilerplate specs'!#REF!,"AAAAAF7Pc9I=")</f>
        <v>#REF!</v>
      </c>
      <c r="HD36" t="e">
        <f>AND('boilerplate specs'!#REF!,"AAAAAF7Pc9M=")</f>
        <v>#REF!</v>
      </c>
      <c r="HE36" t="e">
        <f>AND('boilerplate specs'!#REF!,"AAAAAF7Pc9Q=")</f>
        <v>#REF!</v>
      </c>
      <c r="HF36" t="e">
        <f>AND('boilerplate specs'!#REF!,"AAAAAF7Pc9U=")</f>
        <v>#REF!</v>
      </c>
      <c r="HG36" t="e">
        <f>AND('boilerplate specs'!#REF!,"AAAAAF7Pc9Y=")</f>
        <v>#REF!</v>
      </c>
      <c r="HH36" t="e">
        <f>AND('boilerplate specs'!#REF!,"AAAAAF7Pc9c=")</f>
        <v>#REF!</v>
      </c>
      <c r="HI36" t="e">
        <f>AND('boilerplate specs'!#REF!,"AAAAAF7Pc9g=")</f>
        <v>#REF!</v>
      </c>
      <c r="HJ36" t="e">
        <f>AND('boilerplate specs'!#REF!,"AAAAAF7Pc9k=")</f>
        <v>#REF!</v>
      </c>
      <c r="HK36" t="e">
        <f>AND('boilerplate specs'!#REF!,"AAAAAF7Pc9o=")</f>
        <v>#REF!</v>
      </c>
      <c r="HL36" t="e">
        <f>AND('boilerplate specs'!#REF!,"AAAAAF7Pc9s=")</f>
        <v>#REF!</v>
      </c>
      <c r="HM36" t="e">
        <f>AND('boilerplate specs'!#REF!,"AAAAAF7Pc9w=")</f>
        <v>#REF!</v>
      </c>
      <c r="HN36" t="e">
        <f>AND('boilerplate specs'!#REF!,"AAAAAF7Pc90=")</f>
        <v>#REF!</v>
      </c>
      <c r="HO36" t="e">
        <f>AND('boilerplate specs'!#REF!,"AAAAAF7Pc94=")</f>
        <v>#REF!</v>
      </c>
      <c r="HP36" t="e">
        <f>AND('boilerplate specs'!#REF!,"AAAAAF7Pc98=")</f>
        <v>#REF!</v>
      </c>
      <c r="HQ36" t="e">
        <f>AND('boilerplate specs'!#REF!,"AAAAAF7Pc+A=")</f>
        <v>#REF!</v>
      </c>
      <c r="HR36" t="e">
        <f>AND('boilerplate specs'!#REF!,"AAAAAF7Pc+E=")</f>
        <v>#REF!</v>
      </c>
      <c r="HS36" t="e">
        <f>AND('boilerplate specs'!#REF!,"AAAAAF7Pc+I=")</f>
        <v>#REF!</v>
      </c>
      <c r="HT36">
        <f>IF('boilerplate specs'!218:218,"AAAAAF7Pc+M=",0)</f>
        <v>0</v>
      </c>
      <c r="HU36" t="e">
        <f>AND('boilerplate specs'!A218,"AAAAAF7Pc+Q=")</f>
        <v>#VALUE!</v>
      </c>
      <c r="HV36" t="e">
        <f>AND('boilerplate specs'!B218,"AAAAAF7Pc+U=")</f>
        <v>#VALUE!</v>
      </c>
      <c r="HW36" t="e">
        <f>AND('boilerplate specs'!C218,"AAAAAF7Pc+Y=")</f>
        <v>#VALUE!</v>
      </c>
      <c r="HX36" t="e">
        <f>AND('boilerplate specs'!D218,"AAAAAF7Pc+c=")</f>
        <v>#VALUE!</v>
      </c>
      <c r="HY36" t="e">
        <f>AND('boilerplate specs'!E218,"AAAAAF7Pc+g=")</f>
        <v>#VALUE!</v>
      </c>
      <c r="HZ36" t="e">
        <f>AND('boilerplate specs'!F218,"AAAAAF7Pc+k=")</f>
        <v>#VALUE!</v>
      </c>
      <c r="IA36" t="e">
        <f>AND('boilerplate specs'!G218,"AAAAAF7Pc+o=")</f>
        <v>#VALUE!</v>
      </c>
      <c r="IB36" t="e">
        <f>AND('boilerplate specs'!H218,"AAAAAF7Pc+s=")</f>
        <v>#VALUE!</v>
      </c>
      <c r="IC36" t="e">
        <f>AND('boilerplate specs'!I218,"AAAAAF7Pc+w=")</f>
        <v>#VALUE!</v>
      </c>
      <c r="ID36" t="e">
        <f>AND('boilerplate specs'!J218,"AAAAAF7Pc+0=")</f>
        <v>#VALUE!</v>
      </c>
      <c r="IE36" t="e">
        <f>AND('boilerplate specs'!#REF!,"AAAAAF7Pc+4=")</f>
        <v>#REF!</v>
      </c>
      <c r="IF36" t="e">
        <f>AND('boilerplate specs'!#REF!,"AAAAAF7Pc+8=")</f>
        <v>#REF!</v>
      </c>
      <c r="IG36" t="e">
        <f>AND('boilerplate specs'!#REF!,"AAAAAF7Pc/A=")</f>
        <v>#REF!</v>
      </c>
      <c r="IH36" t="e">
        <f>AND('boilerplate specs'!#REF!,"AAAAAF7Pc/E=")</f>
        <v>#REF!</v>
      </c>
      <c r="II36" t="e">
        <f>AND('boilerplate specs'!#REF!,"AAAAAF7Pc/I=")</f>
        <v>#REF!</v>
      </c>
      <c r="IJ36" t="e">
        <f>AND('boilerplate specs'!#REF!,"AAAAAF7Pc/M=")</f>
        <v>#REF!</v>
      </c>
      <c r="IK36" t="e">
        <f>AND('boilerplate specs'!#REF!,"AAAAAF7Pc/Q=")</f>
        <v>#REF!</v>
      </c>
      <c r="IL36" t="e">
        <f>AND('boilerplate specs'!#REF!,"AAAAAF7Pc/U=")</f>
        <v>#REF!</v>
      </c>
      <c r="IM36" t="e">
        <f>AND('boilerplate specs'!#REF!,"AAAAAF7Pc/Y=")</f>
        <v>#REF!</v>
      </c>
      <c r="IN36" t="e">
        <f>AND('boilerplate specs'!#REF!,"AAAAAF7Pc/c=")</f>
        <v>#REF!</v>
      </c>
      <c r="IO36" t="e">
        <f>AND('boilerplate specs'!#REF!,"AAAAAF7Pc/g=")</f>
        <v>#REF!</v>
      </c>
      <c r="IP36" t="e">
        <f>AND('boilerplate specs'!#REF!,"AAAAAF7Pc/k=")</f>
        <v>#REF!</v>
      </c>
      <c r="IQ36" t="e">
        <f>AND('boilerplate specs'!#REF!,"AAAAAF7Pc/o=")</f>
        <v>#REF!</v>
      </c>
      <c r="IR36" t="e">
        <f>AND('boilerplate specs'!#REF!,"AAAAAF7Pc/s=")</f>
        <v>#REF!</v>
      </c>
      <c r="IS36" t="e">
        <f>AND('boilerplate specs'!#REF!,"AAAAAF7Pc/w=")</f>
        <v>#REF!</v>
      </c>
      <c r="IT36" t="e">
        <f>AND('boilerplate specs'!#REF!,"AAAAAF7Pc/0=")</f>
        <v>#REF!</v>
      </c>
      <c r="IU36" t="e">
        <f>AND('boilerplate specs'!#REF!,"AAAAAF7Pc/4=")</f>
        <v>#REF!</v>
      </c>
      <c r="IV36" t="e">
        <f>AND('boilerplate specs'!#REF!,"AAAAAF7Pc/8=")</f>
        <v>#REF!</v>
      </c>
    </row>
    <row r="37" spans="1:256" x14ac:dyDescent="0.35">
      <c r="A37" t="e">
        <f>AND('boilerplate specs'!#REF!,"AAAAADRf9wA=")</f>
        <v>#REF!</v>
      </c>
      <c r="B37" t="e">
        <f>AND('boilerplate specs'!#REF!,"AAAAADRf9wE=")</f>
        <v>#REF!</v>
      </c>
      <c r="C37" t="e">
        <f>AND('boilerplate specs'!#REF!,"AAAAADRf9wI=")</f>
        <v>#REF!</v>
      </c>
      <c r="D37" t="e">
        <f>AND('boilerplate specs'!#REF!,"AAAAADRf9wM=")</f>
        <v>#REF!</v>
      </c>
      <c r="E37">
        <f>IF('boilerplate specs'!219:219,"AAAAADRf9wQ=",0)</f>
        <v>0</v>
      </c>
      <c r="F37" t="e">
        <f>AND('boilerplate specs'!A219,"AAAAADRf9wU=")</f>
        <v>#VALUE!</v>
      </c>
      <c r="G37" t="e">
        <f>AND('boilerplate specs'!B219,"AAAAADRf9wY=")</f>
        <v>#VALUE!</v>
      </c>
      <c r="H37" t="e">
        <f>AND('boilerplate specs'!C219,"AAAAADRf9wc=")</f>
        <v>#VALUE!</v>
      </c>
      <c r="I37" t="e">
        <f>AND('boilerplate specs'!D219,"AAAAADRf9wg=")</f>
        <v>#VALUE!</v>
      </c>
      <c r="J37" t="e">
        <f>AND('boilerplate specs'!E219,"AAAAADRf9wk=")</f>
        <v>#VALUE!</v>
      </c>
      <c r="K37" t="e">
        <f>AND('boilerplate specs'!F219,"AAAAADRf9wo=")</f>
        <v>#VALUE!</v>
      </c>
      <c r="L37" t="e">
        <f>AND('boilerplate specs'!G219,"AAAAADRf9ws=")</f>
        <v>#VALUE!</v>
      </c>
      <c r="M37" t="e">
        <f>AND('boilerplate specs'!H219,"AAAAADRf9ww=")</f>
        <v>#VALUE!</v>
      </c>
      <c r="N37" t="e">
        <f>AND('boilerplate specs'!I219,"AAAAADRf9w0=")</f>
        <v>#VALUE!</v>
      </c>
      <c r="O37" t="e">
        <f>AND('boilerplate specs'!J219,"AAAAADRf9w4=")</f>
        <v>#VALUE!</v>
      </c>
      <c r="P37" t="e">
        <f>AND('boilerplate specs'!#REF!,"AAAAADRf9w8=")</f>
        <v>#REF!</v>
      </c>
      <c r="Q37" t="e">
        <f>AND('boilerplate specs'!#REF!,"AAAAADRf9xA=")</f>
        <v>#REF!</v>
      </c>
      <c r="R37" t="e">
        <f>AND('boilerplate specs'!#REF!,"AAAAADRf9xE=")</f>
        <v>#REF!</v>
      </c>
      <c r="S37" t="e">
        <f>AND('boilerplate specs'!#REF!,"AAAAADRf9xI=")</f>
        <v>#REF!</v>
      </c>
      <c r="T37" t="e">
        <f>AND('boilerplate specs'!#REF!,"AAAAADRf9xM=")</f>
        <v>#REF!</v>
      </c>
      <c r="U37" t="e">
        <f>AND('boilerplate specs'!#REF!,"AAAAADRf9xQ=")</f>
        <v>#REF!</v>
      </c>
      <c r="V37" t="e">
        <f>AND('boilerplate specs'!#REF!,"AAAAADRf9xU=")</f>
        <v>#REF!</v>
      </c>
      <c r="W37" t="e">
        <f>AND('boilerplate specs'!#REF!,"AAAAADRf9xY=")</f>
        <v>#REF!</v>
      </c>
      <c r="X37" t="e">
        <f>AND('boilerplate specs'!#REF!,"AAAAADRf9xc=")</f>
        <v>#REF!</v>
      </c>
      <c r="Y37" t="e">
        <f>AND('boilerplate specs'!#REF!,"AAAAADRf9xg=")</f>
        <v>#REF!</v>
      </c>
      <c r="Z37" t="e">
        <f>AND('boilerplate specs'!#REF!,"AAAAADRf9xk=")</f>
        <v>#REF!</v>
      </c>
      <c r="AA37" t="e">
        <f>AND('boilerplate specs'!#REF!,"AAAAADRf9xo=")</f>
        <v>#REF!</v>
      </c>
      <c r="AB37" t="e">
        <f>AND('boilerplate specs'!#REF!,"AAAAADRf9xs=")</f>
        <v>#REF!</v>
      </c>
      <c r="AC37" t="e">
        <f>AND('boilerplate specs'!#REF!,"AAAAADRf9xw=")</f>
        <v>#REF!</v>
      </c>
      <c r="AD37" t="e">
        <f>AND('boilerplate specs'!#REF!,"AAAAADRf9x0=")</f>
        <v>#REF!</v>
      </c>
      <c r="AE37" t="e">
        <f>AND('boilerplate specs'!#REF!,"AAAAADRf9x4=")</f>
        <v>#REF!</v>
      </c>
      <c r="AF37" t="e">
        <f>AND('boilerplate specs'!#REF!,"AAAAADRf9x8=")</f>
        <v>#REF!</v>
      </c>
      <c r="AG37" t="e">
        <f>AND('boilerplate specs'!#REF!,"AAAAADRf9yA=")</f>
        <v>#REF!</v>
      </c>
      <c r="AH37" t="e">
        <f>AND('boilerplate specs'!#REF!,"AAAAADRf9yE=")</f>
        <v>#REF!</v>
      </c>
      <c r="AI37" t="e">
        <f>AND('boilerplate specs'!#REF!,"AAAAADRf9yI=")</f>
        <v>#REF!</v>
      </c>
      <c r="AJ37" t="e">
        <f>AND('boilerplate specs'!#REF!,"AAAAADRf9yM=")</f>
        <v>#REF!</v>
      </c>
      <c r="AK37" t="e">
        <f>AND('boilerplate specs'!#REF!,"AAAAADRf9yQ=")</f>
        <v>#REF!</v>
      </c>
      <c r="AL37">
        <f>IF('boilerplate specs'!220:220,"AAAAADRf9yU=",0)</f>
        <v>0</v>
      </c>
      <c r="AM37" t="e">
        <f>AND('boilerplate specs'!A220,"AAAAADRf9yY=")</f>
        <v>#VALUE!</v>
      </c>
      <c r="AN37" t="e">
        <f>AND('boilerplate specs'!B220,"AAAAADRf9yc=")</f>
        <v>#VALUE!</v>
      </c>
      <c r="AO37" t="e">
        <f>AND('boilerplate specs'!C220,"AAAAADRf9yg=")</f>
        <v>#VALUE!</v>
      </c>
      <c r="AP37" t="e">
        <f>AND('boilerplate specs'!D220,"AAAAADRf9yk=")</f>
        <v>#VALUE!</v>
      </c>
      <c r="AQ37" t="e">
        <f>AND('boilerplate specs'!E220,"AAAAADRf9yo=")</f>
        <v>#VALUE!</v>
      </c>
      <c r="AR37" t="e">
        <f>AND('boilerplate specs'!F220,"AAAAADRf9ys=")</f>
        <v>#VALUE!</v>
      </c>
      <c r="AS37" t="e">
        <f>AND('boilerplate specs'!G220,"AAAAADRf9yw=")</f>
        <v>#VALUE!</v>
      </c>
      <c r="AT37" t="e">
        <f>AND('boilerplate specs'!H220,"AAAAADRf9y0=")</f>
        <v>#VALUE!</v>
      </c>
      <c r="AU37" t="e">
        <f>AND('boilerplate specs'!I220,"AAAAADRf9y4=")</f>
        <v>#VALUE!</v>
      </c>
      <c r="AV37" t="e">
        <f>AND('boilerplate specs'!J220,"AAAAADRf9y8=")</f>
        <v>#VALUE!</v>
      </c>
      <c r="AW37" t="e">
        <f>AND('boilerplate specs'!#REF!,"AAAAADRf9zA=")</f>
        <v>#REF!</v>
      </c>
      <c r="AX37" t="e">
        <f>AND('boilerplate specs'!#REF!,"AAAAADRf9zE=")</f>
        <v>#REF!</v>
      </c>
      <c r="AY37" t="e">
        <f>AND('boilerplate specs'!#REF!,"AAAAADRf9zI=")</f>
        <v>#REF!</v>
      </c>
      <c r="AZ37" t="e">
        <f>AND('boilerplate specs'!#REF!,"AAAAADRf9zM=")</f>
        <v>#REF!</v>
      </c>
      <c r="BA37" t="e">
        <f>AND('boilerplate specs'!#REF!,"AAAAADRf9zQ=")</f>
        <v>#REF!</v>
      </c>
      <c r="BB37" t="e">
        <f>AND('boilerplate specs'!#REF!,"AAAAADRf9zU=")</f>
        <v>#REF!</v>
      </c>
      <c r="BC37" t="e">
        <f>AND('boilerplate specs'!#REF!,"AAAAADRf9zY=")</f>
        <v>#REF!</v>
      </c>
      <c r="BD37" t="e">
        <f>AND('boilerplate specs'!#REF!,"AAAAADRf9zc=")</f>
        <v>#REF!</v>
      </c>
      <c r="BE37" t="e">
        <f>AND('boilerplate specs'!#REF!,"AAAAADRf9zg=")</f>
        <v>#REF!</v>
      </c>
      <c r="BF37" t="e">
        <f>AND('boilerplate specs'!#REF!,"AAAAADRf9zk=")</f>
        <v>#REF!</v>
      </c>
      <c r="BG37" t="e">
        <f>AND('boilerplate specs'!#REF!,"AAAAADRf9zo=")</f>
        <v>#REF!</v>
      </c>
      <c r="BH37" t="e">
        <f>AND('boilerplate specs'!#REF!,"AAAAADRf9zs=")</f>
        <v>#REF!</v>
      </c>
      <c r="BI37" t="e">
        <f>AND('boilerplate specs'!#REF!,"AAAAADRf9zw=")</f>
        <v>#REF!</v>
      </c>
      <c r="BJ37" t="e">
        <f>AND('boilerplate specs'!#REF!,"AAAAADRf9z0=")</f>
        <v>#REF!</v>
      </c>
      <c r="BK37" t="e">
        <f>AND('boilerplate specs'!#REF!,"AAAAADRf9z4=")</f>
        <v>#REF!</v>
      </c>
      <c r="BL37" t="e">
        <f>AND('boilerplate specs'!#REF!,"AAAAADRf9z8=")</f>
        <v>#REF!</v>
      </c>
      <c r="BM37" t="e">
        <f>AND('boilerplate specs'!#REF!,"AAAAADRf90A=")</f>
        <v>#REF!</v>
      </c>
      <c r="BN37" t="e">
        <f>AND('boilerplate specs'!#REF!,"AAAAADRf90E=")</f>
        <v>#REF!</v>
      </c>
      <c r="BO37" t="e">
        <f>AND('boilerplate specs'!#REF!,"AAAAADRf90I=")</f>
        <v>#REF!</v>
      </c>
      <c r="BP37" t="e">
        <f>AND('boilerplate specs'!#REF!,"AAAAADRf90M=")</f>
        <v>#REF!</v>
      </c>
      <c r="BQ37" t="e">
        <f>AND('boilerplate specs'!#REF!,"AAAAADRf90Q=")</f>
        <v>#REF!</v>
      </c>
      <c r="BR37" t="e">
        <f>AND('boilerplate specs'!#REF!,"AAAAADRf90U=")</f>
        <v>#REF!</v>
      </c>
      <c r="BS37">
        <f>IF('boilerplate specs'!221:221,"AAAAADRf90Y=",0)</f>
        <v>0</v>
      </c>
      <c r="BT37" t="e">
        <f>AND('boilerplate specs'!A221,"AAAAADRf90c=")</f>
        <v>#VALUE!</v>
      </c>
      <c r="BU37" t="e">
        <f>AND('boilerplate specs'!B221,"AAAAADRf90g=")</f>
        <v>#VALUE!</v>
      </c>
      <c r="BV37" t="e">
        <f>AND('boilerplate specs'!C221,"AAAAADRf90k=")</f>
        <v>#VALUE!</v>
      </c>
      <c r="BW37" t="e">
        <f>AND('boilerplate specs'!D221,"AAAAADRf90o=")</f>
        <v>#VALUE!</v>
      </c>
      <c r="BX37" t="e">
        <f>AND('boilerplate specs'!E221,"AAAAADRf90s=")</f>
        <v>#VALUE!</v>
      </c>
      <c r="BY37" t="e">
        <f>AND('boilerplate specs'!F221,"AAAAADRf90w=")</f>
        <v>#VALUE!</v>
      </c>
      <c r="BZ37" t="e">
        <f>AND('boilerplate specs'!G221,"AAAAADRf900=")</f>
        <v>#VALUE!</v>
      </c>
      <c r="CA37" t="e">
        <f>AND('boilerplate specs'!H221,"AAAAADRf904=")</f>
        <v>#VALUE!</v>
      </c>
      <c r="CB37" t="e">
        <f>AND('boilerplate specs'!I221,"AAAAADRf908=")</f>
        <v>#VALUE!</v>
      </c>
      <c r="CC37" t="e">
        <f>AND('boilerplate specs'!J221,"AAAAADRf91A=")</f>
        <v>#VALUE!</v>
      </c>
      <c r="CD37" t="e">
        <f>AND('boilerplate specs'!#REF!,"AAAAADRf91E=")</f>
        <v>#REF!</v>
      </c>
      <c r="CE37" t="e">
        <f>AND('boilerplate specs'!#REF!,"AAAAADRf91I=")</f>
        <v>#REF!</v>
      </c>
      <c r="CF37" t="e">
        <f>AND('boilerplate specs'!#REF!,"AAAAADRf91M=")</f>
        <v>#REF!</v>
      </c>
      <c r="CG37" t="e">
        <f>AND('boilerplate specs'!#REF!,"AAAAADRf91Q=")</f>
        <v>#REF!</v>
      </c>
      <c r="CH37" t="e">
        <f>AND('boilerplate specs'!#REF!,"AAAAADRf91U=")</f>
        <v>#REF!</v>
      </c>
      <c r="CI37" t="e">
        <f>AND('boilerplate specs'!#REF!,"AAAAADRf91Y=")</f>
        <v>#REF!</v>
      </c>
      <c r="CJ37" t="e">
        <f>AND('boilerplate specs'!#REF!,"AAAAADRf91c=")</f>
        <v>#REF!</v>
      </c>
      <c r="CK37" t="e">
        <f>AND('boilerplate specs'!#REF!,"AAAAADRf91g=")</f>
        <v>#REF!</v>
      </c>
      <c r="CL37" t="e">
        <f>AND('boilerplate specs'!#REF!,"AAAAADRf91k=")</f>
        <v>#REF!</v>
      </c>
      <c r="CM37" t="e">
        <f>AND('boilerplate specs'!#REF!,"AAAAADRf91o=")</f>
        <v>#REF!</v>
      </c>
      <c r="CN37" t="e">
        <f>AND('boilerplate specs'!#REF!,"AAAAADRf91s=")</f>
        <v>#REF!</v>
      </c>
      <c r="CO37" t="e">
        <f>AND('boilerplate specs'!#REF!,"AAAAADRf91w=")</f>
        <v>#REF!</v>
      </c>
      <c r="CP37" t="e">
        <f>AND('boilerplate specs'!#REF!,"AAAAADRf910=")</f>
        <v>#REF!</v>
      </c>
      <c r="CQ37" t="e">
        <f>AND('boilerplate specs'!#REF!,"AAAAADRf914=")</f>
        <v>#REF!</v>
      </c>
      <c r="CR37" t="e">
        <f>AND('boilerplate specs'!#REF!,"AAAAADRf918=")</f>
        <v>#REF!</v>
      </c>
      <c r="CS37" t="e">
        <f>AND('boilerplate specs'!#REF!,"AAAAADRf92A=")</f>
        <v>#REF!</v>
      </c>
      <c r="CT37" t="e">
        <f>AND('boilerplate specs'!#REF!,"AAAAADRf92E=")</f>
        <v>#REF!</v>
      </c>
      <c r="CU37" t="e">
        <f>AND('boilerplate specs'!#REF!,"AAAAADRf92I=")</f>
        <v>#REF!</v>
      </c>
      <c r="CV37" t="e">
        <f>AND('boilerplate specs'!#REF!,"AAAAADRf92M=")</f>
        <v>#REF!</v>
      </c>
      <c r="CW37" t="e">
        <f>AND('boilerplate specs'!#REF!,"AAAAADRf92Q=")</f>
        <v>#REF!</v>
      </c>
      <c r="CX37" t="e">
        <f>AND('boilerplate specs'!#REF!,"AAAAADRf92U=")</f>
        <v>#REF!</v>
      </c>
      <c r="CY37" t="e">
        <f>AND('boilerplate specs'!#REF!,"AAAAADRf92Y=")</f>
        <v>#REF!</v>
      </c>
      <c r="CZ37">
        <f>IF('boilerplate specs'!222:222,"AAAAADRf92c=",0)</f>
        <v>0</v>
      </c>
      <c r="DA37" t="e">
        <f>AND('boilerplate specs'!A222,"AAAAADRf92g=")</f>
        <v>#VALUE!</v>
      </c>
      <c r="DB37" t="e">
        <f>AND('boilerplate specs'!B222,"AAAAADRf92k=")</f>
        <v>#VALUE!</v>
      </c>
      <c r="DC37" t="e">
        <f>AND('boilerplate specs'!C222,"AAAAADRf92o=")</f>
        <v>#VALUE!</v>
      </c>
      <c r="DD37" t="e">
        <f>AND('boilerplate specs'!D222,"AAAAADRf92s=")</f>
        <v>#VALUE!</v>
      </c>
      <c r="DE37" t="e">
        <f>AND('boilerplate specs'!E222,"AAAAADRf92w=")</f>
        <v>#VALUE!</v>
      </c>
      <c r="DF37" t="e">
        <f>AND('boilerplate specs'!F222,"AAAAADRf920=")</f>
        <v>#VALUE!</v>
      </c>
      <c r="DG37" t="e">
        <f>AND('boilerplate specs'!G222,"AAAAADRf924=")</f>
        <v>#VALUE!</v>
      </c>
      <c r="DH37" t="e">
        <f>AND('boilerplate specs'!H222,"AAAAADRf928=")</f>
        <v>#VALUE!</v>
      </c>
      <c r="DI37" t="e">
        <f>AND('boilerplate specs'!I222,"AAAAADRf93A=")</f>
        <v>#VALUE!</v>
      </c>
      <c r="DJ37" t="e">
        <f>AND('boilerplate specs'!J222,"AAAAADRf93E=")</f>
        <v>#VALUE!</v>
      </c>
      <c r="DK37" t="e">
        <f>AND('boilerplate specs'!#REF!,"AAAAADRf93I=")</f>
        <v>#REF!</v>
      </c>
      <c r="DL37" t="e">
        <f>AND('boilerplate specs'!#REF!,"AAAAADRf93M=")</f>
        <v>#REF!</v>
      </c>
      <c r="DM37" t="e">
        <f>AND('boilerplate specs'!#REF!,"AAAAADRf93Q=")</f>
        <v>#REF!</v>
      </c>
      <c r="DN37" t="e">
        <f>AND('boilerplate specs'!#REF!,"AAAAADRf93U=")</f>
        <v>#REF!</v>
      </c>
      <c r="DO37" t="e">
        <f>AND('boilerplate specs'!#REF!,"AAAAADRf93Y=")</f>
        <v>#REF!</v>
      </c>
      <c r="DP37" t="e">
        <f>AND('boilerplate specs'!#REF!,"AAAAADRf93c=")</f>
        <v>#REF!</v>
      </c>
      <c r="DQ37" t="e">
        <f>AND('boilerplate specs'!#REF!,"AAAAADRf93g=")</f>
        <v>#REF!</v>
      </c>
      <c r="DR37" t="e">
        <f>AND('boilerplate specs'!#REF!,"AAAAADRf93k=")</f>
        <v>#REF!</v>
      </c>
      <c r="DS37" t="e">
        <f>AND('boilerplate specs'!#REF!,"AAAAADRf93o=")</f>
        <v>#REF!</v>
      </c>
      <c r="DT37" t="e">
        <f>AND('boilerplate specs'!#REF!,"AAAAADRf93s=")</f>
        <v>#REF!</v>
      </c>
      <c r="DU37" t="e">
        <f>AND('boilerplate specs'!#REF!,"AAAAADRf93w=")</f>
        <v>#REF!</v>
      </c>
      <c r="DV37" t="e">
        <f>AND('boilerplate specs'!#REF!,"AAAAADRf930=")</f>
        <v>#REF!</v>
      </c>
      <c r="DW37" t="e">
        <f>AND('boilerplate specs'!#REF!,"AAAAADRf934=")</f>
        <v>#REF!</v>
      </c>
      <c r="DX37" t="e">
        <f>AND('boilerplate specs'!#REF!,"AAAAADRf938=")</f>
        <v>#REF!</v>
      </c>
      <c r="DY37" t="e">
        <f>AND('boilerplate specs'!#REF!,"AAAAADRf94A=")</f>
        <v>#REF!</v>
      </c>
      <c r="DZ37" t="e">
        <f>AND('boilerplate specs'!#REF!,"AAAAADRf94E=")</f>
        <v>#REF!</v>
      </c>
      <c r="EA37" t="e">
        <f>AND('boilerplate specs'!#REF!,"AAAAADRf94I=")</f>
        <v>#REF!</v>
      </c>
      <c r="EB37" t="e">
        <f>AND('boilerplate specs'!#REF!,"AAAAADRf94M=")</f>
        <v>#REF!</v>
      </c>
      <c r="EC37" t="e">
        <f>AND('boilerplate specs'!#REF!,"AAAAADRf94Q=")</f>
        <v>#REF!</v>
      </c>
      <c r="ED37" t="e">
        <f>AND('boilerplate specs'!#REF!,"AAAAADRf94U=")</f>
        <v>#REF!</v>
      </c>
      <c r="EE37" t="e">
        <f>AND('boilerplate specs'!#REF!,"AAAAADRf94Y=")</f>
        <v>#REF!</v>
      </c>
      <c r="EF37" t="e">
        <f>AND('boilerplate specs'!#REF!,"AAAAADRf94c=")</f>
        <v>#REF!</v>
      </c>
      <c r="EG37">
        <f>IF('boilerplate specs'!223:223,"AAAAADRf94g=",0)</f>
        <v>0</v>
      </c>
      <c r="EH37" t="e">
        <f>AND('boilerplate specs'!A223,"AAAAADRf94k=")</f>
        <v>#VALUE!</v>
      </c>
      <c r="EI37" t="e">
        <f>AND('boilerplate specs'!B223,"AAAAADRf94o=")</f>
        <v>#VALUE!</v>
      </c>
      <c r="EJ37" t="e">
        <f>AND('boilerplate specs'!C223,"AAAAADRf94s=")</f>
        <v>#VALUE!</v>
      </c>
      <c r="EK37" t="e">
        <f>AND('boilerplate specs'!D223,"AAAAADRf94w=")</f>
        <v>#VALUE!</v>
      </c>
      <c r="EL37" t="e">
        <f>AND('boilerplate specs'!E223,"AAAAADRf940=")</f>
        <v>#VALUE!</v>
      </c>
      <c r="EM37" t="e">
        <f>AND('boilerplate specs'!F223,"AAAAADRf944=")</f>
        <v>#VALUE!</v>
      </c>
      <c r="EN37" t="e">
        <f>AND('boilerplate specs'!G223,"AAAAADRf948=")</f>
        <v>#VALUE!</v>
      </c>
      <c r="EO37" t="e">
        <f>AND('boilerplate specs'!H223,"AAAAADRf95A=")</f>
        <v>#VALUE!</v>
      </c>
      <c r="EP37" t="e">
        <f>AND('boilerplate specs'!I223,"AAAAADRf95E=")</f>
        <v>#VALUE!</v>
      </c>
      <c r="EQ37" t="e">
        <f>AND('boilerplate specs'!J223,"AAAAADRf95I=")</f>
        <v>#VALUE!</v>
      </c>
      <c r="ER37" t="e">
        <f>AND('boilerplate specs'!#REF!,"AAAAADRf95M=")</f>
        <v>#REF!</v>
      </c>
      <c r="ES37" t="e">
        <f>AND('boilerplate specs'!#REF!,"AAAAADRf95Q=")</f>
        <v>#REF!</v>
      </c>
      <c r="ET37" t="e">
        <f>AND('boilerplate specs'!#REF!,"AAAAADRf95U=")</f>
        <v>#REF!</v>
      </c>
      <c r="EU37" t="e">
        <f>AND('boilerplate specs'!#REF!,"AAAAADRf95Y=")</f>
        <v>#REF!</v>
      </c>
      <c r="EV37" t="e">
        <f>AND('boilerplate specs'!#REF!,"AAAAADRf95c=")</f>
        <v>#REF!</v>
      </c>
      <c r="EW37" t="e">
        <f>AND('boilerplate specs'!#REF!,"AAAAADRf95g=")</f>
        <v>#REF!</v>
      </c>
      <c r="EX37" t="e">
        <f>AND('boilerplate specs'!#REF!,"AAAAADRf95k=")</f>
        <v>#REF!</v>
      </c>
      <c r="EY37" t="e">
        <f>AND('boilerplate specs'!#REF!,"AAAAADRf95o=")</f>
        <v>#REF!</v>
      </c>
      <c r="EZ37" t="e">
        <f>AND('boilerplate specs'!#REF!,"AAAAADRf95s=")</f>
        <v>#REF!</v>
      </c>
      <c r="FA37" t="e">
        <f>AND('boilerplate specs'!#REF!,"AAAAADRf95w=")</f>
        <v>#REF!</v>
      </c>
      <c r="FB37" t="e">
        <f>AND('boilerplate specs'!#REF!,"AAAAADRf950=")</f>
        <v>#REF!</v>
      </c>
      <c r="FC37" t="e">
        <f>AND('boilerplate specs'!#REF!,"AAAAADRf954=")</f>
        <v>#REF!</v>
      </c>
      <c r="FD37" t="e">
        <f>AND('boilerplate specs'!#REF!,"AAAAADRf958=")</f>
        <v>#REF!</v>
      </c>
      <c r="FE37" t="e">
        <f>AND('boilerplate specs'!#REF!,"AAAAADRf96A=")</f>
        <v>#REF!</v>
      </c>
      <c r="FF37" t="e">
        <f>AND('boilerplate specs'!#REF!,"AAAAADRf96E=")</f>
        <v>#REF!</v>
      </c>
      <c r="FG37" t="e">
        <f>AND('boilerplate specs'!#REF!,"AAAAADRf96I=")</f>
        <v>#REF!</v>
      </c>
      <c r="FH37" t="e">
        <f>AND('boilerplate specs'!#REF!,"AAAAADRf96M=")</f>
        <v>#REF!</v>
      </c>
      <c r="FI37" t="e">
        <f>AND('boilerplate specs'!#REF!,"AAAAADRf96Q=")</f>
        <v>#REF!</v>
      </c>
      <c r="FJ37" t="e">
        <f>AND('boilerplate specs'!#REF!,"AAAAADRf96U=")</f>
        <v>#REF!</v>
      </c>
      <c r="FK37" t="e">
        <f>AND('boilerplate specs'!#REF!,"AAAAADRf96Y=")</f>
        <v>#REF!</v>
      </c>
      <c r="FL37" t="e">
        <f>AND('boilerplate specs'!#REF!,"AAAAADRf96c=")</f>
        <v>#REF!</v>
      </c>
      <c r="FM37" t="e">
        <f>AND('boilerplate specs'!#REF!,"AAAAADRf96g=")</f>
        <v>#REF!</v>
      </c>
      <c r="FN37">
        <f>IF('boilerplate specs'!224:224,"AAAAADRf96k=",0)</f>
        <v>0</v>
      </c>
      <c r="FO37" t="e">
        <f>AND('boilerplate specs'!A224,"AAAAADRf96o=")</f>
        <v>#VALUE!</v>
      </c>
      <c r="FP37" t="e">
        <f>AND('boilerplate specs'!B224,"AAAAADRf96s=")</f>
        <v>#VALUE!</v>
      </c>
      <c r="FQ37" t="e">
        <f>AND('boilerplate specs'!C224,"AAAAADRf96w=")</f>
        <v>#VALUE!</v>
      </c>
      <c r="FR37" t="e">
        <f>AND('boilerplate specs'!D224,"AAAAADRf960=")</f>
        <v>#VALUE!</v>
      </c>
      <c r="FS37" t="e">
        <f>AND('boilerplate specs'!E224,"AAAAADRf964=")</f>
        <v>#VALUE!</v>
      </c>
      <c r="FT37" t="e">
        <f>AND('boilerplate specs'!F224,"AAAAADRf968=")</f>
        <v>#VALUE!</v>
      </c>
      <c r="FU37" t="e">
        <f>AND('boilerplate specs'!G224,"AAAAADRf97A=")</f>
        <v>#VALUE!</v>
      </c>
      <c r="FV37" t="e">
        <f>AND('boilerplate specs'!H224,"AAAAADRf97E=")</f>
        <v>#VALUE!</v>
      </c>
      <c r="FW37" t="e">
        <f>AND('boilerplate specs'!I224,"AAAAADRf97I=")</f>
        <v>#VALUE!</v>
      </c>
      <c r="FX37" t="e">
        <f>AND('boilerplate specs'!J224,"AAAAADRf97M=")</f>
        <v>#VALUE!</v>
      </c>
      <c r="FY37" t="e">
        <f>AND('boilerplate specs'!#REF!,"AAAAADRf97Q=")</f>
        <v>#REF!</v>
      </c>
      <c r="FZ37" t="e">
        <f>AND('boilerplate specs'!#REF!,"AAAAADRf97U=")</f>
        <v>#REF!</v>
      </c>
      <c r="GA37" t="e">
        <f>AND('boilerplate specs'!#REF!,"AAAAADRf97Y=")</f>
        <v>#REF!</v>
      </c>
      <c r="GB37" t="e">
        <f>AND('boilerplate specs'!#REF!,"AAAAADRf97c=")</f>
        <v>#REF!</v>
      </c>
      <c r="GC37" t="e">
        <f>AND('boilerplate specs'!#REF!,"AAAAADRf97g=")</f>
        <v>#REF!</v>
      </c>
      <c r="GD37" t="e">
        <f>AND('boilerplate specs'!#REF!,"AAAAADRf97k=")</f>
        <v>#REF!</v>
      </c>
      <c r="GE37" t="e">
        <f>AND('boilerplate specs'!#REF!,"AAAAADRf97o=")</f>
        <v>#REF!</v>
      </c>
      <c r="GF37" t="e">
        <f>AND('boilerplate specs'!#REF!,"AAAAADRf97s=")</f>
        <v>#REF!</v>
      </c>
      <c r="GG37" t="e">
        <f>AND('boilerplate specs'!#REF!,"AAAAADRf97w=")</f>
        <v>#REF!</v>
      </c>
      <c r="GH37" t="e">
        <f>AND('boilerplate specs'!#REF!,"AAAAADRf970=")</f>
        <v>#REF!</v>
      </c>
      <c r="GI37" t="e">
        <f>AND('boilerplate specs'!#REF!,"AAAAADRf974=")</f>
        <v>#REF!</v>
      </c>
      <c r="GJ37" t="e">
        <f>AND('boilerplate specs'!#REF!,"AAAAADRf978=")</f>
        <v>#REF!</v>
      </c>
      <c r="GK37" t="e">
        <f>AND('boilerplate specs'!#REF!,"AAAAADRf98A=")</f>
        <v>#REF!</v>
      </c>
      <c r="GL37" t="e">
        <f>AND('boilerplate specs'!#REF!,"AAAAADRf98E=")</f>
        <v>#REF!</v>
      </c>
      <c r="GM37" t="e">
        <f>AND('boilerplate specs'!#REF!,"AAAAADRf98I=")</f>
        <v>#REF!</v>
      </c>
      <c r="GN37" t="e">
        <f>AND('boilerplate specs'!#REF!,"AAAAADRf98M=")</f>
        <v>#REF!</v>
      </c>
      <c r="GO37" t="e">
        <f>AND('boilerplate specs'!#REF!,"AAAAADRf98Q=")</f>
        <v>#REF!</v>
      </c>
      <c r="GP37" t="e">
        <f>AND('boilerplate specs'!#REF!,"AAAAADRf98U=")</f>
        <v>#REF!</v>
      </c>
      <c r="GQ37" t="e">
        <f>AND('boilerplate specs'!#REF!,"AAAAADRf98Y=")</f>
        <v>#REF!</v>
      </c>
      <c r="GR37" t="e">
        <f>AND('boilerplate specs'!#REF!,"AAAAADRf98c=")</f>
        <v>#REF!</v>
      </c>
      <c r="GS37" t="e">
        <f>AND('boilerplate specs'!#REF!,"AAAAADRf98g=")</f>
        <v>#REF!</v>
      </c>
      <c r="GT37" t="e">
        <f>AND('boilerplate specs'!#REF!,"AAAAADRf98k=")</f>
        <v>#REF!</v>
      </c>
      <c r="GU37">
        <f>IF('boilerplate specs'!225:225,"AAAAADRf98o=",0)</f>
        <v>0</v>
      </c>
      <c r="GV37" t="e">
        <f>AND('boilerplate specs'!A225,"AAAAADRf98s=")</f>
        <v>#VALUE!</v>
      </c>
      <c r="GW37" t="e">
        <f>AND('boilerplate specs'!B225,"AAAAADRf98w=")</f>
        <v>#VALUE!</v>
      </c>
      <c r="GX37" t="e">
        <f>AND('boilerplate specs'!C225,"AAAAADRf980=")</f>
        <v>#VALUE!</v>
      </c>
      <c r="GY37" t="e">
        <f>AND('boilerplate specs'!D225,"AAAAADRf984=")</f>
        <v>#VALUE!</v>
      </c>
      <c r="GZ37" t="e">
        <f>AND('boilerplate specs'!E225,"AAAAADRf988=")</f>
        <v>#VALUE!</v>
      </c>
      <c r="HA37" t="e">
        <f>AND('boilerplate specs'!F225,"AAAAADRf99A=")</f>
        <v>#VALUE!</v>
      </c>
      <c r="HB37" t="e">
        <f>AND('boilerplate specs'!G225,"AAAAADRf99E=")</f>
        <v>#VALUE!</v>
      </c>
      <c r="HC37" t="e">
        <f>AND('boilerplate specs'!H225,"AAAAADRf99I=")</f>
        <v>#VALUE!</v>
      </c>
      <c r="HD37" t="e">
        <f>AND('boilerplate specs'!I225,"AAAAADRf99M=")</f>
        <v>#VALUE!</v>
      </c>
      <c r="HE37" t="e">
        <f>AND('boilerplate specs'!J225,"AAAAADRf99Q=")</f>
        <v>#VALUE!</v>
      </c>
      <c r="HF37" t="e">
        <f>AND('boilerplate specs'!#REF!,"AAAAADRf99U=")</f>
        <v>#REF!</v>
      </c>
      <c r="HG37" t="e">
        <f>AND('boilerplate specs'!#REF!,"AAAAADRf99Y=")</f>
        <v>#REF!</v>
      </c>
      <c r="HH37" t="e">
        <f>AND('boilerplate specs'!#REF!,"AAAAADRf99c=")</f>
        <v>#REF!</v>
      </c>
      <c r="HI37" t="e">
        <f>AND('boilerplate specs'!#REF!,"AAAAADRf99g=")</f>
        <v>#REF!</v>
      </c>
      <c r="HJ37" t="e">
        <f>AND('boilerplate specs'!#REF!,"AAAAADRf99k=")</f>
        <v>#REF!</v>
      </c>
      <c r="HK37" t="e">
        <f>AND('boilerplate specs'!#REF!,"AAAAADRf99o=")</f>
        <v>#REF!</v>
      </c>
      <c r="HL37" t="e">
        <f>AND('boilerplate specs'!#REF!,"AAAAADRf99s=")</f>
        <v>#REF!</v>
      </c>
      <c r="HM37" t="e">
        <f>AND('boilerplate specs'!#REF!,"AAAAADRf99w=")</f>
        <v>#REF!</v>
      </c>
      <c r="HN37" t="e">
        <f>AND('boilerplate specs'!#REF!,"AAAAADRf990=")</f>
        <v>#REF!</v>
      </c>
      <c r="HO37" t="e">
        <f>AND('boilerplate specs'!#REF!,"AAAAADRf994=")</f>
        <v>#REF!</v>
      </c>
      <c r="HP37" t="e">
        <f>AND('boilerplate specs'!#REF!,"AAAAADRf998=")</f>
        <v>#REF!</v>
      </c>
      <c r="HQ37" t="e">
        <f>AND('boilerplate specs'!#REF!,"AAAAADRf9+A=")</f>
        <v>#REF!</v>
      </c>
      <c r="HR37" t="e">
        <f>AND('boilerplate specs'!#REF!,"AAAAADRf9+E=")</f>
        <v>#REF!</v>
      </c>
      <c r="HS37" t="e">
        <f>AND('boilerplate specs'!#REF!,"AAAAADRf9+I=")</f>
        <v>#REF!</v>
      </c>
      <c r="HT37" t="e">
        <f>AND('boilerplate specs'!#REF!,"AAAAADRf9+M=")</f>
        <v>#REF!</v>
      </c>
      <c r="HU37" t="e">
        <f>AND('boilerplate specs'!#REF!,"AAAAADRf9+Q=")</f>
        <v>#REF!</v>
      </c>
      <c r="HV37" t="e">
        <f>AND('boilerplate specs'!#REF!,"AAAAADRf9+U=")</f>
        <v>#REF!</v>
      </c>
      <c r="HW37" t="e">
        <f>AND('boilerplate specs'!#REF!,"AAAAADRf9+Y=")</f>
        <v>#REF!</v>
      </c>
      <c r="HX37" t="e">
        <f>AND('boilerplate specs'!#REF!,"AAAAADRf9+c=")</f>
        <v>#REF!</v>
      </c>
      <c r="HY37" t="e">
        <f>AND('boilerplate specs'!#REF!,"AAAAADRf9+g=")</f>
        <v>#REF!</v>
      </c>
      <c r="HZ37" t="e">
        <f>AND('boilerplate specs'!#REF!,"AAAAADRf9+k=")</f>
        <v>#REF!</v>
      </c>
      <c r="IA37" t="e">
        <f>AND('boilerplate specs'!#REF!,"AAAAADRf9+o=")</f>
        <v>#REF!</v>
      </c>
      <c r="IB37">
        <f>IF('boilerplate specs'!226:226,"AAAAADRf9+s=",0)</f>
        <v>0</v>
      </c>
      <c r="IC37" t="e">
        <f>AND('boilerplate specs'!A226,"AAAAADRf9+w=")</f>
        <v>#VALUE!</v>
      </c>
      <c r="ID37" t="e">
        <f>AND('boilerplate specs'!B226,"AAAAADRf9+0=")</f>
        <v>#VALUE!</v>
      </c>
      <c r="IE37" t="e">
        <f>AND('boilerplate specs'!C226,"AAAAADRf9+4=")</f>
        <v>#VALUE!</v>
      </c>
      <c r="IF37" t="e">
        <f>AND('boilerplate specs'!D226,"AAAAADRf9+8=")</f>
        <v>#VALUE!</v>
      </c>
      <c r="IG37" t="e">
        <f>AND('boilerplate specs'!E226,"AAAAADRf9/A=")</f>
        <v>#VALUE!</v>
      </c>
      <c r="IH37" t="e">
        <f>AND('boilerplate specs'!F226,"AAAAADRf9/E=")</f>
        <v>#VALUE!</v>
      </c>
      <c r="II37" t="e">
        <f>AND('boilerplate specs'!G226,"AAAAADRf9/I=")</f>
        <v>#VALUE!</v>
      </c>
      <c r="IJ37" t="e">
        <f>AND('boilerplate specs'!H226,"AAAAADRf9/M=")</f>
        <v>#VALUE!</v>
      </c>
      <c r="IK37" t="e">
        <f>AND('boilerplate specs'!I226,"AAAAADRf9/Q=")</f>
        <v>#VALUE!</v>
      </c>
      <c r="IL37" t="e">
        <f>AND('boilerplate specs'!J226,"AAAAADRf9/U=")</f>
        <v>#VALUE!</v>
      </c>
      <c r="IM37" t="e">
        <f>AND('boilerplate specs'!#REF!,"AAAAADRf9/Y=")</f>
        <v>#REF!</v>
      </c>
      <c r="IN37" t="e">
        <f>AND('boilerplate specs'!#REF!,"AAAAADRf9/c=")</f>
        <v>#REF!</v>
      </c>
      <c r="IO37" t="e">
        <f>AND('boilerplate specs'!#REF!,"AAAAADRf9/g=")</f>
        <v>#REF!</v>
      </c>
      <c r="IP37" t="e">
        <f>AND('boilerplate specs'!#REF!,"AAAAADRf9/k=")</f>
        <v>#REF!</v>
      </c>
      <c r="IQ37" t="e">
        <f>AND('boilerplate specs'!#REF!,"AAAAADRf9/o=")</f>
        <v>#REF!</v>
      </c>
      <c r="IR37" t="e">
        <f>AND('boilerplate specs'!#REF!,"AAAAADRf9/s=")</f>
        <v>#REF!</v>
      </c>
      <c r="IS37" t="e">
        <f>AND('boilerplate specs'!#REF!,"AAAAADRf9/w=")</f>
        <v>#REF!</v>
      </c>
      <c r="IT37" t="e">
        <f>AND('boilerplate specs'!#REF!,"AAAAADRf9/0=")</f>
        <v>#REF!</v>
      </c>
      <c r="IU37" t="e">
        <f>AND('boilerplate specs'!#REF!,"AAAAADRf9/4=")</f>
        <v>#REF!</v>
      </c>
      <c r="IV37" t="e">
        <f>AND('boilerplate specs'!#REF!,"AAAAADRf9/8=")</f>
        <v>#REF!</v>
      </c>
    </row>
    <row r="38" spans="1:256" x14ac:dyDescent="0.35">
      <c r="A38" t="e">
        <f>AND('boilerplate specs'!#REF!,"AAAAAHSN/wA=")</f>
        <v>#REF!</v>
      </c>
      <c r="B38" t="e">
        <f>AND('boilerplate specs'!#REF!,"AAAAAHSN/wE=")</f>
        <v>#REF!</v>
      </c>
      <c r="C38" t="e">
        <f>AND('boilerplate specs'!#REF!,"AAAAAHSN/wI=")</f>
        <v>#REF!</v>
      </c>
      <c r="D38" t="e">
        <f>AND('boilerplate specs'!#REF!,"AAAAAHSN/wM=")</f>
        <v>#REF!</v>
      </c>
      <c r="E38" t="e">
        <f>AND('boilerplate specs'!#REF!,"AAAAAHSN/wQ=")</f>
        <v>#REF!</v>
      </c>
      <c r="F38" t="e">
        <f>AND('boilerplate specs'!#REF!,"AAAAAHSN/wU=")</f>
        <v>#REF!</v>
      </c>
      <c r="G38" t="e">
        <f>AND('boilerplate specs'!#REF!,"AAAAAHSN/wY=")</f>
        <v>#REF!</v>
      </c>
      <c r="H38" t="e">
        <f>AND('boilerplate specs'!#REF!,"AAAAAHSN/wc=")</f>
        <v>#REF!</v>
      </c>
      <c r="I38" t="e">
        <f>AND('boilerplate specs'!#REF!,"AAAAAHSN/wg=")</f>
        <v>#REF!</v>
      </c>
      <c r="J38" t="e">
        <f>AND('boilerplate specs'!#REF!,"AAAAAHSN/wk=")</f>
        <v>#REF!</v>
      </c>
      <c r="K38" t="e">
        <f>AND('boilerplate specs'!#REF!,"AAAAAHSN/wo=")</f>
        <v>#REF!</v>
      </c>
      <c r="L38" t="e">
        <f>AND('boilerplate specs'!#REF!,"AAAAAHSN/ws=")</f>
        <v>#REF!</v>
      </c>
      <c r="M38">
        <f>IF('boilerplate specs'!227:227,"AAAAAHSN/ww=",0)</f>
        <v>0</v>
      </c>
      <c r="N38" t="e">
        <f>AND('boilerplate specs'!A227,"AAAAAHSN/w0=")</f>
        <v>#VALUE!</v>
      </c>
      <c r="O38" t="e">
        <f>AND('boilerplate specs'!B227,"AAAAAHSN/w4=")</f>
        <v>#VALUE!</v>
      </c>
      <c r="P38" t="e">
        <f>AND('boilerplate specs'!C227,"AAAAAHSN/w8=")</f>
        <v>#VALUE!</v>
      </c>
      <c r="Q38" t="e">
        <f>AND('boilerplate specs'!D227,"AAAAAHSN/xA=")</f>
        <v>#VALUE!</v>
      </c>
      <c r="R38" t="e">
        <f>AND('boilerplate specs'!E227,"AAAAAHSN/xE=")</f>
        <v>#VALUE!</v>
      </c>
      <c r="S38" t="e">
        <f>AND('boilerplate specs'!F227,"AAAAAHSN/xI=")</f>
        <v>#VALUE!</v>
      </c>
      <c r="T38" t="e">
        <f>AND('boilerplate specs'!G227,"AAAAAHSN/xM=")</f>
        <v>#VALUE!</v>
      </c>
      <c r="U38" t="e">
        <f>AND('boilerplate specs'!H227,"AAAAAHSN/xQ=")</f>
        <v>#VALUE!</v>
      </c>
      <c r="V38" t="e">
        <f>AND('boilerplate specs'!I227,"AAAAAHSN/xU=")</f>
        <v>#VALUE!</v>
      </c>
      <c r="W38" t="e">
        <f>AND('boilerplate specs'!J227,"AAAAAHSN/xY=")</f>
        <v>#VALUE!</v>
      </c>
      <c r="X38" t="e">
        <f>AND('boilerplate specs'!#REF!,"AAAAAHSN/xc=")</f>
        <v>#REF!</v>
      </c>
      <c r="Y38" t="e">
        <f>AND('boilerplate specs'!#REF!,"AAAAAHSN/xg=")</f>
        <v>#REF!</v>
      </c>
      <c r="Z38" t="e">
        <f>AND('boilerplate specs'!#REF!,"AAAAAHSN/xk=")</f>
        <v>#REF!</v>
      </c>
      <c r="AA38" t="e">
        <f>AND('boilerplate specs'!#REF!,"AAAAAHSN/xo=")</f>
        <v>#REF!</v>
      </c>
      <c r="AB38" t="e">
        <f>AND('boilerplate specs'!#REF!,"AAAAAHSN/xs=")</f>
        <v>#REF!</v>
      </c>
      <c r="AC38" t="e">
        <f>AND('boilerplate specs'!#REF!,"AAAAAHSN/xw=")</f>
        <v>#REF!</v>
      </c>
      <c r="AD38" t="e">
        <f>AND('boilerplate specs'!#REF!,"AAAAAHSN/x0=")</f>
        <v>#REF!</v>
      </c>
      <c r="AE38" t="e">
        <f>AND('boilerplate specs'!#REF!,"AAAAAHSN/x4=")</f>
        <v>#REF!</v>
      </c>
      <c r="AF38" t="e">
        <f>AND('boilerplate specs'!#REF!,"AAAAAHSN/x8=")</f>
        <v>#REF!</v>
      </c>
      <c r="AG38" t="e">
        <f>AND('boilerplate specs'!#REF!,"AAAAAHSN/yA=")</f>
        <v>#REF!</v>
      </c>
      <c r="AH38" t="e">
        <f>AND('boilerplate specs'!#REF!,"AAAAAHSN/yE=")</f>
        <v>#REF!</v>
      </c>
      <c r="AI38" t="e">
        <f>AND('boilerplate specs'!#REF!,"AAAAAHSN/yI=")</f>
        <v>#REF!</v>
      </c>
      <c r="AJ38" t="e">
        <f>AND('boilerplate specs'!#REF!,"AAAAAHSN/yM=")</f>
        <v>#REF!</v>
      </c>
      <c r="AK38" t="e">
        <f>AND('boilerplate specs'!#REF!,"AAAAAHSN/yQ=")</f>
        <v>#REF!</v>
      </c>
      <c r="AL38" t="e">
        <f>AND('boilerplate specs'!#REF!,"AAAAAHSN/yU=")</f>
        <v>#REF!</v>
      </c>
      <c r="AM38" t="e">
        <f>AND('boilerplate specs'!#REF!,"AAAAAHSN/yY=")</f>
        <v>#REF!</v>
      </c>
      <c r="AN38" t="e">
        <f>AND('boilerplate specs'!#REF!,"AAAAAHSN/yc=")</f>
        <v>#REF!</v>
      </c>
      <c r="AO38" t="e">
        <f>AND('boilerplate specs'!#REF!,"AAAAAHSN/yg=")</f>
        <v>#REF!</v>
      </c>
      <c r="AP38" t="e">
        <f>AND('boilerplate specs'!#REF!,"AAAAAHSN/yk=")</f>
        <v>#REF!</v>
      </c>
      <c r="AQ38" t="e">
        <f>AND('boilerplate specs'!#REF!,"AAAAAHSN/yo=")</f>
        <v>#REF!</v>
      </c>
      <c r="AR38" t="e">
        <f>AND('boilerplate specs'!#REF!,"AAAAAHSN/ys=")</f>
        <v>#REF!</v>
      </c>
      <c r="AS38" t="e">
        <f>AND('boilerplate specs'!#REF!,"AAAAAHSN/yw=")</f>
        <v>#REF!</v>
      </c>
      <c r="AT38">
        <f>IF('boilerplate specs'!228:228,"AAAAAHSN/y0=",0)</f>
        <v>0</v>
      </c>
      <c r="AU38" t="e">
        <f>AND('boilerplate specs'!A228,"AAAAAHSN/y4=")</f>
        <v>#VALUE!</v>
      </c>
      <c r="AV38" t="e">
        <f>AND('boilerplate specs'!B228,"AAAAAHSN/y8=")</f>
        <v>#VALUE!</v>
      </c>
      <c r="AW38" t="e">
        <f>AND('boilerplate specs'!C228,"AAAAAHSN/zA=")</f>
        <v>#VALUE!</v>
      </c>
      <c r="AX38" t="e">
        <f>AND('boilerplate specs'!D228,"AAAAAHSN/zE=")</f>
        <v>#VALUE!</v>
      </c>
      <c r="AY38" t="e">
        <f>AND('boilerplate specs'!E228,"AAAAAHSN/zI=")</f>
        <v>#VALUE!</v>
      </c>
      <c r="AZ38" t="e">
        <f>AND('boilerplate specs'!F228,"AAAAAHSN/zM=")</f>
        <v>#VALUE!</v>
      </c>
      <c r="BA38" t="e">
        <f>AND('boilerplate specs'!G228,"AAAAAHSN/zQ=")</f>
        <v>#VALUE!</v>
      </c>
      <c r="BB38" t="e">
        <f>AND('boilerplate specs'!H228,"AAAAAHSN/zU=")</f>
        <v>#VALUE!</v>
      </c>
      <c r="BC38" t="e">
        <f>AND('boilerplate specs'!I228,"AAAAAHSN/zY=")</f>
        <v>#VALUE!</v>
      </c>
      <c r="BD38" t="e">
        <f>AND('boilerplate specs'!J228,"AAAAAHSN/zc=")</f>
        <v>#VALUE!</v>
      </c>
      <c r="BE38" t="e">
        <f>AND('boilerplate specs'!#REF!,"AAAAAHSN/zg=")</f>
        <v>#REF!</v>
      </c>
      <c r="BF38" t="e">
        <f>AND('boilerplate specs'!#REF!,"AAAAAHSN/zk=")</f>
        <v>#REF!</v>
      </c>
      <c r="BG38" t="e">
        <f>AND('boilerplate specs'!#REF!,"AAAAAHSN/zo=")</f>
        <v>#REF!</v>
      </c>
      <c r="BH38" t="e">
        <f>AND('boilerplate specs'!#REF!,"AAAAAHSN/zs=")</f>
        <v>#REF!</v>
      </c>
      <c r="BI38" t="e">
        <f>AND('boilerplate specs'!#REF!,"AAAAAHSN/zw=")</f>
        <v>#REF!</v>
      </c>
      <c r="BJ38" t="e">
        <f>AND('boilerplate specs'!#REF!,"AAAAAHSN/z0=")</f>
        <v>#REF!</v>
      </c>
      <c r="BK38" t="e">
        <f>AND('boilerplate specs'!#REF!,"AAAAAHSN/z4=")</f>
        <v>#REF!</v>
      </c>
      <c r="BL38" t="e">
        <f>AND('boilerplate specs'!#REF!,"AAAAAHSN/z8=")</f>
        <v>#REF!</v>
      </c>
      <c r="BM38" t="e">
        <f>AND('boilerplate specs'!#REF!,"AAAAAHSN/0A=")</f>
        <v>#REF!</v>
      </c>
      <c r="BN38" t="e">
        <f>AND('boilerplate specs'!#REF!,"AAAAAHSN/0E=")</f>
        <v>#REF!</v>
      </c>
      <c r="BO38" t="e">
        <f>AND('boilerplate specs'!#REF!,"AAAAAHSN/0I=")</f>
        <v>#REF!</v>
      </c>
      <c r="BP38" t="e">
        <f>AND('boilerplate specs'!#REF!,"AAAAAHSN/0M=")</f>
        <v>#REF!</v>
      </c>
      <c r="BQ38" t="e">
        <f>AND('boilerplate specs'!#REF!,"AAAAAHSN/0Q=")</f>
        <v>#REF!</v>
      </c>
      <c r="BR38" t="e">
        <f>AND('boilerplate specs'!#REF!,"AAAAAHSN/0U=")</f>
        <v>#REF!</v>
      </c>
      <c r="BS38" t="e">
        <f>AND('boilerplate specs'!#REF!,"AAAAAHSN/0Y=")</f>
        <v>#REF!</v>
      </c>
      <c r="BT38" t="e">
        <f>AND('boilerplate specs'!#REF!,"AAAAAHSN/0c=")</f>
        <v>#REF!</v>
      </c>
      <c r="BU38" t="e">
        <f>AND('boilerplate specs'!#REF!,"AAAAAHSN/0g=")</f>
        <v>#REF!</v>
      </c>
      <c r="BV38" t="e">
        <f>AND('boilerplate specs'!#REF!,"AAAAAHSN/0k=")</f>
        <v>#REF!</v>
      </c>
      <c r="BW38" t="e">
        <f>AND('boilerplate specs'!#REF!,"AAAAAHSN/0o=")</f>
        <v>#REF!</v>
      </c>
      <c r="BX38" t="e">
        <f>AND('boilerplate specs'!#REF!,"AAAAAHSN/0s=")</f>
        <v>#REF!</v>
      </c>
      <c r="BY38" t="e">
        <f>AND('boilerplate specs'!#REF!,"AAAAAHSN/0w=")</f>
        <v>#REF!</v>
      </c>
      <c r="BZ38" t="e">
        <f>AND('boilerplate specs'!#REF!,"AAAAAHSN/00=")</f>
        <v>#REF!</v>
      </c>
      <c r="CA38">
        <f>IF('boilerplate specs'!229:229,"AAAAAHSN/04=",0)</f>
        <v>0</v>
      </c>
      <c r="CB38" t="e">
        <f>AND('boilerplate specs'!A229,"AAAAAHSN/08=")</f>
        <v>#VALUE!</v>
      </c>
      <c r="CC38" t="e">
        <f>AND('boilerplate specs'!B229,"AAAAAHSN/1A=")</f>
        <v>#VALUE!</v>
      </c>
      <c r="CD38" t="e">
        <f>AND('boilerplate specs'!C229,"AAAAAHSN/1E=")</f>
        <v>#VALUE!</v>
      </c>
      <c r="CE38" t="e">
        <f>AND('boilerplate specs'!D229,"AAAAAHSN/1I=")</f>
        <v>#VALUE!</v>
      </c>
      <c r="CF38" t="e">
        <f>AND('boilerplate specs'!E229,"AAAAAHSN/1M=")</f>
        <v>#VALUE!</v>
      </c>
      <c r="CG38" t="e">
        <f>AND('boilerplate specs'!F229,"AAAAAHSN/1Q=")</f>
        <v>#VALUE!</v>
      </c>
      <c r="CH38" t="e">
        <f>AND('boilerplate specs'!G229,"AAAAAHSN/1U=")</f>
        <v>#VALUE!</v>
      </c>
      <c r="CI38" t="e">
        <f>AND('boilerplate specs'!H229,"AAAAAHSN/1Y=")</f>
        <v>#VALUE!</v>
      </c>
      <c r="CJ38" t="e">
        <f>AND('boilerplate specs'!I229,"AAAAAHSN/1c=")</f>
        <v>#VALUE!</v>
      </c>
      <c r="CK38" t="e">
        <f>AND('boilerplate specs'!J229,"AAAAAHSN/1g=")</f>
        <v>#VALUE!</v>
      </c>
      <c r="CL38" t="e">
        <f>AND('boilerplate specs'!#REF!,"AAAAAHSN/1k=")</f>
        <v>#REF!</v>
      </c>
      <c r="CM38" t="e">
        <f>AND('boilerplate specs'!#REF!,"AAAAAHSN/1o=")</f>
        <v>#REF!</v>
      </c>
      <c r="CN38" t="e">
        <f>AND('boilerplate specs'!#REF!,"AAAAAHSN/1s=")</f>
        <v>#REF!</v>
      </c>
      <c r="CO38" t="e">
        <f>AND('boilerplate specs'!#REF!,"AAAAAHSN/1w=")</f>
        <v>#REF!</v>
      </c>
      <c r="CP38" t="e">
        <f>AND('boilerplate specs'!#REF!,"AAAAAHSN/10=")</f>
        <v>#REF!</v>
      </c>
      <c r="CQ38" t="e">
        <f>AND('boilerplate specs'!#REF!,"AAAAAHSN/14=")</f>
        <v>#REF!</v>
      </c>
      <c r="CR38" t="e">
        <f>AND('boilerplate specs'!#REF!,"AAAAAHSN/18=")</f>
        <v>#REF!</v>
      </c>
      <c r="CS38" t="e">
        <f>AND('boilerplate specs'!#REF!,"AAAAAHSN/2A=")</f>
        <v>#REF!</v>
      </c>
      <c r="CT38" t="e">
        <f>AND('boilerplate specs'!#REF!,"AAAAAHSN/2E=")</f>
        <v>#REF!</v>
      </c>
      <c r="CU38" t="e">
        <f>AND('boilerplate specs'!#REF!,"AAAAAHSN/2I=")</f>
        <v>#REF!</v>
      </c>
      <c r="CV38" t="e">
        <f>AND('boilerplate specs'!#REF!,"AAAAAHSN/2M=")</f>
        <v>#REF!</v>
      </c>
      <c r="CW38" t="e">
        <f>AND('boilerplate specs'!#REF!,"AAAAAHSN/2Q=")</f>
        <v>#REF!</v>
      </c>
      <c r="CX38" t="e">
        <f>AND('boilerplate specs'!#REF!,"AAAAAHSN/2U=")</f>
        <v>#REF!</v>
      </c>
      <c r="CY38" t="e">
        <f>AND('boilerplate specs'!#REF!,"AAAAAHSN/2Y=")</f>
        <v>#REF!</v>
      </c>
      <c r="CZ38" t="e">
        <f>AND('boilerplate specs'!#REF!,"AAAAAHSN/2c=")</f>
        <v>#REF!</v>
      </c>
      <c r="DA38" t="e">
        <f>AND('boilerplate specs'!#REF!,"AAAAAHSN/2g=")</f>
        <v>#REF!</v>
      </c>
      <c r="DB38" t="e">
        <f>AND('boilerplate specs'!#REF!,"AAAAAHSN/2k=")</f>
        <v>#REF!</v>
      </c>
      <c r="DC38" t="e">
        <f>AND('boilerplate specs'!#REF!,"AAAAAHSN/2o=")</f>
        <v>#REF!</v>
      </c>
      <c r="DD38" t="e">
        <f>AND('boilerplate specs'!#REF!,"AAAAAHSN/2s=")</f>
        <v>#REF!</v>
      </c>
      <c r="DE38" t="e">
        <f>AND('boilerplate specs'!#REF!,"AAAAAHSN/2w=")</f>
        <v>#REF!</v>
      </c>
      <c r="DF38" t="e">
        <f>AND('boilerplate specs'!#REF!,"AAAAAHSN/20=")</f>
        <v>#REF!</v>
      </c>
      <c r="DG38" t="e">
        <f>AND('boilerplate specs'!#REF!,"AAAAAHSN/24=")</f>
        <v>#REF!</v>
      </c>
      <c r="DH38">
        <f>IF('boilerplate specs'!230:230,"AAAAAHSN/28=",0)</f>
        <v>0</v>
      </c>
      <c r="DI38" t="e">
        <f>AND('boilerplate specs'!A230,"AAAAAHSN/3A=")</f>
        <v>#VALUE!</v>
      </c>
      <c r="DJ38" t="e">
        <f>AND('boilerplate specs'!B230,"AAAAAHSN/3E=")</f>
        <v>#VALUE!</v>
      </c>
      <c r="DK38" t="e">
        <f>AND('boilerplate specs'!C230,"AAAAAHSN/3I=")</f>
        <v>#VALUE!</v>
      </c>
      <c r="DL38" t="e">
        <f>AND('boilerplate specs'!D230,"AAAAAHSN/3M=")</f>
        <v>#VALUE!</v>
      </c>
      <c r="DM38" t="e">
        <f>AND('boilerplate specs'!E230,"AAAAAHSN/3Q=")</f>
        <v>#VALUE!</v>
      </c>
      <c r="DN38" t="e">
        <f>AND('boilerplate specs'!F230,"AAAAAHSN/3U=")</f>
        <v>#VALUE!</v>
      </c>
      <c r="DO38" t="e">
        <f>AND('boilerplate specs'!G230,"AAAAAHSN/3Y=")</f>
        <v>#VALUE!</v>
      </c>
      <c r="DP38" t="e">
        <f>AND('boilerplate specs'!H230,"AAAAAHSN/3c=")</f>
        <v>#VALUE!</v>
      </c>
      <c r="DQ38" t="e">
        <f>AND('boilerplate specs'!I230,"AAAAAHSN/3g=")</f>
        <v>#VALUE!</v>
      </c>
      <c r="DR38" t="e">
        <f>AND('boilerplate specs'!J230,"AAAAAHSN/3k=")</f>
        <v>#VALUE!</v>
      </c>
      <c r="DS38" t="e">
        <f>AND('boilerplate specs'!#REF!,"AAAAAHSN/3o=")</f>
        <v>#REF!</v>
      </c>
      <c r="DT38" t="e">
        <f>AND('boilerplate specs'!#REF!,"AAAAAHSN/3s=")</f>
        <v>#REF!</v>
      </c>
      <c r="DU38" t="e">
        <f>AND('boilerplate specs'!#REF!,"AAAAAHSN/3w=")</f>
        <v>#REF!</v>
      </c>
      <c r="DV38" t="e">
        <f>AND('boilerplate specs'!#REF!,"AAAAAHSN/30=")</f>
        <v>#REF!</v>
      </c>
      <c r="DW38" t="e">
        <f>AND('boilerplate specs'!#REF!,"AAAAAHSN/34=")</f>
        <v>#REF!</v>
      </c>
      <c r="DX38" t="e">
        <f>AND('boilerplate specs'!#REF!,"AAAAAHSN/38=")</f>
        <v>#REF!</v>
      </c>
      <c r="DY38" t="e">
        <f>AND('boilerplate specs'!#REF!,"AAAAAHSN/4A=")</f>
        <v>#REF!</v>
      </c>
      <c r="DZ38" t="e">
        <f>AND('boilerplate specs'!#REF!,"AAAAAHSN/4E=")</f>
        <v>#REF!</v>
      </c>
      <c r="EA38" t="e">
        <f>AND('boilerplate specs'!#REF!,"AAAAAHSN/4I=")</f>
        <v>#REF!</v>
      </c>
      <c r="EB38" t="e">
        <f>AND('boilerplate specs'!#REF!,"AAAAAHSN/4M=")</f>
        <v>#REF!</v>
      </c>
      <c r="EC38" t="e">
        <f>AND('boilerplate specs'!#REF!,"AAAAAHSN/4Q=")</f>
        <v>#REF!</v>
      </c>
      <c r="ED38" t="e">
        <f>AND('boilerplate specs'!#REF!,"AAAAAHSN/4U=")</f>
        <v>#REF!</v>
      </c>
      <c r="EE38" t="e">
        <f>AND('boilerplate specs'!#REF!,"AAAAAHSN/4Y=")</f>
        <v>#REF!</v>
      </c>
      <c r="EF38" t="e">
        <f>AND('boilerplate specs'!#REF!,"AAAAAHSN/4c=")</f>
        <v>#REF!</v>
      </c>
      <c r="EG38" t="e">
        <f>AND('boilerplate specs'!#REF!,"AAAAAHSN/4g=")</f>
        <v>#REF!</v>
      </c>
      <c r="EH38" t="e">
        <f>AND('boilerplate specs'!#REF!,"AAAAAHSN/4k=")</f>
        <v>#REF!</v>
      </c>
      <c r="EI38" t="e">
        <f>AND('boilerplate specs'!#REF!,"AAAAAHSN/4o=")</f>
        <v>#REF!</v>
      </c>
      <c r="EJ38" t="e">
        <f>AND('boilerplate specs'!#REF!,"AAAAAHSN/4s=")</f>
        <v>#REF!</v>
      </c>
      <c r="EK38" t="e">
        <f>AND('boilerplate specs'!#REF!,"AAAAAHSN/4w=")</f>
        <v>#REF!</v>
      </c>
      <c r="EL38" t="e">
        <f>AND('boilerplate specs'!#REF!,"AAAAAHSN/40=")</f>
        <v>#REF!</v>
      </c>
      <c r="EM38" t="e">
        <f>AND('boilerplate specs'!#REF!,"AAAAAHSN/44=")</f>
        <v>#REF!</v>
      </c>
      <c r="EN38" t="e">
        <f>AND('boilerplate specs'!#REF!,"AAAAAHSN/48=")</f>
        <v>#REF!</v>
      </c>
      <c r="EO38">
        <f>IF('boilerplate specs'!231:231,"AAAAAHSN/5A=",0)</f>
        <v>0</v>
      </c>
      <c r="EP38" t="e">
        <f>AND('boilerplate specs'!A231,"AAAAAHSN/5E=")</f>
        <v>#VALUE!</v>
      </c>
      <c r="EQ38" t="e">
        <f>AND('boilerplate specs'!B231,"AAAAAHSN/5I=")</f>
        <v>#VALUE!</v>
      </c>
      <c r="ER38" t="e">
        <f>AND('boilerplate specs'!C231,"AAAAAHSN/5M=")</f>
        <v>#VALUE!</v>
      </c>
      <c r="ES38" t="e">
        <f>AND('boilerplate specs'!D231,"AAAAAHSN/5Q=")</f>
        <v>#VALUE!</v>
      </c>
      <c r="ET38" t="e">
        <f>AND('boilerplate specs'!E231,"AAAAAHSN/5U=")</f>
        <v>#VALUE!</v>
      </c>
      <c r="EU38" t="e">
        <f>AND('boilerplate specs'!F231,"AAAAAHSN/5Y=")</f>
        <v>#VALUE!</v>
      </c>
      <c r="EV38" t="e">
        <f>AND('boilerplate specs'!G231,"AAAAAHSN/5c=")</f>
        <v>#VALUE!</v>
      </c>
      <c r="EW38" t="e">
        <f>AND('boilerplate specs'!H231,"AAAAAHSN/5g=")</f>
        <v>#VALUE!</v>
      </c>
      <c r="EX38" t="e">
        <f>AND('boilerplate specs'!I231,"AAAAAHSN/5k=")</f>
        <v>#VALUE!</v>
      </c>
      <c r="EY38" t="e">
        <f>AND('boilerplate specs'!J231,"AAAAAHSN/5o=")</f>
        <v>#VALUE!</v>
      </c>
      <c r="EZ38" t="e">
        <f>AND('boilerplate specs'!#REF!,"AAAAAHSN/5s=")</f>
        <v>#REF!</v>
      </c>
      <c r="FA38" t="e">
        <f>AND('boilerplate specs'!#REF!,"AAAAAHSN/5w=")</f>
        <v>#REF!</v>
      </c>
      <c r="FB38" t="e">
        <f>AND('boilerplate specs'!#REF!,"AAAAAHSN/50=")</f>
        <v>#REF!</v>
      </c>
      <c r="FC38" t="e">
        <f>AND('boilerplate specs'!#REF!,"AAAAAHSN/54=")</f>
        <v>#REF!</v>
      </c>
      <c r="FD38" t="e">
        <f>AND('boilerplate specs'!#REF!,"AAAAAHSN/58=")</f>
        <v>#REF!</v>
      </c>
      <c r="FE38" t="e">
        <f>AND('boilerplate specs'!#REF!,"AAAAAHSN/6A=")</f>
        <v>#REF!</v>
      </c>
      <c r="FF38" t="e">
        <f>AND('boilerplate specs'!#REF!,"AAAAAHSN/6E=")</f>
        <v>#REF!</v>
      </c>
      <c r="FG38" t="e">
        <f>AND('boilerplate specs'!#REF!,"AAAAAHSN/6I=")</f>
        <v>#REF!</v>
      </c>
      <c r="FH38" t="e">
        <f>AND('boilerplate specs'!#REF!,"AAAAAHSN/6M=")</f>
        <v>#REF!</v>
      </c>
      <c r="FI38" t="e">
        <f>AND('boilerplate specs'!#REF!,"AAAAAHSN/6Q=")</f>
        <v>#REF!</v>
      </c>
      <c r="FJ38" t="e">
        <f>AND('boilerplate specs'!#REF!,"AAAAAHSN/6U=")</f>
        <v>#REF!</v>
      </c>
      <c r="FK38" t="e">
        <f>AND('boilerplate specs'!#REF!,"AAAAAHSN/6Y=")</f>
        <v>#REF!</v>
      </c>
      <c r="FL38" t="e">
        <f>AND('boilerplate specs'!#REF!,"AAAAAHSN/6c=")</f>
        <v>#REF!</v>
      </c>
      <c r="FM38" t="e">
        <f>AND('boilerplate specs'!#REF!,"AAAAAHSN/6g=")</f>
        <v>#REF!</v>
      </c>
      <c r="FN38" t="e">
        <f>AND('boilerplate specs'!#REF!,"AAAAAHSN/6k=")</f>
        <v>#REF!</v>
      </c>
      <c r="FO38" t="e">
        <f>AND('boilerplate specs'!#REF!,"AAAAAHSN/6o=")</f>
        <v>#REF!</v>
      </c>
      <c r="FP38" t="e">
        <f>AND('boilerplate specs'!#REF!,"AAAAAHSN/6s=")</f>
        <v>#REF!</v>
      </c>
      <c r="FQ38" t="e">
        <f>AND('boilerplate specs'!#REF!,"AAAAAHSN/6w=")</f>
        <v>#REF!</v>
      </c>
      <c r="FR38" t="e">
        <f>AND('boilerplate specs'!#REF!,"AAAAAHSN/60=")</f>
        <v>#REF!</v>
      </c>
      <c r="FS38" t="e">
        <f>AND('boilerplate specs'!#REF!,"AAAAAHSN/64=")</f>
        <v>#REF!</v>
      </c>
      <c r="FT38" t="e">
        <f>AND('boilerplate specs'!#REF!,"AAAAAHSN/68=")</f>
        <v>#REF!</v>
      </c>
      <c r="FU38" t="e">
        <f>AND('boilerplate specs'!#REF!,"AAAAAHSN/7A=")</f>
        <v>#REF!</v>
      </c>
      <c r="FV38">
        <f>IF('boilerplate specs'!232:232,"AAAAAHSN/7E=",0)</f>
        <v>0</v>
      </c>
      <c r="FW38" t="e">
        <f>AND('boilerplate specs'!A232,"AAAAAHSN/7I=")</f>
        <v>#VALUE!</v>
      </c>
      <c r="FX38" t="e">
        <f>AND('boilerplate specs'!B232,"AAAAAHSN/7M=")</f>
        <v>#VALUE!</v>
      </c>
      <c r="FY38" t="e">
        <f>AND('boilerplate specs'!C232,"AAAAAHSN/7Q=")</f>
        <v>#VALUE!</v>
      </c>
      <c r="FZ38" t="e">
        <f>AND('boilerplate specs'!D232,"AAAAAHSN/7U=")</f>
        <v>#VALUE!</v>
      </c>
      <c r="GA38" t="e">
        <f>AND('boilerplate specs'!E232,"AAAAAHSN/7Y=")</f>
        <v>#VALUE!</v>
      </c>
      <c r="GB38" t="e">
        <f>AND('boilerplate specs'!F232,"AAAAAHSN/7c=")</f>
        <v>#VALUE!</v>
      </c>
      <c r="GC38" t="e">
        <f>AND('boilerplate specs'!G232,"AAAAAHSN/7g=")</f>
        <v>#VALUE!</v>
      </c>
      <c r="GD38" t="e">
        <f>AND('boilerplate specs'!H232,"AAAAAHSN/7k=")</f>
        <v>#VALUE!</v>
      </c>
      <c r="GE38" t="e">
        <f>AND('boilerplate specs'!I232,"AAAAAHSN/7o=")</f>
        <v>#VALUE!</v>
      </c>
      <c r="GF38" t="e">
        <f>AND('boilerplate specs'!J232,"AAAAAHSN/7s=")</f>
        <v>#VALUE!</v>
      </c>
      <c r="GG38" t="e">
        <f>AND('boilerplate specs'!#REF!,"AAAAAHSN/7w=")</f>
        <v>#REF!</v>
      </c>
      <c r="GH38" t="e">
        <f>AND('boilerplate specs'!#REF!,"AAAAAHSN/70=")</f>
        <v>#REF!</v>
      </c>
      <c r="GI38" t="e">
        <f>AND('boilerplate specs'!#REF!,"AAAAAHSN/74=")</f>
        <v>#REF!</v>
      </c>
      <c r="GJ38" t="e">
        <f>AND('boilerplate specs'!#REF!,"AAAAAHSN/78=")</f>
        <v>#REF!</v>
      </c>
      <c r="GK38" t="e">
        <f>AND('boilerplate specs'!#REF!,"AAAAAHSN/8A=")</f>
        <v>#REF!</v>
      </c>
      <c r="GL38" t="e">
        <f>AND('boilerplate specs'!#REF!,"AAAAAHSN/8E=")</f>
        <v>#REF!</v>
      </c>
      <c r="GM38" t="e">
        <f>AND('boilerplate specs'!#REF!,"AAAAAHSN/8I=")</f>
        <v>#REF!</v>
      </c>
      <c r="GN38" t="e">
        <f>AND('boilerplate specs'!#REF!,"AAAAAHSN/8M=")</f>
        <v>#REF!</v>
      </c>
      <c r="GO38" t="e">
        <f>AND('boilerplate specs'!#REF!,"AAAAAHSN/8Q=")</f>
        <v>#REF!</v>
      </c>
      <c r="GP38" t="e">
        <f>AND('boilerplate specs'!#REF!,"AAAAAHSN/8U=")</f>
        <v>#REF!</v>
      </c>
      <c r="GQ38" t="e">
        <f>AND('boilerplate specs'!#REF!,"AAAAAHSN/8Y=")</f>
        <v>#REF!</v>
      </c>
      <c r="GR38" t="e">
        <f>AND('boilerplate specs'!#REF!,"AAAAAHSN/8c=")</f>
        <v>#REF!</v>
      </c>
      <c r="GS38" t="e">
        <f>AND('boilerplate specs'!#REF!,"AAAAAHSN/8g=")</f>
        <v>#REF!</v>
      </c>
      <c r="GT38" t="e">
        <f>AND('boilerplate specs'!#REF!,"AAAAAHSN/8k=")</f>
        <v>#REF!</v>
      </c>
      <c r="GU38" t="e">
        <f>AND('boilerplate specs'!#REF!,"AAAAAHSN/8o=")</f>
        <v>#REF!</v>
      </c>
      <c r="GV38" t="e">
        <f>AND('boilerplate specs'!#REF!,"AAAAAHSN/8s=")</f>
        <v>#REF!</v>
      </c>
      <c r="GW38" t="e">
        <f>AND('boilerplate specs'!#REF!,"AAAAAHSN/8w=")</f>
        <v>#REF!</v>
      </c>
      <c r="GX38" t="e">
        <f>AND('boilerplate specs'!#REF!,"AAAAAHSN/80=")</f>
        <v>#REF!</v>
      </c>
      <c r="GY38" t="e">
        <f>AND('boilerplate specs'!#REF!,"AAAAAHSN/84=")</f>
        <v>#REF!</v>
      </c>
      <c r="GZ38" t="e">
        <f>AND('boilerplate specs'!#REF!,"AAAAAHSN/88=")</f>
        <v>#REF!</v>
      </c>
      <c r="HA38" t="e">
        <f>AND('boilerplate specs'!#REF!,"AAAAAHSN/9A=")</f>
        <v>#REF!</v>
      </c>
      <c r="HB38" t="e">
        <f>AND('boilerplate specs'!#REF!,"AAAAAHSN/9E=")</f>
        <v>#REF!</v>
      </c>
      <c r="HC38">
        <f>IF('boilerplate specs'!233:233,"AAAAAHSN/9I=",0)</f>
        <v>0</v>
      </c>
      <c r="HD38" t="e">
        <f>AND('boilerplate specs'!A233,"AAAAAHSN/9M=")</f>
        <v>#VALUE!</v>
      </c>
      <c r="HE38" t="e">
        <f>AND('boilerplate specs'!B233,"AAAAAHSN/9Q=")</f>
        <v>#VALUE!</v>
      </c>
      <c r="HF38" t="e">
        <f>AND('boilerplate specs'!C233,"AAAAAHSN/9U=")</f>
        <v>#VALUE!</v>
      </c>
      <c r="HG38" t="e">
        <f>AND('boilerplate specs'!D233,"AAAAAHSN/9Y=")</f>
        <v>#VALUE!</v>
      </c>
      <c r="HH38" t="e">
        <f>AND('boilerplate specs'!E233,"AAAAAHSN/9c=")</f>
        <v>#VALUE!</v>
      </c>
      <c r="HI38" t="e">
        <f>AND('boilerplate specs'!F233,"AAAAAHSN/9g=")</f>
        <v>#VALUE!</v>
      </c>
      <c r="HJ38" t="e">
        <f>AND('boilerplate specs'!G233,"AAAAAHSN/9k=")</f>
        <v>#VALUE!</v>
      </c>
      <c r="HK38" t="e">
        <f>AND('boilerplate specs'!H233,"AAAAAHSN/9o=")</f>
        <v>#VALUE!</v>
      </c>
      <c r="HL38" t="e">
        <f>AND('boilerplate specs'!I233,"AAAAAHSN/9s=")</f>
        <v>#VALUE!</v>
      </c>
      <c r="HM38" t="e">
        <f>AND('boilerplate specs'!J233,"AAAAAHSN/9w=")</f>
        <v>#VALUE!</v>
      </c>
      <c r="HN38" t="e">
        <f>AND('boilerplate specs'!#REF!,"AAAAAHSN/90=")</f>
        <v>#REF!</v>
      </c>
      <c r="HO38" t="e">
        <f>AND('boilerplate specs'!#REF!,"AAAAAHSN/94=")</f>
        <v>#REF!</v>
      </c>
      <c r="HP38" t="e">
        <f>AND('boilerplate specs'!#REF!,"AAAAAHSN/98=")</f>
        <v>#REF!</v>
      </c>
      <c r="HQ38" t="e">
        <f>AND('boilerplate specs'!#REF!,"AAAAAHSN/+A=")</f>
        <v>#REF!</v>
      </c>
      <c r="HR38" t="e">
        <f>AND('boilerplate specs'!#REF!,"AAAAAHSN/+E=")</f>
        <v>#REF!</v>
      </c>
      <c r="HS38" t="e">
        <f>AND('boilerplate specs'!#REF!,"AAAAAHSN/+I=")</f>
        <v>#REF!</v>
      </c>
      <c r="HT38" t="e">
        <f>AND('boilerplate specs'!#REF!,"AAAAAHSN/+M=")</f>
        <v>#REF!</v>
      </c>
      <c r="HU38" t="e">
        <f>AND('boilerplate specs'!#REF!,"AAAAAHSN/+Q=")</f>
        <v>#REF!</v>
      </c>
      <c r="HV38" t="e">
        <f>AND('boilerplate specs'!#REF!,"AAAAAHSN/+U=")</f>
        <v>#REF!</v>
      </c>
      <c r="HW38" t="e">
        <f>AND('boilerplate specs'!#REF!,"AAAAAHSN/+Y=")</f>
        <v>#REF!</v>
      </c>
      <c r="HX38" t="e">
        <f>AND('boilerplate specs'!#REF!,"AAAAAHSN/+c=")</f>
        <v>#REF!</v>
      </c>
      <c r="HY38" t="e">
        <f>AND('boilerplate specs'!#REF!,"AAAAAHSN/+g=")</f>
        <v>#REF!</v>
      </c>
      <c r="HZ38" t="e">
        <f>AND('boilerplate specs'!#REF!,"AAAAAHSN/+k=")</f>
        <v>#REF!</v>
      </c>
      <c r="IA38" t="e">
        <f>AND('boilerplate specs'!#REF!,"AAAAAHSN/+o=")</f>
        <v>#REF!</v>
      </c>
      <c r="IB38" t="e">
        <f>AND('boilerplate specs'!#REF!,"AAAAAHSN/+s=")</f>
        <v>#REF!</v>
      </c>
      <c r="IC38" t="e">
        <f>AND('boilerplate specs'!#REF!,"AAAAAHSN/+w=")</f>
        <v>#REF!</v>
      </c>
      <c r="ID38" t="e">
        <f>AND('boilerplate specs'!#REF!,"AAAAAHSN/+0=")</f>
        <v>#REF!</v>
      </c>
      <c r="IE38" t="e">
        <f>AND('boilerplate specs'!#REF!,"AAAAAHSN/+4=")</f>
        <v>#REF!</v>
      </c>
      <c r="IF38" t="e">
        <f>AND('boilerplate specs'!#REF!,"AAAAAHSN/+8=")</f>
        <v>#REF!</v>
      </c>
      <c r="IG38" t="e">
        <f>AND('boilerplate specs'!#REF!,"AAAAAHSN//A=")</f>
        <v>#REF!</v>
      </c>
      <c r="IH38" t="e">
        <f>AND('boilerplate specs'!#REF!,"AAAAAHSN//E=")</f>
        <v>#REF!</v>
      </c>
      <c r="II38" t="e">
        <f>AND('boilerplate specs'!#REF!,"AAAAAHSN//I=")</f>
        <v>#REF!</v>
      </c>
      <c r="IJ38">
        <f>IF('boilerplate specs'!234:234,"AAAAAHSN//M=",0)</f>
        <v>0</v>
      </c>
      <c r="IK38" t="e">
        <f>AND('boilerplate specs'!A234,"AAAAAHSN//Q=")</f>
        <v>#VALUE!</v>
      </c>
      <c r="IL38" t="e">
        <f>AND('boilerplate specs'!B234,"AAAAAHSN//U=")</f>
        <v>#VALUE!</v>
      </c>
      <c r="IM38" t="e">
        <f>AND('boilerplate specs'!C234,"AAAAAHSN//Y=")</f>
        <v>#VALUE!</v>
      </c>
      <c r="IN38" t="e">
        <f>AND('boilerplate specs'!D234,"AAAAAHSN//c=")</f>
        <v>#VALUE!</v>
      </c>
      <c r="IO38" t="e">
        <f>AND('boilerplate specs'!E234,"AAAAAHSN//g=")</f>
        <v>#VALUE!</v>
      </c>
      <c r="IP38" t="e">
        <f>AND('boilerplate specs'!F234,"AAAAAHSN//k=")</f>
        <v>#VALUE!</v>
      </c>
      <c r="IQ38" t="e">
        <f>AND('boilerplate specs'!G234,"AAAAAHSN//o=")</f>
        <v>#VALUE!</v>
      </c>
      <c r="IR38" t="e">
        <f>AND('boilerplate specs'!H234,"AAAAAHSN//s=")</f>
        <v>#VALUE!</v>
      </c>
      <c r="IS38" t="e">
        <f>AND('boilerplate specs'!I234,"AAAAAHSN//w=")</f>
        <v>#VALUE!</v>
      </c>
      <c r="IT38" t="e">
        <f>AND('boilerplate specs'!J234,"AAAAAHSN//0=")</f>
        <v>#VALUE!</v>
      </c>
      <c r="IU38" t="e">
        <f>AND('boilerplate specs'!#REF!,"AAAAAHSN//4=")</f>
        <v>#REF!</v>
      </c>
      <c r="IV38" t="e">
        <f>AND('boilerplate specs'!#REF!,"AAAAAHSN//8=")</f>
        <v>#REF!</v>
      </c>
    </row>
    <row r="39" spans="1:256" x14ac:dyDescent="0.35">
      <c r="A39" t="e">
        <f>AND('boilerplate specs'!#REF!,"AAAAAAv5/QA=")</f>
        <v>#REF!</v>
      </c>
      <c r="B39" t="e">
        <f>AND('boilerplate specs'!#REF!,"AAAAAAv5/QE=")</f>
        <v>#REF!</v>
      </c>
      <c r="C39" t="e">
        <f>AND('boilerplate specs'!#REF!,"AAAAAAv5/QI=")</f>
        <v>#REF!</v>
      </c>
      <c r="D39" t="e">
        <f>AND('boilerplate specs'!#REF!,"AAAAAAv5/QM=")</f>
        <v>#REF!</v>
      </c>
      <c r="E39" t="e">
        <f>AND('boilerplate specs'!#REF!,"AAAAAAv5/QQ=")</f>
        <v>#REF!</v>
      </c>
      <c r="F39" t="e">
        <f>AND('boilerplate specs'!#REF!,"AAAAAAv5/QU=")</f>
        <v>#REF!</v>
      </c>
      <c r="G39" t="e">
        <f>AND('boilerplate specs'!#REF!,"AAAAAAv5/QY=")</f>
        <v>#REF!</v>
      </c>
      <c r="H39" t="e">
        <f>AND('boilerplate specs'!#REF!,"AAAAAAv5/Qc=")</f>
        <v>#REF!</v>
      </c>
      <c r="I39" t="e">
        <f>AND('boilerplate specs'!#REF!,"AAAAAAv5/Qg=")</f>
        <v>#REF!</v>
      </c>
      <c r="J39" t="e">
        <f>AND('boilerplate specs'!#REF!,"AAAAAAv5/Qk=")</f>
        <v>#REF!</v>
      </c>
      <c r="K39" t="e">
        <f>AND('boilerplate specs'!#REF!,"AAAAAAv5/Qo=")</f>
        <v>#REF!</v>
      </c>
      <c r="L39" t="e">
        <f>AND('boilerplate specs'!#REF!,"AAAAAAv5/Qs=")</f>
        <v>#REF!</v>
      </c>
      <c r="M39" t="e">
        <f>AND('boilerplate specs'!#REF!,"AAAAAAv5/Qw=")</f>
        <v>#REF!</v>
      </c>
      <c r="N39" t="e">
        <f>AND('boilerplate specs'!#REF!,"AAAAAAv5/Q0=")</f>
        <v>#REF!</v>
      </c>
      <c r="O39" t="e">
        <f>AND('boilerplate specs'!#REF!,"AAAAAAv5/Q4=")</f>
        <v>#REF!</v>
      </c>
      <c r="P39" t="e">
        <f>AND('boilerplate specs'!#REF!,"AAAAAAv5/Q8=")</f>
        <v>#REF!</v>
      </c>
      <c r="Q39" t="e">
        <f>AND('boilerplate specs'!#REF!,"AAAAAAv5/RA=")</f>
        <v>#REF!</v>
      </c>
      <c r="R39" t="e">
        <f>AND('boilerplate specs'!#REF!,"AAAAAAv5/RE=")</f>
        <v>#REF!</v>
      </c>
      <c r="S39" t="e">
        <f>AND('boilerplate specs'!#REF!,"AAAAAAv5/RI=")</f>
        <v>#REF!</v>
      </c>
      <c r="T39" t="e">
        <f>AND('boilerplate specs'!#REF!,"AAAAAAv5/RM=")</f>
        <v>#REF!</v>
      </c>
      <c r="U39">
        <f>IF('boilerplate specs'!235:235,"AAAAAAv5/RQ=",0)</f>
        <v>0</v>
      </c>
      <c r="V39" t="e">
        <f>AND('boilerplate specs'!A235,"AAAAAAv5/RU=")</f>
        <v>#VALUE!</v>
      </c>
      <c r="W39" t="e">
        <f>AND('boilerplate specs'!B235,"AAAAAAv5/RY=")</f>
        <v>#VALUE!</v>
      </c>
      <c r="X39" t="e">
        <f>AND('boilerplate specs'!C235,"AAAAAAv5/Rc=")</f>
        <v>#VALUE!</v>
      </c>
      <c r="Y39" t="e">
        <f>AND('boilerplate specs'!D235,"AAAAAAv5/Rg=")</f>
        <v>#VALUE!</v>
      </c>
      <c r="Z39" t="e">
        <f>AND('boilerplate specs'!E235,"AAAAAAv5/Rk=")</f>
        <v>#VALUE!</v>
      </c>
      <c r="AA39" t="e">
        <f>AND('boilerplate specs'!F235,"AAAAAAv5/Ro=")</f>
        <v>#VALUE!</v>
      </c>
      <c r="AB39" t="e">
        <f>AND('boilerplate specs'!G235,"AAAAAAv5/Rs=")</f>
        <v>#VALUE!</v>
      </c>
      <c r="AC39" t="e">
        <f>AND('boilerplate specs'!H235,"AAAAAAv5/Rw=")</f>
        <v>#VALUE!</v>
      </c>
      <c r="AD39" t="e">
        <f>AND('boilerplate specs'!I235,"AAAAAAv5/R0=")</f>
        <v>#VALUE!</v>
      </c>
      <c r="AE39" t="e">
        <f>AND('boilerplate specs'!J235,"AAAAAAv5/R4=")</f>
        <v>#VALUE!</v>
      </c>
      <c r="AF39" t="e">
        <f>AND('boilerplate specs'!#REF!,"AAAAAAv5/R8=")</f>
        <v>#REF!</v>
      </c>
      <c r="AG39" t="e">
        <f>AND('boilerplate specs'!#REF!,"AAAAAAv5/SA=")</f>
        <v>#REF!</v>
      </c>
      <c r="AH39" t="e">
        <f>AND('boilerplate specs'!#REF!,"AAAAAAv5/SE=")</f>
        <v>#REF!</v>
      </c>
      <c r="AI39" t="e">
        <f>AND('boilerplate specs'!#REF!,"AAAAAAv5/SI=")</f>
        <v>#REF!</v>
      </c>
      <c r="AJ39" t="e">
        <f>AND('boilerplate specs'!#REF!,"AAAAAAv5/SM=")</f>
        <v>#REF!</v>
      </c>
      <c r="AK39" t="e">
        <f>AND('boilerplate specs'!#REF!,"AAAAAAv5/SQ=")</f>
        <v>#REF!</v>
      </c>
      <c r="AL39" t="e">
        <f>AND('boilerplate specs'!#REF!,"AAAAAAv5/SU=")</f>
        <v>#REF!</v>
      </c>
      <c r="AM39" t="e">
        <f>AND('boilerplate specs'!#REF!,"AAAAAAv5/SY=")</f>
        <v>#REF!</v>
      </c>
      <c r="AN39" t="e">
        <f>AND('boilerplate specs'!#REF!,"AAAAAAv5/Sc=")</f>
        <v>#REF!</v>
      </c>
      <c r="AO39" t="e">
        <f>AND('boilerplate specs'!#REF!,"AAAAAAv5/Sg=")</f>
        <v>#REF!</v>
      </c>
      <c r="AP39" t="e">
        <f>AND('boilerplate specs'!#REF!,"AAAAAAv5/Sk=")</f>
        <v>#REF!</v>
      </c>
      <c r="AQ39" t="e">
        <f>AND('boilerplate specs'!#REF!,"AAAAAAv5/So=")</f>
        <v>#REF!</v>
      </c>
      <c r="AR39" t="e">
        <f>AND('boilerplate specs'!#REF!,"AAAAAAv5/Ss=")</f>
        <v>#REF!</v>
      </c>
      <c r="AS39" t="e">
        <f>AND('boilerplate specs'!#REF!,"AAAAAAv5/Sw=")</f>
        <v>#REF!</v>
      </c>
      <c r="AT39" t="e">
        <f>AND('boilerplate specs'!#REF!,"AAAAAAv5/S0=")</f>
        <v>#REF!</v>
      </c>
      <c r="AU39" t="e">
        <f>AND('boilerplate specs'!#REF!,"AAAAAAv5/S4=")</f>
        <v>#REF!</v>
      </c>
      <c r="AV39" t="e">
        <f>AND('boilerplate specs'!#REF!,"AAAAAAv5/S8=")</f>
        <v>#REF!</v>
      </c>
      <c r="AW39" t="e">
        <f>AND('boilerplate specs'!#REF!,"AAAAAAv5/TA=")</f>
        <v>#REF!</v>
      </c>
      <c r="AX39" t="e">
        <f>AND('boilerplate specs'!#REF!,"AAAAAAv5/TE=")</f>
        <v>#REF!</v>
      </c>
      <c r="AY39" t="e">
        <f>AND('boilerplate specs'!#REF!,"AAAAAAv5/TI=")</f>
        <v>#REF!</v>
      </c>
      <c r="AZ39" t="e">
        <f>AND('boilerplate specs'!#REF!,"AAAAAAv5/TM=")</f>
        <v>#REF!</v>
      </c>
      <c r="BA39" t="e">
        <f>AND('boilerplate specs'!#REF!,"AAAAAAv5/TQ=")</f>
        <v>#REF!</v>
      </c>
      <c r="BB39">
        <f>IF('boilerplate specs'!236:236,"AAAAAAv5/TU=",0)</f>
        <v>0</v>
      </c>
      <c r="BC39" t="e">
        <f>AND('boilerplate specs'!A236,"AAAAAAv5/TY=")</f>
        <v>#VALUE!</v>
      </c>
      <c r="BD39" t="e">
        <f>AND('boilerplate specs'!B236,"AAAAAAv5/Tc=")</f>
        <v>#VALUE!</v>
      </c>
      <c r="BE39" t="e">
        <f>AND('boilerplate specs'!C236,"AAAAAAv5/Tg=")</f>
        <v>#VALUE!</v>
      </c>
      <c r="BF39" t="e">
        <f>AND('boilerplate specs'!D236,"AAAAAAv5/Tk=")</f>
        <v>#VALUE!</v>
      </c>
      <c r="BG39" t="e">
        <f>AND('boilerplate specs'!E236,"AAAAAAv5/To=")</f>
        <v>#VALUE!</v>
      </c>
      <c r="BH39" t="e">
        <f>AND('boilerplate specs'!F236,"AAAAAAv5/Ts=")</f>
        <v>#VALUE!</v>
      </c>
      <c r="BI39" t="e">
        <f>AND('boilerplate specs'!G236,"AAAAAAv5/Tw=")</f>
        <v>#VALUE!</v>
      </c>
      <c r="BJ39" t="e">
        <f>AND('boilerplate specs'!H236,"AAAAAAv5/T0=")</f>
        <v>#VALUE!</v>
      </c>
      <c r="BK39" t="e">
        <f>AND('boilerplate specs'!I236,"AAAAAAv5/T4=")</f>
        <v>#VALUE!</v>
      </c>
      <c r="BL39" t="e">
        <f>AND('boilerplate specs'!J236,"AAAAAAv5/T8=")</f>
        <v>#VALUE!</v>
      </c>
      <c r="BM39" t="e">
        <f>AND('boilerplate specs'!#REF!,"AAAAAAv5/UA=")</f>
        <v>#REF!</v>
      </c>
      <c r="BN39" t="e">
        <f>AND('boilerplate specs'!#REF!,"AAAAAAv5/UE=")</f>
        <v>#REF!</v>
      </c>
      <c r="BO39" t="e">
        <f>AND('boilerplate specs'!#REF!,"AAAAAAv5/UI=")</f>
        <v>#REF!</v>
      </c>
      <c r="BP39" t="e">
        <f>AND('boilerplate specs'!#REF!,"AAAAAAv5/UM=")</f>
        <v>#REF!</v>
      </c>
      <c r="BQ39" t="e">
        <f>AND('boilerplate specs'!#REF!,"AAAAAAv5/UQ=")</f>
        <v>#REF!</v>
      </c>
      <c r="BR39" t="e">
        <f>AND('boilerplate specs'!#REF!,"AAAAAAv5/UU=")</f>
        <v>#REF!</v>
      </c>
      <c r="BS39" t="e">
        <f>AND('boilerplate specs'!#REF!,"AAAAAAv5/UY=")</f>
        <v>#REF!</v>
      </c>
      <c r="BT39" t="e">
        <f>AND('boilerplate specs'!#REF!,"AAAAAAv5/Uc=")</f>
        <v>#REF!</v>
      </c>
      <c r="BU39" t="e">
        <f>AND('boilerplate specs'!#REF!,"AAAAAAv5/Ug=")</f>
        <v>#REF!</v>
      </c>
      <c r="BV39" t="e">
        <f>AND('boilerplate specs'!#REF!,"AAAAAAv5/Uk=")</f>
        <v>#REF!</v>
      </c>
      <c r="BW39" t="e">
        <f>AND('boilerplate specs'!#REF!,"AAAAAAv5/Uo=")</f>
        <v>#REF!</v>
      </c>
      <c r="BX39" t="e">
        <f>AND('boilerplate specs'!#REF!,"AAAAAAv5/Us=")</f>
        <v>#REF!</v>
      </c>
      <c r="BY39" t="e">
        <f>AND('boilerplate specs'!#REF!,"AAAAAAv5/Uw=")</f>
        <v>#REF!</v>
      </c>
      <c r="BZ39" t="e">
        <f>AND('boilerplate specs'!#REF!,"AAAAAAv5/U0=")</f>
        <v>#REF!</v>
      </c>
      <c r="CA39" t="e">
        <f>AND('boilerplate specs'!#REF!,"AAAAAAv5/U4=")</f>
        <v>#REF!</v>
      </c>
      <c r="CB39" t="e">
        <f>AND('boilerplate specs'!#REF!,"AAAAAAv5/U8=")</f>
        <v>#REF!</v>
      </c>
      <c r="CC39" t="e">
        <f>AND('boilerplate specs'!#REF!,"AAAAAAv5/VA=")</f>
        <v>#REF!</v>
      </c>
      <c r="CD39" t="e">
        <f>AND('boilerplate specs'!#REF!,"AAAAAAv5/VE=")</f>
        <v>#REF!</v>
      </c>
      <c r="CE39" t="e">
        <f>AND('boilerplate specs'!#REF!,"AAAAAAv5/VI=")</f>
        <v>#REF!</v>
      </c>
      <c r="CF39" t="e">
        <f>AND('boilerplate specs'!#REF!,"AAAAAAv5/VM=")</f>
        <v>#REF!</v>
      </c>
      <c r="CG39" t="e">
        <f>AND('boilerplate specs'!#REF!,"AAAAAAv5/VQ=")</f>
        <v>#REF!</v>
      </c>
      <c r="CH39" t="e">
        <f>AND('boilerplate specs'!#REF!,"AAAAAAv5/VU=")</f>
        <v>#REF!</v>
      </c>
      <c r="CI39">
        <f>IF('boilerplate specs'!237:237,"AAAAAAv5/VY=",0)</f>
        <v>0</v>
      </c>
      <c r="CJ39" t="e">
        <f>AND('boilerplate specs'!A237,"AAAAAAv5/Vc=")</f>
        <v>#VALUE!</v>
      </c>
      <c r="CK39" t="e">
        <f>AND('boilerplate specs'!B237,"AAAAAAv5/Vg=")</f>
        <v>#VALUE!</v>
      </c>
      <c r="CL39" t="e">
        <f>AND('boilerplate specs'!C237,"AAAAAAv5/Vk=")</f>
        <v>#VALUE!</v>
      </c>
      <c r="CM39" t="e">
        <f>AND('boilerplate specs'!D237,"AAAAAAv5/Vo=")</f>
        <v>#VALUE!</v>
      </c>
      <c r="CN39" t="e">
        <f>AND('boilerplate specs'!E237,"AAAAAAv5/Vs=")</f>
        <v>#VALUE!</v>
      </c>
      <c r="CO39" t="e">
        <f>AND('boilerplate specs'!F237,"AAAAAAv5/Vw=")</f>
        <v>#VALUE!</v>
      </c>
      <c r="CP39" t="e">
        <f>AND('boilerplate specs'!G237,"AAAAAAv5/V0=")</f>
        <v>#VALUE!</v>
      </c>
      <c r="CQ39" t="e">
        <f>AND('boilerplate specs'!H237,"AAAAAAv5/V4=")</f>
        <v>#VALUE!</v>
      </c>
      <c r="CR39" t="e">
        <f>AND('boilerplate specs'!I237,"AAAAAAv5/V8=")</f>
        <v>#VALUE!</v>
      </c>
      <c r="CS39" t="e">
        <f>AND('boilerplate specs'!J237,"AAAAAAv5/WA=")</f>
        <v>#VALUE!</v>
      </c>
      <c r="CT39" t="e">
        <f>AND('boilerplate specs'!#REF!,"AAAAAAv5/WE=")</f>
        <v>#REF!</v>
      </c>
      <c r="CU39" t="e">
        <f>AND('boilerplate specs'!#REF!,"AAAAAAv5/WI=")</f>
        <v>#REF!</v>
      </c>
      <c r="CV39" t="e">
        <f>AND('boilerplate specs'!#REF!,"AAAAAAv5/WM=")</f>
        <v>#REF!</v>
      </c>
      <c r="CW39" t="e">
        <f>AND('boilerplate specs'!#REF!,"AAAAAAv5/WQ=")</f>
        <v>#REF!</v>
      </c>
      <c r="CX39" t="e">
        <f>AND('boilerplate specs'!#REF!,"AAAAAAv5/WU=")</f>
        <v>#REF!</v>
      </c>
      <c r="CY39" t="e">
        <f>AND('boilerplate specs'!#REF!,"AAAAAAv5/WY=")</f>
        <v>#REF!</v>
      </c>
      <c r="CZ39" t="e">
        <f>AND('boilerplate specs'!#REF!,"AAAAAAv5/Wc=")</f>
        <v>#REF!</v>
      </c>
      <c r="DA39" t="e">
        <f>AND('boilerplate specs'!#REF!,"AAAAAAv5/Wg=")</f>
        <v>#REF!</v>
      </c>
      <c r="DB39" t="e">
        <f>AND('boilerplate specs'!#REF!,"AAAAAAv5/Wk=")</f>
        <v>#REF!</v>
      </c>
      <c r="DC39" t="e">
        <f>AND('boilerplate specs'!#REF!,"AAAAAAv5/Wo=")</f>
        <v>#REF!</v>
      </c>
      <c r="DD39" t="e">
        <f>AND('boilerplate specs'!#REF!,"AAAAAAv5/Ws=")</f>
        <v>#REF!</v>
      </c>
      <c r="DE39" t="e">
        <f>AND('boilerplate specs'!#REF!,"AAAAAAv5/Ww=")</f>
        <v>#REF!</v>
      </c>
      <c r="DF39" t="e">
        <f>AND('boilerplate specs'!#REF!,"AAAAAAv5/W0=")</f>
        <v>#REF!</v>
      </c>
      <c r="DG39" t="e">
        <f>AND('boilerplate specs'!#REF!,"AAAAAAv5/W4=")</f>
        <v>#REF!</v>
      </c>
      <c r="DH39" t="e">
        <f>AND('boilerplate specs'!#REF!,"AAAAAAv5/W8=")</f>
        <v>#REF!</v>
      </c>
      <c r="DI39" t="e">
        <f>AND('boilerplate specs'!#REF!,"AAAAAAv5/XA=")</f>
        <v>#REF!</v>
      </c>
      <c r="DJ39" t="e">
        <f>AND('boilerplate specs'!#REF!,"AAAAAAv5/XE=")</f>
        <v>#REF!</v>
      </c>
      <c r="DK39" t="e">
        <f>AND('boilerplate specs'!#REF!,"AAAAAAv5/XI=")</f>
        <v>#REF!</v>
      </c>
      <c r="DL39" t="e">
        <f>AND('boilerplate specs'!#REF!,"AAAAAAv5/XM=")</f>
        <v>#REF!</v>
      </c>
      <c r="DM39" t="e">
        <f>AND('boilerplate specs'!#REF!,"AAAAAAv5/XQ=")</f>
        <v>#REF!</v>
      </c>
      <c r="DN39" t="e">
        <f>AND('boilerplate specs'!#REF!,"AAAAAAv5/XU=")</f>
        <v>#REF!</v>
      </c>
      <c r="DO39" t="e">
        <f>AND('boilerplate specs'!#REF!,"AAAAAAv5/XY=")</f>
        <v>#REF!</v>
      </c>
      <c r="DP39">
        <f>IF('boilerplate specs'!238:238,"AAAAAAv5/Xc=",0)</f>
        <v>0</v>
      </c>
      <c r="DQ39" t="e">
        <f>AND('boilerplate specs'!A238,"AAAAAAv5/Xg=")</f>
        <v>#VALUE!</v>
      </c>
      <c r="DR39" t="e">
        <f>AND('boilerplate specs'!B238,"AAAAAAv5/Xk=")</f>
        <v>#VALUE!</v>
      </c>
      <c r="DS39" t="e">
        <f>AND('boilerplate specs'!C238,"AAAAAAv5/Xo=")</f>
        <v>#VALUE!</v>
      </c>
      <c r="DT39" t="e">
        <f>AND('boilerplate specs'!D238,"AAAAAAv5/Xs=")</f>
        <v>#VALUE!</v>
      </c>
      <c r="DU39" t="e">
        <f>AND('boilerplate specs'!E238,"AAAAAAv5/Xw=")</f>
        <v>#VALUE!</v>
      </c>
      <c r="DV39" t="e">
        <f>AND('boilerplate specs'!F238,"AAAAAAv5/X0=")</f>
        <v>#VALUE!</v>
      </c>
      <c r="DW39" t="e">
        <f>AND('boilerplate specs'!G238,"AAAAAAv5/X4=")</f>
        <v>#VALUE!</v>
      </c>
      <c r="DX39" t="e">
        <f>AND('boilerplate specs'!H238,"AAAAAAv5/X8=")</f>
        <v>#VALUE!</v>
      </c>
      <c r="DY39" t="e">
        <f>AND('boilerplate specs'!I238,"AAAAAAv5/YA=")</f>
        <v>#VALUE!</v>
      </c>
      <c r="DZ39" t="e">
        <f>AND('boilerplate specs'!J238,"AAAAAAv5/YE=")</f>
        <v>#VALUE!</v>
      </c>
      <c r="EA39" t="e">
        <f>AND('boilerplate specs'!#REF!,"AAAAAAv5/YI=")</f>
        <v>#REF!</v>
      </c>
      <c r="EB39" t="e">
        <f>AND('boilerplate specs'!#REF!,"AAAAAAv5/YM=")</f>
        <v>#REF!</v>
      </c>
      <c r="EC39" t="e">
        <f>AND('boilerplate specs'!#REF!,"AAAAAAv5/YQ=")</f>
        <v>#REF!</v>
      </c>
      <c r="ED39" t="e">
        <f>AND('boilerplate specs'!#REF!,"AAAAAAv5/YU=")</f>
        <v>#REF!</v>
      </c>
      <c r="EE39" t="e">
        <f>AND('boilerplate specs'!#REF!,"AAAAAAv5/YY=")</f>
        <v>#REF!</v>
      </c>
      <c r="EF39" t="e">
        <f>AND('boilerplate specs'!#REF!,"AAAAAAv5/Yc=")</f>
        <v>#REF!</v>
      </c>
      <c r="EG39" t="e">
        <f>AND('boilerplate specs'!#REF!,"AAAAAAv5/Yg=")</f>
        <v>#REF!</v>
      </c>
      <c r="EH39" t="e">
        <f>AND('boilerplate specs'!#REF!,"AAAAAAv5/Yk=")</f>
        <v>#REF!</v>
      </c>
      <c r="EI39" t="e">
        <f>AND('boilerplate specs'!#REF!,"AAAAAAv5/Yo=")</f>
        <v>#REF!</v>
      </c>
      <c r="EJ39" t="e">
        <f>AND('boilerplate specs'!#REF!,"AAAAAAv5/Ys=")</f>
        <v>#REF!</v>
      </c>
      <c r="EK39" t="e">
        <f>AND('boilerplate specs'!#REF!,"AAAAAAv5/Yw=")</f>
        <v>#REF!</v>
      </c>
      <c r="EL39" t="e">
        <f>AND('boilerplate specs'!#REF!,"AAAAAAv5/Y0=")</f>
        <v>#REF!</v>
      </c>
      <c r="EM39" t="e">
        <f>AND('boilerplate specs'!#REF!,"AAAAAAv5/Y4=")</f>
        <v>#REF!</v>
      </c>
      <c r="EN39" t="e">
        <f>AND('boilerplate specs'!#REF!,"AAAAAAv5/Y8=")</f>
        <v>#REF!</v>
      </c>
      <c r="EO39" t="e">
        <f>AND('boilerplate specs'!#REF!,"AAAAAAv5/ZA=")</f>
        <v>#REF!</v>
      </c>
      <c r="EP39" t="e">
        <f>AND('boilerplate specs'!#REF!,"AAAAAAv5/ZE=")</f>
        <v>#REF!</v>
      </c>
      <c r="EQ39" t="e">
        <f>AND('boilerplate specs'!#REF!,"AAAAAAv5/ZI=")</f>
        <v>#REF!</v>
      </c>
      <c r="ER39" t="e">
        <f>AND('boilerplate specs'!#REF!,"AAAAAAv5/ZM=")</f>
        <v>#REF!</v>
      </c>
      <c r="ES39" t="e">
        <f>AND('boilerplate specs'!#REF!,"AAAAAAv5/ZQ=")</f>
        <v>#REF!</v>
      </c>
      <c r="ET39" t="e">
        <f>AND('boilerplate specs'!#REF!,"AAAAAAv5/ZU=")</f>
        <v>#REF!</v>
      </c>
      <c r="EU39" t="e">
        <f>AND('boilerplate specs'!#REF!,"AAAAAAv5/ZY=")</f>
        <v>#REF!</v>
      </c>
      <c r="EV39" t="e">
        <f>AND('boilerplate specs'!#REF!,"AAAAAAv5/Zc=")</f>
        <v>#REF!</v>
      </c>
      <c r="EW39">
        <f>IF('boilerplate specs'!239:239,"AAAAAAv5/Zg=",0)</f>
        <v>0</v>
      </c>
      <c r="EX39" t="e">
        <f>AND('boilerplate specs'!A239,"AAAAAAv5/Zk=")</f>
        <v>#VALUE!</v>
      </c>
      <c r="EY39" t="e">
        <f>AND('boilerplate specs'!B239,"AAAAAAv5/Zo=")</f>
        <v>#VALUE!</v>
      </c>
      <c r="EZ39" t="e">
        <f>AND('boilerplate specs'!C239,"AAAAAAv5/Zs=")</f>
        <v>#VALUE!</v>
      </c>
      <c r="FA39" t="e">
        <f>AND('boilerplate specs'!D239,"AAAAAAv5/Zw=")</f>
        <v>#VALUE!</v>
      </c>
      <c r="FB39" t="e">
        <f>AND('boilerplate specs'!E239,"AAAAAAv5/Z0=")</f>
        <v>#VALUE!</v>
      </c>
      <c r="FC39" t="e">
        <f>AND('boilerplate specs'!F239,"AAAAAAv5/Z4=")</f>
        <v>#VALUE!</v>
      </c>
      <c r="FD39" t="e">
        <f>AND('boilerplate specs'!G239,"AAAAAAv5/Z8=")</f>
        <v>#VALUE!</v>
      </c>
      <c r="FE39" t="e">
        <f>AND('boilerplate specs'!H239,"AAAAAAv5/aA=")</f>
        <v>#VALUE!</v>
      </c>
      <c r="FF39" t="e">
        <f>AND('boilerplate specs'!I239,"AAAAAAv5/aE=")</f>
        <v>#VALUE!</v>
      </c>
      <c r="FG39" t="e">
        <f>AND('boilerplate specs'!J239,"AAAAAAv5/aI=")</f>
        <v>#VALUE!</v>
      </c>
      <c r="FH39" t="e">
        <f>AND('boilerplate specs'!#REF!,"AAAAAAv5/aM=")</f>
        <v>#REF!</v>
      </c>
      <c r="FI39" t="e">
        <f>AND('boilerplate specs'!#REF!,"AAAAAAv5/aQ=")</f>
        <v>#REF!</v>
      </c>
      <c r="FJ39" t="e">
        <f>AND('boilerplate specs'!#REF!,"AAAAAAv5/aU=")</f>
        <v>#REF!</v>
      </c>
      <c r="FK39" t="e">
        <f>AND('boilerplate specs'!#REF!,"AAAAAAv5/aY=")</f>
        <v>#REF!</v>
      </c>
      <c r="FL39" t="e">
        <f>AND('boilerplate specs'!#REF!,"AAAAAAv5/ac=")</f>
        <v>#REF!</v>
      </c>
      <c r="FM39" t="e">
        <f>AND('boilerplate specs'!#REF!,"AAAAAAv5/ag=")</f>
        <v>#REF!</v>
      </c>
      <c r="FN39" t="e">
        <f>AND('boilerplate specs'!#REF!,"AAAAAAv5/ak=")</f>
        <v>#REF!</v>
      </c>
      <c r="FO39" t="e">
        <f>AND('boilerplate specs'!#REF!,"AAAAAAv5/ao=")</f>
        <v>#REF!</v>
      </c>
      <c r="FP39" t="e">
        <f>AND('boilerplate specs'!#REF!,"AAAAAAv5/as=")</f>
        <v>#REF!</v>
      </c>
      <c r="FQ39" t="e">
        <f>AND('boilerplate specs'!#REF!,"AAAAAAv5/aw=")</f>
        <v>#REF!</v>
      </c>
      <c r="FR39" t="e">
        <f>AND('boilerplate specs'!#REF!,"AAAAAAv5/a0=")</f>
        <v>#REF!</v>
      </c>
      <c r="FS39" t="e">
        <f>AND('boilerplate specs'!#REF!,"AAAAAAv5/a4=")</f>
        <v>#REF!</v>
      </c>
      <c r="FT39" t="e">
        <f>AND('boilerplate specs'!#REF!,"AAAAAAv5/a8=")</f>
        <v>#REF!</v>
      </c>
      <c r="FU39" t="e">
        <f>AND('boilerplate specs'!#REF!,"AAAAAAv5/bA=")</f>
        <v>#REF!</v>
      </c>
      <c r="FV39" t="e">
        <f>AND('boilerplate specs'!#REF!,"AAAAAAv5/bE=")</f>
        <v>#REF!</v>
      </c>
      <c r="FW39" t="e">
        <f>AND('boilerplate specs'!#REF!,"AAAAAAv5/bI=")</f>
        <v>#REF!</v>
      </c>
      <c r="FX39" t="e">
        <f>AND('boilerplate specs'!#REF!,"AAAAAAv5/bM=")</f>
        <v>#REF!</v>
      </c>
      <c r="FY39" t="e">
        <f>AND('boilerplate specs'!#REF!,"AAAAAAv5/bQ=")</f>
        <v>#REF!</v>
      </c>
      <c r="FZ39" t="e">
        <f>AND('boilerplate specs'!#REF!,"AAAAAAv5/bU=")</f>
        <v>#REF!</v>
      </c>
      <c r="GA39" t="e">
        <f>AND('boilerplate specs'!#REF!,"AAAAAAv5/bY=")</f>
        <v>#REF!</v>
      </c>
      <c r="GB39" t="e">
        <f>AND('boilerplate specs'!#REF!,"AAAAAAv5/bc=")</f>
        <v>#REF!</v>
      </c>
      <c r="GC39" t="e">
        <f>AND('boilerplate specs'!#REF!,"AAAAAAv5/bg=")</f>
        <v>#REF!</v>
      </c>
      <c r="GD39">
        <f>IF('boilerplate specs'!240:240,"AAAAAAv5/bk=",0)</f>
        <v>0</v>
      </c>
      <c r="GE39" t="e">
        <f>AND('boilerplate specs'!A240,"AAAAAAv5/bo=")</f>
        <v>#VALUE!</v>
      </c>
      <c r="GF39" t="e">
        <f>AND('boilerplate specs'!B240,"AAAAAAv5/bs=")</f>
        <v>#VALUE!</v>
      </c>
      <c r="GG39" t="e">
        <f>AND('boilerplate specs'!C240,"AAAAAAv5/bw=")</f>
        <v>#VALUE!</v>
      </c>
      <c r="GH39" t="e">
        <f>AND('boilerplate specs'!D240,"AAAAAAv5/b0=")</f>
        <v>#VALUE!</v>
      </c>
      <c r="GI39" t="e">
        <f>AND('boilerplate specs'!E240,"AAAAAAv5/b4=")</f>
        <v>#VALUE!</v>
      </c>
      <c r="GJ39" t="e">
        <f>AND('boilerplate specs'!F240,"AAAAAAv5/b8=")</f>
        <v>#VALUE!</v>
      </c>
      <c r="GK39" t="e">
        <f>AND('boilerplate specs'!G240,"AAAAAAv5/cA=")</f>
        <v>#VALUE!</v>
      </c>
      <c r="GL39" t="e">
        <f>AND('boilerplate specs'!H240,"AAAAAAv5/cE=")</f>
        <v>#VALUE!</v>
      </c>
      <c r="GM39" t="e">
        <f>AND('boilerplate specs'!I240,"AAAAAAv5/cI=")</f>
        <v>#VALUE!</v>
      </c>
      <c r="GN39" t="e">
        <f>AND('boilerplate specs'!J240,"AAAAAAv5/cM=")</f>
        <v>#VALUE!</v>
      </c>
      <c r="GO39" t="e">
        <f>AND('boilerplate specs'!#REF!,"AAAAAAv5/cQ=")</f>
        <v>#REF!</v>
      </c>
      <c r="GP39" t="e">
        <f>AND('boilerplate specs'!#REF!,"AAAAAAv5/cU=")</f>
        <v>#REF!</v>
      </c>
      <c r="GQ39" t="e">
        <f>AND('boilerplate specs'!#REF!,"AAAAAAv5/cY=")</f>
        <v>#REF!</v>
      </c>
      <c r="GR39" t="e">
        <f>AND('boilerplate specs'!#REF!,"AAAAAAv5/cc=")</f>
        <v>#REF!</v>
      </c>
      <c r="GS39" t="e">
        <f>AND('boilerplate specs'!#REF!,"AAAAAAv5/cg=")</f>
        <v>#REF!</v>
      </c>
      <c r="GT39" t="e">
        <f>AND('boilerplate specs'!#REF!,"AAAAAAv5/ck=")</f>
        <v>#REF!</v>
      </c>
      <c r="GU39" t="e">
        <f>AND('boilerplate specs'!#REF!,"AAAAAAv5/co=")</f>
        <v>#REF!</v>
      </c>
      <c r="GV39" t="e">
        <f>AND('boilerplate specs'!#REF!,"AAAAAAv5/cs=")</f>
        <v>#REF!</v>
      </c>
      <c r="GW39" t="e">
        <f>AND('boilerplate specs'!#REF!,"AAAAAAv5/cw=")</f>
        <v>#REF!</v>
      </c>
      <c r="GX39" t="e">
        <f>AND('boilerplate specs'!#REF!,"AAAAAAv5/c0=")</f>
        <v>#REF!</v>
      </c>
      <c r="GY39" t="e">
        <f>AND('boilerplate specs'!#REF!,"AAAAAAv5/c4=")</f>
        <v>#REF!</v>
      </c>
      <c r="GZ39" t="e">
        <f>AND('boilerplate specs'!#REF!,"AAAAAAv5/c8=")</f>
        <v>#REF!</v>
      </c>
      <c r="HA39" t="e">
        <f>AND('boilerplate specs'!#REF!,"AAAAAAv5/dA=")</f>
        <v>#REF!</v>
      </c>
      <c r="HB39" t="e">
        <f>AND('boilerplate specs'!#REF!,"AAAAAAv5/dE=")</f>
        <v>#REF!</v>
      </c>
      <c r="HC39" t="e">
        <f>AND('boilerplate specs'!#REF!,"AAAAAAv5/dI=")</f>
        <v>#REF!</v>
      </c>
      <c r="HD39" t="e">
        <f>AND('boilerplate specs'!#REF!,"AAAAAAv5/dM=")</f>
        <v>#REF!</v>
      </c>
      <c r="HE39" t="e">
        <f>AND('boilerplate specs'!#REF!,"AAAAAAv5/dQ=")</f>
        <v>#REF!</v>
      </c>
      <c r="HF39" t="e">
        <f>AND('boilerplate specs'!#REF!,"AAAAAAv5/dU=")</f>
        <v>#REF!</v>
      </c>
      <c r="HG39" t="e">
        <f>AND('boilerplate specs'!#REF!,"AAAAAAv5/dY=")</f>
        <v>#REF!</v>
      </c>
      <c r="HH39" t="e">
        <f>AND('boilerplate specs'!#REF!,"AAAAAAv5/dc=")</f>
        <v>#REF!</v>
      </c>
      <c r="HI39" t="e">
        <f>AND('boilerplate specs'!#REF!,"AAAAAAv5/dg=")</f>
        <v>#REF!</v>
      </c>
      <c r="HJ39" t="e">
        <f>AND('boilerplate specs'!#REF!,"AAAAAAv5/dk=")</f>
        <v>#REF!</v>
      </c>
      <c r="HK39">
        <f>IF('boilerplate specs'!241:241,"AAAAAAv5/do=",0)</f>
        <v>0</v>
      </c>
      <c r="HL39" t="e">
        <f>AND('boilerplate specs'!A241,"AAAAAAv5/ds=")</f>
        <v>#VALUE!</v>
      </c>
      <c r="HM39" t="e">
        <f>AND('boilerplate specs'!B241,"AAAAAAv5/dw=")</f>
        <v>#VALUE!</v>
      </c>
      <c r="HN39" t="e">
        <f>AND('boilerplate specs'!C241,"AAAAAAv5/d0=")</f>
        <v>#VALUE!</v>
      </c>
      <c r="HO39" t="e">
        <f>AND('boilerplate specs'!D241,"AAAAAAv5/d4=")</f>
        <v>#VALUE!</v>
      </c>
      <c r="HP39" t="e">
        <f>AND('boilerplate specs'!E241,"AAAAAAv5/d8=")</f>
        <v>#VALUE!</v>
      </c>
      <c r="HQ39" t="e">
        <f>AND('boilerplate specs'!F241,"AAAAAAv5/eA=")</f>
        <v>#VALUE!</v>
      </c>
      <c r="HR39" t="e">
        <f>AND('boilerplate specs'!G241,"AAAAAAv5/eE=")</f>
        <v>#VALUE!</v>
      </c>
      <c r="HS39" t="e">
        <f>AND('boilerplate specs'!H241,"AAAAAAv5/eI=")</f>
        <v>#VALUE!</v>
      </c>
      <c r="HT39" t="e">
        <f>AND('boilerplate specs'!I241,"AAAAAAv5/eM=")</f>
        <v>#VALUE!</v>
      </c>
      <c r="HU39" t="e">
        <f>AND('boilerplate specs'!J241,"AAAAAAv5/eQ=")</f>
        <v>#VALUE!</v>
      </c>
      <c r="HV39" t="e">
        <f>AND('boilerplate specs'!#REF!,"AAAAAAv5/eU=")</f>
        <v>#REF!</v>
      </c>
      <c r="HW39" t="e">
        <f>AND('boilerplate specs'!#REF!,"AAAAAAv5/eY=")</f>
        <v>#REF!</v>
      </c>
      <c r="HX39" t="e">
        <f>AND('boilerplate specs'!#REF!,"AAAAAAv5/ec=")</f>
        <v>#REF!</v>
      </c>
      <c r="HY39" t="e">
        <f>AND('boilerplate specs'!#REF!,"AAAAAAv5/eg=")</f>
        <v>#REF!</v>
      </c>
      <c r="HZ39" t="e">
        <f>AND('boilerplate specs'!#REF!,"AAAAAAv5/ek=")</f>
        <v>#REF!</v>
      </c>
      <c r="IA39" t="e">
        <f>AND('boilerplate specs'!#REF!,"AAAAAAv5/eo=")</f>
        <v>#REF!</v>
      </c>
      <c r="IB39" t="e">
        <f>AND('boilerplate specs'!#REF!,"AAAAAAv5/es=")</f>
        <v>#REF!</v>
      </c>
      <c r="IC39" t="e">
        <f>AND('boilerplate specs'!#REF!,"AAAAAAv5/ew=")</f>
        <v>#REF!</v>
      </c>
      <c r="ID39" t="e">
        <f>AND('boilerplate specs'!#REF!,"AAAAAAv5/e0=")</f>
        <v>#REF!</v>
      </c>
      <c r="IE39" t="e">
        <f>AND('boilerplate specs'!#REF!,"AAAAAAv5/e4=")</f>
        <v>#REF!</v>
      </c>
      <c r="IF39" t="e">
        <f>AND('boilerplate specs'!#REF!,"AAAAAAv5/e8=")</f>
        <v>#REF!</v>
      </c>
      <c r="IG39" t="e">
        <f>AND('boilerplate specs'!#REF!,"AAAAAAv5/fA=")</f>
        <v>#REF!</v>
      </c>
      <c r="IH39" t="e">
        <f>AND('boilerplate specs'!#REF!,"AAAAAAv5/fE=")</f>
        <v>#REF!</v>
      </c>
      <c r="II39" t="e">
        <f>AND('boilerplate specs'!#REF!,"AAAAAAv5/fI=")</f>
        <v>#REF!</v>
      </c>
      <c r="IJ39" t="e">
        <f>AND('boilerplate specs'!#REF!,"AAAAAAv5/fM=")</f>
        <v>#REF!</v>
      </c>
      <c r="IK39" t="e">
        <f>AND('boilerplate specs'!#REF!,"AAAAAAv5/fQ=")</f>
        <v>#REF!</v>
      </c>
      <c r="IL39" t="e">
        <f>AND('boilerplate specs'!#REF!,"AAAAAAv5/fU=")</f>
        <v>#REF!</v>
      </c>
      <c r="IM39" t="e">
        <f>AND('boilerplate specs'!#REF!,"AAAAAAv5/fY=")</f>
        <v>#REF!</v>
      </c>
      <c r="IN39" t="e">
        <f>AND('boilerplate specs'!#REF!,"AAAAAAv5/fc=")</f>
        <v>#REF!</v>
      </c>
      <c r="IO39" t="e">
        <f>AND('boilerplate specs'!#REF!,"AAAAAAv5/fg=")</f>
        <v>#REF!</v>
      </c>
      <c r="IP39" t="e">
        <f>AND('boilerplate specs'!#REF!,"AAAAAAv5/fk=")</f>
        <v>#REF!</v>
      </c>
      <c r="IQ39" t="e">
        <f>AND('boilerplate specs'!#REF!,"AAAAAAv5/fo=")</f>
        <v>#REF!</v>
      </c>
      <c r="IR39">
        <f>IF('boilerplate specs'!242:242,"AAAAAAv5/fs=",0)</f>
        <v>0</v>
      </c>
      <c r="IS39" t="e">
        <f>AND('boilerplate specs'!A242,"AAAAAAv5/fw=")</f>
        <v>#VALUE!</v>
      </c>
      <c r="IT39" t="e">
        <f>AND('boilerplate specs'!B242,"AAAAAAv5/f0=")</f>
        <v>#VALUE!</v>
      </c>
      <c r="IU39" t="e">
        <f>AND('boilerplate specs'!C242,"AAAAAAv5/f4=")</f>
        <v>#VALUE!</v>
      </c>
      <c r="IV39" t="e">
        <f>AND('boilerplate specs'!D242,"AAAAAAv5/f8=")</f>
        <v>#VALUE!</v>
      </c>
    </row>
    <row r="40" spans="1:256" x14ac:dyDescent="0.35">
      <c r="A40" t="e">
        <f>AND('boilerplate specs'!E242,"AAAAAGv//wA=")</f>
        <v>#VALUE!</v>
      </c>
      <c r="B40" t="e">
        <f>AND('boilerplate specs'!F242,"AAAAAGv//wE=")</f>
        <v>#VALUE!</v>
      </c>
      <c r="C40" t="e">
        <f>AND('boilerplate specs'!G242,"AAAAAGv//wI=")</f>
        <v>#VALUE!</v>
      </c>
      <c r="D40" t="e">
        <f>AND('boilerplate specs'!H242,"AAAAAGv//wM=")</f>
        <v>#VALUE!</v>
      </c>
      <c r="E40" t="e">
        <f>AND('boilerplate specs'!I242,"AAAAAGv//wQ=")</f>
        <v>#VALUE!</v>
      </c>
      <c r="F40" t="e">
        <f>AND('boilerplate specs'!J242,"AAAAAGv//wU=")</f>
        <v>#VALUE!</v>
      </c>
      <c r="G40" t="e">
        <f>AND('boilerplate specs'!#REF!,"AAAAAGv//wY=")</f>
        <v>#REF!</v>
      </c>
      <c r="H40" t="e">
        <f>AND('boilerplate specs'!#REF!,"AAAAAGv//wc=")</f>
        <v>#REF!</v>
      </c>
      <c r="I40" t="e">
        <f>AND('boilerplate specs'!#REF!,"AAAAAGv//wg=")</f>
        <v>#REF!</v>
      </c>
      <c r="J40" t="e">
        <f>AND('boilerplate specs'!#REF!,"AAAAAGv//wk=")</f>
        <v>#REF!</v>
      </c>
      <c r="K40" t="e">
        <f>AND('boilerplate specs'!#REF!,"AAAAAGv//wo=")</f>
        <v>#REF!</v>
      </c>
      <c r="L40" t="e">
        <f>AND('boilerplate specs'!#REF!,"AAAAAGv//ws=")</f>
        <v>#REF!</v>
      </c>
      <c r="M40" t="e">
        <f>AND('boilerplate specs'!#REF!,"AAAAAGv//ww=")</f>
        <v>#REF!</v>
      </c>
      <c r="N40" t="e">
        <f>AND('boilerplate specs'!#REF!,"AAAAAGv//w0=")</f>
        <v>#REF!</v>
      </c>
      <c r="O40" t="e">
        <f>AND('boilerplate specs'!#REF!,"AAAAAGv//w4=")</f>
        <v>#REF!</v>
      </c>
      <c r="P40" t="e">
        <f>AND('boilerplate specs'!#REF!,"AAAAAGv//w8=")</f>
        <v>#REF!</v>
      </c>
      <c r="Q40" t="e">
        <f>AND('boilerplate specs'!#REF!,"AAAAAGv//xA=")</f>
        <v>#REF!</v>
      </c>
      <c r="R40" t="e">
        <f>AND('boilerplate specs'!#REF!,"AAAAAGv//xE=")</f>
        <v>#REF!</v>
      </c>
      <c r="S40" t="e">
        <f>AND('boilerplate specs'!#REF!,"AAAAAGv//xI=")</f>
        <v>#REF!</v>
      </c>
      <c r="T40" t="e">
        <f>AND('boilerplate specs'!#REF!,"AAAAAGv//xM=")</f>
        <v>#REF!</v>
      </c>
      <c r="U40" t="e">
        <f>AND('boilerplate specs'!#REF!,"AAAAAGv//xQ=")</f>
        <v>#REF!</v>
      </c>
      <c r="V40" t="e">
        <f>AND('boilerplate specs'!#REF!,"AAAAAGv//xU=")</f>
        <v>#REF!</v>
      </c>
      <c r="W40" t="e">
        <f>AND('boilerplate specs'!#REF!,"AAAAAGv//xY=")</f>
        <v>#REF!</v>
      </c>
      <c r="X40" t="e">
        <f>AND('boilerplate specs'!#REF!,"AAAAAGv//xc=")</f>
        <v>#REF!</v>
      </c>
      <c r="Y40" t="e">
        <f>AND('boilerplate specs'!#REF!,"AAAAAGv//xg=")</f>
        <v>#REF!</v>
      </c>
      <c r="Z40" t="e">
        <f>AND('boilerplate specs'!#REF!,"AAAAAGv//xk=")</f>
        <v>#REF!</v>
      </c>
      <c r="AA40" t="e">
        <f>AND('boilerplate specs'!#REF!,"AAAAAGv//xo=")</f>
        <v>#REF!</v>
      </c>
      <c r="AB40" t="e">
        <f>AND('boilerplate specs'!#REF!,"AAAAAGv//xs=")</f>
        <v>#REF!</v>
      </c>
      <c r="AC40">
        <f>IF('boilerplate specs'!243:243,"AAAAAGv//xw=",0)</f>
        <v>0</v>
      </c>
      <c r="AD40" t="e">
        <f>AND('boilerplate specs'!A243,"AAAAAGv//x0=")</f>
        <v>#VALUE!</v>
      </c>
      <c r="AE40" t="e">
        <f>AND('boilerplate specs'!B243,"AAAAAGv//x4=")</f>
        <v>#VALUE!</v>
      </c>
      <c r="AF40" t="e">
        <f>AND('boilerplate specs'!C243,"AAAAAGv//x8=")</f>
        <v>#VALUE!</v>
      </c>
      <c r="AG40" t="e">
        <f>AND('boilerplate specs'!D243,"AAAAAGv//yA=")</f>
        <v>#VALUE!</v>
      </c>
      <c r="AH40" t="e">
        <f>AND('boilerplate specs'!E243,"AAAAAGv//yE=")</f>
        <v>#VALUE!</v>
      </c>
      <c r="AI40" t="e">
        <f>AND('boilerplate specs'!F243,"AAAAAGv//yI=")</f>
        <v>#VALUE!</v>
      </c>
      <c r="AJ40" t="e">
        <f>AND('boilerplate specs'!G243,"AAAAAGv//yM=")</f>
        <v>#VALUE!</v>
      </c>
      <c r="AK40" t="e">
        <f>AND('boilerplate specs'!H243,"AAAAAGv//yQ=")</f>
        <v>#VALUE!</v>
      </c>
      <c r="AL40" t="e">
        <f>AND('boilerplate specs'!I243,"AAAAAGv//yU=")</f>
        <v>#VALUE!</v>
      </c>
      <c r="AM40" t="e">
        <f>AND('boilerplate specs'!J243,"AAAAAGv//yY=")</f>
        <v>#VALUE!</v>
      </c>
      <c r="AN40" t="e">
        <f>AND('boilerplate specs'!#REF!,"AAAAAGv//yc=")</f>
        <v>#REF!</v>
      </c>
      <c r="AO40" t="e">
        <f>AND('boilerplate specs'!#REF!,"AAAAAGv//yg=")</f>
        <v>#REF!</v>
      </c>
      <c r="AP40" t="e">
        <f>AND('boilerplate specs'!#REF!,"AAAAAGv//yk=")</f>
        <v>#REF!</v>
      </c>
      <c r="AQ40" t="e">
        <f>AND('boilerplate specs'!#REF!,"AAAAAGv//yo=")</f>
        <v>#REF!</v>
      </c>
      <c r="AR40" t="e">
        <f>AND('boilerplate specs'!#REF!,"AAAAAGv//ys=")</f>
        <v>#REF!</v>
      </c>
      <c r="AS40" t="e">
        <f>AND('boilerplate specs'!#REF!,"AAAAAGv//yw=")</f>
        <v>#REF!</v>
      </c>
      <c r="AT40" t="e">
        <f>AND('boilerplate specs'!#REF!,"AAAAAGv//y0=")</f>
        <v>#REF!</v>
      </c>
      <c r="AU40" t="e">
        <f>AND('boilerplate specs'!#REF!,"AAAAAGv//y4=")</f>
        <v>#REF!</v>
      </c>
      <c r="AV40" t="e">
        <f>AND('boilerplate specs'!#REF!,"AAAAAGv//y8=")</f>
        <v>#REF!</v>
      </c>
      <c r="AW40" t="e">
        <f>AND('boilerplate specs'!#REF!,"AAAAAGv//zA=")</f>
        <v>#REF!</v>
      </c>
      <c r="AX40" t="e">
        <f>AND('boilerplate specs'!#REF!,"AAAAAGv//zE=")</f>
        <v>#REF!</v>
      </c>
      <c r="AY40" t="e">
        <f>AND('boilerplate specs'!#REF!,"AAAAAGv//zI=")</f>
        <v>#REF!</v>
      </c>
      <c r="AZ40" t="e">
        <f>AND('boilerplate specs'!#REF!,"AAAAAGv//zM=")</f>
        <v>#REF!</v>
      </c>
      <c r="BA40" t="e">
        <f>AND('boilerplate specs'!#REF!,"AAAAAGv//zQ=")</f>
        <v>#REF!</v>
      </c>
      <c r="BB40" t="e">
        <f>AND('boilerplate specs'!#REF!,"AAAAAGv//zU=")</f>
        <v>#REF!</v>
      </c>
      <c r="BC40" t="e">
        <f>AND('boilerplate specs'!#REF!,"AAAAAGv//zY=")</f>
        <v>#REF!</v>
      </c>
      <c r="BD40" t="e">
        <f>AND('boilerplate specs'!#REF!,"AAAAAGv//zc=")</f>
        <v>#REF!</v>
      </c>
      <c r="BE40" t="e">
        <f>AND('boilerplate specs'!#REF!,"AAAAAGv//zg=")</f>
        <v>#REF!</v>
      </c>
      <c r="BF40" t="e">
        <f>AND('boilerplate specs'!#REF!,"AAAAAGv//zk=")</f>
        <v>#REF!</v>
      </c>
      <c r="BG40" t="e">
        <f>AND('boilerplate specs'!#REF!,"AAAAAGv//zo=")</f>
        <v>#REF!</v>
      </c>
      <c r="BH40" t="e">
        <f>AND('boilerplate specs'!#REF!,"AAAAAGv//zs=")</f>
        <v>#REF!</v>
      </c>
      <c r="BI40" t="e">
        <f>AND('boilerplate specs'!#REF!,"AAAAAGv//zw=")</f>
        <v>#REF!</v>
      </c>
      <c r="BJ40">
        <f>IF('boilerplate specs'!244:244,"AAAAAGv//z0=",0)</f>
        <v>0</v>
      </c>
      <c r="BK40" t="e">
        <f>AND('boilerplate specs'!A244,"AAAAAGv//z4=")</f>
        <v>#VALUE!</v>
      </c>
      <c r="BL40" t="e">
        <f>AND('boilerplate specs'!B244,"AAAAAGv//z8=")</f>
        <v>#VALUE!</v>
      </c>
      <c r="BM40" t="e">
        <f>AND('boilerplate specs'!C244,"AAAAAGv//0A=")</f>
        <v>#VALUE!</v>
      </c>
      <c r="BN40" t="e">
        <f>AND('boilerplate specs'!D244,"AAAAAGv//0E=")</f>
        <v>#VALUE!</v>
      </c>
      <c r="BO40" t="e">
        <f>AND('boilerplate specs'!E244,"AAAAAGv//0I=")</f>
        <v>#VALUE!</v>
      </c>
      <c r="BP40" t="e">
        <f>AND('boilerplate specs'!F244,"AAAAAGv//0M=")</f>
        <v>#VALUE!</v>
      </c>
      <c r="BQ40" t="e">
        <f>AND('boilerplate specs'!G244,"AAAAAGv//0Q=")</f>
        <v>#VALUE!</v>
      </c>
      <c r="BR40" t="e">
        <f>AND('boilerplate specs'!H244,"AAAAAGv//0U=")</f>
        <v>#VALUE!</v>
      </c>
      <c r="BS40" t="e">
        <f>AND('boilerplate specs'!I244,"AAAAAGv//0Y=")</f>
        <v>#VALUE!</v>
      </c>
      <c r="BT40" t="e">
        <f>AND('boilerplate specs'!J244,"AAAAAGv//0c=")</f>
        <v>#VALUE!</v>
      </c>
      <c r="BU40" t="e">
        <f>AND('boilerplate specs'!#REF!,"AAAAAGv//0g=")</f>
        <v>#REF!</v>
      </c>
      <c r="BV40" t="e">
        <f>AND('boilerplate specs'!#REF!,"AAAAAGv//0k=")</f>
        <v>#REF!</v>
      </c>
      <c r="BW40" t="e">
        <f>AND('boilerplate specs'!#REF!,"AAAAAGv//0o=")</f>
        <v>#REF!</v>
      </c>
      <c r="BX40" t="e">
        <f>AND('boilerplate specs'!#REF!,"AAAAAGv//0s=")</f>
        <v>#REF!</v>
      </c>
      <c r="BY40" t="e">
        <f>AND('boilerplate specs'!#REF!,"AAAAAGv//0w=")</f>
        <v>#REF!</v>
      </c>
      <c r="BZ40" t="e">
        <f>AND('boilerplate specs'!#REF!,"AAAAAGv//00=")</f>
        <v>#REF!</v>
      </c>
      <c r="CA40" t="e">
        <f>AND('boilerplate specs'!#REF!,"AAAAAGv//04=")</f>
        <v>#REF!</v>
      </c>
      <c r="CB40" t="e">
        <f>AND('boilerplate specs'!#REF!,"AAAAAGv//08=")</f>
        <v>#REF!</v>
      </c>
      <c r="CC40" t="e">
        <f>AND('boilerplate specs'!#REF!,"AAAAAGv//1A=")</f>
        <v>#REF!</v>
      </c>
      <c r="CD40" t="e">
        <f>AND('boilerplate specs'!#REF!,"AAAAAGv//1E=")</f>
        <v>#REF!</v>
      </c>
      <c r="CE40" t="e">
        <f>AND('boilerplate specs'!#REF!,"AAAAAGv//1I=")</f>
        <v>#REF!</v>
      </c>
      <c r="CF40" t="e">
        <f>AND('boilerplate specs'!#REF!,"AAAAAGv//1M=")</f>
        <v>#REF!</v>
      </c>
      <c r="CG40" t="e">
        <f>AND('boilerplate specs'!#REF!,"AAAAAGv//1Q=")</f>
        <v>#REF!</v>
      </c>
      <c r="CH40" t="e">
        <f>AND('boilerplate specs'!#REF!,"AAAAAGv//1U=")</f>
        <v>#REF!</v>
      </c>
      <c r="CI40" t="e">
        <f>AND('boilerplate specs'!#REF!,"AAAAAGv//1Y=")</f>
        <v>#REF!</v>
      </c>
      <c r="CJ40" t="e">
        <f>AND('boilerplate specs'!#REF!,"AAAAAGv//1c=")</f>
        <v>#REF!</v>
      </c>
      <c r="CK40" t="e">
        <f>AND('boilerplate specs'!#REF!,"AAAAAGv//1g=")</f>
        <v>#REF!</v>
      </c>
      <c r="CL40" t="e">
        <f>AND('boilerplate specs'!#REF!,"AAAAAGv//1k=")</f>
        <v>#REF!</v>
      </c>
      <c r="CM40" t="e">
        <f>AND('boilerplate specs'!#REF!,"AAAAAGv//1o=")</f>
        <v>#REF!</v>
      </c>
      <c r="CN40" t="e">
        <f>AND('boilerplate specs'!#REF!,"AAAAAGv//1s=")</f>
        <v>#REF!</v>
      </c>
      <c r="CO40" t="e">
        <f>AND('boilerplate specs'!#REF!,"AAAAAGv//1w=")</f>
        <v>#REF!</v>
      </c>
      <c r="CP40" t="e">
        <f>AND('boilerplate specs'!#REF!,"AAAAAGv//10=")</f>
        <v>#REF!</v>
      </c>
      <c r="CQ40">
        <f>IF('boilerplate specs'!245:245,"AAAAAGv//14=",0)</f>
        <v>0</v>
      </c>
      <c r="CR40" t="e">
        <f>AND('boilerplate specs'!A245,"AAAAAGv//18=")</f>
        <v>#VALUE!</v>
      </c>
      <c r="CS40" t="e">
        <f>AND('boilerplate specs'!B245,"AAAAAGv//2A=")</f>
        <v>#VALUE!</v>
      </c>
      <c r="CT40" t="e">
        <f>AND('boilerplate specs'!C245,"AAAAAGv//2E=")</f>
        <v>#VALUE!</v>
      </c>
      <c r="CU40" t="e">
        <f>AND('boilerplate specs'!D245,"AAAAAGv//2I=")</f>
        <v>#VALUE!</v>
      </c>
      <c r="CV40" t="e">
        <f>AND('boilerplate specs'!E245,"AAAAAGv//2M=")</f>
        <v>#VALUE!</v>
      </c>
      <c r="CW40" t="e">
        <f>AND('boilerplate specs'!F245,"AAAAAGv//2Q=")</f>
        <v>#VALUE!</v>
      </c>
      <c r="CX40" t="e">
        <f>AND('boilerplate specs'!G245,"AAAAAGv//2U=")</f>
        <v>#VALUE!</v>
      </c>
      <c r="CY40" t="e">
        <f>AND('boilerplate specs'!H245,"AAAAAGv//2Y=")</f>
        <v>#VALUE!</v>
      </c>
      <c r="CZ40" t="e">
        <f>AND('boilerplate specs'!I245,"AAAAAGv//2c=")</f>
        <v>#VALUE!</v>
      </c>
      <c r="DA40" t="e">
        <f>AND('boilerplate specs'!J245,"AAAAAGv//2g=")</f>
        <v>#VALUE!</v>
      </c>
      <c r="DB40" t="e">
        <f>AND('boilerplate specs'!#REF!,"AAAAAGv//2k=")</f>
        <v>#REF!</v>
      </c>
      <c r="DC40" t="e">
        <f>AND('boilerplate specs'!#REF!,"AAAAAGv//2o=")</f>
        <v>#REF!</v>
      </c>
      <c r="DD40" t="e">
        <f>AND('boilerplate specs'!#REF!,"AAAAAGv//2s=")</f>
        <v>#REF!</v>
      </c>
      <c r="DE40" t="e">
        <f>AND('boilerplate specs'!#REF!,"AAAAAGv//2w=")</f>
        <v>#REF!</v>
      </c>
      <c r="DF40" t="e">
        <f>AND('boilerplate specs'!#REF!,"AAAAAGv//20=")</f>
        <v>#REF!</v>
      </c>
      <c r="DG40" t="e">
        <f>AND('boilerplate specs'!#REF!,"AAAAAGv//24=")</f>
        <v>#REF!</v>
      </c>
      <c r="DH40" t="e">
        <f>AND('boilerplate specs'!#REF!,"AAAAAGv//28=")</f>
        <v>#REF!</v>
      </c>
      <c r="DI40" t="e">
        <f>AND('boilerplate specs'!#REF!,"AAAAAGv//3A=")</f>
        <v>#REF!</v>
      </c>
      <c r="DJ40" t="e">
        <f>AND('boilerplate specs'!#REF!,"AAAAAGv//3E=")</f>
        <v>#REF!</v>
      </c>
      <c r="DK40" t="e">
        <f>AND('boilerplate specs'!#REF!,"AAAAAGv//3I=")</f>
        <v>#REF!</v>
      </c>
      <c r="DL40" t="e">
        <f>AND('boilerplate specs'!#REF!,"AAAAAGv//3M=")</f>
        <v>#REF!</v>
      </c>
      <c r="DM40" t="e">
        <f>AND('boilerplate specs'!#REF!,"AAAAAGv//3Q=")</f>
        <v>#REF!</v>
      </c>
      <c r="DN40" t="e">
        <f>AND('boilerplate specs'!#REF!,"AAAAAGv//3U=")</f>
        <v>#REF!</v>
      </c>
      <c r="DO40" t="e">
        <f>AND('boilerplate specs'!#REF!,"AAAAAGv//3Y=")</f>
        <v>#REF!</v>
      </c>
      <c r="DP40" t="e">
        <f>AND('boilerplate specs'!#REF!,"AAAAAGv//3c=")</f>
        <v>#REF!</v>
      </c>
      <c r="DQ40" t="e">
        <f>AND('boilerplate specs'!#REF!,"AAAAAGv//3g=")</f>
        <v>#REF!</v>
      </c>
      <c r="DR40" t="e">
        <f>AND('boilerplate specs'!#REF!,"AAAAAGv//3k=")</f>
        <v>#REF!</v>
      </c>
      <c r="DS40" t="e">
        <f>AND('boilerplate specs'!#REF!,"AAAAAGv//3o=")</f>
        <v>#REF!</v>
      </c>
      <c r="DT40" t="e">
        <f>AND('boilerplate specs'!#REF!,"AAAAAGv//3s=")</f>
        <v>#REF!</v>
      </c>
      <c r="DU40" t="e">
        <f>AND('boilerplate specs'!#REF!,"AAAAAGv//3w=")</f>
        <v>#REF!</v>
      </c>
      <c r="DV40" t="e">
        <f>AND('boilerplate specs'!#REF!,"AAAAAGv//30=")</f>
        <v>#REF!</v>
      </c>
      <c r="DW40" t="e">
        <f>AND('boilerplate specs'!#REF!,"AAAAAGv//34=")</f>
        <v>#REF!</v>
      </c>
      <c r="DX40">
        <f>IF('boilerplate specs'!246:246,"AAAAAGv//38=",0)</f>
        <v>0</v>
      </c>
      <c r="DY40" t="e">
        <f>AND('boilerplate specs'!A246,"AAAAAGv//4A=")</f>
        <v>#VALUE!</v>
      </c>
      <c r="DZ40" t="e">
        <f>AND('boilerplate specs'!B246,"AAAAAGv//4E=")</f>
        <v>#VALUE!</v>
      </c>
      <c r="EA40" t="e">
        <f>AND('boilerplate specs'!C246,"AAAAAGv//4I=")</f>
        <v>#VALUE!</v>
      </c>
      <c r="EB40" t="e">
        <f>AND('boilerplate specs'!D246,"AAAAAGv//4M=")</f>
        <v>#VALUE!</v>
      </c>
      <c r="EC40" t="e">
        <f>AND('boilerplate specs'!E246,"AAAAAGv//4Q=")</f>
        <v>#VALUE!</v>
      </c>
      <c r="ED40" t="e">
        <f>AND('boilerplate specs'!F246,"AAAAAGv//4U=")</f>
        <v>#VALUE!</v>
      </c>
      <c r="EE40" t="e">
        <f>AND('boilerplate specs'!G246,"AAAAAGv//4Y=")</f>
        <v>#VALUE!</v>
      </c>
      <c r="EF40" t="e">
        <f>AND('boilerplate specs'!H246,"AAAAAGv//4c=")</f>
        <v>#VALUE!</v>
      </c>
      <c r="EG40" t="e">
        <f>AND('boilerplate specs'!I246,"AAAAAGv//4g=")</f>
        <v>#VALUE!</v>
      </c>
      <c r="EH40" t="e">
        <f>AND('boilerplate specs'!J246,"AAAAAGv//4k=")</f>
        <v>#VALUE!</v>
      </c>
      <c r="EI40" t="e">
        <f>AND('boilerplate specs'!#REF!,"AAAAAGv//4o=")</f>
        <v>#REF!</v>
      </c>
      <c r="EJ40" t="e">
        <f>AND('boilerplate specs'!#REF!,"AAAAAGv//4s=")</f>
        <v>#REF!</v>
      </c>
      <c r="EK40" t="e">
        <f>AND('boilerplate specs'!#REF!,"AAAAAGv//4w=")</f>
        <v>#REF!</v>
      </c>
      <c r="EL40" t="e">
        <f>AND('boilerplate specs'!#REF!,"AAAAAGv//40=")</f>
        <v>#REF!</v>
      </c>
      <c r="EM40" t="e">
        <f>AND('boilerplate specs'!#REF!,"AAAAAGv//44=")</f>
        <v>#REF!</v>
      </c>
      <c r="EN40" t="e">
        <f>AND('boilerplate specs'!#REF!,"AAAAAGv//48=")</f>
        <v>#REF!</v>
      </c>
      <c r="EO40" t="e">
        <f>AND('boilerplate specs'!#REF!,"AAAAAGv//5A=")</f>
        <v>#REF!</v>
      </c>
      <c r="EP40" t="e">
        <f>AND('boilerplate specs'!#REF!,"AAAAAGv//5E=")</f>
        <v>#REF!</v>
      </c>
      <c r="EQ40" t="e">
        <f>AND('boilerplate specs'!#REF!,"AAAAAGv//5I=")</f>
        <v>#REF!</v>
      </c>
      <c r="ER40" t="e">
        <f>AND('boilerplate specs'!#REF!,"AAAAAGv//5M=")</f>
        <v>#REF!</v>
      </c>
      <c r="ES40" t="e">
        <f>AND('boilerplate specs'!#REF!,"AAAAAGv//5Q=")</f>
        <v>#REF!</v>
      </c>
      <c r="ET40" t="e">
        <f>AND('boilerplate specs'!#REF!,"AAAAAGv//5U=")</f>
        <v>#REF!</v>
      </c>
      <c r="EU40" t="e">
        <f>AND('boilerplate specs'!#REF!,"AAAAAGv//5Y=")</f>
        <v>#REF!</v>
      </c>
      <c r="EV40" t="e">
        <f>AND('boilerplate specs'!#REF!,"AAAAAGv//5c=")</f>
        <v>#REF!</v>
      </c>
      <c r="EW40" t="e">
        <f>AND('boilerplate specs'!#REF!,"AAAAAGv//5g=")</f>
        <v>#REF!</v>
      </c>
      <c r="EX40" t="e">
        <f>AND('boilerplate specs'!#REF!,"AAAAAGv//5k=")</f>
        <v>#REF!</v>
      </c>
      <c r="EY40" t="e">
        <f>AND('boilerplate specs'!#REF!,"AAAAAGv//5o=")</f>
        <v>#REF!</v>
      </c>
      <c r="EZ40" t="e">
        <f>AND('boilerplate specs'!#REF!,"AAAAAGv//5s=")</f>
        <v>#REF!</v>
      </c>
      <c r="FA40" t="e">
        <f>AND('boilerplate specs'!#REF!,"AAAAAGv//5w=")</f>
        <v>#REF!</v>
      </c>
      <c r="FB40" t="e">
        <f>AND('boilerplate specs'!#REF!,"AAAAAGv//50=")</f>
        <v>#REF!</v>
      </c>
      <c r="FC40" t="e">
        <f>AND('boilerplate specs'!#REF!,"AAAAAGv//54=")</f>
        <v>#REF!</v>
      </c>
      <c r="FD40" t="e">
        <f>AND('boilerplate specs'!#REF!,"AAAAAGv//58=")</f>
        <v>#REF!</v>
      </c>
      <c r="FE40">
        <f>IF('boilerplate specs'!247:247,"AAAAAGv//6A=",0)</f>
        <v>0</v>
      </c>
      <c r="FF40" t="e">
        <f>AND('boilerplate specs'!A247,"AAAAAGv//6E=")</f>
        <v>#VALUE!</v>
      </c>
      <c r="FG40" t="e">
        <f>AND('boilerplate specs'!B247,"AAAAAGv//6I=")</f>
        <v>#VALUE!</v>
      </c>
      <c r="FH40" t="e">
        <f>AND('boilerplate specs'!C247,"AAAAAGv//6M=")</f>
        <v>#VALUE!</v>
      </c>
      <c r="FI40" t="e">
        <f>AND('boilerplate specs'!D247,"AAAAAGv//6Q=")</f>
        <v>#VALUE!</v>
      </c>
      <c r="FJ40" t="e">
        <f>AND('boilerplate specs'!E247,"AAAAAGv//6U=")</f>
        <v>#VALUE!</v>
      </c>
      <c r="FK40" t="e">
        <f>AND('boilerplate specs'!F247,"AAAAAGv//6Y=")</f>
        <v>#VALUE!</v>
      </c>
      <c r="FL40" t="e">
        <f>AND('boilerplate specs'!G247,"AAAAAGv//6c=")</f>
        <v>#VALUE!</v>
      </c>
      <c r="FM40" t="e">
        <f>AND('boilerplate specs'!H247,"AAAAAGv//6g=")</f>
        <v>#VALUE!</v>
      </c>
      <c r="FN40" t="e">
        <f>AND('boilerplate specs'!I247,"AAAAAGv//6k=")</f>
        <v>#VALUE!</v>
      </c>
      <c r="FO40" t="e">
        <f>AND('boilerplate specs'!J247,"AAAAAGv//6o=")</f>
        <v>#VALUE!</v>
      </c>
      <c r="FP40" t="e">
        <f>AND('boilerplate specs'!#REF!,"AAAAAGv//6s=")</f>
        <v>#REF!</v>
      </c>
      <c r="FQ40" t="e">
        <f>AND('boilerplate specs'!#REF!,"AAAAAGv//6w=")</f>
        <v>#REF!</v>
      </c>
      <c r="FR40" t="e">
        <f>AND('boilerplate specs'!#REF!,"AAAAAGv//60=")</f>
        <v>#REF!</v>
      </c>
      <c r="FS40" t="e">
        <f>AND('boilerplate specs'!#REF!,"AAAAAGv//64=")</f>
        <v>#REF!</v>
      </c>
      <c r="FT40" t="e">
        <f>AND('boilerplate specs'!#REF!,"AAAAAGv//68=")</f>
        <v>#REF!</v>
      </c>
      <c r="FU40" t="e">
        <f>AND('boilerplate specs'!#REF!,"AAAAAGv//7A=")</f>
        <v>#REF!</v>
      </c>
      <c r="FV40" t="e">
        <f>AND('boilerplate specs'!#REF!,"AAAAAGv//7E=")</f>
        <v>#REF!</v>
      </c>
      <c r="FW40" t="e">
        <f>AND('boilerplate specs'!#REF!,"AAAAAGv//7I=")</f>
        <v>#REF!</v>
      </c>
      <c r="FX40" t="e">
        <f>AND('boilerplate specs'!#REF!,"AAAAAGv//7M=")</f>
        <v>#REF!</v>
      </c>
      <c r="FY40" t="e">
        <f>AND('boilerplate specs'!#REF!,"AAAAAGv//7Q=")</f>
        <v>#REF!</v>
      </c>
      <c r="FZ40" t="e">
        <f>AND('boilerplate specs'!#REF!,"AAAAAGv//7U=")</f>
        <v>#REF!</v>
      </c>
      <c r="GA40" t="e">
        <f>AND('boilerplate specs'!#REF!,"AAAAAGv//7Y=")</f>
        <v>#REF!</v>
      </c>
      <c r="GB40" t="e">
        <f>AND('boilerplate specs'!#REF!,"AAAAAGv//7c=")</f>
        <v>#REF!</v>
      </c>
      <c r="GC40" t="e">
        <f>AND('boilerplate specs'!#REF!,"AAAAAGv//7g=")</f>
        <v>#REF!</v>
      </c>
      <c r="GD40" t="e">
        <f>AND('boilerplate specs'!#REF!,"AAAAAGv//7k=")</f>
        <v>#REF!</v>
      </c>
      <c r="GE40" t="e">
        <f>AND('boilerplate specs'!#REF!,"AAAAAGv//7o=")</f>
        <v>#REF!</v>
      </c>
      <c r="GF40" t="e">
        <f>AND('boilerplate specs'!#REF!,"AAAAAGv//7s=")</f>
        <v>#REF!</v>
      </c>
      <c r="GG40" t="e">
        <f>AND('boilerplate specs'!#REF!,"AAAAAGv//7w=")</f>
        <v>#REF!</v>
      </c>
      <c r="GH40" t="e">
        <f>AND('boilerplate specs'!#REF!,"AAAAAGv//70=")</f>
        <v>#REF!</v>
      </c>
      <c r="GI40" t="e">
        <f>AND('boilerplate specs'!#REF!,"AAAAAGv//74=")</f>
        <v>#REF!</v>
      </c>
      <c r="GJ40" t="e">
        <f>AND('boilerplate specs'!#REF!,"AAAAAGv//78=")</f>
        <v>#REF!</v>
      </c>
      <c r="GK40" t="e">
        <f>AND('boilerplate specs'!#REF!,"AAAAAGv//8A=")</f>
        <v>#REF!</v>
      </c>
      <c r="GL40">
        <f>IF('boilerplate specs'!248:248,"AAAAAGv//8E=",0)</f>
        <v>0</v>
      </c>
      <c r="GM40" t="e">
        <f>AND('boilerplate specs'!A248,"AAAAAGv//8I=")</f>
        <v>#VALUE!</v>
      </c>
      <c r="GN40" t="e">
        <f>AND('boilerplate specs'!B248,"AAAAAGv//8M=")</f>
        <v>#VALUE!</v>
      </c>
      <c r="GO40" t="e">
        <f>AND('boilerplate specs'!C248,"AAAAAGv//8Q=")</f>
        <v>#VALUE!</v>
      </c>
      <c r="GP40" t="e">
        <f>AND('boilerplate specs'!D248,"AAAAAGv//8U=")</f>
        <v>#VALUE!</v>
      </c>
      <c r="GQ40" t="e">
        <f>AND('boilerplate specs'!E248,"AAAAAGv//8Y=")</f>
        <v>#VALUE!</v>
      </c>
      <c r="GR40" t="e">
        <f>AND('boilerplate specs'!F248,"AAAAAGv//8c=")</f>
        <v>#VALUE!</v>
      </c>
      <c r="GS40" t="e">
        <f>AND('boilerplate specs'!G248,"AAAAAGv//8g=")</f>
        <v>#VALUE!</v>
      </c>
      <c r="GT40" t="e">
        <f>AND('boilerplate specs'!H248,"AAAAAGv//8k=")</f>
        <v>#VALUE!</v>
      </c>
      <c r="GU40" t="e">
        <f>AND('boilerplate specs'!I248,"AAAAAGv//8o=")</f>
        <v>#VALUE!</v>
      </c>
      <c r="GV40" t="e">
        <f>AND('boilerplate specs'!J248,"AAAAAGv//8s=")</f>
        <v>#VALUE!</v>
      </c>
      <c r="GW40" t="e">
        <f>AND('boilerplate specs'!#REF!,"AAAAAGv//8w=")</f>
        <v>#REF!</v>
      </c>
      <c r="GX40" t="e">
        <f>AND('boilerplate specs'!#REF!,"AAAAAGv//80=")</f>
        <v>#REF!</v>
      </c>
      <c r="GY40" t="e">
        <f>AND('boilerplate specs'!#REF!,"AAAAAGv//84=")</f>
        <v>#REF!</v>
      </c>
      <c r="GZ40" t="e">
        <f>AND('boilerplate specs'!#REF!,"AAAAAGv//88=")</f>
        <v>#REF!</v>
      </c>
      <c r="HA40" t="e">
        <f>AND('boilerplate specs'!#REF!,"AAAAAGv//9A=")</f>
        <v>#REF!</v>
      </c>
      <c r="HB40" t="e">
        <f>AND('boilerplate specs'!#REF!,"AAAAAGv//9E=")</f>
        <v>#REF!</v>
      </c>
      <c r="HC40" t="e">
        <f>AND('boilerplate specs'!#REF!,"AAAAAGv//9I=")</f>
        <v>#REF!</v>
      </c>
      <c r="HD40" t="e">
        <f>AND('boilerplate specs'!#REF!,"AAAAAGv//9M=")</f>
        <v>#REF!</v>
      </c>
      <c r="HE40" t="e">
        <f>AND('boilerplate specs'!#REF!,"AAAAAGv//9Q=")</f>
        <v>#REF!</v>
      </c>
      <c r="HF40" t="e">
        <f>AND('boilerplate specs'!#REF!,"AAAAAGv//9U=")</f>
        <v>#REF!</v>
      </c>
      <c r="HG40" t="e">
        <f>AND('boilerplate specs'!#REF!,"AAAAAGv//9Y=")</f>
        <v>#REF!</v>
      </c>
      <c r="HH40" t="e">
        <f>AND('boilerplate specs'!#REF!,"AAAAAGv//9c=")</f>
        <v>#REF!</v>
      </c>
      <c r="HI40" t="e">
        <f>AND('boilerplate specs'!#REF!,"AAAAAGv//9g=")</f>
        <v>#REF!</v>
      </c>
      <c r="HJ40" t="e">
        <f>AND('boilerplate specs'!#REF!,"AAAAAGv//9k=")</f>
        <v>#REF!</v>
      </c>
      <c r="HK40" t="e">
        <f>AND('boilerplate specs'!#REF!,"AAAAAGv//9o=")</f>
        <v>#REF!</v>
      </c>
      <c r="HL40" t="e">
        <f>AND('boilerplate specs'!#REF!,"AAAAAGv//9s=")</f>
        <v>#REF!</v>
      </c>
      <c r="HM40" t="e">
        <f>AND('boilerplate specs'!#REF!,"AAAAAGv//9w=")</f>
        <v>#REF!</v>
      </c>
      <c r="HN40" t="e">
        <f>AND('boilerplate specs'!#REF!,"AAAAAGv//90=")</f>
        <v>#REF!</v>
      </c>
      <c r="HO40" t="e">
        <f>AND('boilerplate specs'!#REF!,"AAAAAGv//94=")</f>
        <v>#REF!</v>
      </c>
      <c r="HP40" t="e">
        <f>AND('boilerplate specs'!#REF!,"AAAAAGv//98=")</f>
        <v>#REF!</v>
      </c>
      <c r="HQ40" t="e">
        <f>AND('boilerplate specs'!#REF!,"AAAAAGv//+A=")</f>
        <v>#REF!</v>
      </c>
      <c r="HR40" t="e">
        <f>AND('boilerplate specs'!#REF!,"AAAAAGv//+E=")</f>
        <v>#REF!</v>
      </c>
      <c r="HS40">
        <f>IF('boilerplate specs'!249:249,"AAAAAGv//+I=",0)</f>
        <v>0</v>
      </c>
      <c r="HT40" t="e">
        <f>AND('boilerplate specs'!A249,"AAAAAGv//+M=")</f>
        <v>#VALUE!</v>
      </c>
      <c r="HU40" t="e">
        <f>AND('boilerplate specs'!B249,"AAAAAGv//+Q=")</f>
        <v>#VALUE!</v>
      </c>
      <c r="HV40" t="e">
        <f>AND('boilerplate specs'!C249,"AAAAAGv//+U=")</f>
        <v>#VALUE!</v>
      </c>
      <c r="HW40" t="e">
        <f>AND('boilerplate specs'!D249,"AAAAAGv//+Y=")</f>
        <v>#VALUE!</v>
      </c>
      <c r="HX40" t="e">
        <f>AND('boilerplate specs'!E249,"AAAAAGv//+c=")</f>
        <v>#VALUE!</v>
      </c>
      <c r="HY40" t="e">
        <f>AND('boilerplate specs'!F249,"AAAAAGv//+g=")</f>
        <v>#VALUE!</v>
      </c>
      <c r="HZ40" t="e">
        <f>AND('boilerplate specs'!G249,"AAAAAGv//+k=")</f>
        <v>#VALUE!</v>
      </c>
      <c r="IA40" t="e">
        <f>AND('boilerplate specs'!H249,"AAAAAGv//+o=")</f>
        <v>#VALUE!</v>
      </c>
      <c r="IB40" t="e">
        <f>AND('boilerplate specs'!I249,"AAAAAGv//+s=")</f>
        <v>#VALUE!</v>
      </c>
      <c r="IC40" t="e">
        <f>AND('boilerplate specs'!J249,"AAAAAGv//+w=")</f>
        <v>#VALUE!</v>
      </c>
      <c r="ID40" t="e">
        <f>AND('boilerplate specs'!#REF!,"AAAAAGv//+0=")</f>
        <v>#REF!</v>
      </c>
      <c r="IE40" t="e">
        <f>AND('boilerplate specs'!#REF!,"AAAAAGv//+4=")</f>
        <v>#REF!</v>
      </c>
      <c r="IF40" t="e">
        <f>AND('boilerplate specs'!#REF!,"AAAAAGv//+8=")</f>
        <v>#REF!</v>
      </c>
      <c r="IG40" t="e">
        <f>AND('boilerplate specs'!#REF!,"AAAAAGv///A=")</f>
        <v>#REF!</v>
      </c>
      <c r="IH40" t="e">
        <f>AND('boilerplate specs'!#REF!,"AAAAAGv///E=")</f>
        <v>#REF!</v>
      </c>
      <c r="II40" t="e">
        <f>AND('boilerplate specs'!#REF!,"AAAAAGv///I=")</f>
        <v>#REF!</v>
      </c>
      <c r="IJ40" t="e">
        <f>AND('boilerplate specs'!#REF!,"AAAAAGv///M=")</f>
        <v>#REF!</v>
      </c>
      <c r="IK40" t="e">
        <f>AND('boilerplate specs'!#REF!,"AAAAAGv///Q=")</f>
        <v>#REF!</v>
      </c>
      <c r="IL40" t="e">
        <f>AND('boilerplate specs'!#REF!,"AAAAAGv///U=")</f>
        <v>#REF!</v>
      </c>
      <c r="IM40" t="e">
        <f>AND('boilerplate specs'!#REF!,"AAAAAGv///Y=")</f>
        <v>#REF!</v>
      </c>
      <c r="IN40" t="e">
        <f>AND('boilerplate specs'!#REF!,"AAAAAGv///c=")</f>
        <v>#REF!</v>
      </c>
      <c r="IO40" t="e">
        <f>AND('boilerplate specs'!#REF!,"AAAAAGv///g=")</f>
        <v>#REF!</v>
      </c>
      <c r="IP40" t="e">
        <f>AND('boilerplate specs'!#REF!,"AAAAAGv///k=")</f>
        <v>#REF!</v>
      </c>
      <c r="IQ40" t="e">
        <f>AND('boilerplate specs'!#REF!,"AAAAAGv///o=")</f>
        <v>#REF!</v>
      </c>
      <c r="IR40" t="e">
        <f>AND('boilerplate specs'!#REF!,"AAAAAGv///s=")</f>
        <v>#REF!</v>
      </c>
      <c r="IS40" t="e">
        <f>AND('boilerplate specs'!#REF!,"AAAAAGv///w=")</f>
        <v>#REF!</v>
      </c>
      <c r="IT40" t="e">
        <f>AND('boilerplate specs'!#REF!,"AAAAAGv///0=")</f>
        <v>#REF!</v>
      </c>
      <c r="IU40" t="e">
        <f>AND('boilerplate specs'!#REF!,"AAAAAGv///4=")</f>
        <v>#REF!</v>
      </c>
      <c r="IV40" t="e">
        <f>AND('boilerplate specs'!#REF!,"AAAAAGv///8=")</f>
        <v>#REF!</v>
      </c>
    </row>
    <row r="41" spans="1:256" x14ac:dyDescent="0.35">
      <c r="A41" t="e">
        <f>AND('boilerplate specs'!#REF!,"AAAAAHfvvwA=")</f>
        <v>#REF!</v>
      </c>
      <c r="B41" t="e">
        <f>AND('boilerplate specs'!#REF!,"AAAAAHfvvwE=")</f>
        <v>#REF!</v>
      </c>
      <c r="C41" t="e">
        <f>AND('boilerplate specs'!#REF!,"AAAAAHfvvwI=")</f>
        <v>#REF!</v>
      </c>
      <c r="D41" t="e">
        <f>IF('boilerplate specs'!250:250,"AAAAAHfvvwM=",0)</f>
        <v>#VALUE!</v>
      </c>
      <c r="E41" t="e">
        <f>AND('boilerplate specs'!A250,"AAAAAHfvvwQ=")</f>
        <v>#VALUE!</v>
      </c>
      <c r="F41" t="e">
        <f>AND('boilerplate specs'!B250,"AAAAAHfvvwU=")</f>
        <v>#VALUE!</v>
      </c>
      <c r="G41" t="e">
        <f>AND('boilerplate specs'!C250,"AAAAAHfvvwY=")</f>
        <v>#VALUE!</v>
      </c>
      <c r="H41" t="e">
        <f>AND('boilerplate specs'!D250,"AAAAAHfvvwc=")</f>
        <v>#VALUE!</v>
      </c>
      <c r="I41" t="e">
        <f>AND('boilerplate specs'!E250,"AAAAAHfvvwg=")</f>
        <v>#VALUE!</v>
      </c>
      <c r="J41" t="e">
        <f>AND('boilerplate specs'!F250,"AAAAAHfvvwk=")</f>
        <v>#VALUE!</v>
      </c>
      <c r="K41" t="e">
        <f>AND('boilerplate specs'!G250,"AAAAAHfvvwo=")</f>
        <v>#VALUE!</v>
      </c>
      <c r="L41" t="e">
        <f>AND('boilerplate specs'!H250,"AAAAAHfvvws=")</f>
        <v>#VALUE!</v>
      </c>
      <c r="M41" t="e">
        <f>AND('boilerplate specs'!I250,"AAAAAHfvvww=")</f>
        <v>#VALUE!</v>
      </c>
      <c r="N41" t="e">
        <f>AND('boilerplate specs'!J250,"AAAAAHfvvw0=")</f>
        <v>#VALUE!</v>
      </c>
      <c r="O41" t="e">
        <f>AND('boilerplate specs'!#REF!,"AAAAAHfvvw4=")</f>
        <v>#REF!</v>
      </c>
      <c r="P41" t="e">
        <f>AND('boilerplate specs'!#REF!,"AAAAAHfvvw8=")</f>
        <v>#REF!</v>
      </c>
      <c r="Q41" t="e">
        <f>AND('boilerplate specs'!#REF!,"AAAAAHfvvxA=")</f>
        <v>#REF!</v>
      </c>
      <c r="R41" t="e">
        <f>AND('boilerplate specs'!#REF!,"AAAAAHfvvxE=")</f>
        <v>#REF!</v>
      </c>
      <c r="S41" t="e">
        <f>AND('boilerplate specs'!#REF!,"AAAAAHfvvxI=")</f>
        <v>#REF!</v>
      </c>
      <c r="T41" t="e">
        <f>AND('boilerplate specs'!#REF!,"AAAAAHfvvxM=")</f>
        <v>#REF!</v>
      </c>
      <c r="U41" t="e">
        <f>AND('boilerplate specs'!#REF!,"AAAAAHfvvxQ=")</f>
        <v>#REF!</v>
      </c>
      <c r="V41" t="e">
        <f>AND('boilerplate specs'!#REF!,"AAAAAHfvvxU=")</f>
        <v>#REF!</v>
      </c>
      <c r="W41" t="e">
        <f>AND('boilerplate specs'!#REF!,"AAAAAHfvvxY=")</f>
        <v>#REF!</v>
      </c>
      <c r="X41" t="e">
        <f>AND('boilerplate specs'!#REF!,"AAAAAHfvvxc=")</f>
        <v>#REF!</v>
      </c>
      <c r="Y41" t="e">
        <f>AND('boilerplate specs'!#REF!,"AAAAAHfvvxg=")</f>
        <v>#REF!</v>
      </c>
      <c r="Z41" t="e">
        <f>AND('boilerplate specs'!#REF!,"AAAAAHfvvxk=")</f>
        <v>#REF!</v>
      </c>
      <c r="AA41" t="e">
        <f>AND('boilerplate specs'!#REF!,"AAAAAHfvvxo=")</f>
        <v>#REF!</v>
      </c>
      <c r="AB41" t="e">
        <f>AND('boilerplate specs'!#REF!,"AAAAAHfvvxs=")</f>
        <v>#REF!</v>
      </c>
      <c r="AC41" t="e">
        <f>AND('boilerplate specs'!#REF!,"AAAAAHfvvxw=")</f>
        <v>#REF!</v>
      </c>
      <c r="AD41" t="e">
        <f>AND('boilerplate specs'!#REF!,"AAAAAHfvvx0=")</f>
        <v>#REF!</v>
      </c>
      <c r="AE41" t="e">
        <f>AND('boilerplate specs'!#REF!,"AAAAAHfvvx4=")</f>
        <v>#REF!</v>
      </c>
      <c r="AF41" t="e">
        <f>AND('boilerplate specs'!#REF!,"AAAAAHfvvx8=")</f>
        <v>#REF!</v>
      </c>
      <c r="AG41" t="e">
        <f>AND('boilerplate specs'!#REF!,"AAAAAHfvvyA=")</f>
        <v>#REF!</v>
      </c>
      <c r="AH41" t="e">
        <f>AND('boilerplate specs'!#REF!,"AAAAAHfvvyE=")</f>
        <v>#REF!</v>
      </c>
      <c r="AI41" t="e">
        <f>AND('boilerplate specs'!#REF!,"AAAAAHfvvyI=")</f>
        <v>#REF!</v>
      </c>
      <c r="AJ41" t="e">
        <f>AND('boilerplate specs'!#REF!,"AAAAAHfvvyM=")</f>
        <v>#REF!</v>
      </c>
      <c r="AK41">
        <f>IF('boilerplate specs'!251:251,"AAAAAHfvvyQ=",0)</f>
        <v>0</v>
      </c>
      <c r="AL41" t="e">
        <f>AND('boilerplate specs'!A251,"AAAAAHfvvyU=")</f>
        <v>#VALUE!</v>
      </c>
      <c r="AM41" t="e">
        <f>AND('boilerplate specs'!B251,"AAAAAHfvvyY=")</f>
        <v>#VALUE!</v>
      </c>
      <c r="AN41" t="e">
        <f>AND('boilerplate specs'!C251,"AAAAAHfvvyc=")</f>
        <v>#VALUE!</v>
      </c>
      <c r="AO41" t="e">
        <f>AND('boilerplate specs'!D251,"AAAAAHfvvyg=")</f>
        <v>#VALUE!</v>
      </c>
      <c r="AP41" t="e">
        <f>AND('boilerplate specs'!E251,"AAAAAHfvvyk=")</f>
        <v>#VALUE!</v>
      </c>
      <c r="AQ41" t="e">
        <f>AND('boilerplate specs'!F251,"AAAAAHfvvyo=")</f>
        <v>#VALUE!</v>
      </c>
      <c r="AR41" t="e">
        <f>AND('boilerplate specs'!G251,"AAAAAHfvvys=")</f>
        <v>#VALUE!</v>
      </c>
      <c r="AS41" t="e">
        <f>AND('boilerplate specs'!H251,"AAAAAHfvvyw=")</f>
        <v>#VALUE!</v>
      </c>
      <c r="AT41" t="e">
        <f>AND('boilerplate specs'!I251,"AAAAAHfvvy0=")</f>
        <v>#VALUE!</v>
      </c>
      <c r="AU41" t="e">
        <f>AND('boilerplate specs'!J251,"AAAAAHfvvy4=")</f>
        <v>#VALUE!</v>
      </c>
      <c r="AV41" t="e">
        <f>AND('boilerplate specs'!#REF!,"AAAAAHfvvy8=")</f>
        <v>#REF!</v>
      </c>
      <c r="AW41" t="e">
        <f>AND('boilerplate specs'!#REF!,"AAAAAHfvvzA=")</f>
        <v>#REF!</v>
      </c>
      <c r="AX41" t="e">
        <f>AND('boilerplate specs'!#REF!,"AAAAAHfvvzE=")</f>
        <v>#REF!</v>
      </c>
      <c r="AY41" t="e">
        <f>AND('boilerplate specs'!#REF!,"AAAAAHfvvzI=")</f>
        <v>#REF!</v>
      </c>
      <c r="AZ41" t="e">
        <f>AND('boilerplate specs'!#REF!,"AAAAAHfvvzM=")</f>
        <v>#REF!</v>
      </c>
      <c r="BA41" t="e">
        <f>AND('boilerplate specs'!#REF!,"AAAAAHfvvzQ=")</f>
        <v>#REF!</v>
      </c>
      <c r="BB41" t="e">
        <f>AND('boilerplate specs'!#REF!,"AAAAAHfvvzU=")</f>
        <v>#REF!</v>
      </c>
      <c r="BC41" t="e">
        <f>AND('boilerplate specs'!#REF!,"AAAAAHfvvzY=")</f>
        <v>#REF!</v>
      </c>
      <c r="BD41" t="e">
        <f>AND('boilerplate specs'!#REF!,"AAAAAHfvvzc=")</f>
        <v>#REF!</v>
      </c>
      <c r="BE41" t="e">
        <f>AND('boilerplate specs'!#REF!,"AAAAAHfvvzg=")</f>
        <v>#REF!</v>
      </c>
      <c r="BF41" t="e">
        <f>AND('boilerplate specs'!#REF!,"AAAAAHfvvzk=")</f>
        <v>#REF!</v>
      </c>
      <c r="BG41" t="e">
        <f>AND('boilerplate specs'!#REF!,"AAAAAHfvvzo=")</f>
        <v>#REF!</v>
      </c>
      <c r="BH41" t="e">
        <f>AND('boilerplate specs'!#REF!,"AAAAAHfvvzs=")</f>
        <v>#REF!</v>
      </c>
      <c r="BI41" t="e">
        <f>AND('boilerplate specs'!#REF!,"AAAAAHfvvzw=")</f>
        <v>#REF!</v>
      </c>
      <c r="BJ41" t="e">
        <f>AND('boilerplate specs'!#REF!,"AAAAAHfvvz0=")</f>
        <v>#REF!</v>
      </c>
      <c r="BK41" t="e">
        <f>AND('boilerplate specs'!#REF!,"AAAAAHfvvz4=")</f>
        <v>#REF!</v>
      </c>
      <c r="BL41" t="e">
        <f>AND('boilerplate specs'!#REF!,"AAAAAHfvvz8=")</f>
        <v>#REF!</v>
      </c>
      <c r="BM41" t="e">
        <f>AND('boilerplate specs'!#REF!,"AAAAAHfvv0A=")</f>
        <v>#REF!</v>
      </c>
      <c r="BN41" t="e">
        <f>AND('boilerplate specs'!#REF!,"AAAAAHfvv0E=")</f>
        <v>#REF!</v>
      </c>
      <c r="BO41" t="e">
        <f>AND('boilerplate specs'!#REF!,"AAAAAHfvv0I=")</f>
        <v>#REF!</v>
      </c>
      <c r="BP41" t="e">
        <f>AND('boilerplate specs'!#REF!,"AAAAAHfvv0M=")</f>
        <v>#REF!</v>
      </c>
      <c r="BQ41" t="e">
        <f>AND('boilerplate specs'!#REF!,"AAAAAHfvv0Q=")</f>
        <v>#REF!</v>
      </c>
      <c r="BR41">
        <f>IF('boilerplate specs'!252:252,"AAAAAHfvv0U=",0)</f>
        <v>0</v>
      </c>
      <c r="BS41" t="e">
        <f>AND('boilerplate specs'!A252,"AAAAAHfvv0Y=")</f>
        <v>#VALUE!</v>
      </c>
      <c r="BT41" t="e">
        <f>AND('boilerplate specs'!B252,"AAAAAHfvv0c=")</f>
        <v>#VALUE!</v>
      </c>
      <c r="BU41" t="e">
        <f>AND('boilerplate specs'!C252,"AAAAAHfvv0g=")</f>
        <v>#VALUE!</v>
      </c>
      <c r="BV41" t="e">
        <f>AND('boilerplate specs'!D252,"AAAAAHfvv0k=")</f>
        <v>#VALUE!</v>
      </c>
      <c r="BW41" t="e">
        <f>AND('boilerplate specs'!E252,"AAAAAHfvv0o=")</f>
        <v>#VALUE!</v>
      </c>
      <c r="BX41" t="e">
        <f>AND('boilerplate specs'!F252,"AAAAAHfvv0s=")</f>
        <v>#VALUE!</v>
      </c>
      <c r="BY41" t="e">
        <f>AND('boilerplate specs'!G252,"AAAAAHfvv0w=")</f>
        <v>#VALUE!</v>
      </c>
      <c r="BZ41" t="e">
        <f>AND('boilerplate specs'!H252,"AAAAAHfvv00=")</f>
        <v>#VALUE!</v>
      </c>
      <c r="CA41" t="e">
        <f>AND('boilerplate specs'!I252,"AAAAAHfvv04=")</f>
        <v>#VALUE!</v>
      </c>
      <c r="CB41" t="e">
        <f>AND('boilerplate specs'!J252,"AAAAAHfvv08=")</f>
        <v>#VALUE!</v>
      </c>
      <c r="CC41" t="e">
        <f>AND('boilerplate specs'!#REF!,"AAAAAHfvv1A=")</f>
        <v>#REF!</v>
      </c>
      <c r="CD41" t="e">
        <f>AND('boilerplate specs'!#REF!,"AAAAAHfvv1E=")</f>
        <v>#REF!</v>
      </c>
      <c r="CE41" t="e">
        <f>AND('boilerplate specs'!#REF!,"AAAAAHfvv1I=")</f>
        <v>#REF!</v>
      </c>
      <c r="CF41" t="e">
        <f>AND('boilerplate specs'!#REF!,"AAAAAHfvv1M=")</f>
        <v>#REF!</v>
      </c>
      <c r="CG41" t="e">
        <f>AND('boilerplate specs'!#REF!,"AAAAAHfvv1Q=")</f>
        <v>#REF!</v>
      </c>
      <c r="CH41" t="e">
        <f>AND('boilerplate specs'!#REF!,"AAAAAHfvv1U=")</f>
        <v>#REF!</v>
      </c>
      <c r="CI41" t="e">
        <f>AND('boilerplate specs'!#REF!,"AAAAAHfvv1Y=")</f>
        <v>#REF!</v>
      </c>
      <c r="CJ41" t="e">
        <f>AND('boilerplate specs'!#REF!,"AAAAAHfvv1c=")</f>
        <v>#REF!</v>
      </c>
      <c r="CK41" t="e">
        <f>AND('boilerplate specs'!#REF!,"AAAAAHfvv1g=")</f>
        <v>#REF!</v>
      </c>
      <c r="CL41" t="e">
        <f>AND('boilerplate specs'!#REF!,"AAAAAHfvv1k=")</f>
        <v>#REF!</v>
      </c>
      <c r="CM41" t="e">
        <f>AND('boilerplate specs'!#REF!,"AAAAAHfvv1o=")</f>
        <v>#REF!</v>
      </c>
      <c r="CN41" t="e">
        <f>AND('boilerplate specs'!#REF!,"AAAAAHfvv1s=")</f>
        <v>#REF!</v>
      </c>
      <c r="CO41" t="e">
        <f>AND('boilerplate specs'!#REF!,"AAAAAHfvv1w=")</f>
        <v>#REF!</v>
      </c>
      <c r="CP41" t="e">
        <f>AND('boilerplate specs'!#REF!,"AAAAAHfvv10=")</f>
        <v>#REF!</v>
      </c>
      <c r="CQ41" t="e">
        <f>AND('boilerplate specs'!#REF!,"AAAAAHfvv14=")</f>
        <v>#REF!</v>
      </c>
      <c r="CR41" t="e">
        <f>AND('boilerplate specs'!#REF!,"AAAAAHfvv18=")</f>
        <v>#REF!</v>
      </c>
      <c r="CS41" t="e">
        <f>AND('boilerplate specs'!#REF!,"AAAAAHfvv2A=")</f>
        <v>#REF!</v>
      </c>
      <c r="CT41" t="e">
        <f>AND('boilerplate specs'!#REF!,"AAAAAHfvv2E=")</f>
        <v>#REF!</v>
      </c>
      <c r="CU41" t="e">
        <f>AND('boilerplate specs'!#REF!,"AAAAAHfvv2I=")</f>
        <v>#REF!</v>
      </c>
      <c r="CV41" t="e">
        <f>AND('boilerplate specs'!#REF!,"AAAAAHfvv2M=")</f>
        <v>#REF!</v>
      </c>
      <c r="CW41" t="e">
        <f>AND('boilerplate specs'!#REF!,"AAAAAHfvv2Q=")</f>
        <v>#REF!</v>
      </c>
      <c r="CX41" t="e">
        <f>AND('boilerplate specs'!#REF!,"AAAAAHfvv2U=")</f>
        <v>#REF!</v>
      </c>
      <c r="CY41">
        <f>IF('boilerplate specs'!253:253,"AAAAAHfvv2Y=",0)</f>
        <v>0</v>
      </c>
      <c r="CZ41" t="e">
        <f>AND('boilerplate specs'!A253,"AAAAAHfvv2c=")</f>
        <v>#VALUE!</v>
      </c>
      <c r="DA41" t="e">
        <f>AND('boilerplate specs'!B253,"AAAAAHfvv2g=")</f>
        <v>#VALUE!</v>
      </c>
      <c r="DB41" t="e">
        <f>AND('boilerplate specs'!C253,"AAAAAHfvv2k=")</f>
        <v>#VALUE!</v>
      </c>
      <c r="DC41" t="e">
        <f>AND('boilerplate specs'!D253,"AAAAAHfvv2o=")</f>
        <v>#VALUE!</v>
      </c>
      <c r="DD41" t="e">
        <f>AND('boilerplate specs'!E253,"AAAAAHfvv2s=")</f>
        <v>#VALUE!</v>
      </c>
      <c r="DE41" t="e">
        <f>AND('boilerplate specs'!F253,"AAAAAHfvv2w=")</f>
        <v>#VALUE!</v>
      </c>
      <c r="DF41" t="e">
        <f>AND('boilerplate specs'!G253,"AAAAAHfvv20=")</f>
        <v>#VALUE!</v>
      </c>
      <c r="DG41" t="e">
        <f>AND('boilerplate specs'!H253,"AAAAAHfvv24=")</f>
        <v>#VALUE!</v>
      </c>
      <c r="DH41" t="e">
        <f>AND('boilerplate specs'!I253,"AAAAAHfvv28=")</f>
        <v>#VALUE!</v>
      </c>
      <c r="DI41" t="e">
        <f>AND('boilerplate specs'!J253,"AAAAAHfvv3A=")</f>
        <v>#VALUE!</v>
      </c>
      <c r="DJ41" t="e">
        <f>AND('boilerplate specs'!#REF!,"AAAAAHfvv3E=")</f>
        <v>#REF!</v>
      </c>
      <c r="DK41" t="e">
        <f>AND('boilerplate specs'!#REF!,"AAAAAHfvv3I=")</f>
        <v>#REF!</v>
      </c>
      <c r="DL41" t="e">
        <f>AND('boilerplate specs'!#REF!,"AAAAAHfvv3M=")</f>
        <v>#REF!</v>
      </c>
      <c r="DM41" t="e">
        <f>AND('boilerplate specs'!#REF!,"AAAAAHfvv3Q=")</f>
        <v>#REF!</v>
      </c>
      <c r="DN41" t="e">
        <f>AND('boilerplate specs'!#REF!,"AAAAAHfvv3U=")</f>
        <v>#REF!</v>
      </c>
      <c r="DO41" t="e">
        <f>AND('boilerplate specs'!#REF!,"AAAAAHfvv3Y=")</f>
        <v>#REF!</v>
      </c>
      <c r="DP41" t="e">
        <f>AND('boilerplate specs'!#REF!,"AAAAAHfvv3c=")</f>
        <v>#REF!</v>
      </c>
      <c r="DQ41" t="e">
        <f>AND('boilerplate specs'!#REF!,"AAAAAHfvv3g=")</f>
        <v>#REF!</v>
      </c>
      <c r="DR41" t="e">
        <f>AND('boilerplate specs'!#REF!,"AAAAAHfvv3k=")</f>
        <v>#REF!</v>
      </c>
      <c r="DS41" t="e">
        <f>AND('boilerplate specs'!#REF!,"AAAAAHfvv3o=")</f>
        <v>#REF!</v>
      </c>
      <c r="DT41" t="e">
        <f>AND('boilerplate specs'!#REF!,"AAAAAHfvv3s=")</f>
        <v>#REF!</v>
      </c>
      <c r="DU41" t="e">
        <f>AND('boilerplate specs'!#REF!,"AAAAAHfvv3w=")</f>
        <v>#REF!</v>
      </c>
      <c r="DV41" t="e">
        <f>AND('boilerplate specs'!#REF!,"AAAAAHfvv30=")</f>
        <v>#REF!</v>
      </c>
      <c r="DW41" t="e">
        <f>AND('boilerplate specs'!#REF!,"AAAAAHfvv34=")</f>
        <v>#REF!</v>
      </c>
      <c r="DX41" t="e">
        <f>AND('boilerplate specs'!#REF!,"AAAAAHfvv38=")</f>
        <v>#REF!</v>
      </c>
      <c r="DY41" t="e">
        <f>AND('boilerplate specs'!#REF!,"AAAAAHfvv4A=")</f>
        <v>#REF!</v>
      </c>
      <c r="DZ41" t="e">
        <f>AND('boilerplate specs'!#REF!,"AAAAAHfvv4E=")</f>
        <v>#REF!</v>
      </c>
      <c r="EA41" t="e">
        <f>AND('boilerplate specs'!#REF!,"AAAAAHfvv4I=")</f>
        <v>#REF!</v>
      </c>
      <c r="EB41" t="e">
        <f>AND('boilerplate specs'!#REF!,"AAAAAHfvv4M=")</f>
        <v>#REF!</v>
      </c>
      <c r="EC41" t="e">
        <f>AND('boilerplate specs'!#REF!,"AAAAAHfvv4Q=")</f>
        <v>#REF!</v>
      </c>
      <c r="ED41" t="e">
        <f>AND('boilerplate specs'!#REF!,"AAAAAHfvv4U=")</f>
        <v>#REF!</v>
      </c>
      <c r="EE41" t="e">
        <f>AND('boilerplate specs'!#REF!,"AAAAAHfvv4Y=")</f>
        <v>#REF!</v>
      </c>
      <c r="EF41">
        <f>IF('boilerplate specs'!254:254,"AAAAAHfvv4c=",0)</f>
        <v>0</v>
      </c>
      <c r="EG41" t="e">
        <f>AND('boilerplate specs'!A254,"AAAAAHfvv4g=")</f>
        <v>#VALUE!</v>
      </c>
      <c r="EH41" t="e">
        <f>AND('boilerplate specs'!B254,"AAAAAHfvv4k=")</f>
        <v>#VALUE!</v>
      </c>
      <c r="EI41" t="e">
        <f>AND('boilerplate specs'!C254,"AAAAAHfvv4o=")</f>
        <v>#VALUE!</v>
      </c>
      <c r="EJ41" t="e">
        <f>AND('boilerplate specs'!D254,"AAAAAHfvv4s=")</f>
        <v>#VALUE!</v>
      </c>
      <c r="EK41" t="e">
        <f>AND('boilerplate specs'!E254,"AAAAAHfvv4w=")</f>
        <v>#VALUE!</v>
      </c>
      <c r="EL41" t="e">
        <f>AND('boilerplate specs'!F254,"AAAAAHfvv40=")</f>
        <v>#VALUE!</v>
      </c>
      <c r="EM41" t="e">
        <f>AND('boilerplate specs'!G254,"AAAAAHfvv44=")</f>
        <v>#VALUE!</v>
      </c>
      <c r="EN41" t="e">
        <f>AND('boilerplate specs'!H254,"AAAAAHfvv48=")</f>
        <v>#VALUE!</v>
      </c>
      <c r="EO41" t="e">
        <f>AND('boilerplate specs'!I254,"AAAAAHfvv5A=")</f>
        <v>#VALUE!</v>
      </c>
      <c r="EP41" t="e">
        <f>AND('boilerplate specs'!J254,"AAAAAHfvv5E=")</f>
        <v>#VALUE!</v>
      </c>
      <c r="EQ41" t="e">
        <f>AND('boilerplate specs'!#REF!,"AAAAAHfvv5I=")</f>
        <v>#REF!</v>
      </c>
      <c r="ER41" t="e">
        <f>AND('boilerplate specs'!#REF!,"AAAAAHfvv5M=")</f>
        <v>#REF!</v>
      </c>
      <c r="ES41" t="e">
        <f>AND('boilerplate specs'!#REF!,"AAAAAHfvv5Q=")</f>
        <v>#REF!</v>
      </c>
      <c r="ET41" t="e">
        <f>AND('boilerplate specs'!#REF!,"AAAAAHfvv5U=")</f>
        <v>#REF!</v>
      </c>
      <c r="EU41" t="e">
        <f>AND('boilerplate specs'!#REF!,"AAAAAHfvv5Y=")</f>
        <v>#REF!</v>
      </c>
      <c r="EV41" t="e">
        <f>AND('boilerplate specs'!#REF!,"AAAAAHfvv5c=")</f>
        <v>#REF!</v>
      </c>
      <c r="EW41" t="e">
        <f>AND('boilerplate specs'!#REF!,"AAAAAHfvv5g=")</f>
        <v>#REF!</v>
      </c>
      <c r="EX41" t="e">
        <f>AND('boilerplate specs'!#REF!,"AAAAAHfvv5k=")</f>
        <v>#REF!</v>
      </c>
      <c r="EY41" t="e">
        <f>AND('boilerplate specs'!#REF!,"AAAAAHfvv5o=")</f>
        <v>#REF!</v>
      </c>
      <c r="EZ41" t="e">
        <f>AND('boilerplate specs'!#REF!,"AAAAAHfvv5s=")</f>
        <v>#REF!</v>
      </c>
      <c r="FA41" t="e">
        <f>AND('boilerplate specs'!#REF!,"AAAAAHfvv5w=")</f>
        <v>#REF!</v>
      </c>
      <c r="FB41" t="e">
        <f>AND('boilerplate specs'!#REF!,"AAAAAHfvv50=")</f>
        <v>#REF!</v>
      </c>
      <c r="FC41" t="e">
        <f>AND('boilerplate specs'!#REF!,"AAAAAHfvv54=")</f>
        <v>#REF!</v>
      </c>
      <c r="FD41" t="e">
        <f>AND('boilerplate specs'!#REF!,"AAAAAHfvv58=")</f>
        <v>#REF!</v>
      </c>
      <c r="FE41" t="e">
        <f>AND('boilerplate specs'!#REF!,"AAAAAHfvv6A=")</f>
        <v>#REF!</v>
      </c>
      <c r="FF41" t="e">
        <f>AND('boilerplate specs'!#REF!,"AAAAAHfvv6E=")</f>
        <v>#REF!</v>
      </c>
      <c r="FG41" t="e">
        <f>AND('boilerplate specs'!#REF!,"AAAAAHfvv6I=")</f>
        <v>#REF!</v>
      </c>
      <c r="FH41" t="e">
        <f>AND('boilerplate specs'!#REF!,"AAAAAHfvv6M=")</f>
        <v>#REF!</v>
      </c>
      <c r="FI41" t="e">
        <f>AND('boilerplate specs'!#REF!,"AAAAAHfvv6Q=")</f>
        <v>#REF!</v>
      </c>
      <c r="FJ41" t="e">
        <f>AND('boilerplate specs'!#REF!,"AAAAAHfvv6U=")</f>
        <v>#REF!</v>
      </c>
      <c r="FK41" t="e">
        <f>AND('boilerplate specs'!#REF!,"AAAAAHfvv6Y=")</f>
        <v>#REF!</v>
      </c>
      <c r="FL41" t="e">
        <f>AND('boilerplate specs'!#REF!,"AAAAAHfvv6c=")</f>
        <v>#REF!</v>
      </c>
      <c r="FM41">
        <f>IF('boilerplate specs'!255:255,"AAAAAHfvv6g=",0)</f>
        <v>0</v>
      </c>
      <c r="FN41" t="e">
        <f>AND('boilerplate specs'!A255,"AAAAAHfvv6k=")</f>
        <v>#VALUE!</v>
      </c>
      <c r="FO41" t="e">
        <f>AND('boilerplate specs'!B255,"AAAAAHfvv6o=")</f>
        <v>#VALUE!</v>
      </c>
      <c r="FP41" t="e">
        <f>AND('boilerplate specs'!C255,"AAAAAHfvv6s=")</f>
        <v>#VALUE!</v>
      </c>
      <c r="FQ41" t="e">
        <f>AND('boilerplate specs'!D255,"AAAAAHfvv6w=")</f>
        <v>#VALUE!</v>
      </c>
      <c r="FR41" t="e">
        <f>AND('boilerplate specs'!E255,"AAAAAHfvv60=")</f>
        <v>#VALUE!</v>
      </c>
      <c r="FS41" t="e">
        <f>AND('boilerplate specs'!F255,"AAAAAHfvv64=")</f>
        <v>#VALUE!</v>
      </c>
      <c r="FT41" t="e">
        <f>AND('boilerplate specs'!G255,"AAAAAHfvv68=")</f>
        <v>#VALUE!</v>
      </c>
      <c r="FU41" t="e">
        <f>AND('boilerplate specs'!H255,"AAAAAHfvv7A=")</f>
        <v>#VALUE!</v>
      </c>
      <c r="FV41" t="e">
        <f>AND('boilerplate specs'!I255,"AAAAAHfvv7E=")</f>
        <v>#VALUE!</v>
      </c>
      <c r="FW41" t="e">
        <f>AND('boilerplate specs'!J255,"AAAAAHfvv7I=")</f>
        <v>#VALUE!</v>
      </c>
      <c r="FX41" t="e">
        <f>AND('boilerplate specs'!#REF!,"AAAAAHfvv7M=")</f>
        <v>#REF!</v>
      </c>
      <c r="FY41" t="e">
        <f>AND('boilerplate specs'!#REF!,"AAAAAHfvv7Q=")</f>
        <v>#REF!</v>
      </c>
      <c r="FZ41" t="e">
        <f>AND('boilerplate specs'!#REF!,"AAAAAHfvv7U=")</f>
        <v>#REF!</v>
      </c>
      <c r="GA41" t="e">
        <f>AND('boilerplate specs'!#REF!,"AAAAAHfvv7Y=")</f>
        <v>#REF!</v>
      </c>
      <c r="GB41" t="e">
        <f>AND('boilerplate specs'!#REF!,"AAAAAHfvv7c=")</f>
        <v>#REF!</v>
      </c>
      <c r="GC41" t="e">
        <f>AND('boilerplate specs'!#REF!,"AAAAAHfvv7g=")</f>
        <v>#REF!</v>
      </c>
      <c r="GD41" t="e">
        <f>AND('boilerplate specs'!#REF!,"AAAAAHfvv7k=")</f>
        <v>#REF!</v>
      </c>
      <c r="GE41" t="e">
        <f>AND('boilerplate specs'!#REF!,"AAAAAHfvv7o=")</f>
        <v>#REF!</v>
      </c>
      <c r="GF41" t="e">
        <f>AND('boilerplate specs'!#REF!,"AAAAAHfvv7s=")</f>
        <v>#REF!</v>
      </c>
      <c r="GG41" t="e">
        <f>AND('boilerplate specs'!#REF!,"AAAAAHfvv7w=")</f>
        <v>#REF!</v>
      </c>
      <c r="GH41" t="e">
        <f>AND('boilerplate specs'!#REF!,"AAAAAHfvv70=")</f>
        <v>#REF!</v>
      </c>
      <c r="GI41" t="e">
        <f>AND('boilerplate specs'!#REF!,"AAAAAHfvv74=")</f>
        <v>#REF!</v>
      </c>
      <c r="GJ41" t="e">
        <f>AND('boilerplate specs'!#REF!,"AAAAAHfvv78=")</f>
        <v>#REF!</v>
      </c>
      <c r="GK41" t="e">
        <f>AND('boilerplate specs'!#REF!,"AAAAAHfvv8A=")</f>
        <v>#REF!</v>
      </c>
      <c r="GL41" t="e">
        <f>AND('boilerplate specs'!#REF!,"AAAAAHfvv8E=")</f>
        <v>#REF!</v>
      </c>
      <c r="GM41" t="e">
        <f>AND('boilerplate specs'!#REF!,"AAAAAHfvv8I=")</f>
        <v>#REF!</v>
      </c>
      <c r="GN41" t="e">
        <f>AND('boilerplate specs'!#REF!,"AAAAAHfvv8M=")</f>
        <v>#REF!</v>
      </c>
      <c r="GO41" t="e">
        <f>AND('boilerplate specs'!#REF!,"AAAAAHfvv8Q=")</f>
        <v>#REF!</v>
      </c>
      <c r="GP41" t="e">
        <f>AND('boilerplate specs'!#REF!,"AAAAAHfvv8U=")</f>
        <v>#REF!</v>
      </c>
      <c r="GQ41" t="e">
        <f>AND('boilerplate specs'!#REF!,"AAAAAHfvv8Y=")</f>
        <v>#REF!</v>
      </c>
      <c r="GR41" t="e">
        <f>AND('boilerplate specs'!#REF!,"AAAAAHfvv8c=")</f>
        <v>#REF!</v>
      </c>
      <c r="GS41" t="e">
        <f>AND('boilerplate specs'!#REF!,"AAAAAHfvv8g=")</f>
        <v>#REF!</v>
      </c>
      <c r="GT41">
        <f>IF('boilerplate specs'!256:256,"AAAAAHfvv8k=",0)</f>
        <v>0</v>
      </c>
      <c r="GU41" t="e">
        <f>AND('boilerplate specs'!A256,"AAAAAHfvv8o=")</f>
        <v>#VALUE!</v>
      </c>
      <c r="GV41" t="e">
        <f>AND('boilerplate specs'!B256,"AAAAAHfvv8s=")</f>
        <v>#VALUE!</v>
      </c>
      <c r="GW41" t="e">
        <f>AND('boilerplate specs'!C256,"AAAAAHfvv8w=")</f>
        <v>#VALUE!</v>
      </c>
      <c r="GX41" t="e">
        <f>AND('boilerplate specs'!D256,"AAAAAHfvv80=")</f>
        <v>#VALUE!</v>
      </c>
      <c r="GY41" t="e">
        <f>AND('boilerplate specs'!E256,"AAAAAHfvv84=")</f>
        <v>#VALUE!</v>
      </c>
      <c r="GZ41" t="e">
        <f>AND('boilerplate specs'!F256,"AAAAAHfvv88=")</f>
        <v>#VALUE!</v>
      </c>
      <c r="HA41" t="e">
        <f>AND('boilerplate specs'!G256,"AAAAAHfvv9A=")</f>
        <v>#VALUE!</v>
      </c>
      <c r="HB41" t="e">
        <f>AND('boilerplate specs'!H256,"AAAAAHfvv9E=")</f>
        <v>#VALUE!</v>
      </c>
      <c r="HC41" t="e">
        <f>AND('boilerplate specs'!I256,"AAAAAHfvv9I=")</f>
        <v>#VALUE!</v>
      </c>
      <c r="HD41" t="e">
        <f>AND('boilerplate specs'!J256,"AAAAAHfvv9M=")</f>
        <v>#VALUE!</v>
      </c>
      <c r="HE41" t="e">
        <f>AND('boilerplate specs'!#REF!,"AAAAAHfvv9Q=")</f>
        <v>#REF!</v>
      </c>
      <c r="HF41" t="e">
        <f>AND('boilerplate specs'!#REF!,"AAAAAHfvv9U=")</f>
        <v>#REF!</v>
      </c>
      <c r="HG41" t="e">
        <f>AND('boilerplate specs'!#REF!,"AAAAAHfvv9Y=")</f>
        <v>#REF!</v>
      </c>
      <c r="HH41" t="e">
        <f>AND('boilerplate specs'!#REF!,"AAAAAHfvv9c=")</f>
        <v>#REF!</v>
      </c>
      <c r="HI41" t="e">
        <f>AND('boilerplate specs'!#REF!,"AAAAAHfvv9g=")</f>
        <v>#REF!</v>
      </c>
      <c r="HJ41" t="e">
        <f>AND('boilerplate specs'!#REF!,"AAAAAHfvv9k=")</f>
        <v>#REF!</v>
      </c>
      <c r="HK41" t="e">
        <f>AND('boilerplate specs'!#REF!,"AAAAAHfvv9o=")</f>
        <v>#REF!</v>
      </c>
      <c r="HL41" t="e">
        <f>AND('boilerplate specs'!#REF!,"AAAAAHfvv9s=")</f>
        <v>#REF!</v>
      </c>
      <c r="HM41" t="e">
        <f>AND('boilerplate specs'!#REF!,"AAAAAHfvv9w=")</f>
        <v>#REF!</v>
      </c>
      <c r="HN41" t="e">
        <f>AND('boilerplate specs'!#REF!,"AAAAAHfvv90=")</f>
        <v>#REF!</v>
      </c>
      <c r="HO41" t="e">
        <f>AND('boilerplate specs'!#REF!,"AAAAAHfvv94=")</f>
        <v>#REF!</v>
      </c>
      <c r="HP41" t="e">
        <f>AND('boilerplate specs'!#REF!,"AAAAAHfvv98=")</f>
        <v>#REF!</v>
      </c>
      <c r="HQ41" t="e">
        <f>AND('boilerplate specs'!#REF!,"AAAAAHfvv+A=")</f>
        <v>#REF!</v>
      </c>
      <c r="HR41" t="e">
        <f>AND('boilerplate specs'!#REF!,"AAAAAHfvv+E=")</f>
        <v>#REF!</v>
      </c>
      <c r="HS41" t="e">
        <f>AND('boilerplate specs'!#REF!,"AAAAAHfvv+I=")</f>
        <v>#REF!</v>
      </c>
      <c r="HT41" t="e">
        <f>AND('boilerplate specs'!#REF!,"AAAAAHfvv+M=")</f>
        <v>#REF!</v>
      </c>
      <c r="HU41" t="e">
        <f>AND('boilerplate specs'!#REF!,"AAAAAHfvv+Q=")</f>
        <v>#REF!</v>
      </c>
      <c r="HV41" t="e">
        <f>AND('boilerplate specs'!#REF!,"AAAAAHfvv+U=")</f>
        <v>#REF!</v>
      </c>
      <c r="HW41" t="e">
        <f>AND('boilerplate specs'!#REF!,"AAAAAHfvv+Y=")</f>
        <v>#REF!</v>
      </c>
      <c r="HX41" t="e">
        <f>AND('boilerplate specs'!#REF!,"AAAAAHfvv+c=")</f>
        <v>#REF!</v>
      </c>
      <c r="HY41" t="e">
        <f>AND('boilerplate specs'!#REF!,"AAAAAHfvv+g=")</f>
        <v>#REF!</v>
      </c>
      <c r="HZ41" t="e">
        <f>AND('boilerplate specs'!#REF!,"AAAAAHfvv+k=")</f>
        <v>#REF!</v>
      </c>
      <c r="IA41">
        <f>IF('boilerplate specs'!257:257,"AAAAAHfvv+o=",0)</f>
        <v>0</v>
      </c>
      <c r="IB41" t="e">
        <f>AND('boilerplate specs'!A257,"AAAAAHfvv+s=")</f>
        <v>#VALUE!</v>
      </c>
      <c r="IC41" t="e">
        <f>AND('boilerplate specs'!B257,"AAAAAHfvv+w=")</f>
        <v>#VALUE!</v>
      </c>
      <c r="ID41" t="e">
        <f>AND('boilerplate specs'!C257,"AAAAAHfvv+0=")</f>
        <v>#VALUE!</v>
      </c>
      <c r="IE41" t="e">
        <f>AND('boilerplate specs'!D257,"AAAAAHfvv+4=")</f>
        <v>#VALUE!</v>
      </c>
      <c r="IF41" t="e">
        <f>AND('boilerplate specs'!E257,"AAAAAHfvv+8=")</f>
        <v>#VALUE!</v>
      </c>
      <c r="IG41" t="e">
        <f>AND('boilerplate specs'!F257,"AAAAAHfvv/A=")</f>
        <v>#VALUE!</v>
      </c>
      <c r="IH41" t="e">
        <f>AND('boilerplate specs'!G257,"AAAAAHfvv/E=")</f>
        <v>#VALUE!</v>
      </c>
      <c r="II41" t="e">
        <f>AND('boilerplate specs'!H257,"AAAAAHfvv/I=")</f>
        <v>#VALUE!</v>
      </c>
      <c r="IJ41" t="e">
        <f>AND('boilerplate specs'!I257,"AAAAAHfvv/M=")</f>
        <v>#VALUE!</v>
      </c>
      <c r="IK41" t="e">
        <f>AND('boilerplate specs'!J257,"AAAAAHfvv/Q=")</f>
        <v>#VALUE!</v>
      </c>
      <c r="IL41" t="e">
        <f>AND('boilerplate specs'!#REF!,"AAAAAHfvv/U=")</f>
        <v>#REF!</v>
      </c>
      <c r="IM41" t="e">
        <f>AND('boilerplate specs'!#REF!,"AAAAAHfvv/Y=")</f>
        <v>#REF!</v>
      </c>
      <c r="IN41" t="e">
        <f>AND('boilerplate specs'!#REF!,"AAAAAHfvv/c=")</f>
        <v>#REF!</v>
      </c>
      <c r="IO41" t="e">
        <f>AND('boilerplate specs'!#REF!,"AAAAAHfvv/g=")</f>
        <v>#REF!</v>
      </c>
      <c r="IP41" t="e">
        <f>AND('boilerplate specs'!#REF!,"AAAAAHfvv/k=")</f>
        <v>#REF!</v>
      </c>
      <c r="IQ41" t="e">
        <f>AND('boilerplate specs'!#REF!,"AAAAAHfvv/o=")</f>
        <v>#REF!</v>
      </c>
      <c r="IR41" t="e">
        <f>AND('boilerplate specs'!#REF!,"AAAAAHfvv/s=")</f>
        <v>#REF!</v>
      </c>
      <c r="IS41" t="e">
        <f>AND('boilerplate specs'!#REF!,"AAAAAHfvv/w=")</f>
        <v>#REF!</v>
      </c>
      <c r="IT41" t="e">
        <f>AND('boilerplate specs'!#REF!,"AAAAAHfvv/0=")</f>
        <v>#REF!</v>
      </c>
      <c r="IU41" t="e">
        <f>AND('boilerplate specs'!#REF!,"AAAAAHfvv/4=")</f>
        <v>#REF!</v>
      </c>
      <c r="IV41" t="e">
        <f>AND('boilerplate specs'!#REF!,"AAAAAHfvv/8=")</f>
        <v>#REF!</v>
      </c>
    </row>
    <row r="42" spans="1:256" x14ac:dyDescent="0.35">
      <c r="A42" t="e">
        <f>AND('boilerplate specs'!#REF!,"AAAAAHsp+wA=")</f>
        <v>#REF!</v>
      </c>
      <c r="B42" t="e">
        <f>AND('boilerplate specs'!#REF!,"AAAAAHsp+wE=")</f>
        <v>#REF!</v>
      </c>
      <c r="C42" t="e">
        <f>AND('boilerplate specs'!#REF!,"AAAAAHsp+wI=")</f>
        <v>#REF!</v>
      </c>
      <c r="D42" t="e">
        <f>AND('boilerplate specs'!#REF!,"AAAAAHsp+wM=")</f>
        <v>#REF!</v>
      </c>
      <c r="E42" t="e">
        <f>AND('boilerplate specs'!#REF!,"AAAAAHsp+wQ=")</f>
        <v>#REF!</v>
      </c>
      <c r="F42" t="e">
        <f>AND('boilerplate specs'!#REF!,"AAAAAHsp+wU=")</f>
        <v>#REF!</v>
      </c>
      <c r="G42" t="e">
        <f>AND('boilerplate specs'!#REF!,"AAAAAHsp+wY=")</f>
        <v>#REF!</v>
      </c>
      <c r="H42" t="e">
        <f>AND('boilerplate specs'!#REF!,"AAAAAHsp+wc=")</f>
        <v>#REF!</v>
      </c>
      <c r="I42" t="e">
        <f>AND('boilerplate specs'!#REF!,"AAAAAHsp+wg=")</f>
        <v>#REF!</v>
      </c>
      <c r="J42" t="e">
        <f>AND('boilerplate specs'!#REF!,"AAAAAHsp+wk=")</f>
        <v>#REF!</v>
      </c>
      <c r="K42" t="e">
        <f>AND('boilerplate specs'!#REF!,"AAAAAHsp+wo=")</f>
        <v>#REF!</v>
      </c>
      <c r="L42">
        <f>IF('boilerplate specs'!258:258,"AAAAAHsp+ws=",0)</f>
        <v>0</v>
      </c>
      <c r="M42" t="e">
        <f>AND('boilerplate specs'!A258,"AAAAAHsp+ww=")</f>
        <v>#VALUE!</v>
      </c>
      <c r="N42" t="e">
        <f>AND('boilerplate specs'!B258,"AAAAAHsp+w0=")</f>
        <v>#VALUE!</v>
      </c>
      <c r="O42" t="e">
        <f>AND('boilerplate specs'!C258,"AAAAAHsp+w4=")</f>
        <v>#VALUE!</v>
      </c>
      <c r="P42" t="e">
        <f>AND('boilerplate specs'!D258,"AAAAAHsp+w8=")</f>
        <v>#VALUE!</v>
      </c>
      <c r="Q42" t="e">
        <f>AND('boilerplate specs'!E258,"AAAAAHsp+xA=")</f>
        <v>#VALUE!</v>
      </c>
      <c r="R42" t="e">
        <f>AND('boilerplate specs'!F258,"AAAAAHsp+xE=")</f>
        <v>#VALUE!</v>
      </c>
      <c r="S42" t="e">
        <f>AND('boilerplate specs'!G258,"AAAAAHsp+xI=")</f>
        <v>#VALUE!</v>
      </c>
      <c r="T42" t="e">
        <f>AND('boilerplate specs'!H258,"AAAAAHsp+xM=")</f>
        <v>#VALUE!</v>
      </c>
      <c r="U42" t="e">
        <f>AND('boilerplate specs'!I258,"AAAAAHsp+xQ=")</f>
        <v>#VALUE!</v>
      </c>
      <c r="V42" t="e">
        <f>AND('boilerplate specs'!J258,"AAAAAHsp+xU=")</f>
        <v>#VALUE!</v>
      </c>
      <c r="W42" t="e">
        <f>AND('boilerplate specs'!#REF!,"AAAAAHsp+xY=")</f>
        <v>#REF!</v>
      </c>
      <c r="X42" t="e">
        <f>AND('boilerplate specs'!#REF!,"AAAAAHsp+xc=")</f>
        <v>#REF!</v>
      </c>
      <c r="Y42" t="e">
        <f>AND('boilerplate specs'!#REF!,"AAAAAHsp+xg=")</f>
        <v>#REF!</v>
      </c>
      <c r="Z42" t="e">
        <f>AND('boilerplate specs'!#REF!,"AAAAAHsp+xk=")</f>
        <v>#REF!</v>
      </c>
      <c r="AA42" t="e">
        <f>AND('boilerplate specs'!#REF!,"AAAAAHsp+xo=")</f>
        <v>#REF!</v>
      </c>
      <c r="AB42" t="e">
        <f>AND('boilerplate specs'!#REF!,"AAAAAHsp+xs=")</f>
        <v>#REF!</v>
      </c>
      <c r="AC42" t="e">
        <f>AND('boilerplate specs'!#REF!,"AAAAAHsp+xw=")</f>
        <v>#REF!</v>
      </c>
      <c r="AD42" t="e">
        <f>AND('boilerplate specs'!#REF!,"AAAAAHsp+x0=")</f>
        <v>#REF!</v>
      </c>
      <c r="AE42" t="e">
        <f>AND('boilerplate specs'!#REF!,"AAAAAHsp+x4=")</f>
        <v>#REF!</v>
      </c>
      <c r="AF42" t="e">
        <f>AND('boilerplate specs'!#REF!,"AAAAAHsp+x8=")</f>
        <v>#REF!</v>
      </c>
      <c r="AG42" t="e">
        <f>AND('boilerplate specs'!#REF!,"AAAAAHsp+yA=")</f>
        <v>#REF!</v>
      </c>
      <c r="AH42" t="e">
        <f>AND('boilerplate specs'!#REF!,"AAAAAHsp+yE=")</f>
        <v>#REF!</v>
      </c>
      <c r="AI42" t="e">
        <f>AND('boilerplate specs'!#REF!,"AAAAAHsp+yI=")</f>
        <v>#REF!</v>
      </c>
      <c r="AJ42" t="e">
        <f>AND('boilerplate specs'!#REF!,"AAAAAHsp+yM=")</f>
        <v>#REF!</v>
      </c>
      <c r="AK42" t="e">
        <f>AND('boilerplate specs'!#REF!,"AAAAAHsp+yQ=")</f>
        <v>#REF!</v>
      </c>
      <c r="AL42" t="e">
        <f>AND('boilerplate specs'!#REF!,"AAAAAHsp+yU=")</f>
        <v>#REF!</v>
      </c>
      <c r="AM42" t="e">
        <f>AND('boilerplate specs'!#REF!,"AAAAAHsp+yY=")</f>
        <v>#REF!</v>
      </c>
      <c r="AN42" t="e">
        <f>AND('boilerplate specs'!#REF!,"AAAAAHsp+yc=")</f>
        <v>#REF!</v>
      </c>
      <c r="AO42" t="e">
        <f>AND('boilerplate specs'!#REF!,"AAAAAHsp+yg=")</f>
        <v>#REF!</v>
      </c>
      <c r="AP42" t="e">
        <f>AND('boilerplate specs'!#REF!,"AAAAAHsp+yk=")</f>
        <v>#REF!</v>
      </c>
      <c r="AQ42" t="e">
        <f>AND('boilerplate specs'!#REF!,"AAAAAHsp+yo=")</f>
        <v>#REF!</v>
      </c>
      <c r="AR42" t="e">
        <f>AND('boilerplate specs'!#REF!,"AAAAAHsp+ys=")</f>
        <v>#REF!</v>
      </c>
      <c r="AS42">
        <f>IF('boilerplate specs'!259:259,"AAAAAHsp+yw=",0)</f>
        <v>0</v>
      </c>
      <c r="AT42" t="e">
        <f>AND('boilerplate specs'!A259,"AAAAAHsp+y0=")</f>
        <v>#VALUE!</v>
      </c>
      <c r="AU42" t="e">
        <f>AND('boilerplate specs'!B259,"AAAAAHsp+y4=")</f>
        <v>#VALUE!</v>
      </c>
      <c r="AV42" t="e">
        <f>AND('boilerplate specs'!C259,"AAAAAHsp+y8=")</f>
        <v>#VALUE!</v>
      </c>
      <c r="AW42" t="e">
        <f>AND('boilerplate specs'!D259,"AAAAAHsp+zA=")</f>
        <v>#VALUE!</v>
      </c>
      <c r="AX42" t="e">
        <f>AND('boilerplate specs'!E259,"AAAAAHsp+zE=")</f>
        <v>#VALUE!</v>
      </c>
      <c r="AY42" t="e">
        <f>AND('boilerplate specs'!F259,"AAAAAHsp+zI=")</f>
        <v>#VALUE!</v>
      </c>
      <c r="AZ42" t="e">
        <f>AND('boilerplate specs'!G259,"AAAAAHsp+zM=")</f>
        <v>#VALUE!</v>
      </c>
      <c r="BA42" t="e">
        <f>AND('boilerplate specs'!H259,"AAAAAHsp+zQ=")</f>
        <v>#VALUE!</v>
      </c>
      <c r="BB42" t="e">
        <f>AND('boilerplate specs'!I259,"AAAAAHsp+zU=")</f>
        <v>#VALUE!</v>
      </c>
      <c r="BC42" t="e">
        <f>AND('boilerplate specs'!J259,"AAAAAHsp+zY=")</f>
        <v>#VALUE!</v>
      </c>
      <c r="BD42" t="e">
        <f>AND('boilerplate specs'!#REF!,"AAAAAHsp+zc=")</f>
        <v>#REF!</v>
      </c>
      <c r="BE42" t="e">
        <f>AND('boilerplate specs'!#REF!,"AAAAAHsp+zg=")</f>
        <v>#REF!</v>
      </c>
      <c r="BF42" t="e">
        <f>AND('boilerplate specs'!#REF!,"AAAAAHsp+zk=")</f>
        <v>#REF!</v>
      </c>
      <c r="BG42" t="e">
        <f>AND('boilerplate specs'!#REF!,"AAAAAHsp+zo=")</f>
        <v>#REF!</v>
      </c>
      <c r="BH42" t="e">
        <f>AND('boilerplate specs'!#REF!,"AAAAAHsp+zs=")</f>
        <v>#REF!</v>
      </c>
      <c r="BI42" t="e">
        <f>AND('boilerplate specs'!#REF!,"AAAAAHsp+zw=")</f>
        <v>#REF!</v>
      </c>
      <c r="BJ42" t="e">
        <f>AND('boilerplate specs'!#REF!,"AAAAAHsp+z0=")</f>
        <v>#REF!</v>
      </c>
      <c r="BK42" t="e">
        <f>AND('boilerplate specs'!#REF!,"AAAAAHsp+z4=")</f>
        <v>#REF!</v>
      </c>
      <c r="BL42" t="e">
        <f>AND('boilerplate specs'!#REF!,"AAAAAHsp+z8=")</f>
        <v>#REF!</v>
      </c>
      <c r="BM42" t="e">
        <f>AND('boilerplate specs'!#REF!,"AAAAAHsp+0A=")</f>
        <v>#REF!</v>
      </c>
      <c r="BN42" t="e">
        <f>AND('boilerplate specs'!#REF!,"AAAAAHsp+0E=")</f>
        <v>#REF!</v>
      </c>
      <c r="BO42" t="e">
        <f>AND('boilerplate specs'!#REF!,"AAAAAHsp+0I=")</f>
        <v>#REF!</v>
      </c>
      <c r="BP42" t="e">
        <f>AND('boilerplate specs'!#REF!,"AAAAAHsp+0M=")</f>
        <v>#REF!</v>
      </c>
      <c r="BQ42" t="e">
        <f>AND('boilerplate specs'!#REF!,"AAAAAHsp+0Q=")</f>
        <v>#REF!</v>
      </c>
      <c r="BR42" t="e">
        <f>AND('boilerplate specs'!#REF!,"AAAAAHsp+0U=")</f>
        <v>#REF!</v>
      </c>
      <c r="BS42" t="e">
        <f>AND('boilerplate specs'!#REF!,"AAAAAHsp+0Y=")</f>
        <v>#REF!</v>
      </c>
      <c r="BT42" t="e">
        <f>AND('boilerplate specs'!#REF!,"AAAAAHsp+0c=")</f>
        <v>#REF!</v>
      </c>
      <c r="BU42" t="e">
        <f>AND('boilerplate specs'!#REF!,"AAAAAHsp+0g=")</f>
        <v>#REF!</v>
      </c>
      <c r="BV42" t="e">
        <f>AND('boilerplate specs'!#REF!,"AAAAAHsp+0k=")</f>
        <v>#REF!</v>
      </c>
      <c r="BW42" t="e">
        <f>AND('boilerplate specs'!#REF!,"AAAAAHsp+0o=")</f>
        <v>#REF!</v>
      </c>
      <c r="BX42" t="e">
        <f>AND('boilerplate specs'!#REF!,"AAAAAHsp+0s=")</f>
        <v>#REF!</v>
      </c>
      <c r="BY42" t="e">
        <f>AND('boilerplate specs'!#REF!,"AAAAAHsp+0w=")</f>
        <v>#REF!</v>
      </c>
      <c r="BZ42">
        <f>IF('boilerplate specs'!260:260,"AAAAAHsp+00=",0)</f>
        <v>0</v>
      </c>
      <c r="CA42" t="e">
        <f>AND('boilerplate specs'!A260,"AAAAAHsp+04=")</f>
        <v>#VALUE!</v>
      </c>
      <c r="CB42" t="e">
        <f>AND('boilerplate specs'!B260,"AAAAAHsp+08=")</f>
        <v>#VALUE!</v>
      </c>
      <c r="CC42" t="e">
        <f>AND('boilerplate specs'!C260,"AAAAAHsp+1A=")</f>
        <v>#VALUE!</v>
      </c>
      <c r="CD42" t="e">
        <f>AND('boilerplate specs'!D260,"AAAAAHsp+1E=")</f>
        <v>#VALUE!</v>
      </c>
      <c r="CE42" t="e">
        <f>AND('boilerplate specs'!E260,"AAAAAHsp+1I=")</f>
        <v>#VALUE!</v>
      </c>
      <c r="CF42" t="e">
        <f>AND('boilerplate specs'!F260,"AAAAAHsp+1M=")</f>
        <v>#VALUE!</v>
      </c>
      <c r="CG42" t="e">
        <f>AND('boilerplate specs'!G260,"AAAAAHsp+1Q=")</f>
        <v>#VALUE!</v>
      </c>
      <c r="CH42" t="e">
        <f>AND('boilerplate specs'!H260,"AAAAAHsp+1U=")</f>
        <v>#VALUE!</v>
      </c>
      <c r="CI42" t="e">
        <f>AND('boilerplate specs'!I260,"AAAAAHsp+1Y=")</f>
        <v>#VALUE!</v>
      </c>
      <c r="CJ42" t="e">
        <f>AND('boilerplate specs'!J260,"AAAAAHsp+1c=")</f>
        <v>#VALUE!</v>
      </c>
      <c r="CK42" t="e">
        <f>AND('boilerplate specs'!#REF!,"AAAAAHsp+1g=")</f>
        <v>#REF!</v>
      </c>
      <c r="CL42" t="e">
        <f>AND('boilerplate specs'!#REF!,"AAAAAHsp+1k=")</f>
        <v>#REF!</v>
      </c>
      <c r="CM42" t="e">
        <f>AND('boilerplate specs'!#REF!,"AAAAAHsp+1o=")</f>
        <v>#REF!</v>
      </c>
      <c r="CN42" t="e">
        <f>AND('boilerplate specs'!#REF!,"AAAAAHsp+1s=")</f>
        <v>#REF!</v>
      </c>
      <c r="CO42" t="e">
        <f>AND('boilerplate specs'!#REF!,"AAAAAHsp+1w=")</f>
        <v>#REF!</v>
      </c>
      <c r="CP42" t="e">
        <f>AND('boilerplate specs'!#REF!,"AAAAAHsp+10=")</f>
        <v>#REF!</v>
      </c>
      <c r="CQ42" t="e">
        <f>AND('boilerplate specs'!#REF!,"AAAAAHsp+14=")</f>
        <v>#REF!</v>
      </c>
      <c r="CR42" t="e">
        <f>AND('boilerplate specs'!#REF!,"AAAAAHsp+18=")</f>
        <v>#REF!</v>
      </c>
      <c r="CS42" t="e">
        <f>AND('boilerplate specs'!#REF!,"AAAAAHsp+2A=")</f>
        <v>#REF!</v>
      </c>
      <c r="CT42" t="e">
        <f>AND('boilerplate specs'!#REF!,"AAAAAHsp+2E=")</f>
        <v>#REF!</v>
      </c>
      <c r="CU42" t="e">
        <f>AND('boilerplate specs'!#REF!,"AAAAAHsp+2I=")</f>
        <v>#REF!</v>
      </c>
      <c r="CV42" t="e">
        <f>AND('boilerplate specs'!#REF!,"AAAAAHsp+2M=")</f>
        <v>#REF!</v>
      </c>
      <c r="CW42" t="e">
        <f>AND('boilerplate specs'!#REF!,"AAAAAHsp+2Q=")</f>
        <v>#REF!</v>
      </c>
      <c r="CX42" t="e">
        <f>AND('boilerplate specs'!#REF!,"AAAAAHsp+2U=")</f>
        <v>#REF!</v>
      </c>
      <c r="CY42" t="e">
        <f>AND('boilerplate specs'!#REF!,"AAAAAHsp+2Y=")</f>
        <v>#REF!</v>
      </c>
      <c r="CZ42" t="e">
        <f>AND('boilerplate specs'!#REF!,"AAAAAHsp+2c=")</f>
        <v>#REF!</v>
      </c>
      <c r="DA42" t="e">
        <f>AND('boilerplate specs'!#REF!,"AAAAAHsp+2g=")</f>
        <v>#REF!</v>
      </c>
      <c r="DB42" t="e">
        <f>AND('boilerplate specs'!#REF!,"AAAAAHsp+2k=")</f>
        <v>#REF!</v>
      </c>
      <c r="DC42" t="e">
        <f>AND('boilerplate specs'!#REF!,"AAAAAHsp+2o=")</f>
        <v>#REF!</v>
      </c>
      <c r="DD42" t="e">
        <f>AND('boilerplate specs'!#REF!,"AAAAAHsp+2s=")</f>
        <v>#REF!</v>
      </c>
      <c r="DE42" t="e">
        <f>AND('boilerplate specs'!#REF!,"AAAAAHsp+2w=")</f>
        <v>#REF!</v>
      </c>
      <c r="DF42" t="e">
        <f>AND('boilerplate specs'!#REF!,"AAAAAHsp+20=")</f>
        <v>#REF!</v>
      </c>
      <c r="DG42">
        <f>IF('boilerplate specs'!261:261,"AAAAAHsp+24=",0)</f>
        <v>0</v>
      </c>
      <c r="DH42" t="e">
        <f>AND('boilerplate specs'!A261,"AAAAAHsp+28=")</f>
        <v>#VALUE!</v>
      </c>
      <c r="DI42" t="e">
        <f>AND('boilerplate specs'!B261,"AAAAAHsp+3A=")</f>
        <v>#VALUE!</v>
      </c>
      <c r="DJ42" t="e">
        <f>AND('boilerplate specs'!C261,"AAAAAHsp+3E=")</f>
        <v>#VALUE!</v>
      </c>
      <c r="DK42" t="e">
        <f>AND('boilerplate specs'!D261,"AAAAAHsp+3I=")</f>
        <v>#VALUE!</v>
      </c>
      <c r="DL42" t="e">
        <f>AND('boilerplate specs'!E261,"AAAAAHsp+3M=")</f>
        <v>#VALUE!</v>
      </c>
      <c r="DM42" t="e">
        <f>AND('boilerplate specs'!F261,"AAAAAHsp+3Q=")</f>
        <v>#VALUE!</v>
      </c>
      <c r="DN42" t="e">
        <f>AND('boilerplate specs'!G261,"AAAAAHsp+3U=")</f>
        <v>#VALUE!</v>
      </c>
      <c r="DO42" t="e">
        <f>AND('boilerplate specs'!H261,"AAAAAHsp+3Y=")</f>
        <v>#VALUE!</v>
      </c>
      <c r="DP42" t="e">
        <f>AND('boilerplate specs'!I261,"AAAAAHsp+3c=")</f>
        <v>#VALUE!</v>
      </c>
      <c r="DQ42" t="e">
        <f>AND('boilerplate specs'!J261,"AAAAAHsp+3g=")</f>
        <v>#VALUE!</v>
      </c>
      <c r="DR42" t="e">
        <f>AND('boilerplate specs'!#REF!,"AAAAAHsp+3k=")</f>
        <v>#REF!</v>
      </c>
      <c r="DS42" t="e">
        <f>AND('boilerplate specs'!#REF!,"AAAAAHsp+3o=")</f>
        <v>#REF!</v>
      </c>
      <c r="DT42" t="e">
        <f>AND('boilerplate specs'!#REF!,"AAAAAHsp+3s=")</f>
        <v>#REF!</v>
      </c>
      <c r="DU42" t="e">
        <f>AND('boilerplate specs'!#REF!,"AAAAAHsp+3w=")</f>
        <v>#REF!</v>
      </c>
      <c r="DV42" t="e">
        <f>AND('boilerplate specs'!#REF!,"AAAAAHsp+30=")</f>
        <v>#REF!</v>
      </c>
      <c r="DW42" t="e">
        <f>AND('boilerplate specs'!#REF!,"AAAAAHsp+34=")</f>
        <v>#REF!</v>
      </c>
      <c r="DX42" t="e">
        <f>AND('boilerplate specs'!#REF!,"AAAAAHsp+38=")</f>
        <v>#REF!</v>
      </c>
      <c r="DY42" t="e">
        <f>AND('boilerplate specs'!#REF!,"AAAAAHsp+4A=")</f>
        <v>#REF!</v>
      </c>
      <c r="DZ42" t="e">
        <f>AND('boilerplate specs'!#REF!,"AAAAAHsp+4E=")</f>
        <v>#REF!</v>
      </c>
      <c r="EA42" t="e">
        <f>AND('boilerplate specs'!#REF!,"AAAAAHsp+4I=")</f>
        <v>#REF!</v>
      </c>
      <c r="EB42" t="e">
        <f>AND('boilerplate specs'!#REF!,"AAAAAHsp+4M=")</f>
        <v>#REF!</v>
      </c>
      <c r="EC42" t="e">
        <f>AND('boilerplate specs'!#REF!,"AAAAAHsp+4Q=")</f>
        <v>#REF!</v>
      </c>
      <c r="ED42" t="e">
        <f>AND('boilerplate specs'!#REF!,"AAAAAHsp+4U=")</f>
        <v>#REF!</v>
      </c>
      <c r="EE42" t="e">
        <f>AND('boilerplate specs'!#REF!,"AAAAAHsp+4Y=")</f>
        <v>#REF!</v>
      </c>
      <c r="EF42" t="e">
        <f>AND('boilerplate specs'!#REF!,"AAAAAHsp+4c=")</f>
        <v>#REF!</v>
      </c>
      <c r="EG42" t="e">
        <f>AND('boilerplate specs'!#REF!,"AAAAAHsp+4g=")</f>
        <v>#REF!</v>
      </c>
      <c r="EH42" t="e">
        <f>AND('boilerplate specs'!#REF!,"AAAAAHsp+4k=")</f>
        <v>#REF!</v>
      </c>
      <c r="EI42" t="e">
        <f>AND('boilerplate specs'!#REF!,"AAAAAHsp+4o=")</f>
        <v>#REF!</v>
      </c>
      <c r="EJ42" t="e">
        <f>AND('boilerplate specs'!#REF!,"AAAAAHsp+4s=")</f>
        <v>#REF!</v>
      </c>
      <c r="EK42" t="e">
        <f>AND('boilerplate specs'!#REF!,"AAAAAHsp+4w=")</f>
        <v>#REF!</v>
      </c>
      <c r="EL42" t="e">
        <f>AND('boilerplate specs'!#REF!,"AAAAAHsp+40=")</f>
        <v>#REF!</v>
      </c>
      <c r="EM42" t="e">
        <f>AND('boilerplate specs'!#REF!,"AAAAAHsp+44=")</f>
        <v>#REF!</v>
      </c>
      <c r="EN42">
        <f>IF('boilerplate specs'!262:262,"AAAAAHsp+48=",0)</f>
        <v>0</v>
      </c>
      <c r="EO42" t="e">
        <f>AND('boilerplate specs'!A262,"AAAAAHsp+5A=")</f>
        <v>#VALUE!</v>
      </c>
      <c r="EP42" t="e">
        <f>AND('boilerplate specs'!B262,"AAAAAHsp+5E=")</f>
        <v>#VALUE!</v>
      </c>
      <c r="EQ42" t="e">
        <f>AND('boilerplate specs'!C262,"AAAAAHsp+5I=")</f>
        <v>#VALUE!</v>
      </c>
      <c r="ER42" t="e">
        <f>AND('boilerplate specs'!D262,"AAAAAHsp+5M=")</f>
        <v>#VALUE!</v>
      </c>
      <c r="ES42" t="e">
        <f>AND('boilerplate specs'!E262,"AAAAAHsp+5Q=")</f>
        <v>#VALUE!</v>
      </c>
      <c r="ET42" t="e">
        <f>AND('boilerplate specs'!F262,"AAAAAHsp+5U=")</f>
        <v>#VALUE!</v>
      </c>
      <c r="EU42" t="e">
        <f>AND('boilerplate specs'!G262,"AAAAAHsp+5Y=")</f>
        <v>#VALUE!</v>
      </c>
      <c r="EV42" t="e">
        <f>AND('boilerplate specs'!H262,"AAAAAHsp+5c=")</f>
        <v>#VALUE!</v>
      </c>
      <c r="EW42" t="e">
        <f>AND('boilerplate specs'!I262,"AAAAAHsp+5g=")</f>
        <v>#VALUE!</v>
      </c>
      <c r="EX42" t="e">
        <f>AND('boilerplate specs'!J262,"AAAAAHsp+5k=")</f>
        <v>#VALUE!</v>
      </c>
      <c r="EY42" t="e">
        <f>AND('boilerplate specs'!#REF!,"AAAAAHsp+5o=")</f>
        <v>#REF!</v>
      </c>
      <c r="EZ42" t="e">
        <f>AND('boilerplate specs'!#REF!,"AAAAAHsp+5s=")</f>
        <v>#REF!</v>
      </c>
      <c r="FA42" t="e">
        <f>AND('boilerplate specs'!#REF!,"AAAAAHsp+5w=")</f>
        <v>#REF!</v>
      </c>
      <c r="FB42" t="e">
        <f>AND('boilerplate specs'!#REF!,"AAAAAHsp+50=")</f>
        <v>#REF!</v>
      </c>
      <c r="FC42" t="e">
        <f>AND('boilerplate specs'!#REF!,"AAAAAHsp+54=")</f>
        <v>#REF!</v>
      </c>
      <c r="FD42" t="e">
        <f>AND('boilerplate specs'!#REF!,"AAAAAHsp+58=")</f>
        <v>#REF!</v>
      </c>
      <c r="FE42" t="e">
        <f>AND('boilerplate specs'!#REF!,"AAAAAHsp+6A=")</f>
        <v>#REF!</v>
      </c>
      <c r="FF42" t="e">
        <f>AND('boilerplate specs'!#REF!,"AAAAAHsp+6E=")</f>
        <v>#REF!</v>
      </c>
      <c r="FG42" t="e">
        <f>AND('boilerplate specs'!#REF!,"AAAAAHsp+6I=")</f>
        <v>#REF!</v>
      </c>
      <c r="FH42" t="e">
        <f>AND('boilerplate specs'!#REF!,"AAAAAHsp+6M=")</f>
        <v>#REF!</v>
      </c>
      <c r="FI42" t="e">
        <f>AND('boilerplate specs'!#REF!,"AAAAAHsp+6Q=")</f>
        <v>#REF!</v>
      </c>
      <c r="FJ42" t="e">
        <f>AND('boilerplate specs'!#REF!,"AAAAAHsp+6U=")</f>
        <v>#REF!</v>
      </c>
      <c r="FK42" t="e">
        <f>AND('boilerplate specs'!#REF!,"AAAAAHsp+6Y=")</f>
        <v>#REF!</v>
      </c>
      <c r="FL42" t="e">
        <f>AND('boilerplate specs'!#REF!,"AAAAAHsp+6c=")</f>
        <v>#REF!</v>
      </c>
      <c r="FM42" t="e">
        <f>AND('boilerplate specs'!#REF!,"AAAAAHsp+6g=")</f>
        <v>#REF!</v>
      </c>
      <c r="FN42" t="e">
        <f>AND('boilerplate specs'!#REF!,"AAAAAHsp+6k=")</f>
        <v>#REF!</v>
      </c>
      <c r="FO42" t="e">
        <f>AND('boilerplate specs'!#REF!,"AAAAAHsp+6o=")</f>
        <v>#REF!</v>
      </c>
      <c r="FP42" t="e">
        <f>AND('boilerplate specs'!#REF!,"AAAAAHsp+6s=")</f>
        <v>#REF!</v>
      </c>
      <c r="FQ42" t="e">
        <f>AND('boilerplate specs'!#REF!,"AAAAAHsp+6w=")</f>
        <v>#REF!</v>
      </c>
      <c r="FR42" t="e">
        <f>AND('boilerplate specs'!#REF!,"AAAAAHsp+60=")</f>
        <v>#REF!</v>
      </c>
      <c r="FS42" t="e">
        <f>AND('boilerplate specs'!#REF!,"AAAAAHsp+64=")</f>
        <v>#REF!</v>
      </c>
      <c r="FT42" t="e">
        <f>AND('boilerplate specs'!#REF!,"AAAAAHsp+68=")</f>
        <v>#REF!</v>
      </c>
      <c r="FU42">
        <f>IF('boilerplate specs'!263:263,"AAAAAHsp+7A=",0)</f>
        <v>0</v>
      </c>
      <c r="FV42" t="e">
        <f>AND('boilerplate specs'!A263,"AAAAAHsp+7E=")</f>
        <v>#VALUE!</v>
      </c>
      <c r="FW42" t="e">
        <f>AND('boilerplate specs'!B263,"AAAAAHsp+7I=")</f>
        <v>#VALUE!</v>
      </c>
      <c r="FX42" t="e">
        <f>AND('boilerplate specs'!C263,"AAAAAHsp+7M=")</f>
        <v>#VALUE!</v>
      </c>
      <c r="FY42" t="e">
        <f>AND('boilerplate specs'!D263,"AAAAAHsp+7Q=")</f>
        <v>#VALUE!</v>
      </c>
      <c r="FZ42" t="e">
        <f>AND('boilerplate specs'!E263,"AAAAAHsp+7U=")</f>
        <v>#VALUE!</v>
      </c>
      <c r="GA42" t="e">
        <f>AND('boilerplate specs'!F263,"AAAAAHsp+7Y=")</f>
        <v>#VALUE!</v>
      </c>
      <c r="GB42" t="e">
        <f>AND('boilerplate specs'!G263,"AAAAAHsp+7c=")</f>
        <v>#VALUE!</v>
      </c>
      <c r="GC42" t="e">
        <f>AND('boilerplate specs'!H263,"AAAAAHsp+7g=")</f>
        <v>#VALUE!</v>
      </c>
      <c r="GD42" t="e">
        <f>AND('boilerplate specs'!I263,"AAAAAHsp+7k=")</f>
        <v>#VALUE!</v>
      </c>
      <c r="GE42" t="e">
        <f>AND('boilerplate specs'!J263,"AAAAAHsp+7o=")</f>
        <v>#VALUE!</v>
      </c>
      <c r="GF42" t="e">
        <f>AND('boilerplate specs'!#REF!,"AAAAAHsp+7s=")</f>
        <v>#REF!</v>
      </c>
      <c r="GG42" t="e">
        <f>AND('boilerplate specs'!#REF!,"AAAAAHsp+7w=")</f>
        <v>#REF!</v>
      </c>
      <c r="GH42" t="e">
        <f>AND('boilerplate specs'!#REF!,"AAAAAHsp+70=")</f>
        <v>#REF!</v>
      </c>
      <c r="GI42" t="e">
        <f>AND('boilerplate specs'!#REF!,"AAAAAHsp+74=")</f>
        <v>#REF!</v>
      </c>
      <c r="GJ42" t="e">
        <f>AND('boilerplate specs'!#REF!,"AAAAAHsp+78=")</f>
        <v>#REF!</v>
      </c>
      <c r="GK42" t="e">
        <f>AND('boilerplate specs'!#REF!,"AAAAAHsp+8A=")</f>
        <v>#REF!</v>
      </c>
      <c r="GL42" t="e">
        <f>AND('boilerplate specs'!#REF!,"AAAAAHsp+8E=")</f>
        <v>#REF!</v>
      </c>
      <c r="GM42" t="e">
        <f>AND('boilerplate specs'!#REF!,"AAAAAHsp+8I=")</f>
        <v>#REF!</v>
      </c>
      <c r="GN42" t="e">
        <f>AND('boilerplate specs'!#REF!,"AAAAAHsp+8M=")</f>
        <v>#REF!</v>
      </c>
      <c r="GO42" t="e">
        <f>AND('boilerplate specs'!#REF!,"AAAAAHsp+8Q=")</f>
        <v>#REF!</v>
      </c>
      <c r="GP42" t="e">
        <f>AND('boilerplate specs'!#REF!,"AAAAAHsp+8U=")</f>
        <v>#REF!</v>
      </c>
      <c r="GQ42" t="e">
        <f>AND('boilerplate specs'!#REF!,"AAAAAHsp+8Y=")</f>
        <v>#REF!</v>
      </c>
      <c r="GR42" t="e">
        <f>AND('boilerplate specs'!#REF!,"AAAAAHsp+8c=")</f>
        <v>#REF!</v>
      </c>
      <c r="GS42" t="e">
        <f>AND('boilerplate specs'!#REF!,"AAAAAHsp+8g=")</f>
        <v>#REF!</v>
      </c>
      <c r="GT42" t="e">
        <f>AND('boilerplate specs'!#REF!,"AAAAAHsp+8k=")</f>
        <v>#REF!</v>
      </c>
      <c r="GU42" t="e">
        <f>AND('boilerplate specs'!#REF!,"AAAAAHsp+8o=")</f>
        <v>#REF!</v>
      </c>
      <c r="GV42" t="e">
        <f>AND('boilerplate specs'!#REF!,"AAAAAHsp+8s=")</f>
        <v>#REF!</v>
      </c>
      <c r="GW42" t="e">
        <f>AND('boilerplate specs'!#REF!,"AAAAAHsp+8w=")</f>
        <v>#REF!</v>
      </c>
      <c r="GX42" t="e">
        <f>AND('boilerplate specs'!#REF!,"AAAAAHsp+80=")</f>
        <v>#REF!</v>
      </c>
      <c r="GY42" t="e">
        <f>AND('boilerplate specs'!#REF!,"AAAAAHsp+84=")</f>
        <v>#REF!</v>
      </c>
      <c r="GZ42" t="e">
        <f>AND('boilerplate specs'!#REF!,"AAAAAHsp+88=")</f>
        <v>#REF!</v>
      </c>
      <c r="HA42" t="e">
        <f>AND('boilerplate specs'!#REF!,"AAAAAHsp+9A=")</f>
        <v>#REF!</v>
      </c>
      <c r="HB42">
        <f>IF('boilerplate specs'!264:264,"AAAAAHsp+9E=",0)</f>
        <v>0</v>
      </c>
      <c r="HC42" t="e">
        <f>AND('boilerplate specs'!A264,"AAAAAHsp+9I=")</f>
        <v>#VALUE!</v>
      </c>
      <c r="HD42" t="e">
        <f>AND('boilerplate specs'!B264,"AAAAAHsp+9M=")</f>
        <v>#VALUE!</v>
      </c>
      <c r="HE42" t="e">
        <f>AND('boilerplate specs'!C264,"AAAAAHsp+9Q=")</f>
        <v>#VALUE!</v>
      </c>
      <c r="HF42" t="e">
        <f>AND('boilerplate specs'!D264,"AAAAAHsp+9U=")</f>
        <v>#VALUE!</v>
      </c>
      <c r="HG42" t="e">
        <f>AND('boilerplate specs'!E264,"AAAAAHsp+9Y=")</f>
        <v>#VALUE!</v>
      </c>
      <c r="HH42" t="e">
        <f>AND('boilerplate specs'!F264,"AAAAAHsp+9c=")</f>
        <v>#VALUE!</v>
      </c>
      <c r="HI42" t="e">
        <f>AND('boilerplate specs'!G264,"AAAAAHsp+9g=")</f>
        <v>#VALUE!</v>
      </c>
      <c r="HJ42" t="e">
        <f>AND('boilerplate specs'!H264,"AAAAAHsp+9k=")</f>
        <v>#VALUE!</v>
      </c>
      <c r="HK42" t="e">
        <f>AND('boilerplate specs'!I264,"AAAAAHsp+9o=")</f>
        <v>#VALUE!</v>
      </c>
      <c r="HL42" t="e">
        <f>AND('boilerplate specs'!J264,"AAAAAHsp+9s=")</f>
        <v>#VALUE!</v>
      </c>
      <c r="HM42" t="e">
        <f>AND('boilerplate specs'!#REF!,"AAAAAHsp+9w=")</f>
        <v>#REF!</v>
      </c>
      <c r="HN42" t="e">
        <f>AND('boilerplate specs'!#REF!,"AAAAAHsp+90=")</f>
        <v>#REF!</v>
      </c>
      <c r="HO42" t="e">
        <f>AND('boilerplate specs'!#REF!,"AAAAAHsp+94=")</f>
        <v>#REF!</v>
      </c>
      <c r="HP42" t="e">
        <f>AND('boilerplate specs'!#REF!,"AAAAAHsp+98=")</f>
        <v>#REF!</v>
      </c>
      <c r="HQ42" t="e">
        <f>AND('boilerplate specs'!#REF!,"AAAAAHsp++A=")</f>
        <v>#REF!</v>
      </c>
      <c r="HR42" t="e">
        <f>AND('boilerplate specs'!#REF!,"AAAAAHsp++E=")</f>
        <v>#REF!</v>
      </c>
      <c r="HS42" t="e">
        <f>AND('boilerplate specs'!#REF!,"AAAAAHsp++I=")</f>
        <v>#REF!</v>
      </c>
      <c r="HT42" t="e">
        <f>AND('boilerplate specs'!#REF!,"AAAAAHsp++M=")</f>
        <v>#REF!</v>
      </c>
      <c r="HU42" t="e">
        <f>AND('boilerplate specs'!#REF!,"AAAAAHsp++Q=")</f>
        <v>#REF!</v>
      </c>
      <c r="HV42" t="e">
        <f>AND('boilerplate specs'!#REF!,"AAAAAHsp++U=")</f>
        <v>#REF!</v>
      </c>
      <c r="HW42" t="e">
        <f>AND('boilerplate specs'!#REF!,"AAAAAHsp++Y=")</f>
        <v>#REF!</v>
      </c>
      <c r="HX42" t="e">
        <f>AND('boilerplate specs'!#REF!,"AAAAAHsp++c=")</f>
        <v>#REF!</v>
      </c>
      <c r="HY42" t="e">
        <f>AND('boilerplate specs'!#REF!,"AAAAAHsp++g=")</f>
        <v>#REF!</v>
      </c>
      <c r="HZ42" t="e">
        <f>AND('boilerplate specs'!#REF!,"AAAAAHsp++k=")</f>
        <v>#REF!</v>
      </c>
      <c r="IA42" t="e">
        <f>AND('boilerplate specs'!#REF!,"AAAAAHsp++o=")</f>
        <v>#REF!</v>
      </c>
      <c r="IB42" t="e">
        <f>AND('boilerplate specs'!#REF!,"AAAAAHsp++s=")</f>
        <v>#REF!</v>
      </c>
      <c r="IC42" t="e">
        <f>AND('boilerplate specs'!#REF!,"AAAAAHsp++w=")</f>
        <v>#REF!</v>
      </c>
      <c r="ID42" t="e">
        <f>AND('boilerplate specs'!#REF!,"AAAAAHsp++0=")</f>
        <v>#REF!</v>
      </c>
      <c r="IE42" t="e">
        <f>AND('boilerplate specs'!#REF!,"AAAAAHsp++4=")</f>
        <v>#REF!</v>
      </c>
      <c r="IF42" t="e">
        <f>AND('boilerplate specs'!#REF!,"AAAAAHsp++8=")</f>
        <v>#REF!</v>
      </c>
      <c r="IG42" t="e">
        <f>AND('boilerplate specs'!#REF!,"AAAAAHsp+/A=")</f>
        <v>#REF!</v>
      </c>
      <c r="IH42" t="e">
        <f>AND('boilerplate specs'!#REF!,"AAAAAHsp+/E=")</f>
        <v>#REF!</v>
      </c>
      <c r="II42">
        <f>IF('boilerplate specs'!265:265,"AAAAAHsp+/I=",0)</f>
        <v>0</v>
      </c>
      <c r="IJ42" t="e">
        <f>AND('boilerplate specs'!A265,"AAAAAHsp+/M=")</f>
        <v>#VALUE!</v>
      </c>
      <c r="IK42" t="e">
        <f>AND('boilerplate specs'!B265,"AAAAAHsp+/Q=")</f>
        <v>#VALUE!</v>
      </c>
      <c r="IL42" t="e">
        <f>AND('boilerplate specs'!C265,"AAAAAHsp+/U=")</f>
        <v>#VALUE!</v>
      </c>
      <c r="IM42" t="e">
        <f>AND('boilerplate specs'!D265,"AAAAAHsp+/Y=")</f>
        <v>#VALUE!</v>
      </c>
      <c r="IN42" t="e">
        <f>AND('boilerplate specs'!E265,"AAAAAHsp+/c=")</f>
        <v>#VALUE!</v>
      </c>
      <c r="IO42" t="e">
        <f>AND('boilerplate specs'!F265,"AAAAAHsp+/g=")</f>
        <v>#VALUE!</v>
      </c>
      <c r="IP42" t="e">
        <f>AND('boilerplate specs'!G265,"AAAAAHsp+/k=")</f>
        <v>#VALUE!</v>
      </c>
      <c r="IQ42" t="e">
        <f>AND('boilerplate specs'!H265,"AAAAAHsp+/o=")</f>
        <v>#VALUE!</v>
      </c>
      <c r="IR42" t="e">
        <f>AND('boilerplate specs'!I265,"AAAAAHsp+/s=")</f>
        <v>#VALUE!</v>
      </c>
      <c r="IS42" t="e">
        <f>AND('boilerplate specs'!J265,"AAAAAHsp+/w=")</f>
        <v>#VALUE!</v>
      </c>
      <c r="IT42" t="e">
        <f>AND('boilerplate specs'!#REF!,"AAAAAHsp+/0=")</f>
        <v>#REF!</v>
      </c>
      <c r="IU42" t="e">
        <f>AND('boilerplate specs'!#REF!,"AAAAAHsp+/4=")</f>
        <v>#REF!</v>
      </c>
      <c r="IV42" t="e">
        <f>AND('boilerplate specs'!#REF!,"AAAAAHsp+/8=")</f>
        <v>#REF!</v>
      </c>
    </row>
    <row r="43" spans="1:256" x14ac:dyDescent="0.35">
      <c r="A43" t="e">
        <f>AND('boilerplate specs'!#REF!,"AAAAAFet4AA=")</f>
        <v>#REF!</v>
      </c>
      <c r="B43" t="e">
        <f>AND('boilerplate specs'!#REF!,"AAAAAFet4AE=")</f>
        <v>#REF!</v>
      </c>
      <c r="C43" t="e">
        <f>AND('boilerplate specs'!#REF!,"AAAAAFet4AI=")</f>
        <v>#REF!</v>
      </c>
      <c r="D43" t="e">
        <f>AND('boilerplate specs'!#REF!,"AAAAAFet4AM=")</f>
        <v>#REF!</v>
      </c>
      <c r="E43" t="e">
        <f>AND('boilerplate specs'!#REF!,"AAAAAFet4AQ=")</f>
        <v>#REF!</v>
      </c>
      <c r="F43" t="e">
        <f>AND('boilerplate specs'!#REF!,"AAAAAFet4AU=")</f>
        <v>#REF!</v>
      </c>
      <c r="G43" t="e">
        <f>AND('boilerplate specs'!#REF!,"AAAAAFet4AY=")</f>
        <v>#REF!</v>
      </c>
      <c r="H43" t="e">
        <f>AND('boilerplate specs'!#REF!,"AAAAAFet4Ac=")</f>
        <v>#REF!</v>
      </c>
      <c r="I43" t="e">
        <f>AND('boilerplate specs'!#REF!,"AAAAAFet4Ag=")</f>
        <v>#REF!</v>
      </c>
      <c r="J43" t="e">
        <f>AND('boilerplate specs'!#REF!,"AAAAAFet4Ak=")</f>
        <v>#REF!</v>
      </c>
      <c r="K43" t="e">
        <f>AND('boilerplate specs'!#REF!,"AAAAAFet4Ao=")</f>
        <v>#REF!</v>
      </c>
      <c r="L43" t="e">
        <f>AND('boilerplate specs'!#REF!,"AAAAAFet4As=")</f>
        <v>#REF!</v>
      </c>
      <c r="M43" t="e">
        <f>AND('boilerplate specs'!#REF!,"AAAAAFet4Aw=")</f>
        <v>#REF!</v>
      </c>
      <c r="N43" t="e">
        <f>AND('boilerplate specs'!#REF!,"AAAAAFet4A0=")</f>
        <v>#REF!</v>
      </c>
      <c r="O43" t="e">
        <f>AND('boilerplate specs'!#REF!,"AAAAAFet4A4=")</f>
        <v>#REF!</v>
      </c>
      <c r="P43" t="e">
        <f>AND('boilerplate specs'!#REF!,"AAAAAFet4A8=")</f>
        <v>#REF!</v>
      </c>
      <c r="Q43" t="e">
        <f>AND('boilerplate specs'!#REF!,"AAAAAFet4BA=")</f>
        <v>#REF!</v>
      </c>
      <c r="R43" t="e">
        <f>AND('boilerplate specs'!#REF!,"AAAAAFet4BE=")</f>
        <v>#REF!</v>
      </c>
      <c r="S43" t="e">
        <f>AND('boilerplate specs'!#REF!,"AAAAAFet4BI=")</f>
        <v>#REF!</v>
      </c>
      <c r="T43">
        <f>IF('boilerplate specs'!266:266,"AAAAAFet4BM=",0)</f>
        <v>0</v>
      </c>
      <c r="U43" t="e">
        <f>AND('boilerplate specs'!A266,"AAAAAFet4BQ=")</f>
        <v>#VALUE!</v>
      </c>
      <c r="V43" t="e">
        <f>AND('boilerplate specs'!B266,"AAAAAFet4BU=")</f>
        <v>#VALUE!</v>
      </c>
      <c r="W43" t="e">
        <f>AND('boilerplate specs'!C266,"AAAAAFet4BY=")</f>
        <v>#VALUE!</v>
      </c>
      <c r="X43" t="e">
        <f>AND('boilerplate specs'!D266,"AAAAAFet4Bc=")</f>
        <v>#VALUE!</v>
      </c>
      <c r="Y43" t="e">
        <f>AND('boilerplate specs'!E266,"AAAAAFet4Bg=")</f>
        <v>#VALUE!</v>
      </c>
      <c r="Z43" t="e">
        <f>AND('boilerplate specs'!F266,"AAAAAFet4Bk=")</f>
        <v>#VALUE!</v>
      </c>
      <c r="AA43" t="e">
        <f>AND('boilerplate specs'!G266,"AAAAAFet4Bo=")</f>
        <v>#VALUE!</v>
      </c>
      <c r="AB43" t="e">
        <f>AND('boilerplate specs'!H266,"AAAAAFet4Bs=")</f>
        <v>#VALUE!</v>
      </c>
      <c r="AC43" t="e">
        <f>AND('boilerplate specs'!I266,"AAAAAFet4Bw=")</f>
        <v>#VALUE!</v>
      </c>
      <c r="AD43" t="e">
        <f>AND('boilerplate specs'!J266,"AAAAAFet4B0=")</f>
        <v>#VALUE!</v>
      </c>
      <c r="AE43" t="e">
        <f>AND('boilerplate specs'!#REF!,"AAAAAFet4B4=")</f>
        <v>#REF!</v>
      </c>
      <c r="AF43" t="e">
        <f>AND('boilerplate specs'!#REF!,"AAAAAFet4B8=")</f>
        <v>#REF!</v>
      </c>
      <c r="AG43" t="e">
        <f>AND('boilerplate specs'!#REF!,"AAAAAFet4CA=")</f>
        <v>#REF!</v>
      </c>
      <c r="AH43" t="e">
        <f>AND('boilerplate specs'!#REF!,"AAAAAFet4CE=")</f>
        <v>#REF!</v>
      </c>
      <c r="AI43" t="e">
        <f>AND('boilerplate specs'!#REF!,"AAAAAFet4CI=")</f>
        <v>#REF!</v>
      </c>
      <c r="AJ43" t="e">
        <f>AND('boilerplate specs'!#REF!,"AAAAAFet4CM=")</f>
        <v>#REF!</v>
      </c>
      <c r="AK43" t="e">
        <f>AND('boilerplate specs'!#REF!,"AAAAAFet4CQ=")</f>
        <v>#REF!</v>
      </c>
      <c r="AL43" t="e">
        <f>AND('boilerplate specs'!#REF!,"AAAAAFet4CU=")</f>
        <v>#REF!</v>
      </c>
      <c r="AM43" t="e">
        <f>AND('boilerplate specs'!#REF!,"AAAAAFet4CY=")</f>
        <v>#REF!</v>
      </c>
      <c r="AN43" t="e">
        <f>AND('boilerplate specs'!#REF!,"AAAAAFet4Cc=")</f>
        <v>#REF!</v>
      </c>
      <c r="AO43" t="e">
        <f>AND('boilerplate specs'!#REF!,"AAAAAFet4Cg=")</f>
        <v>#REF!</v>
      </c>
      <c r="AP43" t="e">
        <f>AND('boilerplate specs'!#REF!,"AAAAAFet4Ck=")</f>
        <v>#REF!</v>
      </c>
      <c r="AQ43" t="e">
        <f>AND('boilerplate specs'!#REF!,"AAAAAFet4Co=")</f>
        <v>#REF!</v>
      </c>
      <c r="AR43" t="e">
        <f>AND('boilerplate specs'!#REF!,"AAAAAFet4Cs=")</f>
        <v>#REF!</v>
      </c>
      <c r="AS43" t="e">
        <f>AND('boilerplate specs'!#REF!,"AAAAAFet4Cw=")</f>
        <v>#REF!</v>
      </c>
      <c r="AT43" t="e">
        <f>AND('boilerplate specs'!#REF!,"AAAAAFet4C0=")</f>
        <v>#REF!</v>
      </c>
      <c r="AU43" t="e">
        <f>AND('boilerplate specs'!#REF!,"AAAAAFet4C4=")</f>
        <v>#REF!</v>
      </c>
      <c r="AV43" t="e">
        <f>AND('boilerplate specs'!#REF!,"AAAAAFet4C8=")</f>
        <v>#REF!</v>
      </c>
      <c r="AW43" t="e">
        <f>AND('boilerplate specs'!#REF!,"AAAAAFet4DA=")</f>
        <v>#REF!</v>
      </c>
      <c r="AX43" t="e">
        <f>AND('boilerplate specs'!#REF!,"AAAAAFet4DE=")</f>
        <v>#REF!</v>
      </c>
      <c r="AY43" t="e">
        <f>AND('boilerplate specs'!#REF!,"AAAAAFet4DI=")</f>
        <v>#REF!</v>
      </c>
      <c r="AZ43" t="e">
        <f>AND('boilerplate specs'!#REF!,"AAAAAFet4DM=")</f>
        <v>#REF!</v>
      </c>
      <c r="BA43">
        <f>IF('boilerplate specs'!267:267,"AAAAAFet4DQ=",0)</f>
        <v>0</v>
      </c>
      <c r="BB43" t="e">
        <f>AND('boilerplate specs'!A267,"AAAAAFet4DU=")</f>
        <v>#VALUE!</v>
      </c>
      <c r="BC43" t="e">
        <f>AND('boilerplate specs'!B267,"AAAAAFet4DY=")</f>
        <v>#VALUE!</v>
      </c>
      <c r="BD43" t="e">
        <f>AND('boilerplate specs'!C267,"AAAAAFet4Dc=")</f>
        <v>#VALUE!</v>
      </c>
      <c r="BE43" t="e">
        <f>AND('boilerplate specs'!D267,"AAAAAFet4Dg=")</f>
        <v>#VALUE!</v>
      </c>
      <c r="BF43" t="e">
        <f>AND('boilerplate specs'!E267,"AAAAAFet4Dk=")</f>
        <v>#VALUE!</v>
      </c>
      <c r="BG43" t="e">
        <f>AND('boilerplate specs'!F267,"AAAAAFet4Do=")</f>
        <v>#VALUE!</v>
      </c>
      <c r="BH43" t="e">
        <f>AND('boilerplate specs'!G267,"AAAAAFet4Ds=")</f>
        <v>#VALUE!</v>
      </c>
      <c r="BI43" t="e">
        <f>AND('boilerplate specs'!H267,"AAAAAFet4Dw=")</f>
        <v>#VALUE!</v>
      </c>
      <c r="BJ43" t="e">
        <f>AND('boilerplate specs'!I267,"AAAAAFet4D0=")</f>
        <v>#VALUE!</v>
      </c>
      <c r="BK43" t="e">
        <f>AND('boilerplate specs'!J267,"AAAAAFet4D4=")</f>
        <v>#VALUE!</v>
      </c>
      <c r="BL43" t="e">
        <f>AND('boilerplate specs'!#REF!,"AAAAAFet4D8=")</f>
        <v>#REF!</v>
      </c>
      <c r="BM43" t="e">
        <f>AND('boilerplate specs'!#REF!,"AAAAAFet4EA=")</f>
        <v>#REF!</v>
      </c>
      <c r="BN43" t="e">
        <f>AND('boilerplate specs'!#REF!,"AAAAAFet4EE=")</f>
        <v>#REF!</v>
      </c>
      <c r="BO43" t="e">
        <f>AND('boilerplate specs'!#REF!,"AAAAAFet4EI=")</f>
        <v>#REF!</v>
      </c>
      <c r="BP43" t="e">
        <f>AND('boilerplate specs'!#REF!,"AAAAAFet4EM=")</f>
        <v>#REF!</v>
      </c>
      <c r="BQ43" t="e">
        <f>AND('boilerplate specs'!#REF!,"AAAAAFet4EQ=")</f>
        <v>#REF!</v>
      </c>
      <c r="BR43" t="e">
        <f>AND('boilerplate specs'!#REF!,"AAAAAFet4EU=")</f>
        <v>#REF!</v>
      </c>
      <c r="BS43" t="e">
        <f>AND('boilerplate specs'!#REF!,"AAAAAFet4EY=")</f>
        <v>#REF!</v>
      </c>
      <c r="BT43" t="e">
        <f>AND('boilerplate specs'!#REF!,"AAAAAFet4Ec=")</f>
        <v>#REF!</v>
      </c>
      <c r="BU43" t="e">
        <f>AND('boilerplate specs'!#REF!,"AAAAAFet4Eg=")</f>
        <v>#REF!</v>
      </c>
      <c r="BV43" t="e">
        <f>AND('boilerplate specs'!#REF!,"AAAAAFet4Ek=")</f>
        <v>#REF!</v>
      </c>
      <c r="BW43" t="e">
        <f>AND('boilerplate specs'!#REF!,"AAAAAFet4Eo=")</f>
        <v>#REF!</v>
      </c>
      <c r="BX43" t="e">
        <f>AND('boilerplate specs'!#REF!,"AAAAAFet4Es=")</f>
        <v>#REF!</v>
      </c>
      <c r="BY43" t="e">
        <f>AND('boilerplate specs'!#REF!,"AAAAAFet4Ew=")</f>
        <v>#REF!</v>
      </c>
      <c r="BZ43" t="e">
        <f>AND('boilerplate specs'!#REF!,"AAAAAFet4E0=")</f>
        <v>#REF!</v>
      </c>
      <c r="CA43" t="e">
        <f>AND('boilerplate specs'!#REF!,"AAAAAFet4E4=")</f>
        <v>#REF!</v>
      </c>
      <c r="CB43" t="e">
        <f>AND('boilerplate specs'!#REF!,"AAAAAFet4E8=")</f>
        <v>#REF!</v>
      </c>
      <c r="CC43" t="e">
        <f>AND('boilerplate specs'!#REF!,"AAAAAFet4FA=")</f>
        <v>#REF!</v>
      </c>
      <c r="CD43" t="e">
        <f>AND('boilerplate specs'!#REF!,"AAAAAFet4FE=")</f>
        <v>#REF!</v>
      </c>
      <c r="CE43" t="e">
        <f>AND('boilerplate specs'!#REF!,"AAAAAFet4FI=")</f>
        <v>#REF!</v>
      </c>
      <c r="CF43" t="e">
        <f>AND('boilerplate specs'!#REF!,"AAAAAFet4FM=")</f>
        <v>#REF!</v>
      </c>
      <c r="CG43" t="e">
        <f>AND('boilerplate specs'!#REF!,"AAAAAFet4FQ=")</f>
        <v>#REF!</v>
      </c>
      <c r="CH43">
        <f>IF('boilerplate specs'!268:268,"AAAAAFet4FU=",0)</f>
        <v>0</v>
      </c>
      <c r="CI43" t="e">
        <f>AND('boilerplate specs'!A268,"AAAAAFet4FY=")</f>
        <v>#VALUE!</v>
      </c>
      <c r="CJ43" t="e">
        <f>AND('boilerplate specs'!B268,"AAAAAFet4Fc=")</f>
        <v>#VALUE!</v>
      </c>
      <c r="CK43" t="e">
        <f>AND('boilerplate specs'!C268,"AAAAAFet4Fg=")</f>
        <v>#VALUE!</v>
      </c>
      <c r="CL43" t="e">
        <f>AND('boilerplate specs'!D268,"AAAAAFet4Fk=")</f>
        <v>#VALUE!</v>
      </c>
      <c r="CM43" t="e">
        <f>AND('boilerplate specs'!E268,"AAAAAFet4Fo=")</f>
        <v>#VALUE!</v>
      </c>
      <c r="CN43" t="e">
        <f>AND('boilerplate specs'!F268,"AAAAAFet4Fs=")</f>
        <v>#VALUE!</v>
      </c>
      <c r="CO43" t="e">
        <f>AND('boilerplate specs'!G268,"AAAAAFet4Fw=")</f>
        <v>#VALUE!</v>
      </c>
      <c r="CP43" t="e">
        <f>AND('boilerplate specs'!H268,"AAAAAFet4F0=")</f>
        <v>#VALUE!</v>
      </c>
      <c r="CQ43" t="e">
        <f>AND('boilerplate specs'!I268,"AAAAAFet4F4=")</f>
        <v>#VALUE!</v>
      </c>
      <c r="CR43" t="e">
        <f>AND('boilerplate specs'!J268,"AAAAAFet4F8=")</f>
        <v>#VALUE!</v>
      </c>
      <c r="CS43" t="e">
        <f>AND('boilerplate specs'!#REF!,"AAAAAFet4GA=")</f>
        <v>#REF!</v>
      </c>
      <c r="CT43" t="e">
        <f>AND('boilerplate specs'!#REF!,"AAAAAFet4GE=")</f>
        <v>#REF!</v>
      </c>
      <c r="CU43" t="e">
        <f>AND('boilerplate specs'!#REF!,"AAAAAFet4GI=")</f>
        <v>#REF!</v>
      </c>
      <c r="CV43" t="e">
        <f>AND('boilerplate specs'!#REF!,"AAAAAFet4GM=")</f>
        <v>#REF!</v>
      </c>
      <c r="CW43" t="e">
        <f>AND('boilerplate specs'!#REF!,"AAAAAFet4GQ=")</f>
        <v>#REF!</v>
      </c>
      <c r="CX43" t="e">
        <f>AND('boilerplate specs'!#REF!,"AAAAAFet4GU=")</f>
        <v>#REF!</v>
      </c>
      <c r="CY43" t="e">
        <f>AND('boilerplate specs'!#REF!,"AAAAAFet4GY=")</f>
        <v>#REF!</v>
      </c>
      <c r="CZ43" t="e">
        <f>AND('boilerplate specs'!#REF!,"AAAAAFet4Gc=")</f>
        <v>#REF!</v>
      </c>
      <c r="DA43" t="e">
        <f>AND('boilerplate specs'!#REF!,"AAAAAFet4Gg=")</f>
        <v>#REF!</v>
      </c>
      <c r="DB43" t="e">
        <f>AND('boilerplate specs'!#REF!,"AAAAAFet4Gk=")</f>
        <v>#REF!</v>
      </c>
      <c r="DC43" t="e">
        <f>AND('boilerplate specs'!#REF!,"AAAAAFet4Go=")</f>
        <v>#REF!</v>
      </c>
      <c r="DD43" t="e">
        <f>AND('boilerplate specs'!#REF!,"AAAAAFet4Gs=")</f>
        <v>#REF!</v>
      </c>
      <c r="DE43" t="e">
        <f>AND('boilerplate specs'!#REF!,"AAAAAFet4Gw=")</f>
        <v>#REF!</v>
      </c>
      <c r="DF43" t="e">
        <f>AND('boilerplate specs'!#REF!,"AAAAAFet4G0=")</f>
        <v>#REF!</v>
      </c>
      <c r="DG43" t="e">
        <f>AND('boilerplate specs'!#REF!,"AAAAAFet4G4=")</f>
        <v>#REF!</v>
      </c>
      <c r="DH43" t="e">
        <f>AND('boilerplate specs'!#REF!,"AAAAAFet4G8=")</f>
        <v>#REF!</v>
      </c>
      <c r="DI43" t="e">
        <f>AND('boilerplate specs'!#REF!,"AAAAAFet4HA=")</f>
        <v>#REF!</v>
      </c>
      <c r="DJ43" t="e">
        <f>AND('boilerplate specs'!#REF!,"AAAAAFet4HE=")</f>
        <v>#REF!</v>
      </c>
      <c r="DK43" t="e">
        <f>AND('boilerplate specs'!#REF!,"AAAAAFet4HI=")</f>
        <v>#REF!</v>
      </c>
      <c r="DL43" t="e">
        <f>AND('boilerplate specs'!#REF!,"AAAAAFet4HM=")</f>
        <v>#REF!</v>
      </c>
      <c r="DM43" t="e">
        <f>AND('boilerplate specs'!#REF!,"AAAAAFet4HQ=")</f>
        <v>#REF!</v>
      </c>
      <c r="DN43" t="e">
        <f>AND('boilerplate specs'!#REF!,"AAAAAFet4HU=")</f>
        <v>#REF!</v>
      </c>
      <c r="DO43">
        <f>IF('boilerplate specs'!269:269,"AAAAAFet4HY=",0)</f>
        <v>0</v>
      </c>
      <c r="DP43" t="e">
        <f>AND('boilerplate specs'!A269,"AAAAAFet4Hc=")</f>
        <v>#VALUE!</v>
      </c>
      <c r="DQ43" t="e">
        <f>AND('boilerplate specs'!B269,"AAAAAFet4Hg=")</f>
        <v>#VALUE!</v>
      </c>
      <c r="DR43" t="e">
        <f>AND('boilerplate specs'!C269,"AAAAAFet4Hk=")</f>
        <v>#VALUE!</v>
      </c>
      <c r="DS43" t="e">
        <f>AND('boilerplate specs'!D269,"AAAAAFet4Ho=")</f>
        <v>#VALUE!</v>
      </c>
      <c r="DT43" t="e">
        <f>AND('boilerplate specs'!E269,"AAAAAFet4Hs=")</f>
        <v>#VALUE!</v>
      </c>
      <c r="DU43" t="e">
        <f>AND('boilerplate specs'!F269,"AAAAAFet4Hw=")</f>
        <v>#VALUE!</v>
      </c>
      <c r="DV43" t="e">
        <f>AND('boilerplate specs'!G269,"AAAAAFet4H0=")</f>
        <v>#VALUE!</v>
      </c>
      <c r="DW43" t="e">
        <f>AND('boilerplate specs'!H269,"AAAAAFet4H4=")</f>
        <v>#VALUE!</v>
      </c>
      <c r="DX43" t="e">
        <f>AND('boilerplate specs'!I269,"AAAAAFet4H8=")</f>
        <v>#VALUE!</v>
      </c>
      <c r="DY43" t="e">
        <f>AND('boilerplate specs'!J269,"AAAAAFet4IA=")</f>
        <v>#VALUE!</v>
      </c>
      <c r="DZ43" t="e">
        <f>AND('boilerplate specs'!#REF!,"AAAAAFet4IE=")</f>
        <v>#REF!</v>
      </c>
      <c r="EA43" t="e">
        <f>AND('boilerplate specs'!#REF!,"AAAAAFet4II=")</f>
        <v>#REF!</v>
      </c>
      <c r="EB43" t="e">
        <f>AND('boilerplate specs'!#REF!,"AAAAAFet4IM=")</f>
        <v>#REF!</v>
      </c>
      <c r="EC43" t="e">
        <f>AND('boilerplate specs'!#REF!,"AAAAAFet4IQ=")</f>
        <v>#REF!</v>
      </c>
      <c r="ED43" t="e">
        <f>AND('boilerplate specs'!#REF!,"AAAAAFet4IU=")</f>
        <v>#REF!</v>
      </c>
      <c r="EE43" t="e">
        <f>AND('boilerplate specs'!#REF!,"AAAAAFet4IY=")</f>
        <v>#REF!</v>
      </c>
      <c r="EF43" t="e">
        <f>AND('boilerplate specs'!#REF!,"AAAAAFet4Ic=")</f>
        <v>#REF!</v>
      </c>
      <c r="EG43" t="e">
        <f>AND('boilerplate specs'!#REF!,"AAAAAFet4Ig=")</f>
        <v>#REF!</v>
      </c>
      <c r="EH43" t="e">
        <f>AND('boilerplate specs'!#REF!,"AAAAAFet4Ik=")</f>
        <v>#REF!</v>
      </c>
      <c r="EI43" t="e">
        <f>AND('boilerplate specs'!#REF!,"AAAAAFet4Io=")</f>
        <v>#REF!</v>
      </c>
      <c r="EJ43" t="e">
        <f>AND('boilerplate specs'!#REF!,"AAAAAFet4Is=")</f>
        <v>#REF!</v>
      </c>
      <c r="EK43" t="e">
        <f>AND('boilerplate specs'!#REF!,"AAAAAFet4Iw=")</f>
        <v>#REF!</v>
      </c>
      <c r="EL43" t="e">
        <f>AND('boilerplate specs'!#REF!,"AAAAAFet4I0=")</f>
        <v>#REF!</v>
      </c>
      <c r="EM43" t="e">
        <f>AND('boilerplate specs'!#REF!,"AAAAAFet4I4=")</f>
        <v>#REF!</v>
      </c>
      <c r="EN43" t="e">
        <f>AND('boilerplate specs'!#REF!,"AAAAAFet4I8=")</f>
        <v>#REF!</v>
      </c>
      <c r="EO43" t="e">
        <f>AND('boilerplate specs'!#REF!,"AAAAAFet4JA=")</f>
        <v>#REF!</v>
      </c>
      <c r="EP43" t="e">
        <f>AND('boilerplate specs'!#REF!,"AAAAAFet4JE=")</f>
        <v>#REF!</v>
      </c>
      <c r="EQ43" t="e">
        <f>AND('boilerplate specs'!#REF!,"AAAAAFet4JI=")</f>
        <v>#REF!</v>
      </c>
      <c r="ER43" t="e">
        <f>AND('boilerplate specs'!#REF!,"AAAAAFet4JM=")</f>
        <v>#REF!</v>
      </c>
      <c r="ES43" t="e">
        <f>AND('boilerplate specs'!#REF!,"AAAAAFet4JQ=")</f>
        <v>#REF!</v>
      </c>
      <c r="ET43" t="e">
        <f>AND('boilerplate specs'!#REF!,"AAAAAFet4JU=")</f>
        <v>#REF!</v>
      </c>
      <c r="EU43" t="e">
        <f>AND('boilerplate specs'!#REF!,"AAAAAFet4JY=")</f>
        <v>#REF!</v>
      </c>
      <c r="EV43">
        <f>IF('boilerplate specs'!270:270,"AAAAAFet4Jc=",0)</f>
        <v>0</v>
      </c>
      <c r="EW43" t="e">
        <f>AND('boilerplate specs'!A270,"AAAAAFet4Jg=")</f>
        <v>#VALUE!</v>
      </c>
      <c r="EX43" t="e">
        <f>AND('boilerplate specs'!B270,"AAAAAFet4Jk=")</f>
        <v>#VALUE!</v>
      </c>
      <c r="EY43" t="e">
        <f>AND('boilerplate specs'!C270,"AAAAAFet4Jo=")</f>
        <v>#VALUE!</v>
      </c>
      <c r="EZ43" t="e">
        <f>AND('boilerplate specs'!D270,"AAAAAFet4Js=")</f>
        <v>#VALUE!</v>
      </c>
      <c r="FA43" t="e">
        <f>AND('boilerplate specs'!E270,"AAAAAFet4Jw=")</f>
        <v>#VALUE!</v>
      </c>
      <c r="FB43" t="e">
        <f>AND('boilerplate specs'!F270,"AAAAAFet4J0=")</f>
        <v>#VALUE!</v>
      </c>
      <c r="FC43" t="e">
        <f>AND('boilerplate specs'!G270,"AAAAAFet4J4=")</f>
        <v>#VALUE!</v>
      </c>
      <c r="FD43" t="e">
        <f>AND('boilerplate specs'!H270,"AAAAAFet4J8=")</f>
        <v>#VALUE!</v>
      </c>
      <c r="FE43" t="e">
        <f>AND('boilerplate specs'!I270,"AAAAAFet4KA=")</f>
        <v>#VALUE!</v>
      </c>
      <c r="FF43" t="e">
        <f>AND('boilerplate specs'!J270,"AAAAAFet4KE=")</f>
        <v>#VALUE!</v>
      </c>
      <c r="FG43" t="e">
        <f>AND('boilerplate specs'!#REF!,"AAAAAFet4KI=")</f>
        <v>#REF!</v>
      </c>
      <c r="FH43" t="e">
        <f>AND('boilerplate specs'!#REF!,"AAAAAFet4KM=")</f>
        <v>#REF!</v>
      </c>
      <c r="FI43" t="e">
        <f>AND('boilerplate specs'!#REF!,"AAAAAFet4KQ=")</f>
        <v>#REF!</v>
      </c>
      <c r="FJ43" t="e">
        <f>AND('boilerplate specs'!#REF!,"AAAAAFet4KU=")</f>
        <v>#REF!</v>
      </c>
      <c r="FK43" t="e">
        <f>AND('boilerplate specs'!#REF!,"AAAAAFet4KY=")</f>
        <v>#REF!</v>
      </c>
      <c r="FL43" t="e">
        <f>AND('boilerplate specs'!#REF!,"AAAAAFet4Kc=")</f>
        <v>#REF!</v>
      </c>
      <c r="FM43" t="e">
        <f>AND('boilerplate specs'!#REF!,"AAAAAFet4Kg=")</f>
        <v>#REF!</v>
      </c>
      <c r="FN43" t="e">
        <f>AND('boilerplate specs'!#REF!,"AAAAAFet4Kk=")</f>
        <v>#REF!</v>
      </c>
      <c r="FO43" t="e">
        <f>AND('boilerplate specs'!#REF!,"AAAAAFet4Ko=")</f>
        <v>#REF!</v>
      </c>
      <c r="FP43" t="e">
        <f>AND('boilerplate specs'!#REF!,"AAAAAFet4Ks=")</f>
        <v>#REF!</v>
      </c>
      <c r="FQ43" t="e">
        <f>AND('boilerplate specs'!#REF!,"AAAAAFet4Kw=")</f>
        <v>#REF!</v>
      </c>
      <c r="FR43" t="e">
        <f>AND('boilerplate specs'!#REF!,"AAAAAFet4K0=")</f>
        <v>#REF!</v>
      </c>
      <c r="FS43" t="e">
        <f>AND('boilerplate specs'!#REF!,"AAAAAFet4K4=")</f>
        <v>#REF!</v>
      </c>
      <c r="FT43" t="e">
        <f>AND('boilerplate specs'!#REF!,"AAAAAFet4K8=")</f>
        <v>#REF!</v>
      </c>
      <c r="FU43" t="e">
        <f>AND('boilerplate specs'!#REF!,"AAAAAFet4LA=")</f>
        <v>#REF!</v>
      </c>
      <c r="FV43" t="e">
        <f>AND('boilerplate specs'!#REF!,"AAAAAFet4LE=")</f>
        <v>#REF!</v>
      </c>
      <c r="FW43" t="e">
        <f>AND('boilerplate specs'!#REF!,"AAAAAFet4LI=")</f>
        <v>#REF!</v>
      </c>
      <c r="FX43" t="e">
        <f>AND('boilerplate specs'!#REF!,"AAAAAFet4LM=")</f>
        <v>#REF!</v>
      </c>
      <c r="FY43" t="e">
        <f>AND('boilerplate specs'!#REF!,"AAAAAFet4LQ=")</f>
        <v>#REF!</v>
      </c>
      <c r="FZ43" t="e">
        <f>AND('boilerplate specs'!#REF!,"AAAAAFet4LU=")</f>
        <v>#REF!</v>
      </c>
      <c r="GA43" t="e">
        <f>AND('boilerplate specs'!#REF!,"AAAAAFet4LY=")</f>
        <v>#REF!</v>
      </c>
      <c r="GB43" t="e">
        <f>AND('boilerplate specs'!#REF!,"AAAAAFet4Lc=")</f>
        <v>#REF!</v>
      </c>
      <c r="GC43">
        <f>IF('boilerplate specs'!271:271,"AAAAAFet4Lg=",0)</f>
        <v>0</v>
      </c>
      <c r="GD43" t="e">
        <f>AND('boilerplate specs'!A271,"AAAAAFet4Lk=")</f>
        <v>#VALUE!</v>
      </c>
      <c r="GE43" t="e">
        <f>AND('boilerplate specs'!B271,"AAAAAFet4Lo=")</f>
        <v>#VALUE!</v>
      </c>
      <c r="GF43" t="e">
        <f>AND('boilerplate specs'!C271,"AAAAAFet4Ls=")</f>
        <v>#VALUE!</v>
      </c>
      <c r="GG43" t="e">
        <f>AND('boilerplate specs'!D271,"AAAAAFet4Lw=")</f>
        <v>#VALUE!</v>
      </c>
      <c r="GH43" t="e">
        <f>AND('boilerplate specs'!E271,"AAAAAFet4L0=")</f>
        <v>#VALUE!</v>
      </c>
      <c r="GI43" t="e">
        <f>AND('boilerplate specs'!F271,"AAAAAFet4L4=")</f>
        <v>#VALUE!</v>
      </c>
      <c r="GJ43" t="e">
        <f>AND('boilerplate specs'!G271,"AAAAAFet4L8=")</f>
        <v>#VALUE!</v>
      </c>
      <c r="GK43" t="e">
        <f>AND('boilerplate specs'!H271,"AAAAAFet4MA=")</f>
        <v>#VALUE!</v>
      </c>
      <c r="GL43" t="e">
        <f>AND('boilerplate specs'!I271,"AAAAAFet4ME=")</f>
        <v>#VALUE!</v>
      </c>
      <c r="GM43" t="e">
        <f>AND('boilerplate specs'!J271,"AAAAAFet4MI=")</f>
        <v>#VALUE!</v>
      </c>
      <c r="GN43" t="e">
        <f>AND('boilerplate specs'!#REF!,"AAAAAFet4MM=")</f>
        <v>#REF!</v>
      </c>
      <c r="GO43" t="e">
        <f>AND('boilerplate specs'!#REF!,"AAAAAFet4MQ=")</f>
        <v>#REF!</v>
      </c>
      <c r="GP43" t="e">
        <f>AND('boilerplate specs'!#REF!,"AAAAAFet4MU=")</f>
        <v>#REF!</v>
      </c>
      <c r="GQ43" t="e">
        <f>AND('boilerplate specs'!#REF!,"AAAAAFet4MY=")</f>
        <v>#REF!</v>
      </c>
      <c r="GR43" t="e">
        <f>AND('boilerplate specs'!#REF!,"AAAAAFet4Mc=")</f>
        <v>#REF!</v>
      </c>
      <c r="GS43" t="e">
        <f>AND('boilerplate specs'!#REF!,"AAAAAFet4Mg=")</f>
        <v>#REF!</v>
      </c>
      <c r="GT43" t="e">
        <f>AND('boilerplate specs'!#REF!,"AAAAAFet4Mk=")</f>
        <v>#REF!</v>
      </c>
      <c r="GU43" t="e">
        <f>AND('boilerplate specs'!#REF!,"AAAAAFet4Mo=")</f>
        <v>#REF!</v>
      </c>
      <c r="GV43" t="e">
        <f>AND('boilerplate specs'!#REF!,"AAAAAFet4Ms=")</f>
        <v>#REF!</v>
      </c>
      <c r="GW43" t="e">
        <f>AND('boilerplate specs'!#REF!,"AAAAAFet4Mw=")</f>
        <v>#REF!</v>
      </c>
      <c r="GX43" t="e">
        <f>AND('boilerplate specs'!#REF!,"AAAAAFet4M0=")</f>
        <v>#REF!</v>
      </c>
      <c r="GY43" t="e">
        <f>AND('boilerplate specs'!#REF!,"AAAAAFet4M4=")</f>
        <v>#REF!</v>
      </c>
      <c r="GZ43" t="e">
        <f>AND('boilerplate specs'!#REF!,"AAAAAFet4M8=")</f>
        <v>#REF!</v>
      </c>
      <c r="HA43" t="e">
        <f>AND('boilerplate specs'!#REF!,"AAAAAFet4NA=")</f>
        <v>#REF!</v>
      </c>
      <c r="HB43" t="e">
        <f>AND('boilerplate specs'!#REF!,"AAAAAFet4NE=")</f>
        <v>#REF!</v>
      </c>
      <c r="HC43" t="e">
        <f>AND('boilerplate specs'!#REF!,"AAAAAFet4NI=")</f>
        <v>#REF!</v>
      </c>
      <c r="HD43" t="e">
        <f>AND('boilerplate specs'!#REF!,"AAAAAFet4NM=")</f>
        <v>#REF!</v>
      </c>
      <c r="HE43" t="e">
        <f>AND('boilerplate specs'!#REF!,"AAAAAFet4NQ=")</f>
        <v>#REF!</v>
      </c>
      <c r="HF43" t="e">
        <f>AND('boilerplate specs'!#REF!,"AAAAAFet4NU=")</f>
        <v>#REF!</v>
      </c>
      <c r="HG43" t="e">
        <f>AND('boilerplate specs'!#REF!,"AAAAAFet4NY=")</f>
        <v>#REF!</v>
      </c>
      <c r="HH43" t="e">
        <f>AND('boilerplate specs'!#REF!,"AAAAAFet4Nc=")</f>
        <v>#REF!</v>
      </c>
      <c r="HI43" t="e">
        <f>AND('boilerplate specs'!#REF!,"AAAAAFet4Ng=")</f>
        <v>#REF!</v>
      </c>
      <c r="HJ43">
        <f>IF('boilerplate specs'!272:272,"AAAAAFet4Nk=",0)</f>
        <v>0</v>
      </c>
      <c r="HK43" t="e">
        <f>AND('boilerplate specs'!A272,"AAAAAFet4No=")</f>
        <v>#VALUE!</v>
      </c>
      <c r="HL43" t="e">
        <f>AND('boilerplate specs'!B272,"AAAAAFet4Ns=")</f>
        <v>#VALUE!</v>
      </c>
      <c r="HM43" t="e">
        <f>AND('boilerplate specs'!C272,"AAAAAFet4Nw=")</f>
        <v>#VALUE!</v>
      </c>
      <c r="HN43" t="e">
        <f>AND('boilerplate specs'!D272,"AAAAAFet4N0=")</f>
        <v>#VALUE!</v>
      </c>
      <c r="HO43" t="e">
        <f>AND('boilerplate specs'!E272,"AAAAAFet4N4=")</f>
        <v>#VALUE!</v>
      </c>
      <c r="HP43" t="e">
        <f>AND('boilerplate specs'!F272,"AAAAAFet4N8=")</f>
        <v>#VALUE!</v>
      </c>
      <c r="HQ43" t="e">
        <f>AND('boilerplate specs'!G272,"AAAAAFet4OA=")</f>
        <v>#VALUE!</v>
      </c>
      <c r="HR43" t="e">
        <f>AND('boilerplate specs'!H272,"AAAAAFet4OE=")</f>
        <v>#VALUE!</v>
      </c>
      <c r="HS43" t="e">
        <f>AND('boilerplate specs'!I272,"AAAAAFet4OI=")</f>
        <v>#VALUE!</v>
      </c>
      <c r="HT43" t="e">
        <f>AND('boilerplate specs'!J272,"AAAAAFet4OM=")</f>
        <v>#VALUE!</v>
      </c>
      <c r="HU43" t="e">
        <f>AND('boilerplate specs'!#REF!,"AAAAAFet4OQ=")</f>
        <v>#REF!</v>
      </c>
      <c r="HV43" t="e">
        <f>AND('boilerplate specs'!#REF!,"AAAAAFet4OU=")</f>
        <v>#REF!</v>
      </c>
      <c r="HW43" t="e">
        <f>AND('boilerplate specs'!#REF!,"AAAAAFet4OY=")</f>
        <v>#REF!</v>
      </c>
      <c r="HX43" t="e">
        <f>AND('boilerplate specs'!#REF!,"AAAAAFet4Oc=")</f>
        <v>#REF!</v>
      </c>
      <c r="HY43" t="e">
        <f>AND('boilerplate specs'!#REF!,"AAAAAFet4Og=")</f>
        <v>#REF!</v>
      </c>
      <c r="HZ43" t="e">
        <f>AND('boilerplate specs'!#REF!,"AAAAAFet4Ok=")</f>
        <v>#REF!</v>
      </c>
      <c r="IA43" t="e">
        <f>AND('boilerplate specs'!#REF!,"AAAAAFet4Oo=")</f>
        <v>#REF!</v>
      </c>
      <c r="IB43" t="e">
        <f>AND('boilerplate specs'!#REF!,"AAAAAFet4Os=")</f>
        <v>#REF!</v>
      </c>
      <c r="IC43" t="e">
        <f>AND('boilerplate specs'!#REF!,"AAAAAFet4Ow=")</f>
        <v>#REF!</v>
      </c>
      <c r="ID43" t="e">
        <f>AND('boilerplate specs'!#REF!,"AAAAAFet4O0=")</f>
        <v>#REF!</v>
      </c>
      <c r="IE43" t="e">
        <f>AND('boilerplate specs'!#REF!,"AAAAAFet4O4=")</f>
        <v>#REF!</v>
      </c>
      <c r="IF43" t="e">
        <f>AND('boilerplate specs'!#REF!,"AAAAAFet4O8=")</f>
        <v>#REF!</v>
      </c>
      <c r="IG43" t="e">
        <f>AND('boilerplate specs'!#REF!,"AAAAAFet4PA=")</f>
        <v>#REF!</v>
      </c>
      <c r="IH43" t="e">
        <f>AND('boilerplate specs'!#REF!,"AAAAAFet4PE=")</f>
        <v>#REF!</v>
      </c>
      <c r="II43" t="e">
        <f>AND('boilerplate specs'!#REF!,"AAAAAFet4PI=")</f>
        <v>#REF!</v>
      </c>
      <c r="IJ43" t="e">
        <f>AND('boilerplate specs'!#REF!,"AAAAAFet4PM=")</f>
        <v>#REF!</v>
      </c>
      <c r="IK43" t="e">
        <f>AND('boilerplate specs'!#REF!,"AAAAAFet4PQ=")</f>
        <v>#REF!</v>
      </c>
      <c r="IL43" t="e">
        <f>AND('boilerplate specs'!#REF!,"AAAAAFet4PU=")</f>
        <v>#REF!</v>
      </c>
      <c r="IM43" t="e">
        <f>AND('boilerplate specs'!#REF!,"AAAAAFet4PY=")</f>
        <v>#REF!</v>
      </c>
      <c r="IN43" t="e">
        <f>AND('boilerplate specs'!#REF!,"AAAAAFet4Pc=")</f>
        <v>#REF!</v>
      </c>
      <c r="IO43" t="e">
        <f>AND('boilerplate specs'!#REF!,"AAAAAFet4Pg=")</f>
        <v>#REF!</v>
      </c>
      <c r="IP43" t="e">
        <f>AND('boilerplate specs'!#REF!,"AAAAAFet4Pk=")</f>
        <v>#REF!</v>
      </c>
      <c r="IQ43">
        <f>IF('boilerplate specs'!273:273,"AAAAAFet4Po=",0)</f>
        <v>0</v>
      </c>
      <c r="IR43" t="e">
        <f>AND('boilerplate specs'!A273,"AAAAAFet4Ps=")</f>
        <v>#VALUE!</v>
      </c>
      <c r="IS43" t="e">
        <f>AND('boilerplate specs'!B273,"AAAAAFet4Pw=")</f>
        <v>#VALUE!</v>
      </c>
      <c r="IT43" t="e">
        <f>AND('boilerplate specs'!C273,"AAAAAFet4P0=")</f>
        <v>#VALUE!</v>
      </c>
      <c r="IU43" t="e">
        <f>AND('boilerplate specs'!D273,"AAAAAFet4P4=")</f>
        <v>#VALUE!</v>
      </c>
      <c r="IV43" t="e">
        <f>AND('boilerplate specs'!E273,"AAAAAFet4P8=")</f>
        <v>#VALUE!</v>
      </c>
    </row>
    <row r="44" spans="1:256" x14ac:dyDescent="0.35">
      <c r="A44" t="e">
        <f>AND('boilerplate specs'!F273,"AAAAAGeKvgA=")</f>
        <v>#VALUE!</v>
      </c>
      <c r="B44" t="e">
        <f>AND('boilerplate specs'!G273,"AAAAAGeKvgE=")</f>
        <v>#VALUE!</v>
      </c>
      <c r="C44" t="e">
        <f>AND('boilerplate specs'!H273,"AAAAAGeKvgI=")</f>
        <v>#VALUE!</v>
      </c>
      <c r="D44" t="e">
        <f>AND('boilerplate specs'!I273,"AAAAAGeKvgM=")</f>
        <v>#VALUE!</v>
      </c>
      <c r="E44" t="e">
        <f>AND('boilerplate specs'!J273,"AAAAAGeKvgQ=")</f>
        <v>#VALUE!</v>
      </c>
      <c r="F44" t="e">
        <f>AND('boilerplate specs'!#REF!,"AAAAAGeKvgU=")</f>
        <v>#REF!</v>
      </c>
      <c r="G44" t="e">
        <f>AND('boilerplate specs'!#REF!,"AAAAAGeKvgY=")</f>
        <v>#REF!</v>
      </c>
      <c r="H44" t="e">
        <f>AND('boilerplate specs'!#REF!,"AAAAAGeKvgc=")</f>
        <v>#REF!</v>
      </c>
      <c r="I44" t="e">
        <f>AND('boilerplate specs'!#REF!,"AAAAAGeKvgg=")</f>
        <v>#REF!</v>
      </c>
      <c r="J44" t="e">
        <f>AND('boilerplate specs'!#REF!,"AAAAAGeKvgk=")</f>
        <v>#REF!</v>
      </c>
      <c r="K44" t="e">
        <f>AND('boilerplate specs'!#REF!,"AAAAAGeKvgo=")</f>
        <v>#REF!</v>
      </c>
      <c r="L44" t="e">
        <f>AND('boilerplate specs'!#REF!,"AAAAAGeKvgs=")</f>
        <v>#REF!</v>
      </c>
      <c r="M44" t="e">
        <f>AND('boilerplate specs'!#REF!,"AAAAAGeKvgw=")</f>
        <v>#REF!</v>
      </c>
      <c r="N44" t="e">
        <f>AND('boilerplate specs'!#REF!,"AAAAAGeKvg0=")</f>
        <v>#REF!</v>
      </c>
      <c r="O44" t="e">
        <f>AND('boilerplate specs'!#REF!,"AAAAAGeKvg4=")</f>
        <v>#REF!</v>
      </c>
      <c r="P44" t="e">
        <f>AND('boilerplate specs'!#REF!,"AAAAAGeKvg8=")</f>
        <v>#REF!</v>
      </c>
      <c r="Q44" t="e">
        <f>AND('boilerplate specs'!#REF!,"AAAAAGeKvhA=")</f>
        <v>#REF!</v>
      </c>
      <c r="R44" t="e">
        <f>AND('boilerplate specs'!#REF!,"AAAAAGeKvhE=")</f>
        <v>#REF!</v>
      </c>
      <c r="S44" t="e">
        <f>AND('boilerplate specs'!#REF!,"AAAAAGeKvhI=")</f>
        <v>#REF!</v>
      </c>
      <c r="T44" t="e">
        <f>AND('boilerplate specs'!#REF!,"AAAAAGeKvhM=")</f>
        <v>#REF!</v>
      </c>
      <c r="U44" t="e">
        <f>AND('boilerplate specs'!#REF!,"AAAAAGeKvhQ=")</f>
        <v>#REF!</v>
      </c>
      <c r="V44" t="e">
        <f>AND('boilerplate specs'!#REF!,"AAAAAGeKvhU=")</f>
        <v>#REF!</v>
      </c>
      <c r="W44" t="e">
        <f>AND('boilerplate specs'!#REF!,"AAAAAGeKvhY=")</f>
        <v>#REF!</v>
      </c>
      <c r="X44" t="e">
        <f>AND('boilerplate specs'!#REF!,"AAAAAGeKvhc=")</f>
        <v>#REF!</v>
      </c>
      <c r="Y44" t="e">
        <f>AND('boilerplate specs'!#REF!,"AAAAAGeKvhg=")</f>
        <v>#REF!</v>
      </c>
      <c r="Z44" t="e">
        <f>AND('boilerplate specs'!#REF!,"AAAAAGeKvhk=")</f>
        <v>#REF!</v>
      </c>
      <c r="AA44" t="e">
        <f>AND('boilerplate specs'!#REF!,"AAAAAGeKvho=")</f>
        <v>#REF!</v>
      </c>
      <c r="AB44">
        <f>IF('boilerplate specs'!274:274,"AAAAAGeKvhs=",0)</f>
        <v>0</v>
      </c>
      <c r="AC44" t="e">
        <f>AND('boilerplate specs'!A274,"AAAAAGeKvhw=")</f>
        <v>#VALUE!</v>
      </c>
      <c r="AD44" t="e">
        <f>AND('boilerplate specs'!B274,"AAAAAGeKvh0=")</f>
        <v>#VALUE!</v>
      </c>
      <c r="AE44" t="e">
        <f>AND('boilerplate specs'!C274,"AAAAAGeKvh4=")</f>
        <v>#VALUE!</v>
      </c>
      <c r="AF44" t="e">
        <f>AND('boilerplate specs'!D274,"AAAAAGeKvh8=")</f>
        <v>#VALUE!</v>
      </c>
      <c r="AG44" t="e">
        <f>AND('boilerplate specs'!E274,"AAAAAGeKviA=")</f>
        <v>#VALUE!</v>
      </c>
      <c r="AH44" t="e">
        <f>AND('boilerplate specs'!F274,"AAAAAGeKviE=")</f>
        <v>#VALUE!</v>
      </c>
      <c r="AI44" t="e">
        <f>AND('boilerplate specs'!G274,"AAAAAGeKviI=")</f>
        <v>#VALUE!</v>
      </c>
      <c r="AJ44" t="e">
        <f>AND('boilerplate specs'!H274,"AAAAAGeKviM=")</f>
        <v>#VALUE!</v>
      </c>
      <c r="AK44" t="e">
        <f>AND('boilerplate specs'!I274,"AAAAAGeKviQ=")</f>
        <v>#VALUE!</v>
      </c>
      <c r="AL44" t="e">
        <f>AND('boilerplate specs'!J274,"AAAAAGeKviU=")</f>
        <v>#VALUE!</v>
      </c>
      <c r="AM44" t="e">
        <f>AND('boilerplate specs'!#REF!,"AAAAAGeKviY=")</f>
        <v>#REF!</v>
      </c>
      <c r="AN44" t="e">
        <f>AND('boilerplate specs'!#REF!,"AAAAAGeKvic=")</f>
        <v>#REF!</v>
      </c>
      <c r="AO44" t="e">
        <f>AND('boilerplate specs'!#REF!,"AAAAAGeKvig=")</f>
        <v>#REF!</v>
      </c>
      <c r="AP44" t="e">
        <f>AND('boilerplate specs'!#REF!,"AAAAAGeKvik=")</f>
        <v>#REF!</v>
      </c>
      <c r="AQ44" t="e">
        <f>AND('boilerplate specs'!#REF!,"AAAAAGeKvio=")</f>
        <v>#REF!</v>
      </c>
      <c r="AR44" t="e">
        <f>AND('boilerplate specs'!#REF!,"AAAAAGeKvis=")</f>
        <v>#REF!</v>
      </c>
      <c r="AS44" t="e">
        <f>AND('boilerplate specs'!#REF!,"AAAAAGeKviw=")</f>
        <v>#REF!</v>
      </c>
      <c r="AT44" t="e">
        <f>AND('boilerplate specs'!#REF!,"AAAAAGeKvi0=")</f>
        <v>#REF!</v>
      </c>
      <c r="AU44" t="e">
        <f>AND('boilerplate specs'!#REF!,"AAAAAGeKvi4=")</f>
        <v>#REF!</v>
      </c>
      <c r="AV44" t="e">
        <f>AND('boilerplate specs'!#REF!,"AAAAAGeKvi8=")</f>
        <v>#REF!</v>
      </c>
      <c r="AW44" t="e">
        <f>AND('boilerplate specs'!#REF!,"AAAAAGeKvjA=")</f>
        <v>#REF!</v>
      </c>
      <c r="AX44" t="e">
        <f>AND('boilerplate specs'!#REF!,"AAAAAGeKvjE=")</f>
        <v>#REF!</v>
      </c>
      <c r="AY44" t="e">
        <f>AND('boilerplate specs'!#REF!,"AAAAAGeKvjI=")</f>
        <v>#REF!</v>
      </c>
      <c r="AZ44" t="e">
        <f>AND('boilerplate specs'!#REF!,"AAAAAGeKvjM=")</f>
        <v>#REF!</v>
      </c>
      <c r="BA44" t="e">
        <f>AND('boilerplate specs'!#REF!,"AAAAAGeKvjQ=")</f>
        <v>#REF!</v>
      </c>
      <c r="BB44" t="e">
        <f>AND('boilerplate specs'!#REF!,"AAAAAGeKvjU=")</f>
        <v>#REF!</v>
      </c>
      <c r="BC44" t="e">
        <f>AND('boilerplate specs'!#REF!,"AAAAAGeKvjY=")</f>
        <v>#REF!</v>
      </c>
      <c r="BD44" t="e">
        <f>AND('boilerplate specs'!#REF!,"AAAAAGeKvjc=")</f>
        <v>#REF!</v>
      </c>
      <c r="BE44" t="e">
        <f>AND('boilerplate specs'!#REF!,"AAAAAGeKvjg=")</f>
        <v>#REF!</v>
      </c>
      <c r="BF44" t="e">
        <f>AND('boilerplate specs'!#REF!,"AAAAAGeKvjk=")</f>
        <v>#REF!</v>
      </c>
      <c r="BG44" t="e">
        <f>AND('boilerplate specs'!#REF!,"AAAAAGeKvjo=")</f>
        <v>#REF!</v>
      </c>
      <c r="BH44" t="e">
        <f>AND('boilerplate specs'!#REF!,"AAAAAGeKvjs=")</f>
        <v>#REF!</v>
      </c>
      <c r="BI44">
        <f>IF('boilerplate specs'!275:275,"AAAAAGeKvjw=",0)</f>
        <v>0</v>
      </c>
      <c r="BJ44" t="e">
        <f>AND('boilerplate specs'!A275,"AAAAAGeKvj0=")</f>
        <v>#VALUE!</v>
      </c>
      <c r="BK44" t="e">
        <f>AND('boilerplate specs'!B275,"AAAAAGeKvj4=")</f>
        <v>#VALUE!</v>
      </c>
      <c r="BL44" t="e">
        <f>AND('boilerplate specs'!C275,"AAAAAGeKvj8=")</f>
        <v>#VALUE!</v>
      </c>
      <c r="BM44" t="e">
        <f>AND('boilerplate specs'!D275,"AAAAAGeKvkA=")</f>
        <v>#VALUE!</v>
      </c>
      <c r="BN44" t="e">
        <f>AND('boilerplate specs'!E275,"AAAAAGeKvkE=")</f>
        <v>#VALUE!</v>
      </c>
      <c r="BO44" t="e">
        <f>AND('boilerplate specs'!F275,"AAAAAGeKvkI=")</f>
        <v>#VALUE!</v>
      </c>
      <c r="BP44" t="e">
        <f>AND('boilerplate specs'!G275,"AAAAAGeKvkM=")</f>
        <v>#VALUE!</v>
      </c>
      <c r="BQ44" t="e">
        <f>AND('boilerplate specs'!H275,"AAAAAGeKvkQ=")</f>
        <v>#VALUE!</v>
      </c>
      <c r="BR44" t="e">
        <f>AND('boilerplate specs'!I275,"AAAAAGeKvkU=")</f>
        <v>#VALUE!</v>
      </c>
      <c r="BS44" t="e">
        <f>AND('boilerplate specs'!J275,"AAAAAGeKvkY=")</f>
        <v>#VALUE!</v>
      </c>
      <c r="BT44" t="e">
        <f>AND('boilerplate specs'!#REF!,"AAAAAGeKvkc=")</f>
        <v>#REF!</v>
      </c>
      <c r="BU44" t="e">
        <f>AND('boilerplate specs'!#REF!,"AAAAAGeKvkg=")</f>
        <v>#REF!</v>
      </c>
      <c r="BV44" t="e">
        <f>AND('boilerplate specs'!#REF!,"AAAAAGeKvkk=")</f>
        <v>#REF!</v>
      </c>
      <c r="BW44" t="e">
        <f>AND('boilerplate specs'!#REF!,"AAAAAGeKvko=")</f>
        <v>#REF!</v>
      </c>
      <c r="BX44" t="e">
        <f>AND('boilerplate specs'!#REF!,"AAAAAGeKvks=")</f>
        <v>#REF!</v>
      </c>
      <c r="BY44" t="e">
        <f>AND('boilerplate specs'!#REF!,"AAAAAGeKvkw=")</f>
        <v>#REF!</v>
      </c>
      <c r="BZ44" t="e">
        <f>AND('boilerplate specs'!#REF!,"AAAAAGeKvk0=")</f>
        <v>#REF!</v>
      </c>
      <c r="CA44" t="e">
        <f>AND('boilerplate specs'!#REF!,"AAAAAGeKvk4=")</f>
        <v>#REF!</v>
      </c>
      <c r="CB44" t="e">
        <f>AND('boilerplate specs'!#REF!,"AAAAAGeKvk8=")</f>
        <v>#REF!</v>
      </c>
      <c r="CC44" t="e">
        <f>AND('boilerplate specs'!#REF!,"AAAAAGeKvlA=")</f>
        <v>#REF!</v>
      </c>
      <c r="CD44" t="e">
        <f>AND('boilerplate specs'!#REF!,"AAAAAGeKvlE=")</f>
        <v>#REF!</v>
      </c>
      <c r="CE44" t="e">
        <f>AND('boilerplate specs'!#REF!,"AAAAAGeKvlI=")</f>
        <v>#REF!</v>
      </c>
      <c r="CF44" t="e">
        <f>AND('boilerplate specs'!#REF!,"AAAAAGeKvlM=")</f>
        <v>#REF!</v>
      </c>
      <c r="CG44" t="e">
        <f>AND('boilerplate specs'!#REF!,"AAAAAGeKvlQ=")</f>
        <v>#REF!</v>
      </c>
      <c r="CH44" t="e">
        <f>AND('boilerplate specs'!#REF!,"AAAAAGeKvlU=")</f>
        <v>#REF!</v>
      </c>
      <c r="CI44" t="e">
        <f>AND('boilerplate specs'!#REF!,"AAAAAGeKvlY=")</f>
        <v>#REF!</v>
      </c>
      <c r="CJ44" t="e">
        <f>AND('boilerplate specs'!#REF!,"AAAAAGeKvlc=")</f>
        <v>#REF!</v>
      </c>
      <c r="CK44" t="e">
        <f>AND('boilerplate specs'!#REF!,"AAAAAGeKvlg=")</f>
        <v>#REF!</v>
      </c>
      <c r="CL44" t="e">
        <f>AND('boilerplate specs'!#REF!,"AAAAAGeKvlk=")</f>
        <v>#REF!</v>
      </c>
      <c r="CM44" t="e">
        <f>AND('boilerplate specs'!#REF!,"AAAAAGeKvlo=")</f>
        <v>#REF!</v>
      </c>
      <c r="CN44" t="e">
        <f>AND('boilerplate specs'!#REF!,"AAAAAGeKvls=")</f>
        <v>#REF!</v>
      </c>
      <c r="CO44" t="e">
        <f>AND('boilerplate specs'!#REF!,"AAAAAGeKvlw=")</f>
        <v>#REF!</v>
      </c>
      <c r="CP44">
        <f>IF('boilerplate specs'!276:276,"AAAAAGeKvl0=",0)</f>
        <v>0</v>
      </c>
      <c r="CQ44" t="e">
        <f>AND('boilerplate specs'!A276,"AAAAAGeKvl4=")</f>
        <v>#VALUE!</v>
      </c>
      <c r="CR44" t="e">
        <f>AND('boilerplate specs'!B276,"AAAAAGeKvl8=")</f>
        <v>#VALUE!</v>
      </c>
      <c r="CS44" t="e">
        <f>AND('boilerplate specs'!C276,"AAAAAGeKvmA=")</f>
        <v>#VALUE!</v>
      </c>
      <c r="CT44" t="e">
        <f>AND('boilerplate specs'!D276,"AAAAAGeKvmE=")</f>
        <v>#VALUE!</v>
      </c>
      <c r="CU44" t="e">
        <f>AND('boilerplate specs'!E276,"AAAAAGeKvmI=")</f>
        <v>#VALUE!</v>
      </c>
      <c r="CV44" t="e">
        <f>AND('boilerplate specs'!F276,"AAAAAGeKvmM=")</f>
        <v>#VALUE!</v>
      </c>
      <c r="CW44" t="e">
        <f>AND('boilerplate specs'!G276,"AAAAAGeKvmQ=")</f>
        <v>#VALUE!</v>
      </c>
      <c r="CX44" t="e">
        <f>AND('boilerplate specs'!H276,"AAAAAGeKvmU=")</f>
        <v>#VALUE!</v>
      </c>
      <c r="CY44" t="e">
        <f>AND('boilerplate specs'!I276,"AAAAAGeKvmY=")</f>
        <v>#VALUE!</v>
      </c>
      <c r="CZ44" t="e">
        <f>AND('boilerplate specs'!J276,"AAAAAGeKvmc=")</f>
        <v>#VALUE!</v>
      </c>
      <c r="DA44" t="e">
        <f>AND('boilerplate specs'!#REF!,"AAAAAGeKvmg=")</f>
        <v>#REF!</v>
      </c>
      <c r="DB44" t="e">
        <f>AND('boilerplate specs'!#REF!,"AAAAAGeKvmk=")</f>
        <v>#REF!</v>
      </c>
      <c r="DC44" t="e">
        <f>AND('boilerplate specs'!#REF!,"AAAAAGeKvmo=")</f>
        <v>#REF!</v>
      </c>
      <c r="DD44" t="e">
        <f>AND('boilerplate specs'!#REF!,"AAAAAGeKvms=")</f>
        <v>#REF!</v>
      </c>
      <c r="DE44" t="e">
        <f>AND('boilerplate specs'!#REF!,"AAAAAGeKvmw=")</f>
        <v>#REF!</v>
      </c>
      <c r="DF44" t="e">
        <f>AND('boilerplate specs'!#REF!,"AAAAAGeKvm0=")</f>
        <v>#REF!</v>
      </c>
      <c r="DG44" t="e">
        <f>AND('boilerplate specs'!#REF!,"AAAAAGeKvm4=")</f>
        <v>#REF!</v>
      </c>
      <c r="DH44" t="e">
        <f>AND('boilerplate specs'!#REF!,"AAAAAGeKvm8=")</f>
        <v>#REF!</v>
      </c>
      <c r="DI44" t="e">
        <f>AND('boilerplate specs'!#REF!,"AAAAAGeKvnA=")</f>
        <v>#REF!</v>
      </c>
      <c r="DJ44" t="e">
        <f>AND('boilerplate specs'!#REF!,"AAAAAGeKvnE=")</f>
        <v>#REF!</v>
      </c>
      <c r="DK44" t="e">
        <f>AND('boilerplate specs'!#REF!,"AAAAAGeKvnI=")</f>
        <v>#REF!</v>
      </c>
      <c r="DL44" t="e">
        <f>AND('boilerplate specs'!#REF!,"AAAAAGeKvnM=")</f>
        <v>#REF!</v>
      </c>
      <c r="DM44" t="e">
        <f>AND('boilerplate specs'!#REF!,"AAAAAGeKvnQ=")</f>
        <v>#REF!</v>
      </c>
      <c r="DN44" t="e">
        <f>AND('boilerplate specs'!#REF!,"AAAAAGeKvnU=")</f>
        <v>#REF!</v>
      </c>
      <c r="DO44" t="e">
        <f>AND('boilerplate specs'!#REF!,"AAAAAGeKvnY=")</f>
        <v>#REF!</v>
      </c>
      <c r="DP44" t="e">
        <f>AND('boilerplate specs'!#REF!,"AAAAAGeKvnc=")</f>
        <v>#REF!</v>
      </c>
      <c r="DQ44" t="e">
        <f>AND('boilerplate specs'!#REF!,"AAAAAGeKvng=")</f>
        <v>#REF!</v>
      </c>
      <c r="DR44" t="e">
        <f>AND('boilerplate specs'!#REF!,"AAAAAGeKvnk=")</f>
        <v>#REF!</v>
      </c>
      <c r="DS44" t="e">
        <f>AND('boilerplate specs'!#REF!,"AAAAAGeKvno=")</f>
        <v>#REF!</v>
      </c>
      <c r="DT44" t="e">
        <f>AND('boilerplate specs'!#REF!,"AAAAAGeKvns=")</f>
        <v>#REF!</v>
      </c>
      <c r="DU44" t="e">
        <f>AND('boilerplate specs'!#REF!,"AAAAAGeKvnw=")</f>
        <v>#REF!</v>
      </c>
      <c r="DV44" t="e">
        <f>AND('boilerplate specs'!#REF!,"AAAAAGeKvn0=")</f>
        <v>#REF!</v>
      </c>
      <c r="DW44">
        <f>IF('boilerplate specs'!277:277,"AAAAAGeKvn4=",0)</f>
        <v>0</v>
      </c>
      <c r="DX44" t="e">
        <f>AND('boilerplate specs'!A277,"AAAAAGeKvn8=")</f>
        <v>#VALUE!</v>
      </c>
      <c r="DY44" t="e">
        <f>AND('boilerplate specs'!B277,"AAAAAGeKvoA=")</f>
        <v>#VALUE!</v>
      </c>
      <c r="DZ44" t="e">
        <f>AND('boilerplate specs'!C277,"AAAAAGeKvoE=")</f>
        <v>#VALUE!</v>
      </c>
      <c r="EA44" t="e">
        <f>AND('boilerplate specs'!D277,"AAAAAGeKvoI=")</f>
        <v>#VALUE!</v>
      </c>
      <c r="EB44" t="e">
        <f>AND('boilerplate specs'!E277,"AAAAAGeKvoM=")</f>
        <v>#VALUE!</v>
      </c>
      <c r="EC44" t="e">
        <f>AND('boilerplate specs'!F277,"AAAAAGeKvoQ=")</f>
        <v>#VALUE!</v>
      </c>
      <c r="ED44" t="e">
        <f>AND('boilerplate specs'!G277,"AAAAAGeKvoU=")</f>
        <v>#VALUE!</v>
      </c>
      <c r="EE44" t="e">
        <f>AND('boilerplate specs'!H277,"AAAAAGeKvoY=")</f>
        <v>#VALUE!</v>
      </c>
      <c r="EF44" t="e">
        <f>AND('boilerplate specs'!I277,"AAAAAGeKvoc=")</f>
        <v>#VALUE!</v>
      </c>
      <c r="EG44" t="e">
        <f>AND('boilerplate specs'!J277,"AAAAAGeKvog=")</f>
        <v>#VALUE!</v>
      </c>
      <c r="EH44" t="e">
        <f>AND('boilerplate specs'!#REF!,"AAAAAGeKvok=")</f>
        <v>#REF!</v>
      </c>
      <c r="EI44" t="e">
        <f>AND('boilerplate specs'!#REF!,"AAAAAGeKvoo=")</f>
        <v>#REF!</v>
      </c>
      <c r="EJ44" t="e">
        <f>AND('boilerplate specs'!#REF!,"AAAAAGeKvos=")</f>
        <v>#REF!</v>
      </c>
      <c r="EK44" t="e">
        <f>AND('boilerplate specs'!#REF!,"AAAAAGeKvow=")</f>
        <v>#REF!</v>
      </c>
      <c r="EL44" t="e">
        <f>AND('boilerplate specs'!#REF!,"AAAAAGeKvo0=")</f>
        <v>#REF!</v>
      </c>
      <c r="EM44" t="e">
        <f>AND('boilerplate specs'!#REF!,"AAAAAGeKvo4=")</f>
        <v>#REF!</v>
      </c>
      <c r="EN44" t="e">
        <f>AND('boilerplate specs'!#REF!,"AAAAAGeKvo8=")</f>
        <v>#REF!</v>
      </c>
      <c r="EO44" t="e">
        <f>AND('boilerplate specs'!#REF!,"AAAAAGeKvpA=")</f>
        <v>#REF!</v>
      </c>
      <c r="EP44" t="e">
        <f>AND('boilerplate specs'!#REF!,"AAAAAGeKvpE=")</f>
        <v>#REF!</v>
      </c>
      <c r="EQ44" t="e">
        <f>AND('boilerplate specs'!#REF!,"AAAAAGeKvpI=")</f>
        <v>#REF!</v>
      </c>
      <c r="ER44" t="e">
        <f>AND('boilerplate specs'!#REF!,"AAAAAGeKvpM=")</f>
        <v>#REF!</v>
      </c>
      <c r="ES44" t="e">
        <f>AND('boilerplate specs'!#REF!,"AAAAAGeKvpQ=")</f>
        <v>#REF!</v>
      </c>
      <c r="ET44" t="e">
        <f>AND('boilerplate specs'!#REF!,"AAAAAGeKvpU=")</f>
        <v>#REF!</v>
      </c>
      <c r="EU44" t="e">
        <f>AND('boilerplate specs'!#REF!,"AAAAAGeKvpY=")</f>
        <v>#REF!</v>
      </c>
      <c r="EV44" t="e">
        <f>AND('boilerplate specs'!#REF!,"AAAAAGeKvpc=")</f>
        <v>#REF!</v>
      </c>
      <c r="EW44" t="e">
        <f>AND('boilerplate specs'!#REF!,"AAAAAGeKvpg=")</f>
        <v>#REF!</v>
      </c>
      <c r="EX44" t="e">
        <f>AND('boilerplate specs'!#REF!,"AAAAAGeKvpk=")</f>
        <v>#REF!</v>
      </c>
      <c r="EY44" t="e">
        <f>AND('boilerplate specs'!#REF!,"AAAAAGeKvpo=")</f>
        <v>#REF!</v>
      </c>
      <c r="EZ44" t="e">
        <f>AND('boilerplate specs'!#REF!,"AAAAAGeKvps=")</f>
        <v>#REF!</v>
      </c>
      <c r="FA44" t="e">
        <f>AND('boilerplate specs'!#REF!,"AAAAAGeKvpw=")</f>
        <v>#REF!</v>
      </c>
      <c r="FB44" t="e">
        <f>AND('boilerplate specs'!#REF!,"AAAAAGeKvp0=")</f>
        <v>#REF!</v>
      </c>
      <c r="FC44" t="e">
        <f>AND('boilerplate specs'!#REF!,"AAAAAGeKvp4=")</f>
        <v>#REF!</v>
      </c>
      <c r="FD44">
        <f>IF('boilerplate specs'!278:278,"AAAAAGeKvp8=",0)</f>
        <v>0</v>
      </c>
      <c r="FE44" t="e">
        <f>AND('boilerplate specs'!A278,"AAAAAGeKvqA=")</f>
        <v>#VALUE!</v>
      </c>
      <c r="FF44" t="e">
        <f>AND('boilerplate specs'!B278,"AAAAAGeKvqE=")</f>
        <v>#VALUE!</v>
      </c>
      <c r="FG44" t="e">
        <f>AND('boilerplate specs'!C278,"AAAAAGeKvqI=")</f>
        <v>#VALUE!</v>
      </c>
      <c r="FH44" t="e">
        <f>AND('boilerplate specs'!D278,"AAAAAGeKvqM=")</f>
        <v>#VALUE!</v>
      </c>
      <c r="FI44" t="e">
        <f>AND('boilerplate specs'!E278,"AAAAAGeKvqQ=")</f>
        <v>#VALUE!</v>
      </c>
      <c r="FJ44" t="e">
        <f>AND('boilerplate specs'!F278,"AAAAAGeKvqU=")</f>
        <v>#VALUE!</v>
      </c>
      <c r="FK44" t="e">
        <f>AND('boilerplate specs'!G278,"AAAAAGeKvqY=")</f>
        <v>#VALUE!</v>
      </c>
      <c r="FL44" t="e">
        <f>AND('boilerplate specs'!H278,"AAAAAGeKvqc=")</f>
        <v>#VALUE!</v>
      </c>
      <c r="FM44" t="e">
        <f>AND('boilerplate specs'!I278,"AAAAAGeKvqg=")</f>
        <v>#VALUE!</v>
      </c>
      <c r="FN44" t="e">
        <f>AND('boilerplate specs'!J278,"AAAAAGeKvqk=")</f>
        <v>#VALUE!</v>
      </c>
      <c r="FO44" t="e">
        <f>AND('boilerplate specs'!#REF!,"AAAAAGeKvqo=")</f>
        <v>#REF!</v>
      </c>
      <c r="FP44" t="e">
        <f>AND('boilerplate specs'!#REF!,"AAAAAGeKvqs=")</f>
        <v>#REF!</v>
      </c>
      <c r="FQ44" t="e">
        <f>AND('boilerplate specs'!#REF!,"AAAAAGeKvqw=")</f>
        <v>#REF!</v>
      </c>
      <c r="FR44" t="e">
        <f>AND('boilerplate specs'!#REF!,"AAAAAGeKvq0=")</f>
        <v>#REF!</v>
      </c>
      <c r="FS44" t="e">
        <f>AND('boilerplate specs'!#REF!,"AAAAAGeKvq4=")</f>
        <v>#REF!</v>
      </c>
      <c r="FT44" t="e">
        <f>AND('boilerplate specs'!#REF!,"AAAAAGeKvq8=")</f>
        <v>#REF!</v>
      </c>
      <c r="FU44" t="e">
        <f>AND('boilerplate specs'!#REF!,"AAAAAGeKvrA=")</f>
        <v>#REF!</v>
      </c>
      <c r="FV44" t="e">
        <f>AND('boilerplate specs'!#REF!,"AAAAAGeKvrE=")</f>
        <v>#REF!</v>
      </c>
      <c r="FW44" t="e">
        <f>AND('boilerplate specs'!#REF!,"AAAAAGeKvrI=")</f>
        <v>#REF!</v>
      </c>
      <c r="FX44" t="e">
        <f>AND('boilerplate specs'!#REF!,"AAAAAGeKvrM=")</f>
        <v>#REF!</v>
      </c>
      <c r="FY44" t="e">
        <f>AND('boilerplate specs'!#REF!,"AAAAAGeKvrQ=")</f>
        <v>#REF!</v>
      </c>
      <c r="FZ44" t="e">
        <f>AND('boilerplate specs'!#REF!,"AAAAAGeKvrU=")</f>
        <v>#REF!</v>
      </c>
      <c r="GA44" t="e">
        <f>AND('boilerplate specs'!#REF!,"AAAAAGeKvrY=")</f>
        <v>#REF!</v>
      </c>
      <c r="GB44" t="e">
        <f>AND('boilerplate specs'!#REF!,"AAAAAGeKvrc=")</f>
        <v>#REF!</v>
      </c>
      <c r="GC44" t="e">
        <f>AND('boilerplate specs'!#REF!,"AAAAAGeKvrg=")</f>
        <v>#REF!</v>
      </c>
      <c r="GD44" t="e">
        <f>AND('boilerplate specs'!#REF!,"AAAAAGeKvrk=")</f>
        <v>#REF!</v>
      </c>
      <c r="GE44" t="e">
        <f>AND('boilerplate specs'!#REF!,"AAAAAGeKvro=")</f>
        <v>#REF!</v>
      </c>
      <c r="GF44" t="e">
        <f>AND('boilerplate specs'!#REF!,"AAAAAGeKvrs=")</f>
        <v>#REF!</v>
      </c>
      <c r="GG44" t="e">
        <f>AND('boilerplate specs'!#REF!,"AAAAAGeKvrw=")</f>
        <v>#REF!</v>
      </c>
      <c r="GH44" t="e">
        <f>AND('boilerplate specs'!#REF!,"AAAAAGeKvr0=")</f>
        <v>#REF!</v>
      </c>
      <c r="GI44" t="e">
        <f>AND('boilerplate specs'!#REF!,"AAAAAGeKvr4=")</f>
        <v>#REF!</v>
      </c>
      <c r="GJ44" t="e">
        <f>AND('boilerplate specs'!#REF!,"AAAAAGeKvr8=")</f>
        <v>#REF!</v>
      </c>
      <c r="GK44">
        <f>IF('boilerplate specs'!279:279,"AAAAAGeKvsA=",0)</f>
        <v>0</v>
      </c>
      <c r="GL44" t="e">
        <f>AND('boilerplate specs'!A279,"AAAAAGeKvsE=")</f>
        <v>#VALUE!</v>
      </c>
      <c r="GM44" t="e">
        <f>AND('boilerplate specs'!B279,"AAAAAGeKvsI=")</f>
        <v>#VALUE!</v>
      </c>
      <c r="GN44" t="e">
        <f>AND('boilerplate specs'!C279,"AAAAAGeKvsM=")</f>
        <v>#VALUE!</v>
      </c>
      <c r="GO44" t="e">
        <f>AND('boilerplate specs'!D279,"AAAAAGeKvsQ=")</f>
        <v>#VALUE!</v>
      </c>
      <c r="GP44" t="e">
        <f>AND('boilerplate specs'!E279,"AAAAAGeKvsU=")</f>
        <v>#VALUE!</v>
      </c>
      <c r="GQ44" t="e">
        <f>AND('boilerplate specs'!F279,"AAAAAGeKvsY=")</f>
        <v>#VALUE!</v>
      </c>
      <c r="GR44" t="e">
        <f>AND('boilerplate specs'!G279,"AAAAAGeKvsc=")</f>
        <v>#VALUE!</v>
      </c>
      <c r="GS44" t="e">
        <f>AND('boilerplate specs'!H279,"AAAAAGeKvsg=")</f>
        <v>#VALUE!</v>
      </c>
      <c r="GT44" t="e">
        <f>AND('boilerplate specs'!I279,"AAAAAGeKvsk=")</f>
        <v>#VALUE!</v>
      </c>
      <c r="GU44" t="e">
        <f>AND('boilerplate specs'!J279,"AAAAAGeKvso=")</f>
        <v>#VALUE!</v>
      </c>
      <c r="GV44" t="e">
        <f>AND('boilerplate specs'!#REF!,"AAAAAGeKvss=")</f>
        <v>#REF!</v>
      </c>
      <c r="GW44" t="e">
        <f>AND('boilerplate specs'!#REF!,"AAAAAGeKvsw=")</f>
        <v>#REF!</v>
      </c>
      <c r="GX44" t="e">
        <f>AND('boilerplate specs'!#REF!,"AAAAAGeKvs0=")</f>
        <v>#REF!</v>
      </c>
      <c r="GY44" t="e">
        <f>AND('boilerplate specs'!#REF!,"AAAAAGeKvs4=")</f>
        <v>#REF!</v>
      </c>
      <c r="GZ44" t="e">
        <f>AND('boilerplate specs'!#REF!,"AAAAAGeKvs8=")</f>
        <v>#REF!</v>
      </c>
      <c r="HA44" t="e">
        <f>AND('boilerplate specs'!#REF!,"AAAAAGeKvtA=")</f>
        <v>#REF!</v>
      </c>
      <c r="HB44" t="e">
        <f>AND('boilerplate specs'!#REF!,"AAAAAGeKvtE=")</f>
        <v>#REF!</v>
      </c>
      <c r="HC44" t="e">
        <f>AND('boilerplate specs'!#REF!,"AAAAAGeKvtI=")</f>
        <v>#REF!</v>
      </c>
      <c r="HD44" t="e">
        <f>AND('boilerplate specs'!#REF!,"AAAAAGeKvtM=")</f>
        <v>#REF!</v>
      </c>
      <c r="HE44" t="e">
        <f>AND('boilerplate specs'!#REF!,"AAAAAGeKvtQ=")</f>
        <v>#REF!</v>
      </c>
      <c r="HF44" t="e">
        <f>AND('boilerplate specs'!#REF!,"AAAAAGeKvtU=")</f>
        <v>#REF!</v>
      </c>
      <c r="HG44" t="e">
        <f>AND('boilerplate specs'!#REF!,"AAAAAGeKvtY=")</f>
        <v>#REF!</v>
      </c>
      <c r="HH44" t="e">
        <f>AND('boilerplate specs'!#REF!,"AAAAAGeKvtc=")</f>
        <v>#REF!</v>
      </c>
      <c r="HI44" t="e">
        <f>AND('boilerplate specs'!#REF!,"AAAAAGeKvtg=")</f>
        <v>#REF!</v>
      </c>
      <c r="HJ44" t="e">
        <f>AND('boilerplate specs'!#REF!,"AAAAAGeKvtk=")</f>
        <v>#REF!</v>
      </c>
      <c r="HK44" t="e">
        <f>AND('boilerplate specs'!#REF!,"AAAAAGeKvto=")</f>
        <v>#REF!</v>
      </c>
      <c r="HL44" t="e">
        <f>AND('boilerplate specs'!#REF!,"AAAAAGeKvts=")</f>
        <v>#REF!</v>
      </c>
      <c r="HM44" t="e">
        <f>AND('boilerplate specs'!#REF!,"AAAAAGeKvtw=")</f>
        <v>#REF!</v>
      </c>
      <c r="HN44" t="e">
        <f>AND('boilerplate specs'!#REF!,"AAAAAGeKvt0=")</f>
        <v>#REF!</v>
      </c>
      <c r="HO44" t="e">
        <f>AND('boilerplate specs'!#REF!,"AAAAAGeKvt4=")</f>
        <v>#REF!</v>
      </c>
      <c r="HP44" t="e">
        <f>AND('boilerplate specs'!#REF!,"AAAAAGeKvt8=")</f>
        <v>#REF!</v>
      </c>
      <c r="HQ44" t="e">
        <f>AND('boilerplate specs'!#REF!,"AAAAAGeKvuA=")</f>
        <v>#REF!</v>
      </c>
      <c r="HR44">
        <f>IF('boilerplate specs'!280:280,"AAAAAGeKvuE=",0)</f>
        <v>0</v>
      </c>
      <c r="HS44" t="e">
        <f>AND('boilerplate specs'!A280,"AAAAAGeKvuI=")</f>
        <v>#VALUE!</v>
      </c>
      <c r="HT44" t="e">
        <f>AND('boilerplate specs'!B280,"AAAAAGeKvuM=")</f>
        <v>#VALUE!</v>
      </c>
      <c r="HU44" t="e">
        <f>AND('boilerplate specs'!C280,"AAAAAGeKvuQ=")</f>
        <v>#VALUE!</v>
      </c>
      <c r="HV44" t="e">
        <f>AND('boilerplate specs'!D280,"AAAAAGeKvuU=")</f>
        <v>#VALUE!</v>
      </c>
      <c r="HW44" t="e">
        <f>AND('boilerplate specs'!E280,"AAAAAGeKvuY=")</f>
        <v>#VALUE!</v>
      </c>
      <c r="HX44" t="e">
        <f>AND('boilerplate specs'!F280,"AAAAAGeKvuc=")</f>
        <v>#VALUE!</v>
      </c>
      <c r="HY44" t="e">
        <f>AND('boilerplate specs'!G280,"AAAAAGeKvug=")</f>
        <v>#VALUE!</v>
      </c>
      <c r="HZ44" t="e">
        <f>AND('boilerplate specs'!H280,"AAAAAGeKvuk=")</f>
        <v>#VALUE!</v>
      </c>
      <c r="IA44" t="e">
        <f>AND('boilerplate specs'!I280,"AAAAAGeKvuo=")</f>
        <v>#VALUE!</v>
      </c>
      <c r="IB44" t="e">
        <f>AND('boilerplate specs'!J280,"AAAAAGeKvus=")</f>
        <v>#VALUE!</v>
      </c>
      <c r="IC44" t="e">
        <f>AND('boilerplate specs'!#REF!,"AAAAAGeKvuw=")</f>
        <v>#REF!</v>
      </c>
      <c r="ID44" t="e">
        <f>AND('boilerplate specs'!#REF!,"AAAAAGeKvu0=")</f>
        <v>#REF!</v>
      </c>
      <c r="IE44" t="e">
        <f>AND('boilerplate specs'!#REF!,"AAAAAGeKvu4=")</f>
        <v>#REF!</v>
      </c>
      <c r="IF44" t="e">
        <f>AND('boilerplate specs'!#REF!,"AAAAAGeKvu8=")</f>
        <v>#REF!</v>
      </c>
      <c r="IG44" t="e">
        <f>AND('boilerplate specs'!#REF!,"AAAAAGeKvvA=")</f>
        <v>#REF!</v>
      </c>
      <c r="IH44" t="e">
        <f>AND('boilerplate specs'!#REF!,"AAAAAGeKvvE=")</f>
        <v>#REF!</v>
      </c>
      <c r="II44" t="e">
        <f>AND('boilerplate specs'!#REF!,"AAAAAGeKvvI=")</f>
        <v>#REF!</v>
      </c>
      <c r="IJ44" t="e">
        <f>AND('boilerplate specs'!#REF!,"AAAAAGeKvvM=")</f>
        <v>#REF!</v>
      </c>
      <c r="IK44" t="e">
        <f>AND('boilerplate specs'!#REF!,"AAAAAGeKvvQ=")</f>
        <v>#REF!</v>
      </c>
      <c r="IL44" t="e">
        <f>AND('boilerplate specs'!#REF!,"AAAAAGeKvvU=")</f>
        <v>#REF!</v>
      </c>
      <c r="IM44" t="e">
        <f>AND('boilerplate specs'!#REF!,"AAAAAGeKvvY=")</f>
        <v>#REF!</v>
      </c>
      <c r="IN44" t="e">
        <f>AND('boilerplate specs'!#REF!,"AAAAAGeKvvc=")</f>
        <v>#REF!</v>
      </c>
      <c r="IO44" t="e">
        <f>AND('boilerplate specs'!#REF!,"AAAAAGeKvvg=")</f>
        <v>#REF!</v>
      </c>
      <c r="IP44" t="e">
        <f>AND('boilerplate specs'!#REF!,"AAAAAGeKvvk=")</f>
        <v>#REF!</v>
      </c>
      <c r="IQ44" t="e">
        <f>AND('boilerplate specs'!#REF!,"AAAAAGeKvvo=")</f>
        <v>#REF!</v>
      </c>
      <c r="IR44" t="e">
        <f>AND('boilerplate specs'!#REF!,"AAAAAGeKvvs=")</f>
        <v>#REF!</v>
      </c>
      <c r="IS44" t="e">
        <f>AND('boilerplate specs'!#REF!,"AAAAAGeKvvw=")</f>
        <v>#REF!</v>
      </c>
      <c r="IT44" t="e">
        <f>AND('boilerplate specs'!#REF!,"AAAAAGeKvv0=")</f>
        <v>#REF!</v>
      </c>
      <c r="IU44" t="e">
        <f>AND('boilerplate specs'!#REF!,"AAAAAGeKvv4=")</f>
        <v>#REF!</v>
      </c>
      <c r="IV44" t="e">
        <f>AND('boilerplate specs'!#REF!,"AAAAAGeKvv8=")</f>
        <v>#REF!</v>
      </c>
    </row>
    <row r="45" spans="1:256" x14ac:dyDescent="0.35">
      <c r="A45" t="e">
        <f>AND('boilerplate specs'!#REF!,"AAAAAH/u9wA=")</f>
        <v>#REF!</v>
      </c>
      <c r="B45" t="e">
        <f>AND('boilerplate specs'!#REF!,"AAAAAH/u9wE=")</f>
        <v>#REF!</v>
      </c>
      <c r="C45">
        <f>IF('boilerplate specs'!281:281,"AAAAAH/u9wI=",0)</f>
        <v>0</v>
      </c>
      <c r="D45" t="e">
        <f>AND('boilerplate specs'!A281,"AAAAAH/u9wM=")</f>
        <v>#VALUE!</v>
      </c>
      <c r="E45" t="e">
        <f>AND('boilerplate specs'!B281,"AAAAAH/u9wQ=")</f>
        <v>#VALUE!</v>
      </c>
      <c r="F45" t="e">
        <f>AND('boilerplate specs'!C281,"AAAAAH/u9wU=")</f>
        <v>#VALUE!</v>
      </c>
      <c r="G45" t="e">
        <f>AND('boilerplate specs'!D281,"AAAAAH/u9wY=")</f>
        <v>#VALUE!</v>
      </c>
      <c r="H45" t="e">
        <f>AND('boilerplate specs'!E281,"AAAAAH/u9wc=")</f>
        <v>#VALUE!</v>
      </c>
      <c r="I45" t="e">
        <f>AND('boilerplate specs'!F281,"AAAAAH/u9wg=")</f>
        <v>#VALUE!</v>
      </c>
      <c r="J45" t="e">
        <f>AND('boilerplate specs'!G281,"AAAAAH/u9wk=")</f>
        <v>#VALUE!</v>
      </c>
      <c r="K45" t="e">
        <f>AND('boilerplate specs'!H281,"AAAAAH/u9wo=")</f>
        <v>#VALUE!</v>
      </c>
      <c r="L45" t="e">
        <f>AND('boilerplate specs'!I281,"AAAAAH/u9ws=")</f>
        <v>#VALUE!</v>
      </c>
      <c r="M45" t="e">
        <f>AND('boilerplate specs'!J281,"AAAAAH/u9ww=")</f>
        <v>#VALUE!</v>
      </c>
      <c r="N45" t="e">
        <f>AND('boilerplate specs'!#REF!,"AAAAAH/u9w0=")</f>
        <v>#REF!</v>
      </c>
      <c r="O45" t="e">
        <f>AND('boilerplate specs'!#REF!,"AAAAAH/u9w4=")</f>
        <v>#REF!</v>
      </c>
      <c r="P45" t="e">
        <f>AND('boilerplate specs'!#REF!,"AAAAAH/u9w8=")</f>
        <v>#REF!</v>
      </c>
      <c r="Q45" t="e">
        <f>AND('boilerplate specs'!#REF!,"AAAAAH/u9xA=")</f>
        <v>#REF!</v>
      </c>
      <c r="R45" t="e">
        <f>AND('boilerplate specs'!#REF!,"AAAAAH/u9xE=")</f>
        <v>#REF!</v>
      </c>
      <c r="S45" t="e">
        <f>AND('boilerplate specs'!#REF!,"AAAAAH/u9xI=")</f>
        <v>#REF!</v>
      </c>
      <c r="T45" t="e">
        <f>AND('boilerplate specs'!#REF!,"AAAAAH/u9xM=")</f>
        <v>#REF!</v>
      </c>
      <c r="U45" t="e">
        <f>AND('boilerplate specs'!#REF!,"AAAAAH/u9xQ=")</f>
        <v>#REF!</v>
      </c>
      <c r="V45" t="e">
        <f>AND('boilerplate specs'!#REF!,"AAAAAH/u9xU=")</f>
        <v>#REF!</v>
      </c>
      <c r="W45" t="e">
        <f>AND('boilerplate specs'!#REF!,"AAAAAH/u9xY=")</f>
        <v>#REF!</v>
      </c>
      <c r="X45" t="e">
        <f>AND('boilerplate specs'!#REF!,"AAAAAH/u9xc=")</f>
        <v>#REF!</v>
      </c>
      <c r="Y45" t="e">
        <f>AND('boilerplate specs'!#REF!,"AAAAAH/u9xg=")</f>
        <v>#REF!</v>
      </c>
      <c r="Z45" t="e">
        <f>AND('boilerplate specs'!#REF!,"AAAAAH/u9xk=")</f>
        <v>#REF!</v>
      </c>
      <c r="AA45" t="e">
        <f>AND('boilerplate specs'!#REF!,"AAAAAH/u9xo=")</f>
        <v>#REF!</v>
      </c>
      <c r="AB45" t="e">
        <f>AND('boilerplate specs'!#REF!,"AAAAAH/u9xs=")</f>
        <v>#REF!</v>
      </c>
      <c r="AC45" t="e">
        <f>AND('boilerplate specs'!#REF!,"AAAAAH/u9xw=")</f>
        <v>#REF!</v>
      </c>
      <c r="AD45" t="e">
        <f>AND('boilerplate specs'!#REF!,"AAAAAH/u9x0=")</f>
        <v>#REF!</v>
      </c>
      <c r="AE45" t="e">
        <f>AND('boilerplate specs'!#REF!,"AAAAAH/u9x4=")</f>
        <v>#REF!</v>
      </c>
      <c r="AF45" t="e">
        <f>AND('boilerplate specs'!#REF!,"AAAAAH/u9x8=")</f>
        <v>#REF!</v>
      </c>
      <c r="AG45" t="e">
        <f>AND('boilerplate specs'!#REF!,"AAAAAH/u9yA=")</f>
        <v>#REF!</v>
      </c>
      <c r="AH45" t="e">
        <f>AND('boilerplate specs'!#REF!,"AAAAAH/u9yE=")</f>
        <v>#REF!</v>
      </c>
      <c r="AI45" t="e">
        <f>AND('boilerplate specs'!#REF!,"AAAAAH/u9yI=")</f>
        <v>#REF!</v>
      </c>
      <c r="AJ45">
        <f>IF('boilerplate specs'!282:282,"AAAAAH/u9yM=",0)</f>
        <v>0</v>
      </c>
      <c r="AK45" t="e">
        <f>AND('boilerplate specs'!A282,"AAAAAH/u9yQ=")</f>
        <v>#VALUE!</v>
      </c>
      <c r="AL45" t="e">
        <f>AND('boilerplate specs'!B282,"AAAAAH/u9yU=")</f>
        <v>#VALUE!</v>
      </c>
      <c r="AM45" t="e">
        <f>AND('boilerplate specs'!C282,"AAAAAH/u9yY=")</f>
        <v>#VALUE!</v>
      </c>
      <c r="AN45" t="e">
        <f>AND('boilerplate specs'!D282,"AAAAAH/u9yc=")</f>
        <v>#VALUE!</v>
      </c>
      <c r="AO45" t="e">
        <f>AND('boilerplate specs'!E282,"AAAAAH/u9yg=")</f>
        <v>#VALUE!</v>
      </c>
      <c r="AP45" t="e">
        <f>AND('boilerplate specs'!F282,"AAAAAH/u9yk=")</f>
        <v>#VALUE!</v>
      </c>
      <c r="AQ45" t="e">
        <f>AND('boilerplate specs'!G282,"AAAAAH/u9yo=")</f>
        <v>#VALUE!</v>
      </c>
      <c r="AR45" t="e">
        <f>AND('boilerplate specs'!H282,"AAAAAH/u9ys=")</f>
        <v>#VALUE!</v>
      </c>
      <c r="AS45" t="e">
        <f>AND('boilerplate specs'!I282,"AAAAAH/u9yw=")</f>
        <v>#VALUE!</v>
      </c>
      <c r="AT45" t="e">
        <f>AND('boilerplate specs'!J282,"AAAAAH/u9y0=")</f>
        <v>#VALUE!</v>
      </c>
      <c r="AU45" t="e">
        <f>AND('boilerplate specs'!#REF!,"AAAAAH/u9y4=")</f>
        <v>#REF!</v>
      </c>
      <c r="AV45" t="e">
        <f>AND('boilerplate specs'!#REF!,"AAAAAH/u9y8=")</f>
        <v>#REF!</v>
      </c>
      <c r="AW45" t="e">
        <f>AND('boilerplate specs'!#REF!,"AAAAAH/u9zA=")</f>
        <v>#REF!</v>
      </c>
      <c r="AX45" t="e">
        <f>AND('boilerplate specs'!#REF!,"AAAAAH/u9zE=")</f>
        <v>#REF!</v>
      </c>
      <c r="AY45" t="e">
        <f>AND('boilerplate specs'!#REF!,"AAAAAH/u9zI=")</f>
        <v>#REF!</v>
      </c>
      <c r="AZ45" t="e">
        <f>AND('boilerplate specs'!#REF!,"AAAAAH/u9zM=")</f>
        <v>#REF!</v>
      </c>
      <c r="BA45" t="e">
        <f>AND('boilerplate specs'!#REF!,"AAAAAH/u9zQ=")</f>
        <v>#REF!</v>
      </c>
      <c r="BB45" t="e">
        <f>AND('boilerplate specs'!#REF!,"AAAAAH/u9zU=")</f>
        <v>#REF!</v>
      </c>
      <c r="BC45" t="e">
        <f>AND('boilerplate specs'!#REF!,"AAAAAH/u9zY=")</f>
        <v>#REF!</v>
      </c>
      <c r="BD45" t="e">
        <f>AND('boilerplate specs'!#REF!,"AAAAAH/u9zc=")</f>
        <v>#REF!</v>
      </c>
      <c r="BE45" t="e">
        <f>AND('boilerplate specs'!#REF!,"AAAAAH/u9zg=")</f>
        <v>#REF!</v>
      </c>
      <c r="BF45" t="e">
        <f>AND('boilerplate specs'!#REF!,"AAAAAH/u9zk=")</f>
        <v>#REF!</v>
      </c>
      <c r="BG45" t="e">
        <f>AND('boilerplate specs'!#REF!,"AAAAAH/u9zo=")</f>
        <v>#REF!</v>
      </c>
      <c r="BH45" t="e">
        <f>AND('boilerplate specs'!#REF!,"AAAAAH/u9zs=")</f>
        <v>#REF!</v>
      </c>
      <c r="BI45" t="e">
        <f>AND('boilerplate specs'!#REF!,"AAAAAH/u9zw=")</f>
        <v>#REF!</v>
      </c>
      <c r="BJ45" t="e">
        <f>AND('boilerplate specs'!#REF!,"AAAAAH/u9z0=")</f>
        <v>#REF!</v>
      </c>
      <c r="BK45" t="e">
        <f>AND('boilerplate specs'!#REF!,"AAAAAH/u9z4=")</f>
        <v>#REF!</v>
      </c>
      <c r="BL45" t="e">
        <f>AND('boilerplate specs'!#REF!,"AAAAAH/u9z8=")</f>
        <v>#REF!</v>
      </c>
      <c r="BM45" t="e">
        <f>AND('boilerplate specs'!#REF!,"AAAAAH/u90A=")</f>
        <v>#REF!</v>
      </c>
      <c r="BN45" t="e">
        <f>AND('boilerplate specs'!#REF!,"AAAAAH/u90E=")</f>
        <v>#REF!</v>
      </c>
      <c r="BO45" t="e">
        <f>AND('boilerplate specs'!#REF!,"AAAAAH/u90I=")</f>
        <v>#REF!</v>
      </c>
      <c r="BP45" t="e">
        <f>AND('boilerplate specs'!#REF!,"AAAAAH/u90M=")</f>
        <v>#REF!</v>
      </c>
      <c r="BQ45">
        <f>IF('boilerplate specs'!283:283,"AAAAAH/u90Q=",0)</f>
        <v>0</v>
      </c>
      <c r="BR45" t="e">
        <f>AND('boilerplate specs'!A283,"AAAAAH/u90U=")</f>
        <v>#VALUE!</v>
      </c>
      <c r="BS45" t="e">
        <f>AND('boilerplate specs'!B283,"AAAAAH/u90Y=")</f>
        <v>#VALUE!</v>
      </c>
      <c r="BT45" t="e">
        <f>AND('boilerplate specs'!C283,"AAAAAH/u90c=")</f>
        <v>#VALUE!</v>
      </c>
      <c r="BU45" t="e">
        <f>AND('boilerplate specs'!D283,"AAAAAH/u90g=")</f>
        <v>#VALUE!</v>
      </c>
      <c r="BV45" t="e">
        <f>AND('boilerplate specs'!E283,"AAAAAH/u90k=")</f>
        <v>#VALUE!</v>
      </c>
      <c r="BW45" t="e">
        <f>AND('boilerplate specs'!F283,"AAAAAH/u90o=")</f>
        <v>#VALUE!</v>
      </c>
      <c r="BX45" t="e">
        <f>AND('boilerplate specs'!G283,"AAAAAH/u90s=")</f>
        <v>#VALUE!</v>
      </c>
      <c r="BY45" t="e">
        <f>AND('boilerplate specs'!H283,"AAAAAH/u90w=")</f>
        <v>#VALUE!</v>
      </c>
      <c r="BZ45" t="e">
        <f>AND('boilerplate specs'!I283,"AAAAAH/u900=")</f>
        <v>#VALUE!</v>
      </c>
      <c r="CA45" t="e">
        <f>AND('boilerplate specs'!J283,"AAAAAH/u904=")</f>
        <v>#VALUE!</v>
      </c>
      <c r="CB45" t="e">
        <f>AND('boilerplate specs'!#REF!,"AAAAAH/u908=")</f>
        <v>#REF!</v>
      </c>
      <c r="CC45" t="e">
        <f>AND('boilerplate specs'!#REF!,"AAAAAH/u91A=")</f>
        <v>#REF!</v>
      </c>
      <c r="CD45" t="e">
        <f>AND('boilerplate specs'!#REF!,"AAAAAH/u91E=")</f>
        <v>#REF!</v>
      </c>
      <c r="CE45" t="e">
        <f>AND('boilerplate specs'!#REF!,"AAAAAH/u91I=")</f>
        <v>#REF!</v>
      </c>
      <c r="CF45" t="e">
        <f>AND('boilerplate specs'!#REF!,"AAAAAH/u91M=")</f>
        <v>#REF!</v>
      </c>
      <c r="CG45" t="e">
        <f>AND('boilerplate specs'!#REF!,"AAAAAH/u91Q=")</f>
        <v>#REF!</v>
      </c>
      <c r="CH45" t="e">
        <f>AND('boilerplate specs'!#REF!,"AAAAAH/u91U=")</f>
        <v>#REF!</v>
      </c>
      <c r="CI45" t="e">
        <f>AND('boilerplate specs'!#REF!,"AAAAAH/u91Y=")</f>
        <v>#REF!</v>
      </c>
      <c r="CJ45" t="e">
        <f>AND('boilerplate specs'!#REF!,"AAAAAH/u91c=")</f>
        <v>#REF!</v>
      </c>
      <c r="CK45" t="e">
        <f>AND('boilerplate specs'!#REF!,"AAAAAH/u91g=")</f>
        <v>#REF!</v>
      </c>
      <c r="CL45" t="e">
        <f>AND('boilerplate specs'!#REF!,"AAAAAH/u91k=")</f>
        <v>#REF!</v>
      </c>
      <c r="CM45" t="e">
        <f>AND('boilerplate specs'!#REF!,"AAAAAH/u91o=")</f>
        <v>#REF!</v>
      </c>
      <c r="CN45" t="e">
        <f>AND('boilerplate specs'!#REF!,"AAAAAH/u91s=")</f>
        <v>#REF!</v>
      </c>
      <c r="CO45" t="e">
        <f>AND('boilerplate specs'!#REF!,"AAAAAH/u91w=")</f>
        <v>#REF!</v>
      </c>
      <c r="CP45" t="e">
        <f>AND('boilerplate specs'!#REF!,"AAAAAH/u910=")</f>
        <v>#REF!</v>
      </c>
      <c r="CQ45" t="e">
        <f>AND('boilerplate specs'!#REF!,"AAAAAH/u914=")</f>
        <v>#REF!</v>
      </c>
      <c r="CR45" t="e">
        <f>AND('boilerplate specs'!#REF!,"AAAAAH/u918=")</f>
        <v>#REF!</v>
      </c>
      <c r="CS45" t="e">
        <f>AND('boilerplate specs'!#REF!,"AAAAAH/u92A=")</f>
        <v>#REF!</v>
      </c>
      <c r="CT45" t="e">
        <f>AND('boilerplate specs'!#REF!,"AAAAAH/u92E=")</f>
        <v>#REF!</v>
      </c>
      <c r="CU45" t="e">
        <f>AND('boilerplate specs'!#REF!,"AAAAAH/u92I=")</f>
        <v>#REF!</v>
      </c>
      <c r="CV45" t="e">
        <f>AND('boilerplate specs'!#REF!,"AAAAAH/u92M=")</f>
        <v>#REF!</v>
      </c>
      <c r="CW45" t="e">
        <f>AND('boilerplate specs'!#REF!,"AAAAAH/u92Q=")</f>
        <v>#REF!</v>
      </c>
      <c r="CX45">
        <f>IF('boilerplate specs'!284:284,"AAAAAH/u92U=",0)</f>
        <v>0</v>
      </c>
      <c r="CY45" t="e">
        <f>AND('boilerplate specs'!A284,"AAAAAH/u92Y=")</f>
        <v>#VALUE!</v>
      </c>
      <c r="CZ45" t="e">
        <f>AND('boilerplate specs'!B284,"AAAAAH/u92c=")</f>
        <v>#VALUE!</v>
      </c>
      <c r="DA45" t="e">
        <f>AND('boilerplate specs'!C284,"AAAAAH/u92g=")</f>
        <v>#VALUE!</v>
      </c>
      <c r="DB45" t="e">
        <f>AND('boilerplate specs'!D284,"AAAAAH/u92k=")</f>
        <v>#VALUE!</v>
      </c>
      <c r="DC45" t="e">
        <f>AND('boilerplate specs'!E284,"AAAAAH/u92o=")</f>
        <v>#VALUE!</v>
      </c>
      <c r="DD45" t="e">
        <f>AND('boilerplate specs'!F284,"AAAAAH/u92s=")</f>
        <v>#VALUE!</v>
      </c>
      <c r="DE45" t="e">
        <f>AND('boilerplate specs'!G284,"AAAAAH/u92w=")</f>
        <v>#VALUE!</v>
      </c>
      <c r="DF45" t="e">
        <f>AND('boilerplate specs'!H284,"AAAAAH/u920=")</f>
        <v>#VALUE!</v>
      </c>
      <c r="DG45" t="e">
        <f>AND('boilerplate specs'!I284,"AAAAAH/u924=")</f>
        <v>#VALUE!</v>
      </c>
      <c r="DH45" t="e">
        <f>AND('boilerplate specs'!J284,"AAAAAH/u928=")</f>
        <v>#VALUE!</v>
      </c>
      <c r="DI45" t="e">
        <f>AND('boilerplate specs'!#REF!,"AAAAAH/u93A=")</f>
        <v>#REF!</v>
      </c>
      <c r="DJ45" t="e">
        <f>AND('boilerplate specs'!#REF!,"AAAAAH/u93E=")</f>
        <v>#REF!</v>
      </c>
      <c r="DK45" t="e">
        <f>AND('boilerplate specs'!#REF!,"AAAAAH/u93I=")</f>
        <v>#REF!</v>
      </c>
      <c r="DL45" t="e">
        <f>AND('boilerplate specs'!#REF!,"AAAAAH/u93M=")</f>
        <v>#REF!</v>
      </c>
      <c r="DM45" t="e">
        <f>AND('boilerplate specs'!#REF!,"AAAAAH/u93Q=")</f>
        <v>#REF!</v>
      </c>
      <c r="DN45" t="e">
        <f>AND('boilerplate specs'!#REF!,"AAAAAH/u93U=")</f>
        <v>#REF!</v>
      </c>
      <c r="DO45" t="e">
        <f>AND('boilerplate specs'!#REF!,"AAAAAH/u93Y=")</f>
        <v>#REF!</v>
      </c>
      <c r="DP45" t="e">
        <f>AND('boilerplate specs'!#REF!,"AAAAAH/u93c=")</f>
        <v>#REF!</v>
      </c>
      <c r="DQ45" t="e">
        <f>AND('boilerplate specs'!#REF!,"AAAAAH/u93g=")</f>
        <v>#REF!</v>
      </c>
      <c r="DR45" t="e">
        <f>AND('boilerplate specs'!#REF!,"AAAAAH/u93k=")</f>
        <v>#REF!</v>
      </c>
      <c r="DS45" t="e">
        <f>AND('boilerplate specs'!#REF!,"AAAAAH/u93o=")</f>
        <v>#REF!</v>
      </c>
      <c r="DT45" t="e">
        <f>AND('boilerplate specs'!#REF!,"AAAAAH/u93s=")</f>
        <v>#REF!</v>
      </c>
      <c r="DU45" t="e">
        <f>AND('boilerplate specs'!#REF!,"AAAAAH/u93w=")</f>
        <v>#REF!</v>
      </c>
      <c r="DV45" t="e">
        <f>AND('boilerplate specs'!#REF!,"AAAAAH/u930=")</f>
        <v>#REF!</v>
      </c>
      <c r="DW45" t="e">
        <f>AND('boilerplate specs'!#REF!,"AAAAAH/u934=")</f>
        <v>#REF!</v>
      </c>
      <c r="DX45" t="e">
        <f>AND('boilerplate specs'!#REF!,"AAAAAH/u938=")</f>
        <v>#REF!</v>
      </c>
      <c r="DY45" t="e">
        <f>AND('boilerplate specs'!#REF!,"AAAAAH/u94A=")</f>
        <v>#REF!</v>
      </c>
      <c r="DZ45" t="e">
        <f>AND('boilerplate specs'!#REF!,"AAAAAH/u94E=")</f>
        <v>#REF!</v>
      </c>
      <c r="EA45" t="e">
        <f>AND('boilerplate specs'!#REF!,"AAAAAH/u94I=")</f>
        <v>#REF!</v>
      </c>
      <c r="EB45" t="e">
        <f>AND('boilerplate specs'!#REF!,"AAAAAH/u94M=")</f>
        <v>#REF!</v>
      </c>
      <c r="EC45" t="e">
        <f>AND('boilerplate specs'!#REF!,"AAAAAH/u94Q=")</f>
        <v>#REF!</v>
      </c>
      <c r="ED45" t="e">
        <f>AND('boilerplate specs'!#REF!,"AAAAAH/u94U=")</f>
        <v>#REF!</v>
      </c>
      <c r="EE45">
        <f>IF('boilerplate specs'!285:285,"AAAAAH/u94Y=",0)</f>
        <v>0</v>
      </c>
      <c r="EF45" t="e">
        <f>AND('boilerplate specs'!A285,"AAAAAH/u94c=")</f>
        <v>#VALUE!</v>
      </c>
      <c r="EG45" t="e">
        <f>AND('boilerplate specs'!B285,"AAAAAH/u94g=")</f>
        <v>#VALUE!</v>
      </c>
      <c r="EH45" t="e">
        <f>AND('boilerplate specs'!C285,"AAAAAH/u94k=")</f>
        <v>#VALUE!</v>
      </c>
      <c r="EI45" t="e">
        <f>AND('boilerplate specs'!D285,"AAAAAH/u94o=")</f>
        <v>#VALUE!</v>
      </c>
      <c r="EJ45" t="e">
        <f>AND('boilerplate specs'!E285,"AAAAAH/u94s=")</f>
        <v>#VALUE!</v>
      </c>
      <c r="EK45" t="e">
        <f>AND('boilerplate specs'!F285,"AAAAAH/u94w=")</f>
        <v>#VALUE!</v>
      </c>
      <c r="EL45" t="e">
        <f>AND('boilerplate specs'!G285,"AAAAAH/u940=")</f>
        <v>#VALUE!</v>
      </c>
      <c r="EM45" t="e">
        <f>AND('boilerplate specs'!H285,"AAAAAH/u944=")</f>
        <v>#VALUE!</v>
      </c>
      <c r="EN45" t="e">
        <f>AND('boilerplate specs'!I285,"AAAAAH/u948=")</f>
        <v>#VALUE!</v>
      </c>
      <c r="EO45" t="e">
        <f>AND('boilerplate specs'!J285,"AAAAAH/u95A=")</f>
        <v>#VALUE!</v>
      </c>
      <c r="EP45" t="e">
        <f>AND('boilerplate specs'!#REF!,"AAAAAH/u95E=")</f>
        <v>#REF!</v>
      </c>
      <c r="EQ45" t="e">
        <f>AND('boilerplate specs'!#REF!,"AAAAAH/u95I=")</f>
        <v>#REF!</v>
      </c>
      <c r="ER45" t="e">
        <f>AND('boilerplate specs'!#REF!,"AAAAAH/u95M=")</f>
        <v>#REF!</v>
      </c>
      <c r="ES45" t="e">
        <f>AND('boilerplate specs'!#REF!,"AAAAAH/u95Q=")</f>
        <v>#REF!</v>
      </c>
      <c r="ET45" t="e">
        <f>AND('boilerplate specs'!#REF!,"AAAAAH/u95U=")</f>
        <v>#REF!</v>
      </c>
      <c r="EU45" t="e">
        <f>AND('boilerplate specs'!#REF!,"AAAAAH/u95Y=")</f>
        <v>#REF!</v>
      </c>
      <c r="EV45" t="e">
        <f>AND('boilerplate specs'!#REF!,"AAAAAH/u95c=")</f>
        <v>#REF!</v>
      </c>
      <c r="EW45" t="e">
        <f>AND('boilerplate specs'!#REF!,"AAAAAH/u95g=")</f>
        <v>#REF!</v>
      </c>
      <c r="EX45" t="e">
        <f>AND('boilerplate specs'!#REF!,"AAAAAH/u95k=")</f>
        <v>#REF!</v>
      </c>
      <c r="EY45" t="e">
        <f>AND('boilerplate specs'!#REF!,"AAAAAH/u95o=")</f>
        <v>#REF!</v>
      </c>
      <c r="EZ45" t="e">
        <f>AND('boilerplate specs'!#REF!,"AAAAAH/u95s=")</f>
        <v>#REF!</v>
      </c>
      <c r="FA45" t="e">
        <f>AND('boilerplate specs'!#REF!,"AAAAAH/u95w=")</f>
        <v>#REF!</v>
      </c>
      <c r="FB45" t="e">
        <f>AND('boilerplate specs'!#REF!,"AAAAAH/u950=")</f>
        <v>#REF!</v>
      </c>
      <c r="FC45" t="e">
        <f>AND('boilerplate specs'!#REF!,"AAAAAH/u954=")</f>
        <v>#REF!</v>
      </c>
      <c r="FD45" t="e">
        <f>AND('boilerplate specs'!#REF!,"AAAAAH/u958=")</f>
        <v>#REF!</v>
      </c>
      <c r="FE45" t="e">
        <f>AND('boilerplate specs'!#REF!,"AAAAAH/u96A=")</f>
        <v>#REF!</v>
      </c>
      <c r="FF45" t="e">
        <f>AND('boilerplate specs'!#REF!,"AAAAAH/u96E=")</f>
        <v>#REF!</v>
      </c>
      <c r="FG45" t="e">
        <f>AND('boilerplate specs'!#REF!,"AAAAAH/u96I=")</f>
        <v>#REF!</v>
      </c>
      <c r="FH45" t="e">
        <f>AND('boilerplate specs'!#REF!,"AAAAAH/u96M=")</f>
        <v>#REF!</v>
      </c>
      <c r="FI45" t="e">
        <f>AND('boilerplate specs'!#REF!,"AAAAAH/u96Q=")</f>
        <v>#REF!</v>
      </c>
      <c r="FJ45" t="e">
        <f>AND('boilerplate specs'!#REF!,"AAAAAH/u96U=")</f>
        <v>#REF!</v>
      </c>
      <c r="FK45" t="e">
        <f>AND('boilerplate specs'!#REF!,"AAAAAH/u96Y=")</f>
        <v>#REF!</v>
      </c>
      <c r="FL45">
        <f>IF('boilerplate specs'!286:286,"AAAAAH/u96c=",0)</f>
        <v>0</v>
      </c>
      <c r="FM45" t="e">
        <f>AND('boilerplate specs'!A286,"AAAAAH/u96g=")</f>
        <v>#VALUE!</v>
      </c>
      <c r="FN45" t="e">
        <f>AND('boilerplate specs'!B286,"AAAAAH/u96k=")</f>
        <v>#VALUE!</v>
      </c>
      <c r="FO45" t="e">
        <f>AND('boilerplate specs'!C286,"AAAAAH/u96o=")</f>
        <v>#VALUE!</v>
      </c>
      <c r="FP45" t="e">
        <f>AND('boilerplate specs'!D286,"AAAAAH/u96s=")</f>
        <v>#VALUE!</v>
      </c>
      <c r="FQ45" t="e">
        <f>AND('boilerplate specs'!E286,"AAAAAH/u96w=")</f>
        <v>#VALUE!</v>
      </c>
      <c r="FR45" t="e">
        <f>AND('boilerplate specs'!F286,"AAAAAH/u960=")</f>
        <v>#VALUE!</v>
      </c>
      <c r="FS45" t="e">
        <f>AND('boilerplate specs'!G286,"AAAAAH/u964=")</f>
        <v>#VALUE!</v>
      </c>
      <c r="FT45" t="e">
        <f>AND('boilerplate specs'!H286,"AAAAAH/u968=")</f>
        <v>#VALUE!</v>
      </c>
      <c r="FU45" t="e">
        <f>AND('boilerplate specs'!I286,"AAAAAH/u97A=")</f>
        <v>#VALUE!</v>
      </c>
      <c r="FV45" t="e">
        <f>AND('boilerplate specs'!J286,"AAAAAH/u97E=")</f>
        <v>#VALUE!</v>
      </c>
      <c r="FW45" t="e">
        <f>AND('boilerplate specs'!#REF!,"AAAAAH/u97I=")</f>
        <v>#REF!</v>
      </c>
      <c r="FX45" t="e">
        <f>AND('boilerplate specs'!#REF!,"AAAAAH/u97M=")</f>
        <v>#REF!</v>
      </c>
      <c r="FY45" t="e">
        <f>AND('boilerplate specs'!#REF!,"AAAAAH/u97Q=")</f>
        <v>#REF!</v>
      </c>
      <c r="FZ45" t="e">
        <f>AND('boilerplate specs'!#REF!,"AAAAAH/u97U=")</f>
        <v>#REF!</v>
      </c>
      <c r="GA45" t="e">
        <f>AND('boilerplate specs'!#REF!,"AAAAAH/u97Y=")</f>
        <v>#REF!</v>
      </c>
      <c r="GB45" t="e">
        <f>AND('boilerplate specs'!#REF!,"AAAAAH/u97c=")</f>
        <v>#REF!</v>
      </c>
      <c r="GC45" t="e">
        <f>AND('boilerplate specs'!#REF!,"AAAAAH/u97g=")</f>
        <v>#REF!</v>
      </c>
      <c r="GD45" t="e">
        <f>AND('boilerplate specs'!#REF!,"AAAAAH/u97k=")</f>
        <v>#REF!</v>
      </c>
      <c r="GE45" t="e">
        <f>AND('boilerplate specs'!#REF!,"AAAAAH/u97o=")</f>
        <v>#REF!</v>
      </c>
      <c r="GF45" t="e">
        <f>AND('boilerplate specs'!#REF!,"AAAAAH/u97s=")</f>
        <v>#REF!</v>
      </c>
      <c r="GG45" t="e">
        <f>AND('boilerplate specs'!#REF!,"AAAAAH/u97w=")</f>
        <v>#REF!</v>
      </c>
      <c r="GH45" t="e">
        <f>AND('boilerplate specs'!#REF!,"AAAAAH/u970=")</f>
        <v>#REF!</v>
      </c>
      <c r="GI45" t="e">
        <f>AND('boilerplate specs'!#REF!,"AAAAAH/u974=")</f>
        <v>#REF!</v>
      </c>
      <c r="GJ45" t="e">
        <f>AND('boilerplate specs'!#REF!,"AAAAAH/u978=")</f>
        <v>#REF!</v>
      </c>
      <c r="GK45" t="e">
        <f>AND('boilerplate specs'!#REF!,"AAAAAH/u98A=")</f>
        <v>#REF!</v>
      </c>
      <c r="GL45" t="e">
        <f>AND('boilerplate specs'!#REF!,"AAAAAH/u98E=")</f>
        <v>#REF!</v>
      </c>
      <c r="GM45" t="e">
        <f>AND('boilerplate specs'!#REF!,"AAAAAH/u98I=")</f>
        <v>#REF!</v>
      </c>
      <c r="GN45" t="e">
        <f>AND('boilerplate specs'!#REF!,"AAAAAH/u98M=")</f>
        <v>#REF!</v>
      </c>
      <c r="GO45" t="e">
        <f>AND('boilerplate specs'!#REF!,"AAAAAH/u98Q=")</f>
        <v>#REF!</v>
      </c>
      <c r="GP45" t="e">
        <f>AND('boilerplate specs'!#REF!,"AAAAAH/u98U=")</f>
        <v>#REF!</v>
      </c>
      <c r="GQ45" t="e">
        <f>AND('boilerplate specs'!#REF!,"AAAAAH/u98Y=")</f>
        <v>#REF!</v>
      </c>
      <c r="GR45" t="e">
        <f>AND('boilerplate specs'!#REF!,"AAAAAH/u98c=")</f>
        <v>#REF!</v>
      </c>
      <c r="GS45">
        <f>IF('boilerplate specs'!287:287,"AAAAAH/u98g=",0)</f>
        <v>0</v>
      </c>
      <c r="GT45" t="e">
        <f>AND('boilerplate specs'!A287,"AAAAAH/u98k=")</f>
        <v>#VALUE!</v>
      </c>
      <c r="GU45" t="e">
        <f>AND('boilerplate specs'!B287,"AAAAAH/u98o=")</f>
        <v>#VALUE!</v>
      </c>
      <c r="GV45" t="e">
        <f>AND('boilerplate specs'!C287,"AAAAAH/u98s=")</f>
        <v>#VALUE!</v>
      </c>
      <c r="GW45" t="e">
        <f>AND('boilerplate specs'!D287,"AAAAAH/u98w=")</f>
        <v>#VALUE!</v>
      </c>
      <c r="GX45" t="e">
        <f>AND('boilerplate specs'!E287,"AAAAAH/u980=")</f>
        <v>#VALUE!</v>
      </c>
      <c r="GY45" t="e">
        <f>AND('boilerplate specs'!F287,"AAAAAH/u984=")</f>
        <v>#VALUE!</v>
      </c>
      <c r="GZ45" t="e">
        <f>AND('boilerplate specs'!G287,"AAAAAH/u988=")</f>
        <v>#VALUE!</v>
      </c>
      <c r="HA45" t="e">
        <f>AND('boilerplate specs'!H287,"AAAAAH/u99A=")</f>
        <v>#VALUE!</v>
      </c>
      <c r="HB45" t="e">
        <f>AND('boilerplate specs'!I287,"AAAAAH/u99E=")</f>
        <v>#VALUE!</v>
      </c>
      <c r="HC45" t="e">
        <f>AND('boilerplate specs'!J287,"AAAAAH/u99I=")</f>
        <v>#VALUE!</v>
      </c>
      <c r="HD45" t="e">
        <f>AND('boilerplate specs'!#REF!,"AAAAAH/u99M=")</f>
        <v>#REF!</v>
      </c>
      <c r="HE45" t="e">
        <f>AND('boilerplate specs'!#REF!,"AAAAAH/u99Q=")</f>
        <v>#REF!</v>
      </c>
      <c r="HF45" t="e">
        <f>AND('boilerplate specs'!#REF!,"AAAAAH/u99U=")</f>
        <v>#REF!</v>
      </c>
      <c r="HG45" t="e">
        <f>AND('boilerplate specs'!#REF!,"AAAAAH/u99Y=")</f>
        <v>#REF!</v>
      </c>
      <c r="HH45" t="e">
        <f>AND('boilerplate specs'!#REF!,"AAAAAH/u99c=")</f>
        <v>#REF!</v>
      </c>
      <c r="HI45" t="e">
        <f>AND('boilerplate specs'!#REF!,"AAAAAH/u99g=")</f>
        <v>#REF!</v>
      </c>
      <c r="HJ45" t="e">
        <f>AND('boilerplate specs'!#REF!,"AAAAAH/u99k=")</f>
        <v>#REF!</v>
      </c>
      <c r="HK45" t="e">
        <f>AND('boilerplate specs'!#REF!,"AAAAAH/u99o=")</f>
        <v>#REF!</v>
      </c>
      <c r="HL45" t="e">
        <f>AND('boilerplate specs'!#REF!,"AAAAAH/u99s=")</f>
        <v>#REF!</v>
      </c>
      <c r="HM45" t="e">
        <f>AND('boilerplate specs'!#REF!,"AAAAAH/u99w=")</f>
        <v>#REF!</v>
      </c>
      <c r="HN45" t="e">
        <f>AND('boilerplate specs'!#REF!,"AAAAAH/u990=")</f>
        <v>#REF!</v>
      </c>
      <c r="HO45" t="e">
        <f>AND('boilerplate specs'!#REF!,"AAAAAH/u994=")</f>
        <v>#REF!</v>
      </c>
      <c r="HP45" t="e">
        <f>AND('boilerplate specs'!#REF!,"AAAAAH/u998=")</f>
        <v>#REF!</v>
      </c>
      <c r="HQ45" t="e">
        <f>AND('boilerplate specs'!#REF!,"AAAAAH/u9+A=")</f>
        <v>#REF!</v>
      </c>
      <c r="HR45" t="e">
        <f>AND('boilerplate specs'!#REF!,"AAAAAH/u9+E=")</f>
        <v>#REF!</v>
      </c>
      <c r="HS45" t="e">
        <f>AND('boilerplate specs'!#REF!,"AAAAAH/u9+I=")</f>
        <v>#REF!</v>
      </c>
      <c r="HT45" t="e">
        <f>AND('boilerplate specs'!#REF!,"AAAAAH/u9+M=")</f>
        <v>#REF!</v>
      </c>
      <c r="HU45" t="e">
        <f>AND('boilerplate specs'!#REF!,"AAAAAH/u9+Q=")</f>
        <v>#REF!</v>
      </c>
      <c r="HV45" t="e">
        <f>AND('boilerplate specs'!#REF!,"AAAAAH/u9+U=")</f>
        <v>#REF!</v>
      </c>
      <c r="HW45" t="e">
        <f>AND('boilerplate specs'!#REF!,"AAAAAH/u9+Y=")</f>
        <v>#REF!</v>
      </c>
      <c r="HX45" t="e">
        <f>AND('boilerplate specs'!#REF!,"AAAAAH/u9+c=")</f>
        <v>#REF!</v>
      </c>
      <c r="HY45" t="e">
        <f>AND('boilerplate specs'!#REF!,"AAAAAH/u9+g=")</f>
        <v>#REF!</v>
      </c>
      <c r="HZ45">
        <f>IF('boilerplate specs'!288:288,"AAAAAH/u9+k=",0)</f>
        <v>0</v>
      </c>
      <c r="IA45" t="e">
        <f>AND('boilerplate specs'!A288,"AAAAAH/u9+o=")</f>
        <v>#VALUE!</v>
      </c>
      <c r="IB45" t="e">
        <f>AND('boilerplate specs'!B288,"AAAAAH/u9+s=")</f>
        <v>#VALUE!</v>
      </c>
      <c r="IC45" t="e">
        <f>AND('boilerplate specs'!C288,"AAAAAH/u9+w=")</f>
        <v>#VALUE!</v>
      </c>
      <c r="ID45" t="e">
        <f>AND('boilerplate specs'!D288,"AAAAAH/u9+0=")</f>
        <v>#VALUE!</v>
      </c>
      <c r="IE45" t="e">
        <f>AND('boilerplate specs'!E288,"AAAAAH/u9+4=")</f>
        <v>#VALUE!</v>
      </c>
      <c r="IF45" t="e">
        <f>AND('boilerplate specs'!F288,"AAAAAH/u9+8=")</f>
        <v>#VALUE!</v>
      </c>
      <c r="IG45" t="e">
        <f>AND('boilerplate specs'!G288,"AAAAAH/u9/A=")</f>
        <v>#VALUE!</v>
      </c>
      <c r="IH45" t="e">
        <f>AND('boilerplate specs'!H288,"AAAAAH/u9/E=")</f>
        <v>#VALUE!</v>
      </c>
      <c r="II45" t="e">
        <f>AND('boilerplate specs'!I288,"AAAAAH/u9/I=")</f>
        <v>#VALUE!</v>
      </c>
      <c r="IJ45" t="e">
        <f>AND('boilerplate specs'!J288,"AAAAAH/u9/M=")</f>
        <v>#VALUE!</v>
      </c>
      <c r="IK45" t="e">
        <f>AND('boilerplate specs'!#REF!,"AAAAAH/u9/Q=")</f>
        <v>#REF!</v>
      </c>
      <c r="IL45" t="e">
        <f>AND('boilerplate specs'!#REF!,"AAAAAH/u9/U=")</f>
        <v>#REF!</v>
      </c>
      <c r="IM45" t="e">
        <f>AND('boilerplate specs'!#REF!,"AAAAAH/u9/Y=")</f>
        <v>#REF!</v>
      </c>
      <c r="IN45" t="e">
        <f>AND('boilerplate specs'!#REF!,"AAAAAH/u9/c=")</f>
        <v>#REF!</v>
      </c>
      <c r="IO45" t="e">
        <f>AND('boilerplate specs'!#REF!,"AAAAAH/u9/g=")</f>
        <v>#REF!</v>
      </c>
      <c r="IP45" t="e">
        <f>AND('boilerplate specs'!#REF!,"AAAAAH/u9/k=")</f>
        <v>#REF!</v>
      </c>
      <c r="IQ45" t="e">
        <f>AND('boilerplate specs'!#REF!,"AAAAAH/u9/o=")</f>
        <v>#REF!</v>
      </c>
      <c r="IR45" t="e">
        <f>AND('boilerplate specs'!#REF!,"AAAAAH/u9/s=")</f>
        <v>#REF!</v>
      </c>
      <c r="IS45" t="e">
        <f>AND('boilerplate specs'!#REF!,"AAAAAH/u9/w=")</f>
        <v>#REF!</v>
      </c>
      <c r="IT45" t="e">
        <f>AND('boilerplate specs'!#REF!,"AAAAAH/u9/0=")</f>
        <v>#REF!</v>
      </c>
      <c r="IU45" t="e">
        <f>AND('boilerplate specs'!#REF!,"AAAAAH/u9/4=")</f>
        <v>#REF!</v>
      </c>
      <c r="IV45" t="e">
        <f>AND('boilerplate specs'!#REF!,"AAAAAH/u9/8=")</f>
        <v>#REF!</v>
      </c>
    </row>
    <row r="46" spans="1:256" x14ac:dyDescent="0.35">
      <c r="A46" t="e">
        <f>AND('boilerplate specs'!#REF!,"AAAAAHO71gA=")</f>
        <v>#REF!</v>
      </c>
      <c r="B46" t="e">
        <f>AND('boilerplate specs'!#REF!,"AAAAAHO71gE=")</f>
        <v>#REF!</v>
      </c>
      <c r="C46" t="e">
        <f>AND('boilerplate specs'!#REF!,"AAAAAHO71gI=")</f>
        <v>#REF!</v>
      </c>
      <c r="D46" t="e">
        <f>AND('boilerplate specs'!#REF!,"AAAAAHO71gM=")</f>
        <v>#REF!</v>
      </c>
      <c r="E46" t="e">
        <f>AND('boilerplate specs'!#REF!,"AAAAAHO71gQ=")</f>
        <v>#REF!</v>
      </c>
      <c r="F46" t="e">
        <f>AND('boilerplate specs'!#REF!,"AAAAAHO71gU=")</f>
        <v>#REF!</v>
      </c>
      <c r="G46" t="e">
        <f>AND('boilerplate specs'!#REF!,"AAAAAHO71gY=")</f>
        <v>#REF!</v>
      </c>
      <c r="H46" t="e">
        <f>AND('boilerplate specs'!#REF!,"AAAAAHO71gc=")</f>
        <v>#REF!</v>
      </c>
      <c r="I46" t="e">
        <f>AND('boilerplate specs'!#REF!,"AAAAAHO71gg=")</f>
        <v>#REF!</v>
      </c>
      <c r="J46" t="e">
        <f>AND('boilerplate specs'!#REF!,"AAAAAHO71gk=")</f>
        <v>#REF!</v>
      </c>
      <c r="K46">
        <f>IF('boilerplate specs'!289:289,"AAAAAHO71go=",0)</f>
        <v>0</v>
      </c>
      <c r="L46">
        <f>IF('boilerplate specs'!290:290,"AAAAAHO71gs=",0)</f>
        <v>0</v>
      </c>
      <c r="M46">
        <f>IF('boilerplate specs'!291:291,"AAAAAHO71gw=",0)</f>
        <v>0</v>
      </c>
      <c r="N46">
        <f>IF('boilerplate specs'!292:292,"AAAAAHO71g0=",0)</f>
        <v>0</v>
      </c>
      <c r="O46">
        <f>IF('boilerplate specs'!293:293,"AAAAAHO71g4=",0)</f>
        <v>0</v>
      </c>
      <c r="P46">
        <f>IF('boilerplate specs'!294:294,"AAAAAHO71g8=",0)</f>
        <v>0</v>
      </c>
      <c r="Q46">
        <f>IF('boilerplate specs'!295:295,"AAAAAHO71hA=",0)</f>
        <v>0</v>
      </c>
      <c r="R46">
        <f>IF('boilerplate specs'!296:296,"AAAAAHO71hE=",0)</f>
        <v>0</v>
      </c>
      <c r="S46">
        <f>IF('boilerplate specs'!297:297,"AAAAAHO71hI=",0)</f>
        <v>0</v>
      </c>
      <c r="T46">
        <f>IF('boilerplate specs'!298:298,"AAAAAHO71hM=",0)</f>
        <v>0</v>
      </c>
      <c r="U46">
        <f>IF('boilerplate specs'!299:299,"AAAAAHO71hQ=",0)</f>
        <v>0</v>
      </c>
      <c r="V46">
        <f>IF('boilerplate specs'!300:300,"AAAAAHO71hU=",0)</f>
        <v>0</v>
      </c>
      <c r="W46">
        <f>IF('boilerplate specs'!301:301,"AAAAAHO71hY=",0)</f>
        <v>0</v>
      </c>
      <c r="X46">
        <f>IF('boilerplate specs'!302:302,"AAAAAHO71hc=",0)</f>
        <v>0</v>
      </c>
      <c r="Y46">
        <f>IF('boilerplate specs'!303:303,"AAAAAHO71hg=",0)</f>
        <v>0</v>
      </c>
      <c r="Z46">
        <f>IF('boilerplate specs'!304:304,"AAAAAHO71hk=",0)</f>
        <v>0</v>
      </c>
      <c r="AA46">
        <f>IF('boilerplate specs'!305:305,"AAAAAHO71ho=",0)</f>
        <v>0</v>
      </c>
      <c r="AB46">
        <f>IF('boilerplate specs'!306:306,"AAAAAHO71hs=",0)</f>
        <v>0</v>
      </c>
      <c r="AC46">
        <f>IF('boilerplate specs'!307:307,"AAAAAHO71hw=",0)</f>
        <v>0</v>
      </c>
      <c r="AD46">
        <f>IF('boilerplate specs'!308:308,"AAAAAHO71h0=",0)</f>
        <v>0</v>
      </c>
      <c r="AE46">
        <f>IF('boilerplate specs'!309:309,"AAAAAHO71h4=",0)</f>
        <v>0</v>
      </c>
      <c r="AF46">
        <f>IF('boilerplate specs'!310:310,"AAAAAHO71h8=",0)</f>
        <v>0</v>
      </c>
      <c r="AG46">
        <f>IF('boilerplate specs'!311:311,"AAAAAHO71iA=",0)</f>
        <v>0</v>
      </c>
      <c r="AH46">
        <f>IF('boilerplate specs'!312:312,"AAAAAHO71iE=",0)</f>
        <v>0</v>
      </c>
      <c r="AI46">
        <f>IF('boilerplate specs'!313:313,"AAAAAHO71iI=",0)</f>
        <v>0</v>
      </c>
      <c r="AJ46">
        <f>IF('boilerplate specs'!314:314,"AAAAAHO71iM=",0)</f>
        <v>0</v>
      </c>
      <c r="AK46">
        <f>IF('boilerplate specs'!315:315,"AAAAAHO71iQ=",0)</f>
        <v>0</v>
      </c>
      <c r="AL46">
        <f>IF('boilerplate specs'!316:316,"AAAAAHO71iU=",0)</f>
        <v>0</v>
      </c>
      <c r="AM46">
        <f>IF('boilerplate specs'!317:317,"AAAAAHO71iY=",0)</f>
        <v>0</v>
      </c>
      <c r="AN46">
        <f>IF('boilerplate specs'!318:318,"AAAAAHO71ic=",0)</f>
        <v>0</v>
      </c>
      <c r="AO46">
        <f>IF('boilerplate specs'!319:319,"AAAAAHO71ig=",0)</f>
        <v>0</v>
      </c>
      <c r="AP46">
        <f>IF('boilerplate specs'!320:320,"AAAAAHO71ik=",0)</f>
        <v>0</v>
      </c>
      <c r="AQ46">
        <f>IF('boilerplate specs'!321:321,"AAAAAHO71io=",0)</f>
        <v>0</v>
      </c>
      <c r="AR46">
        <f>IF('boilerplate specs'!322:322,"AAAAAHO71is=",0)</f>
        <v>0</v>
      </c>
      <c r="AS46">
        <f>IF('boilerplate specs'!323:323,"AAAAAHO71iw=",0)</f>
        <v>0</v>
      </c>
      <c r="AT46">
        <f>IF('boilerplate specs'!324:324,"AAAAAHO71i0=",0)</f>
        <v>0</v>
      </c>
      <c r="AU46">
        <f>IF('boilerplate specs'!325:325,"AAAAAHO71i4=",0)</f>
        <v>0</v>
      </c>
      <c r="AV46">
        <f>IF('boilerplate specs'!326:326,"AAAAAHO71i8=",0)</f>
        <v>0</v>
      </c>
      <c r="AW46">
        <f>IF('boilerplate specs'!327:327,"AAAAAHO71jA=",0)</f>
        <v>0</v>
      </c>
      <c r="AX46">
        <f>IF('boilerplate specs'!328:328,"AAAAAHO71jE=",0)</f>
        <v>0</v>
      </c>
      <c r="AY46">
        <f>IF('boilerplate specs'!329:329,"AAAAAHO71jI=",0)</f>
        <v>0</v>
      </c>
      <c r="AZ46">
        <f>IF('boilerplate specs'!330:330,"AAAAAHO71jM=",0)</f>
        <v>0</v>
      </c>
      <c r="BA46">
        <f>IF('boilerplate specs'!331:331,"AAAAAHO71jQ=",0)</f>
        <v>0</v>
      </c>
      <c r="BB46">
        <f>IF('boilerplate specs'!332:332,"AAAAAHO71jU=",0)</f>
        <v>0</v>
      </c>
      <c r="BC46">
        <f>IF('boilerplate specs'!333:333,"AAAAAHO71jY=",0)</f>
        <v>0</v>
      </c>
      <c r="BD46">
        <f>IF('boilerplate specs'!334:334,"AAAAAHO71jc=",0)</f>
        <v>0</v>
      </c>
      <c r="BE46">
        <f>IF('boilerplate specs'!335:335,"AAAAAHO71jg=",0)</f>
        <v>0</v>
      </c>
      <c r="BF46">
        <f>IF('boilerplate specs'!336:336,"AAAAAHO71jk=",0)</f>
        <v>0</v>
      </c>
      <c r="BG46">
        <f>IF('boilerplate specs'!337:337,"AAAAAHO71jo=",0)</f>
        <v>0</v>
      </c>
      <c r="BH46">
        <f>IF('boilerplate specs'!338:338,"AAAAAHO71js=",0)</f>
        <v>0</v>
      </c>
      <c r="BI46">
        <f>IF('boilerplate specs'!339:339,"AAAAAHO71jw=",0)</f>
        <v>0</v>
      </c>
      <c r="BJ46">
        <f>IF('boilerplate specs'!340:340,"AAAAAHO71j0=",0)</f>
        <v>0</v>
      </c>
      <c r="BK46">
        <f>IF('boilerplate specs'!341:341,"AAAAAHO71j4=",0)</f>
        <v>0</v>
      </c>
      <c r="BL46">
        <f>IF('boilerplate specs'!342:342,"AAAAAHO71j8=",0)</f>
        <v>0</v>
      </c>
      <c r="BM46">
        <f>IF('boilerplate specs'!343:343,"AAAAAHO71kA=",0)</f>
        <v>0</v>
      </c>
      <c r="BN46">
        <f>IF('boilerplate specs'!344:344,"AAAAAHO71kE=",0)</f>
        <v>0</v>
      </c>
      <c r="BO46">
        <f>IF('boilerplate specs'!345:345,"AAAAAHO71kI=",0)</f>
        <v>0</v>
      </c>
      <c r="BP46">
        <f>IF('boilerplate specs'!346:346,"AAAAAHO71kM=",0)</f>
        <v>0</v>
      </c>
      <c r="BQ46">
        <f>IF('boilerplate specs'!347:347,"AAAAAHO71kQ=",0)</f>
        <v>0</v>
      </c>
      <c r="BR46">
        <f>IF('boilerplate specs'!348:348,"AAAAAHO71kU=",0)</f>
        <v>0</v>
      </c>
      <c r="BS46">
        <f>IF('boilerplate specs'!349:349,"AAAAAHO71kY=",0)</f>
        <v>0</v>
      </c>
      <c r="BT46">
        <f>IF('boilerplate specs'!350:350,"AAAAAHO71kc=",0)</f>
        <v>0</v>
      </c>
      <c r="BU46">
        <f>IF('boilerplate specs'!351:351,"AAAAAHO71kg=",0)</f>
        <v>0</v>
      </c>
      <c r="BV46">
        <f>IF('boilerplate specs'!352:352,"AAAAAHO71kk=",0)</f>
        <v>0</v>
      </c>
      <c r="BW46">
        <f>IF('boilerplate specs'!353:353,"AAAAAHO71ko=",0)</f>
        <v>0</v>
      </c>
      <c r="BX46">
        <f>IF('boilerplate specs'!354:354,"AAAAAHO71ks=",0)</f>
        <v>0</v>
      </c>
      <c r="BY46">
        <f>IF('boilerplate specs'!355:355,"AAAAAHO71kw=",0)</f>
        <v>0</v>
      </c>
      <c r="BZ46">
        <f>IF('boilerplate specs'!356:356,"AAAAAHO71k0=",0)</f>
        <v>0</v>
      </c>
      <c r="CA46">
        <f>IF('boilerplate specs'!357:357,"AAAAAHO71k4=",0)</f>
        <v>0</v>
      </c>
      <c r="CB46">
        <f>IF('boilerplate specs'!358:358,"AAAAAHO71k8=",0)</f>
        <v>0</v>
      </c>
      <c r="CC46">
        <f>IF('boilerplate specs'!359:359,"AAAAAHO71lA=",0)</f>
        <v>0</v>
      </c>
      <c r="CD46">
        <f>IF('boilerplate specs'!360:360,"AAAAAHO71lE=",0)</f>
        <v>0</v>
      </c>
      <c r="CE46">
        <f>IF('boilerplate specs'!361:361,"AAAAAHO71lI=",0)</f>
        <v>0</v>
      </c>
      <c r="CF46">
        <f>IF('boilerplate specs'!362:362,"AAAAAHO71lM=",0)</f>
        <v>0</v>
      </c>
      <c r="CG46">
        <f>IF('boilerplate specs'!363:363,"AAAAAHO71lQ=",0)</f>
        <v>0</v>
      </c>
      <c r="CH46">
        <f>IF('boilerplate specs'!364:364,"AAAAAHO71lU=",0)</f>
        <v>0</v>
      </c>
      <c r="CI46">
        <f>IF('boilerplate specs'!365:365,"AAAAAHO71lY=",0)</f>
        <v>0</v>
      </c>
      <c r="CJ46">
        <f>IF('boilerplate specs'!366:366,"AAAAAHO71lc=",0)</f>
        <v>0</v>
      </c>
      <c r="CK46">
        <f>IF('boilerplate specs'!367:367,"AAAAAHO71lg=",0)</f>
        <v>0</v>
      </c>
      <c r="CL46">
        <f>IF('boilerplate specs'!368:368,"AAAAAHO71lk=",0)</f>
        <v>0</v>
      </c>
      <c r="CM46">
        <f>IF('boilerplate specs'!369:369,"AAAAAHO71lo=",0)</f>
        <v>0</v>
      </c>
      <c r="CN46">
        <f>IF('boilerplate specs'!370:370,"AAAAAHO71ls=",0)</f>
        <v>0</v>
      </c>
      <c r="CO46">
        <f>IF('boilerplate specs'!371:371,"AAAAAHO71lw=",0)</f>
        <v>0</v>
      </c>
      <c r="CP46">
        <f>IF('boilerplate specs'!372:372,"AAAAAHO71l0=",0)</f>
        <v>0</v>
      </c>
      <c r="CQ46">
        <f>IF('boilerplate specs'!373:373,"AAAAAHO71l4=",0)</f>
        <v>0</v>
      </c>
      <c r="CR46">
        <f>IF('boilerplate specs'!374:374,"AAAAAHO71l8=",0)</f>
        <v>0</v>
      </c>
      <c r="CS46">
        <f>IF('boilerplate specs'!375:375,"AAAAAHO71mA=",0)</f>
        <v>0</v>
      </c>
      <c r="CT46">
        <f>IF('boilerplate specs'!376:376,"AAAAAHO71mE=",0)</f>
        <v>0</v>
      </c>
      <c r="CU46">
        <f>IF('boilerplate specs'!377:377,"AAAAAHO71mI=",0)</f>
        <v>0</v>
      </c>
      <c r="CV46">
        <f>IF('boilerplate specs'!378:378,"AAAAAHO71mM=",0)</f>
        <v>0</v>
      </c>
      <c r="CW46">
        <f>IF('boilerplate specs'!379:379,"AAAAAHO71mQ=",0)</f>
        <v>0</v>
      </c>
      <c r="CX46">
        <f>IF('boilerplate specs'!380:380,"AAAAAHO71mU=",0)</f>
        <v>0</v>
      </c>
      <c r="CY46">
        <f>IF('boilerplate specs'!381:381,"AAAAAHO71mY=",0)</f>
        <v>0</v>
      </c>
      <c r="CZ46">
        <f>IF('boilerplate specs'!382:382,"AAAAAHO71mc=",0)</f>
        <v>0</v>
      </c>
      <c r="DA46">
        <f>IF('boilerplate specs'!383:383,"AAAAAHO71mg=",0)</f>
        <v>0</v>
      </c>
      <c r="DB46">
        <f>IF('boilerplate specs'!384:384,"AAAAAHO71mk=",0)</f>
        <v>0</v>
      </c>
      <c r="DC46">
        <f>IF('boilerplate specs'!385:385,"AAAAAHO71mo=",0)</f>
        <v>0</v>
      </c>
      <c r="DD46">
        <f>IF('boilerplate specs'!386:386,"AAAAAHO71ms=",0)</f>
        <v>0</v>
      </c>
      <c r="DE46">
        <f>IF('boilerplate specs'!387:387,"AAAAAHO71mw=",0)</f>
        <v>0</v>
      </c>
      <c r="DF46">
        <f>IF('boilerplate specs'!388:388,"AAAAAHO71m0=",0)</f>
        <v>0</v>
      </c>
      <c r="DG46">
        <f>IF('boilerplate specs'!389:389,"AAAAAHO71m4=",0)</f>
        <v>0</v>
      </c>
      <c r="DH46">
        <f>IF('boilerplate specs'!390:390,"AAAAAHO71m8=",0)</f>
        <v>0</v>
      </c>
      <c r="DI46">
        <f>IF('boilerplate specs'!391:391,"AAAAAHO71nA=",0)</f>
        <v>0</v>
      </c>
      <c r="DJ46">
        <f>IF('boilerplate specs'!392:392,"AAAAAHO71nE=",0)</f>
        <v>0</v>
      </c>
      <c r="DK46">
        <f>IF('boilerplate specs'!393:393,"AAAAAHO71nI=",0)</f>
        <v>0</v>
      </c>
      <c r="DL46">
        <f>IF('boilerplate specs'!394:394,"AAAAAHO71nM=",0)</f>
        <v>0</v>
      </c>
      <c r="DM46">
        <f>IF('boilerplate specs'!395:395,"AAAAAHO71nQ=",0)</f>
        <v>0</v>
      </c>
      <c r="DN46">
        <f>IF('boilerplate specs'!396:396,"AAAAAHO71nU=",0)</f>
        <v>0</v>
      </c>
      <c r="DO46">
        <f>IF('boilerplate specs'!397:397,"AAAAAHO71nY=",0)</f>
        <v>0</v>
      </c>
      <c r="DP46">
        <f>IF('boilerplate specs'!398:398,"AAAAAHO71nc=",0)</f>
        <v>0</v>
      </c>
      <c r="DQ46">
        <f>IF('boilerplate specs'!399:399,"AAAAAHO71ng=",0)</f>
        <v>0</v>
      </c>
      <c r="DR46">
        <f>IF('boilerplate specs'!400:400,"AAAAAHO71nk=",0)</f>
        <v>0</v>
      </c>
      <c r="DS46">
        <f>IF('boilerplate specs'!401:401,"AAAAAHO71no=",0)</f>
        <v>0</v>
      </c>
      <c r="DT46">
        <f>IF('boilerplate specs'!402:402,"AAAAAHO71ns=",0)</f>
        <v>0</v>
      </c>
      <c r="DU46">
        <f>IF('boilerplate specs'!403:403,"AAAAAHO71nw=",0)</f>
        <v>0</v>
      </c>
      <c r="DV46">
        <f>IF('boilerplate specs'!404:404,"AAAAAHO71n0=",0)</f>
        <v>0</v>
      </c>
      <c r="DW46">
        <f>IF('boilerplate specs'!405:405,"AAAAAHO71n4=",0)</f>
        <v>0</v>
      </c>
      <c r="DX46">
        <f>IF('boilerplate specs'!406:406,"AAAAAHO71n8=",0)</f>
        <v>0</v>
      </c>
      <c r="DY46">
        <f>IF('boilerplate specs'!407:407,"AAAAAHO71oA=",0)</f>
        <v>0</v>
      </c>
      <c r="DZ46">
        <f>IF('boilerplate specs'!408:408,"AAAAAHO71oE=",0)</f>
        <v>0</v>
      </c>
      <c r="EA46">
        <f>IF('boilerplate specs'!409:409,"AAAAAHO71oI=",0)</f>
        <v>0</v>
      </c>
      <c r="EB46">
        <f>IF('boilerplate specs'!410:410,"AAAAAHO71oM=",0)</f>
        <v>0</v>
      </c>
      <c r="EC46">
        <f>IF('boilerplate specs'!411:411,"AAAAAHO71oQ=",0)</f>
        <v>0</v>
      </c>
      <c r="ED46">
        <f>IF('boilerplate specs'!412:412,"AAAAAHO71oU=",0)</f>
        <v>0</v>
      </c>
      <c r="EE46">
        <f>IF('boilerplate specs'!413:413,"AAAAAHO71oY=",0)</f>
        <v>0</v>
      </c>
      <c r="EF46" t="e">
        <f>IF('boilerplate specs'!A:A,"AAAAAHO71oc=",0)</f>
        <v>#VALUE!</v>
      </c>
      <c r="EG46" t="e">
        <f ca="1">IF('boilerplate specs'!B:B,"AAAAAHO71og=",0)</f>
        <v>#VALUE!</v>
      </c>
      <c r="EH46">
        <f>IF('boilerplate specs'!C:C,"AAAAAHO71ok=",0)</f>
        <v>0</v>
      </c>
      <c r="EI46" t="e">
        <f>IF('boilerplate specs'!D:D,"AAAAAHO71oo=",0)</f>
        <v>#VALUE!</v>
      </c>
      <c r="EJ46">
        <f>IF('boilerplate specs'!E:E,"AAAAAHO71os=",0)</f>
        <v>0</v>
      </c>
      <c r="EK46">
        <f>IF('boilerplate specs'!F:F,"AAAAAHO71ow=",0)</f>
        <v>0</v>
      </c>
      <c r="EL46">
        <f>IF('boilerplate specs'!G:G,"AAAAAHO71o0=",0)</f>
        <v>0</v>
      </c>
      <c r="EM46" t="e">
        <f>IF('boilerplate specs'!H:H,"AAAAAHO71o4=",0)</f>
        <v>#VALUE!</v>
      </c>
      <c r="EN46">
        <f>IF('boilerplate specs'!I:I,"AAAAAHO71o8=",0)</f>
        <v>0</v>
      </c>
      <c r="EO46" t="e">
        <f>IF('boilerplate specs'!J:J,"AAAAAHO71pA=",0)</f>
        <v>#VALUE!</v>
      </c>
      <c r="EP46" t="e">
        <f>IF('boilerplate specs'!#REF!,"AAAAAHO71pE=",0)</f>
        <v>#REF!</v>
      </c>
      <c r="EQ46" t="e">
        <f>IF('boilerplate specs'!#REF!,"AAAAAHO71pI=",0)</f>
        <v>#REF!</v>
      </c>
      <c r="ER46" t="e">
        <f>IF('boilerplate specs'!#REF!,"AAAAAHO71pM=",0)</f>
        <v>#REF!</v>
      </c>
      <c r="ES46" t="e">
        <f>IF('boilerplate specs'!#REF!,"AAAAAHO71pQ=",0)</f>
        <v>#REF!</v>
      </c>
      <c r="ET46" t="e">
        <f>IF('boilerplate specs'!#REF!,"AAAAAHO71pU=",0)</f>
        <v>#REF!</v>
      </c>
      <c r="EU46" t="e">
        <f>IF('boilerplate specs'!#REF!,"AAAAAHO71pY=",0)</f>
        <v>#REF!</v>
      </c>
      <c r="EV46" t="e">
        <f>IF('boilerplate specs'!#REF!,"AAAAAHO71pc=",0)</f>
        <v>#REF!</v>
      </c>
      <c r="EW46" t="e">
        <f>IF('boilerplate specs'!#REF!,"AAAAAHO71pg=",0)</f>
        <v>#REF!</v>
      </c>
      <c r="EX46" t="e">
        <f>IF('boilerplate specs'!#REF!,"AAAAAHO71pk=",0)</f>
        <v>#REF!</v>
      </c>
      <c r="EY46" t="e">
        <f>IF('boilerplate specs'!#REF!,"AAAAAHO71po=",0)</f>
        <v>#REF!</v>
      </c>
      <c r="EZ46" t="e">
        <f>IF('boilerplate specs'!#REF!,"AAAAAHO71ps=",0)</f>
        <v>#REF!</v>
      </c>
      <c r="FA46" t="e">
        <f>IF('boilerplate specs'!#REF!,"AAAAAHO71pw=",0)</f>
        <v>#REF!</v>
      </c>
      <c r="FB46" t="e">
        <f>IF('boilerplate specs'!#REF!,"AAAAAHO71p0=",0)</f>
        <v>#REF!</v>
      </c>
      <c r="FC46" t="e">
        <f>IF('boilerplate specs'!#REF!,"AAAAAHO71p4=",0)</f>
        <v>#REF!</v>
      </c>
      <c r="FD46" t="e">
        <f>IF('boilerplate specs'!#REF!,"AAAAAHO71p8=",0)</f>
        <v>#REF!</v>
      </c>
      <c r="FE46" t="e">
        <f>IF('boilerplate specs'!#REF!,"AAAAAHO71qA=",0)</f>
        <v>#REF!</v>
      </c>
      <c r="FF46" t="e">
        <f>IF('boilerplate specs'!#REF!,"AAAAAHO71qE=",0)</f>
        <v>#REF!</v>
      </c>
      <c r="FG46" t="e">
        <f>IF('boilerplate specs'!#REF!,"AAAAAHO71qI=",0)</f>
        <v>#REF!</v>
      </c>
      <c r="FH46" t="e">
        <f>IF('boilerplate specs'!#REF!,"AAAAAHO71qM=",0)</f>
        <v>#REF!</v>
      </c>
      <c r="FI46" t="e">
        <f>IF('boilerplate specs'!#REF!,"AAAAAHO71qQ=",0)</f>
        <v>#REF!</v>
      </c>
      <c r="FJ46" t="e">
        <f>IF('boilerplate specs'!#REF!,"AAAAAHO71qU=",0)</f>
        <v>#REF!</v>
      </c>
      <c r="FK46" t="e">
        <f>IF('boilerplate specs'!#REF!,"AAAAAHO71qY=",0)</f>
        <v>#REF!</v>
      </c>
      <c r="FL46" t="e">
        <f>IF(#REF!,"AAAAAHO71qc=",0)</f>
        <v>#REF!</v>
      </c>
      <c r="FM46" t="e">
        <f>AND(#REF!,"AAAAAHO71qg=")</f>
        <v>#REF!</v>
      </c>
      <c r="FN46" t="e">
        <f>AND(#REF!,"AAAAAHO71qk=")</f>
        <v>#REF!</v>
      </c>
      <c r="FO46" t="e">
        <f>AND(#REF!,"AAAAAHO71qo=")</f>
        <v>#REF!</v>
      </c>
      <c r="FP46" t="e">
        <f>AND(#REF!,"AAAAAHO71qs=")</f>
        <v>#REF!</v>
      </c>
      <c r="FQ46" t="e">
        <f>AND(#REF!,"AAAAAHO71qw=")</f>
        <v>#REF!</v>
      </c>
      <c r="FR46" t="e">
        <f>AND(#REF!,"AAAAAHO71q0=")</f>
        <v>#REF!</v>
      </c>
      <c r="FS46" t="e">
        <f>AND(#REF!,"AAAAAHO71q4=")</f>
        <v>#REF!</v>
      </c>
      <c r="FT46" t="e">
        <f>AND(#REF!,"AAAAAHO71q8=")</f>
        <v>#REF!</v>
      </c>
      <c r="FU46" t="e">
        <f>AND(#REF!,"AAAAAHO71rA=")</f>
        <v>#REF!</v>
      </c>
      <c r="FV46" t="e">
        <f>AND(#REF!,"AAAAAHO71rE=")</f>
        <v>#REF!</v>
      </c>
      <c r="FW46" t="e">
        <f>AND(#REF!,"AAAAAHO71rI=")</f>
        <v>#REF!</v>
      </c>
      <c r="FX46" t="e">
        <f>AND(#REF!,"AAAAAHO71rM=")</f>
        <v>#REF!</v>
      </c>
      <c r="FY46" t="e">
        <f>AND(#REF!,"AAAAAHO71rQ=")</f>
        <v>#REF!</v>
      </c>
      <c r="FZ46" t="e">
        <f>AND(#REF!,"AAAAAHO71rU=")</f>
        <v>#REF!</v>
      </c>
      <c r="GA46" t="e">
        <f>AND(#REF!,"AAAAAHO71rY=")</f>
        <v>#REF!</v>
      </c>
      <c r="GB46" t="e">
        <f>AND(#REF!,"AAAAAHO71rc=")</f>
        <v>#REF!</v>
      </c>
      <c r="GC46" t="e">
        <f>AND(#REF!,"AAAAAHO71rg=")</f>
        <v>#REF!</v>
      </c>
      <c r="GD46" t="e">
        <f>AND(#REF!,"AAAAAHO71rk=")</f>
        <v>#REF!</v>
      </c>
      <c r="GE46" t="e">
        <f>AND(#REF!,"AAAAAHO71ro=")</f>
        <v>#REF!</v>
      </c>
      <c r="GF46" t="e">
        <f>AND(#REF!,"AAAAAHO71rs=")</f>
        <v>#REF!</v>
      </c>
      <c r="GG46" t="e">
        <f>AND(#REF!,"AAAAAHO71rw=")</f>
        <v>#REF!</v>
      </c>
      <c r="GH46" t="e">
        <f>AND(#REF!,"AAAAAHO71r0=")</f>
        <v>#REF!</v>
      </c>
      <c r="GI46" t="e">
        <f>IF(#REF!,"AAAAAHO71r4=",0)</f>
        <v>#REF!</v>
      </c>
      <c r="GJ46" t="e">
        <f>AND(#REF!,"AAAAAHO71r8=")</f>
        <v>#REF!</v>
      </c>
      <c r="GK46" t="e">
        <f>AND(#REF!,"AAAAAHO71sA=")</f>
        <v>#REF!</v>
      </c>
      <c r="GL46" t="e">
        <f>AND(#REF!,"AAAAAHO71sE=")</f>
        <v>#REF!</v>
      </c>
      <c r="GM46" t="e">
        <f>AND(#REF!,"AAAAAHO71sI=")</f>
        <v>#REF!</v>
      </c>
      <c r="GN46" t="e">
        <f>AND(#REF!,"AAAAAHO71sM=")</f>
        <v>#REF!</v>
      </c>
      <c r="GO46" t="e">
        <f>AND(#REF!,"AAAAAHO71sQ=")</f>
        <v>#REF!</v>
      </c>
      <c r="GP46" t="e">
        <f>AND(#REF!,"AAAAAHO71sU=")</f>
        <v>#REF!</v>
      </c>
      <c r="GQ46" t="e">
        <f>AND(#REF!,"AAAAAHO71sY=")</f>
        <v>#REF!</v>
      </c>
      <c r="GR46" t="e">
        <f>AND(#REF!,"AAAAAHO71sc=")</f>
        <v>#REF!</v>
      </c>
      <c r="GS46" t="e">
        <f>AND(#REF!,"AAAAAHO71sg=")</f>
        <v>#REF!</v>
      </c>
      <c r="GT46" t="e">
        <f>AND(#REF!,"AAAAAHO71sk=")</f>
        <v>#REF!</v>
      </c>
      <c r="GU46" t="e">
        <f>AND(#REF!,"AAAAAHO71so=")</f>
        <v>#REF!</v>
      </c>
      <c r="GV46" t="e">
        <f>AND(#REF!,"AAAAAHO71ss=")</f>
        <v>#REF!</v>
      </c>
      <c r="GW46" t="e">
        <f>AND(#REF!,"AAAAAHO71sw=")</f>
        <v>#REF!</v>
      </c>
      <c r="GX46" t="e">
        <f>AND(#REF!,"AAAAAHO71s0=")</f>
        <v>#REF!</v>
      </c>
      <c r="GY46" t="e">
        <f>AND(#REF!,"AAAAAHO71s4=")</f>
        <v>#REF!</v>
      </c>
      <c r="GZ46" t="e">
        <f>AND(#REF!,"AAAAAHO71s8=")</f>
        <v>#REF!</v>
      </c>
      <c r="HA46" t="e">
        <f>AND(#REF!,"AAAAAHO71tA=")</f>
        <v>#REF!</v>
      </c>
      <c r="HB46" t="e">
        <f>AND(#REF!,"AAAAAHO71tE=")</f>
        <v>#REF!</v>
      </c>
      <c r="HC46" t="e">
        <f>AND(#REF!,"AAAAAHO71tI=")</f>
        <v>#REF!</v>
      </c>
      <c r="HD46" t="e">
        <f>AND(#REF!,"AAAAAHO71tM=")</f>
        <v>#REF!</v>
      </c>
      <c r="HE46" t="e">
        <f>AND(#REF!,"AAAAAHO71tQ=")</f>
        <v>#REF!</v>
      </c>
      <c r="HF46" t="e">
        <f>IF(#REF!,"AAAAAHO71tU=",0)</f>
        <v>#REF!</v>
      </c>
      <c r="HG46" t="e">
        <f>AND(#REF!,"AAAAAHO71tY=")</f>
        <v>#REF!</v>
      </c>
      <c r="HH46" t="e">
        <f>AND(#REF!,"AAAAAHO71tc=")</f>
        <v>#REF!</v>
      </c>
      <c r="HI46" t="e">
        <f>AND(#REF!,"AAAAAHO71tg=")</f>
        <v>#REF!</v>
      </c>
      <c r="HJ46" t="e">
        <f>AND(#REF!,"AAAAAHO71tk=")</f>
        <v>#REF!</v>
      </c>
      <c r="HK46" t="e">
        <f>AND(#REF!,"AAAAAHO71to=")</f>
        <v>#REF!</v>
      </c>
      <c r="HL46" t="e">
        <f>AND(#REF!,"AAAAAHO71ts=")</f>
        <v>#REF!</v>
      </c>
      <c r="HM46" t="e">
        <f>AND(#REF!,"AAAAAHO71tw=")</f>
        <v>#REF!</v>
      </c>
      <c r="HN46" t="e">
        <f>AND(#REF!,"AAAAAHO71t0=")</f>
        <v>#REF!</v>
      </c>
      <c r="HO46" t="e">
        <f>AND(#REF!,"AAAAAHO71t4=")</f>
        <v>#REF!</v>
      </c>
      <c r="HP46" t="e">
        <f>AND(#REF!,"AAAAAHO71t8=")</f>
        <v>#REF!</v>
      </c>
      <c r="HQ46" t="e">
        <f>AND(#REF!,"AAAAAHO71uA=")</f>
        <v>#REF!</v>
      </c>
      <c r="HR46" t="e">
        <f>AND(#REF!,"AAAAAHO71uE=")</f>
        <v>#REF!</v>
      </c>
      <c r="HS46" t="e">
        <f>AND(#REF!,"AAAAAHO71uI=")</f>
        <v>#REF!</v>
      </c>
      <c r="HT46" t="e">
        <f>AND(#REF!,"AAAAAHO71uM=")</f>
        <v>#REF!</v>
      </c>
      <c r="HU46" t="e">
        <f>AND(#REF!,"AAAAAHO71uQ=")</f>
        <v>#REF!</v>
      </c>
      <c r="HV46" t="e">
        <f>AND(#REF!,"AAAAAHO71uU=")</f>
        <v>#REF!</v>
      </c>
      <c r="HW46" t="e">
        <f>AND(#REF!,"AAAAAHO71uY=")</f>
        <v>#REF!</v>
      </c>
      <c r="HX46" t="e">
        <f>AND(#REF!,"AAAAAHO71uc=")</f>
        <v>#REF!</v>
      </c>
      <c r="HY46" t="e">
        <f>AND(#REF!,"AAAAAHO71ug=")</f>
        <v>#REF!</v>
      </c>
      <c r="HZ46" t="e">
        <f>AND(#REF!,"AAAAAHO71uk=")</f>
        <v>#REF!</v>
      </c>
      <c r="IA46" t="e">
        <f>AND(#REF!,"AAAAAHO71uo=")</f>
        <v>#REF!</v>
      </c>
      <c r="IB46" t="e">
        <f>AND(#REF!,"AAAAAHO71us=")</f>
        <v>#REF!</v>
      </c>
      <c r="IC46" t="e">
        <f>IF(#REF!,"AAAAAHO71uw=",0)</f>
        <v>#REF!</v>
      </c>
      <c r="ID46" t="e">
        <f>AND(#REF!,"AAAAAHO71u0=")</f>
        <v>#REF!</v>
      </c>
      <c r="IE46" t="e">
        <f>AND(#REF!,"AAAAAHO71u4=")</f>
        <v>#REF!</v>
      </c>
      <c r="IF46" t="e">
        <f>AND(#REF!,"AAAAAHO71u8=")</f>
        <v>#REF!</v>
      </c>
      <c r="IG46" t="e">
        <f>AND(#REF!,"AAAAAHO71vA=")</f>
        <v>#REF!</v>
      </c>
      <c r="IH46" t="e">
        <f>AND(#REF!,"AAAAAHO71vE=")</f>
        <v>#REF!</v>
      </c>
      <c r="II46" t="e">
        <f>AND(#REF!,"AAAAAHO71vI=")</f>
        <v>#REF!</v>
      </c>
      <c r="IJ46" t="e">
        <f>AND(#REF!,"AAAAAHO71vM=")</f>
        <v>#REF!</v>
      </c>
      <c r="IK46" t="e">
        <f>AND(#REF!,"AAAAAHO71vQ=")</f>
        <v>#REF!</v>
      </c>
      <c r="IL46" t="e">
        <f>AND(#REF!,"AAAAAHO71vU=")</f>
        <v>#REF!</v>
      </c>
      <c r="IM46" t="e">
        <f>AND(#REF!,"AAAAAHO71vY=")</f>
        <v>#REF!</v>
      </c>
      <c r="IN46" t="e">
        <f>AND(#REF!,"AAAAAHO71vc=")</f>
        <v>#REF!</v>
      </c>
      <c r="IO46" t="e">
        <f>AND(#REF!,"AAAAAHO71vg=")</f>
        <v>#REF!</v>
      </c>
      <c r="IP46" t="e">
        <f>AND(#REF!,"AAAAAHO71vk=")</f>
        <v>#REF!</v>
      </c>
      <c r="IQ46" t="e">
        <f>AND(#REF!,"AAAAAHO71vo=")</f>
        <v>#REF!</v>
      </c>
      <c r="IR46" t="e">
        <f>AND(#REF!,"AAAAAHO71vs=")</f>
        <v>#REF!</v>
      </c>
      <c r="IS46" t="e">
        <f>AND(#REF!,"AAAAAHO71vw=")</f>
        <v>#REF!</v>
      </c>
      <c r="IT46" t="e">
        <f>AND(#REF!,"AAAAAHO71v0=")</f>
        <v>#REF!</v>
      </c>
      <c r="IU46" t="e">
        <f>AND(#REF!,"AAAAAHO71v4=")</f>
        <v>#REF!</v>
      </c>
      <c r="IV46" t="e">
        <f>AND(#REF!,"AAAAAHO71v8=")</f>
        <v>#REF!</v>
      </c>
    </row>
    <row r="47" spans="1:256" x14ac:dyDescent="0.35">
      <c r="A47" t="e">
        <f>AND(#REF!,"AAAAABu/+QA=")</f>
        <v>#REF!</v>
      </c>
      <c r="B47" t="e">
        <f>AND(#REF!,"AAAAABu/+QE=")</f>
        <v>#REF!</v>
      </c>
      <c r="C47" t="e">
        <f>AND(#REF!,"AAAAABu/+QI=")</f>
        <v>#REF!</v>
      </c>
      <c r="D47" t="e">
        <f>IF(#REF!,"AAAAABu/+QM=",0)</f>
        <v>#REF!</v>
      </c>
      <c r="E47" t="e">
        <f>AND(#REF!,"AAAAABu/+QQ=")</f>
        <v>#REF!</v>
      </c>
      <c r="F47" t="e">
        <f>AND(#REF!,"AAAAABu/+QU=")</f>
        <v>#REF!</v>
      </c>
      <c r="G47" t="e">
        <f>AND(#REF!,"AAAAABu/+QY=")</f>
        <v>#REF!</v>
      </c>
      <c r="H47" t="e">
        <f>AND(#REF!,"AAAAABu/+Qc=")</f>
        <v>#REF!</v>
      </c>
      <c r="I47" t="e">
        <f>AND(#REF!,"AAAAABu/+Qg=")</f>
        <v>#REF!</v>
      </c>
      <c r="J47" t="e">
        <f>AND(#REF!,"AAAAABu/+Qk=")</f>
        <v>#REF!</v>
      </c>
      <c r="K47" t="e">
        <f>AND(#REF!,"AAAAABu/+Qo=")</f>
        <v>#REF!</v>
      </c>
      <c r="L47" t="e">
        <f>AND(#REF!,"AAAAABu/+Qs=")</f>
        <v>#REF!</v>
      </c>
      <c r="M47" t="e">
        <f>AND(#REF!,"AAAAABu/+Qw=")</f>
        <v>#REF!</v>
      </c>
      <c r="N47" t="e">
        <f>AND(#REF!,"AAAAABu/+Q0=")</f>
        <v>#REF!</v>
      </c>
      <c r="O47" t="e">
        <f>AND(#REF!,"AAAAABu/+Q4=")</f>
        <v>#REF!</v>
      </c>
      <c r="P47" t="e">
        <f>AND(#REF!,"AAAAABu/+Q8=")</f>
        <v>#REF!</v>
      </c>
      <c r="Q47" t="e">
        <f>AND(#REF!,"AAAAABu/+RA=")</f>
        <v>#REF!</v>
      </c>
      <c r="R47" t="e">
        <f>AND(#REF!,"AAAAABu/+RE=")</f>
        <v>#REF!</v>
      </c>
      <c r="S47" t="e">
        <f>AND(#REF!,"AAAAABu/+RI=")</f>
        <v>#REF!</v>
      </c>
      <c r="T47" t="e">
        <f>AND(#REF!,"AAAAABu/+RM=")</f>
        <v>#REF!</v>
      </c>
      <c r="U47" t="e">
        <f>AND(#REF!,"AAAAABu/+RQ=")</f>
        <v>#REF!</v>
      </c>
      <c r="V47" t="e">
        <f>AND(#REF!,"AAAAABu/+RU=")</f>
        <v>#REF!</v>
      </c>
      <c r="W47" t="e">
        <f>AND(#REF!,"AAAAABu/+RY=")</f>
        <v>#REF!</v>
      </c>
      <c r="X47" t="e">
        <f>AND(#REF!,"AAAAABu/+Rc=")</f>
        <v>#REF!</v>
      </c>
      <c r="Y47" t="e">
        <f>AND(#REF!,"AAAAABu/+Rg=")</f>
        <v>#REF!</v>
      </c>
      <c r="Z47" t="e">
        <f>AND(#REF!,"AAAAABu/+Rk=")</f>
        <v>#REF!</v>
      </c>
      <c r="AA47" t="e">
        <f>IF(#REF!,"AAAAABu/+Ro=",0)</f>
        <v>#REF!</v>
      </c>
      <c r="AB47" t="e">
        <f>AND(#REF!,"AAAAABu/+Rs=")</f>
        <v>#REF!</v>
      </c>
      <c r="AC47" t="e">
        <f>AND(#REF!,"AAAAABu/+Rw=")</f>
        <v>#REF!</v>
      </c>
      <c r="AD47" t="e">
        <f>AND(#REF!,"AAAAABu/+R0=")</f>
        <v>#REF!</v>
      </c>
      <c r="AE47" t="e">
        <f>AND(#REF!,"AAAAABu/+R4=")</f>
        <v>#REF!</v>
      </c>
      <c r="AF47" t="e">
        <f>AND(#REF!,"AAAAABu/+R8=")</f>
        <v>#REF!</v>
      </c>
      <c r="AG47" t="e">
        <f>AND(#REF!,"AAAAABu/+SA=")</f>
        <v>#REF!</v>
      </c>
      <c r="AH47" t="e">
        <f>AND(#REF!,"AAAAABu/+SE=")</f>
        <v>#REF!</v>
      </c>
      <c r="AI47" t="e">
        <f>AND(#REF!,"AAAAABu/+SI=")</f>
        <v>#REF!</v>
      </c>
      <c r="AJ47" t="e">
        <f>AND(#REF!,"AAAAABu/+SM=")</f>
        <v>#REF!</v>
      </c>
      <c r="AK47" t="e">
        <f>AND(#REF!,"AAAAABu/+SQ=")</f>
        <v>#REF!</v>
      </c>
      <c r="AL47" t="e">
        <f>AND(#REF!,"AAAAABu/+SU=")</f>
        <v>#REF!</v>
      </c>
      <c r="AM47" t="e">
        <f>AND(#REF!,"AAAAABu/+SY=")</f>
        <v>#REF!</v>
      </c>
      <c r="AN47" t="e">
        <f>AND(#REF!,"AAAAABu/+Sc=")</f>
        <v>#REF!</v>
      </c>
      <c r="AO47" t="e">
        <f>AND(#REF!,"AAAAABu/+Sg=")</f>
        <v>#REF!</v>
      </c>
      <c r="AP47" t="e">
        <f>AND(#REF!,"AAAAABu/+Sk=")</f>
        <v>#REF!</v>
      </c>
      <c r="AQ47" t="e">
        <f>AND(#REF!,"AAAAABu/+So=")</f>
        <v>#REF!</v>
      </c>
      <c r="AR47" t="e">
        <f>AND(#REF!,"AAAAABu/+Ss=")</f>
        <v>#REF!</v>
      </c>
      <c r="AS47" t="e">
        <f>AND(#REF!,"AAAAABu/+Sw=")</f>
        <v>#REF!</v>
      </c>
      <c r="AT47" t="e">
        <f>AND(#REF!,"AAAAABu/+S0=")</f>
        <v>#REF!</v>
      </c>
      <c r="AU47" t="e">
        <f>AND(#REF!,"AAAAABu/+S4=")</f>
        <v>#REF!</v>
      </c>
      <c r="AV47" t="e">
        <f>AND(#REF!,"AAAAABu/+S8=")</f>
        <v>#REF!</v>
      </c>
      <c r="AW47" t="e">
        <f>AND(#REF!,"AAAAABu/+TA=")</f>
        <v>#REF!</v>
      </c>
      <c r="AX47" t="e">
        <f>IF(#REF!,"AAAAABu/+TE=",0)</f>
        <v>#REF!</v>
      </c>
      <c r="AY47" t="e">
        <f>AND(#REF!,"AAAAABu/+TI=")</f>
        <v>#REF!</v>
      </c>
      <c r="AZ47" t="e">
        <f>AND(#REF!,"AAAAABu/+TM=")</f>
        <v>#REF!</v>
      </c>
      <c r="BA47" t="e">
        <f>AND(#REF!,"AAAAABu/+TQ=")</f>
        <v>#REF!</v>
      </c>
      <c r="BB47" t="e">
        <f>AND(#REF!,"AAAAABu/+TU=")</f>
        <v>#REF!</v>
      </c>
      <c r="BC47" t="e">
        <f>AND(#REF!,"AAAAABu/+TY=")</f>
        <v>#REF!</v>
      </c>
      <c r="BD47" t="e">
        <f>AND(#REF!,"AAAAABu/+Tc=")</f>
        <v>#REF!</v>
      </c>
      <c r="BE47" t="e">
        <f>AND(#REF!,"AAAAABu/+Tg=")</f>
        <v>#REF!</v>
      </c>
      <c r="BF47" t="e">
        <f>AND(#REF!,"AAAAABu/+Tk=")</f>
        <v>#REF!</v>
      </c>
      <c r="BG47" t="e">
        <f>AND(#REF!,"AAAAABu/+To=")</f>
        <v>#REF!</v>
      </c>
      <c r="BH47" t="e">
        <f>AND(#REF!,"AAAAABu/+Ts=")</f>
        <v>#REF!</v>
      </c>
      <c r="BI47" t="e">
        <f>AND(#REF!,"AAAAABu/+Tw=")</f>
        <v>#REF!</v>
      </c>
      <c r="BJ47" t="e">
        <f>AND(#REF!,"AAAAABu/+T0=")</f>
        <v>#REF!</v>
      </c>
      <c r="BK47" t="e">
        <f>AND(#REF!,"AAAAABu/+T4=")</f>
        <v>#REF!</v>
      </c>
      <c r="BL47" t="e">
        <f>AND(#REF!,"AAAAABu/+T8=")</f>
        <v>#REF!</v>
      </c>
      <c r="BM47" t="e">
        <f>AND(#REF!,"AAAAABu/+UA=")</f>
        <v>#REF!</v>
      </c>
      <c r="BN47" t="e">
        <f>AND(#REF!,"AAAAABu/+UE=")</f>
        <v>#REF!</v>
      </c>
      <c r="BO47" t="e">
        <f>AND(#REF!,"AAAAABu/+UI=")</f>
        <v>#REF!</v>
      </c>
      <c r="BP47" t="e">
        <f>AND(#REF!,"AAAAABu/+UM=")</f>
        <v>#REF!</v>
      </c>
      <c r="BQ47" t="e">
        <f>AND(#REF!,"AAAAABu/+UQ=")</f>
        <v>#REF!</v>
      </c>
      <c r="BR47" t="e">
        <f>AND(#REF!,"AAAAABu/+UU=")</f>
        <v>#REF!</v>
      </c>
      <c r="BS47" t="e">
        <f>AND(#REF!,"AAAAABu/+UY=")</f>
        <v>#REF!</v>
      </c>
      <c r="BT47" t="e">
        <f>AND(#REF!,"AAAAABu/+Uc=")</f>
        <v>#REF!</v>
      </c>
      <c r="BU47" t="e">
        <f>IF(#REF!,"AAAAABu/+Ug=",0)</f>
        <v>#REF!</v>
      </c>
      <c r="BV47" t="e">
        <f>IF(#REF!,"AAAAABu/+Uk=",0)</f>
        <v>#REF!</v>
      </c>
      <c r="BW47" t="e">
        <f>IF(#REF!,"AAAAABu/+Uo=",0)</f>
        <v>#REF!</v>
      </c>
      <c r="BX47" t="e">
        <f>IF(#REF!,"AAAAABu/+Us=",0)</f>
        <v>#REF!</v>
      </c>
      <c r="BY47" t="e">
        <f>IF(#REF!,"AAAAABu/+Uw=",0)</f>
        <v>#REF!</v>
      </c>
      <c r="BZ47" t="e">
        <f>IF(#REF!,"AAAAABu/+U0=",0)</f>
        <v>#REF!</v>
      </c>
      <c r="CA47" t="e">
        <f>IF(#REF!,"AAAAABu/+U4=",0)</f>
        <v>#REF!</v>
      </c>
      <c r="CB47" t="e">
        <f>IF(#REF!,"AAAAABu/+U8=",0)</f>
        <v>#REF!</v>
      </c>
      <c r="CC47" t="e">
        <f>IF(#REF!,"AAAAABu/+VA=",0)</f>
        <v>#REF!</v>
      </c>
      <c r="CD47" t="e">
        <f>IF(#REF!,"AAAAABu/+VE=",0)</f>
        <v>#REF!</v>
      </c>
      <c r="CE47" t="e">
        <f>IF(#REF!,"AAAAABu/+VI=",0)</f>
        <v>#REF!</v>
      </c>
      <c r="CF47" t="e">
        <f>IF(#REF!,"AAAAABu/+VM=",0)</f>
        <v>#REF!</v>
      </c>
      <c r="CG47" t="e">
        <f>IF(#REF!,"AAAAABu/+VQ=",0)</f>
        <v>#REF!</v>
      </c>
      <c r="CH47" t="e">
        <f>IF(#REF!,"AAAAABu/+VU=",0)</f>
        <v>#REF!</v>
      </c>
      <c r="CI47" t="e">
        <f>IF(#REF!,"AAAAABu/+VY=",0)</f>
        <v>#REF!</v>
      </c>
      <c r="CJ47" t="e">
        <f>IF(#REF!,"AAAAABu/+Vc=",0)</f>
        <v>#REF!</v>
      </c>
      <c r="CK47" t="e">
        <f>IF(#REF!,"AAAAABu/+Vg=",0)</f>
        <v>#REF!</v>
      </c>
      <c r="CL47" t="e">
        <f>IF(#REF!,"AAAAABu/+Vk=",0)</f>
        <v>#REF!</v>
      </c>
      <c r="CM47" t="e">
        <f>IF(#REF!,"AAAAABu/+Vo=",0)</f>
        <v>#REF!</v>
      </c>
      <c r="CN47" t="e">
        <f>IF(#REF!,"AAAAABu/+Vs=",0)</f>
        <v>#REF!</v>
      </c>
      <c r="CO47" t="e">
        <f>IF(#REF!,"AAAAABu/+Vw=",0)</f>
        <v>#REF!</v>
      </c>
      <c r="CP47" t="e">
        <f>IF(#REF!,"AAAAABu/+V0=",0)</f>
        <v>#REF!</v>
      </c>
      <c r="CQ47" t="e">
        <f>IF(#REF!,"AAAAABu/+V4=",0)</f>
        <v>#REF!</v>
      </c>
      <c r="CR47" t="e">
        <f>IF(#REF!,"AAAAABu/+V8=",0)</f>
        <v>#REF!</v>
      </c>
      <c r="CS47" t="e">
        <f>IF(#REF!,"AAAAABu/+WA=",0)</f>
        <v>#REF!</v>
      </c>
      <c r="CT47" t="e">
        <f>IF(#REF!,"AAAAABu/+WE=",0)</f>
        <v>#REF!</v>
      </c>
      <c r="CU47" t="e">
        <f>IF(#REF!,"AAAAABu/+WI=",0)</f>
        <v>#REF!</v>
      </c>
      <c r="CV47" t="e">
        <f>IF(#REF!,"AAAAABu/+WM=",0)</f>
        <v>#REF!</v>
      </c>
      <c r="CW47" t="e">
        <f>IF(#REF!,"AAAAABu/+WQ=",0)</f>
        <v>#REF!</v>
      </c>
      <c r="CX47" t="e">
        <f>IF(#REF!,"AAAAABu/+WU=",0)</f>
        <v>#REF!</v>
      </c>
      <c r="CY47" t="e">
        <f>IF(#REF!,"AAAAABu/+WY=",0)</f>
        <v>#REF!</v>
      </c>
      <c r="CZ47" t="e">
        <f>IF(#REF!,"AAAAABu/+Wc=",0)</f>
        <v>#REF!</v>
      </c>
      <c r="DA47" t="e">
        <f>IF(#REF!,"AAAAABu/+Wg=",0)</f>
        <v>#REF!</v>
      </c>
      <c r="DB47" t="e">
        <f>IF(#REF!,"AAAAABu/+Wk=",0)</f>
        <v>#REF!</v>
      </c>
      <c r="DC47" t="e">
        <f>IF(#REF!,"AAAAABu/+Wo=",0)</f>
        <v>#REF!</v>
      </c>
      <c r="DD47" t="e">
        <f>IF(#REF!,"AAAAABu/+Ws=",0)</f>
        <v>#REF!</v>
      </c>
      <c r="DE47" t="e">
        <f>IF(#REF!,"AAAAABu/+Ww=",0)</f>
        <v>#REF!</v>
      </c>
      <c r="DF47" t="e">
        <f>IF(#REF!,"AAAAABu/+W0=",0)</f>
        <v>#REF!</v>
      </c>
      <c r="DG47" t="e">
        <f>IF(#REF!,"AAAAABu/+W4=",0)</f>
        <v>#REF!</v>
      </c>
      <c r="DH47" t="e">
        <f>IF(#REF!,"AAAAABu/+W8=",0)</f>
        <v>#REF!</v>
      </c>
      <c r="DI47" t="e">
        <f>IF(#REF!,"AAAAABu/+XA=",0)</f>
        <v>#REF!</v>
      </c>
      <c r="DJ47" t="e">
        <f>IF(#REF!,"AAAAABu/+XE=",0)</f>
        <v>#REF!</v>
      </c>
      <c r="DK47" t="e">
        <f>IF(#REF!,"AAAAABu/+XI=",0)</f>
        <v>#REF!</v>
      </c>
      <c r="DL47" t="e">
        <f>IF(#REF!,"AAAAABu/+XM=",0)</f>
        <v>#REF!</v>
      </c>
      <c r="DM47" t="e">
        <f>IF(#REF!,"AAAAABu/+XQ=",0)</f>
        <v>#REF!</v>
      </c>
      <c r="DN47" t="e">
        <f>IF(#REF!,"AAAAABu/+XU=",0)</f>
        <v>#REF!</v>
      </c>
      <c r="DO47" t="e">
        <f>IF(#REF!,"AAAAABu/+XY=",0)</f>
        <v>#REF!</v>
      </c>
      <c r="DP47" t="e">
        <f>IF(#REF!,"AAAAABu/+Xc=",0)</f>
        <v>#REF!</v>
      </c>
      <c r="DQ47" t="e">
        <f>IF(#REF!,"AAAAABu/+Xg=",0)</f>
        <v>#REF!</v>
      </c>
      <c r="DR47" t="e">
        <f>IF(#REF!,"AAAAABu/+Xk=",0)</f>
        <v>#REF!</v>
      </c>
      <c r="DS47" t="e">
        <f>IF(#REF!,"AAAAABu/+Xo=",0)</f>
        <v>#REF!</v>
      </c>
      <c r="DT47" t="e">
        <f>IF(#REF!,"AAAAABu/+Xs=",0)</f>
        <v>#REF!</v>
      </c>
      <c r="DU47" t="e">
        <f>IF(#REF!,"AAAAABu/+Xw=",0)</f>
        <v>#REF!</v>
      </c>
      <c r="DV47" t="e">
        <f>IF(#REF!,"AAAAABu/+X0=",0)</f>
        <v>#REF!</v>
      </c>
      <c r="DW47" t="e">
        <f>IF(#REF!,"AAAAABu/+X4=",0)</f>
        <v>#REF!</v>
      </c>
      <c r="DX47" t="e">
        <f>IF(#REF!,"AAAAABu/+X8=",0)</f>
        <v>#REF!</v>
      </c>
      <c r="DY47" t="e">
        <f>IF(#REF!,"AAAAABu/+YA=",0)</f>
        <v>#REF!</v>
      </c>
      <c r="DZ47" t="e">
        <f>IF(#REF!,"AAAAABu/+YE=",0)</f>
        <v>#REF!</v>
      </c>
      <c r="EA47" t="e">
        <f>IF(#REF!,"AAAAABu/+YI=",0)</f>
        <v>#REF!</v>
      </c>
      <c r="EB47" t="e">
        <f>IF(#REF!,"AAAAABu/+YM=",0)</f>
        <v>#REF!</v>
      </c>
      <c r="EC47" t="e">
        <f>IF(#REF!,"AAAAABu/+YQ=",0)</f>
        <v>#REF!</v>
      </c>
      <c r="ED47" t="e">
        <f>IF(#REF!,"AAAAABu/+YU=",0)</f>
        <v>#REF!</v>
      </c>
      <c r="EE47" t="e">
        <f>IF(#REF!,"AAAAABu/+YY=",0)</f>
        <v>#REF!</v>
      </c>
      <c r="EF47" t="e">
        <f>IF(#REF!,"AAAAABu/+Yc=",0)</f>
        <v>#REF!</v>
      </c>
      <c r="EG47" t="e">
        <f>IF(#REF!,"AAAAABu/+Yg=",0)</f>
        <v>#REF!</v>
      </c>
      <c r="EH47" t="e">
        <f>IF(#REF!,"AAAAABu/+Yk=",0)</f>
        <v>#REF!</v>
      </c>
      <c r="EI47" t="e">
        <f>IF(#REF!,"AAAAABu/+Yo=",0)</f>
        <v>#REF!</v>
      </c>
      <c r="EJ47" t="e">
        <f>IF(#REF!,"AAAAABu/+Ys=",0)</f>
        <v>#REF!</v>
      </c>
      <c r="EK47" t="e">
        <f>IF(#REF!,"AAAAABu/+Yw=",0)</f>
        <v>#REF!</v>
      </c>
      <c r="EL47" t="e">
        <f>IF(#REF!,"AAAAABu/+Y0=",0)</f>
        <v>#REF!</v>
      </c>
      <c r="EM47" t="e">
        <f>IF(#REF!,"AAAAABu/+Y4=",0)</f>
        <v>#REF!</v>
      </c>
      <c r="EN47" t="e">
        <f>IF(#REF!,"AAAAABu/+Y8=",0)</f>
        <v>#REF!</v>
      </c>
      <c r="EO47" t="e">
        <f>IF(#REF!,"AAAAABu/+ZA=",0)</f>
        <v>#REF!</v>
      </c>
      <c r="EP47" t="e">
        <f>IF(#REF!,"AAAAABu/+ZE=",0)</f>
        <v>#REF!</v>
      </c>
      <c r="EQ47" t="e">
        <f>IF(#REF!,"AAAAABu/+ZI=",0)</f>
        <v>#REF!</v>
      </c>
      <c r="ER47" t="e">
        <f>IF(#REF!,"AAAAABu/+ZM=",0)</f>
        <v>#REF!</v>
      </c>
      <c r="ES47" t="e">
        <f>IF(#REF!,"AAAAABu/+ZQ=",0)</f>
        <v>#REF!</v>
      </c>
      <c r="ET47" t="e">
        <f>IF(#REF!,"AAAAABu/+ZU=",0)</f>
        <v>#REF!</v>
      </c>
      <c r="EU47" t="e">
        <f>IF(#REF!,"AAAAABu/+ZY=",0)</f>
        <v>#REF!</v>
      </c>
      <c r="EV47" t="e">
        <f>IF(#REF!,"AAAAABu/+Zc=",0)</f>
        <v>#REF!</v>
      </c>
      <c r="EW47" t="e">
        <f>IF(#REF!,"AAAAABu/+Zg=",0)</f>
        <v>#REF!</v>
      </c>
      <c r="EX47" t="e">
        <f>IF(#REF!,"AAAAABu/+Zk=",0)</f>
        <v>#REF!</v>
      </c>
      <c r="EY47" t="e">
        <f>IF(#REF!,"AAAAABu/+Zo=",0)</f>
        <v>#REF!</v>
      </c>
      <c r="EZ47" t="e">
        <f>IF(#REF!,"AAAAABu/+Zs=",0)</f>
        <v>#REF!</v>
      </c>
      <c r="FA47" t="e">
        <f>IF(#REF!,"AAAAABu/+Zw=",0)</f>
        <v>#REF!</v>
      </c>
      <c r="FB47" t="e">
        <f>IF(#REF!,"AAAAABu/+Z0=",0)</f>
        <v>#REF!</v>
      </c>
      <c r="FC47" t="e">
        <f>IF(#REF!,"AAAAABu/+Z4=",0)</f>
        <v>#REF!</v>
      </c>
      <c r="FD47" t="e">
        <f>IF(#REF!,"AAAAABu/+Z8=",0)</f>
        <v>#REF!</v>
      </c>
      <c r="FE47" t="e">
        <f>IF(#REF!,"AAAAABu/+aA=",0)</f>
        <v>#REF!</v>
      </c>
      <c r="FF47" t="e">
        <f>IF(#REF!,"AAAAABu/+aE=",0)</f>
        <v>#REF!</v>
      </c>
      <c r="FG47" t="e">
        <f>IF(#REF!,"AAAAABu/+aI=",0)</f>
        <v>#REF!</v>
      </c>
      <c r="FH47" t="e">
        <f>IF(#REF!,"AAAAABu/+aM=",0)</f>
        <v>#REF!</v>
      </c>
      <c r="FI47" t="e">
        <f>IF(#REF!,"AAAAABu/+aQ=",0)</f>
        <v>#REF!</v>
      </c>
      <c r="FJ47" t="e">
        <f>IF(#REF!,"AAAAABu/+aU=",0)</f>
        <v>#REF!</v>
      </c>
      <c r="FK47" t="e">
        <f>IF(#REF!,"AAAAABu/+aY=",0)</f>
        <v>#REF!</v>
      </c>
      <c r="FL47" t="e">
        <f>IF(#REF!,"AAAAABu/+ac=",0)</f>
        <v>#REF!</v>
      </c>
      <c r="FM47" t="e">
        <f>IF(#REF!,"AAAAABu/+ag=",0)</f>
        <v>#REF!</v>
      </c>
      <c r="FN47" t="e">
        <f>IF(#REF!,"AAAAABu/+ak=",0)</f>
        <v>#REF!</v>
      </c>
      <c r="FO47" t="e">
        <f>IF(#REF!,"AAAAABu/+ao=",0)</f>
        <v>#REF!</v>
      </c>
      <c r="FP47" t="e">
        <f>IF(#REF!,"AAAAABu/+as=",0)</f>
        <v>#REF!</v>
      </c>
      <c r="FQ47" t="e">
        <f>IF(#REF!,"AAAAABu/+aw=",0)</f>
        <v>#REF!</v>
      </c>
      <c r="FR47" t="e">
        <f>IF(#REF!,"AAAAABu/+a0=",0)</f>
        <v>#REF!</v>
      </c>
      <c r="FS47" t="e">
        <f>IF(#REF!,"AAAAABu/+a4=",0)</f>
        <v>#REF!</v>
      </c>
      <c r="FT47" t="e">
        <f>IF(#REF!,"AAAAABu/+a8=",0)</f>
        <v>#REF!</v>
      </c>
      <c r="FU47" t="e">
        <f>IF(#REF!,"AAAAABu/+bA=",0)</f>
        <v>#REF!</v>
      </c>
      <c r="FV47" t="e">
        <f>IF(#REF!,"AAAAABu/+bE=",0)</f>
        <v>#REF!</v>
      </c>
      <c r="FW47" t="e">
        <f>IF(#REF!,"AAAAABu/+bI=",0)</f>
        <v>#REF!</v>
      </c>
      <c r="FX47" t="e">
        <f>IF(#REF!,"AAAAABu/+bM=",0)</f>
        <v>#REF!</v>
      </c>
      <c r="FY47" t="e">
        <f>IF(#REF!,"AAAAABu/+bQ=",0)</f>
        <v>#REF!</v>
      </c>
      <c r="FZ47" t="e">
        <f>IF(#REF!,"AAAAABu/+bU=",0)</f>
        <v>#REF!</v>
      </c>
      <c r="GA47" t="e">
        <f>IF(#REF!,"AAAAABu/+bY=",0)</f>
        <v>#REF!</v>
      </c>
      <c r="GB47" t="e">
        <f>IF(#REF!,"AAAAABu/+bc=",0)</f>
        <v>#REF!</v>
      </c>
      <c r="GC47" t="e">
        <f>IF(#REF!,"AAAAABu/+bg=",0)</f>
        <v>#REF!</v>
      </c>
      <c r="GD47" t="e">
        <f>IF(#REF!,"AAAAABu/+bk=",0)</f>
        <v>#REF!</v>
      </c>
      <c r="GE47" t="e">
        <f>IF(#REF!,"AAAAABu/+bo=",0)</f>
        <v>#REF!</v>
      </c>
      <c r="GF47" t="e">
        <f>IF(#REF!,"AAAAABu/+bs=",0)</f>
        <v>#REF!</v>
      </c>
      <c r="GG47" t="e">
        <f>IF(#REF!,"AAAAABu/+bw=",0)</f>
        <v>#REF!</v>
      </c>
      <c r="GH47" t="e">
        <f>IF(#REF!,"AAAAABu/+b0=",0)</f>
        <v>#REF!</v>
      </c>
      <c r="GI47" t="e">
        <f>IF(#REF!,"AAAAABu/+b4=",0)</f>
        <v>#REF!</v>
      </c>
      <c r="GJ47" t="e">
        <f>IF(#REF!,"AAAAABu/+b8=",0)</f>
        <v>#REF!</v>
      </c>
      <c r="GK47" t="e">
        <f>IF(#REF!,"AAAAABu/+cA=",0)</f>
        <v>#REF!</v>
      </c>
      <c r="GL47" t="e">
        <f>IF(#REF!,"AAAAABu/+cE=",0)</f>
        <v>#REF!</v>
      </c>
      <c r="GM47" t="e">
        <f>IF(#REF!,"AAAAABu/+cI=",0)</f>
        <v>#REF!</v>
      </c>
      <c r="GN47" t="e">
        <f>IF(#REF!,"AAAAABu/+cM=",0)</f>
        <v>#REF!</v>
      </c>
      <c r="GO47" t="e">
        <f>IF(#REF!,"AAAAABu/+cQ=",0)</f>
        <v>#REF!</v>
      </c>
      <c r="GP47" t="e">
        <f>IF(#REF!,"AAAAABu/+cU=",0)</f>
        <v>#REF!</v>
      </c>
      <c r="GQ47" t="e">
        <f>IF(#REF!,"AAAAABu/+cY=",0)</f>
        <v>#REF!</v>
      </c>
      <c r="GR47" t="e">
        <f>IF(#REF!,"AAAAABu/+cc=",0)</f>
        <v>#REF!</v>
      </c>
      <c r="GS47" t="e">
        <f>IF(#REF!,"AAAAABu/+cg=",0)</f>
        <v>#REF!</v>
      </c>
      <c r="GT47" t="e">
        <f>IF(#REF!,"AAAAABu/+ck=",0)</f>
        <v>#REF!</v>
      </c>
      <c r="GU47" t="e">
        <f>IF(#REF!,"AAAAABu/+co=",0)</f>
        <v>#REF!</v>
      </c>
      <c r="GV47" t="e">
        <f>IF(#REF!,"AAAAABu/+cs=",0)</f>
        <v>#REF!</v>
      </c>
      <c r="GW47" t="e">
        <f>IF(#REF!,"AAAAABu/+cw=",0)</f>
        <v>#REF!</v>
      </c>
      <c r="GX47" t="e">
        <f>IF(#REF!,"AAAAABu/+c0=",0)</f>
        <v>#REF!</v>
      </c>
      <c r="GY47" t="e">
        <f>IF(#REF!,"AAAAABu/+c4=",0)</f>
        <v>#REF!</v>
      </c>
      <c r="GZ47" t="e">
        <f>IF(#REF!,"AAAAABu/+c8=",0)</f>
        <v>#REF!</v>
      </c>
      <c r="HA47" t="e">
        <f>IF(#REF!,"AAAAABu/+dA=",0)</f>
        <v>#REF!</v>
      </c>
      <c r="HB47" t="e">
        <f>IF(#REF!,"AAAAABu/+dE=",0)</f>
        <v>#REF!</v>
      </c>
      <c r="HC47" t="e">
        <f>IF(#REF!,"AAAAABu/+dI=",0)</f>
        <v>#REF!</v>
      </c>
      <c r="HD47" t="e">
        <f>IF(#REF!,"AAAAABu/+dM=",0)</f>
        <v>#REF!</v>
      </c>
      <c r="HE47" t="e">
        <f>IF(#REF!,"AAAAABu/+dQ=",0)</f>
        <v>#REF!</v>
      </c>
      <c r="HF47" t="e">
        <f>IF(#REF!,"AAAAABu/+dU=",0)</f>
        <v>#REF!</v>
      </c>
      <c r="HG47" t="e">
        <f>IF(#REF!,"AAAAABu/+dY=",0)</f>
        <v>#REF!</v>
      </c>
      <c r="HH47" t="e">
        <f>IF(#REF!,"AAAAABu/+dc=",0)</f>
        <v>#REF!</v>
      </c>
      <c r="HI47" t="e">
        <f>IF(#REF!,"AAAAABu/+dg=",0)</f>
        <v>#REF!</v>
      </c>
      <c r="HJ47" t="e">
        <f>IF(#REF!,"AAAAABu/+dk=",0)</f>
        <v>#REF!</v>
      </c>
      <c r="HK47" t="e">
        <f>IF(#REF!,"AAAAABu/+do=",0)</f>
        <v>#REF!</v>
      </c>
      <c r="HL47" t="e">
        <f>IF(#REF!,"AAAAABu/+ds=",0)</f>
        <v>#REF!</v>
      </c>
      <c r="HM47" t="e">
        <f>IF(#REF!,"AAAAABu/+dw=",0)</f>
        <v>#REF!</v>
      </c>
      <c r="HN47" t="e">
        <f>IF(#REF!,"AAAAABu/+d0=",0)</f>
        <v>#REF!</v>
      </c>
      <c r="HO47" t="e">
        <f>IF(#REF!,"AAAAABu/+d4=",0)</f>
        <v>#REF!</v>
      </c>
      <c r="HP47" t="e">
        <f>IF(#REF!,"AAAAABu/+d8=",0)</f>
        <v>#REF!</v>
      </c>
      <c r="HQ47" t="e">
        <f>IF(#REF!,"AAAAABu/+eA=",0)</f>
        <v>#REF!</v>
      </c>
      <c r="HR47" t="e">
        <f>IF(#REF!,"AAAAABu/+eE=",0)</f>
        <v>#REF!</v>
      </c>
      <c r="HS47" t="e">
        <f>IF(#REF!,"AAAAABu/+eI=",0)</f>
        <v>#REF!</v>
      </c>
      <c r="HT47" t="e">
        <f>IF(#REF!,"AAAAABu/+eM=",0)</f>
        <v>#REF!</v>
      </c>
      <c r="HU47" t="e">
        <f>IF(#REF!,"AAAAABu/+eQ=",0)</f>
        <v>#REF!</v>
      </c>
      <c r="HV47" t="e">
        <f>IF(#REF!,"AAAAABu/+eU=",0)</f>
        <v>#REF!</v>
      </c>
      <c r="HW47" t="e">
        <f>IF(#REF!,"AAAAABu/+eY=",0)</f>
        <v>#REF!</v>
      </c>
      <c r="HX47" t="e">
        <f>IF(#REF!,"AAAAABu/+ec=",0)</f>
        <v>#REF!</v>
      </c>
      <c r="HY47" t="e">
        <f>IF(#REF!,"AAAAABu/+eg=",0)</f>
        <v>#REF!</v>
      </c>
      <c r="HZ47" t="e">
        <f>IF(#REF!,"AAAAABu/+ek=",0)</f>
        <v>#REF!</v>
      </c>
      <c r="IA47" t="e">
        <f>IF(#REF!,"AAAAABu/+eo=",0)</f>
        <v>#REF!</v>
      </c>
      <c r="IB47" t="e">
        <f>IF(#REF!,"AAAAABu/+es=",0)</f>
        <v>#REF!</v>
      </c>
      <c r="IC47" t="e">
        <f>IF(#REF!,"AAAAABu/+ew=",0)</f>
        <v>#REF!</v>
      </c>
      <c r="ID47" t="e">
        <f>IF(#REF!,"AAAAABu/+e0=",0)</f>
        <v>#REF!</v>
      </c>
      <c r="IE47" t="e">
        <f>IF(#REF!,"AAAAABu/+e4=",0)</f>
        <v>#REF!</v>
      </c>
      <c r="IF47" t="e">
        <f>IF(#REF!,"AAAAABu/+e8=",0)</f>
        <v>#REF!</v>
      </c>
      <c r="IG47" t="e">
        <f>IF(#REF!,"AAAAABu/+fA=",0)</f>
        <v>#REF!</v>
      </c>
      <c r="IH47" t="e">
        <f>IF(#REF!,"AAAAABu/+fE=",0)</f>
        <v>#REF!</v>
      </c>
      <c r="II47" t="e">
        <f>IF(#REF!,"AAAAABu/+fI=",0)</f>
        <v>#REF!</v>
      </c>
      <c r="IJ47" t="e">
        <f>IF(#REF!,"AAAAABu/+fM=",0)</f>
        <v>#REF!</v>
      </c>
      <c r="IK47" t="e">
        <f>IF(#REF!,"AAAAABu/+fQ=",0)</f>
        <v>#REF!</v>
      </c>
      <c r="IL47" t="e">
        <f>IF(#REF!,"AAAAABu/+fU=",0)</f>
        <v>#REF!</v>
      </c>
      <c r="IM47" t="e">
        <f>IF(#REF!,"AAAAABu/+fY=",0)</f>
        <v>#REF!</v>
      </c>
      <c r="IN47" t="e">
        <f>IF(#REF!,"AAAAABu/+fc=",0)</f>
        <v>#REF!</v>
      </c>
      <c r="IO47" t="e">
        <f>IF(#REF!,"AAAAABu/+fg=",0)</f>
        <v>#REF!</v>
      </c>
      <c r="IP47" t="e">
        <f>IF(#REF!,"AAAAABu/+fk=",0)</f>
        <v>#REF!</v>
      </c>
      <c r="IQ47" t="e">
        <f>IF(#REF!,"AAAAABu/+fo=",0)</f>
        <v>#REF!</v>
      </c>
      <c r="IR47" t="e">
        <f>IF(#REF!,"AAAAABu/+fs=",0)</f>
        <v>#REF!</v>
      </c>
      <c r="IS47" t="e">
        <f>IF(#REF!,"AAAAABu/+fw=",0)</f>
        <v>#REF!</v>
      </c>
      <c r="IT47" t="e">
        <f>IF(#REF!,"AAAAABu/+f0=",0)</f>
        <v>#REF!</v>
      </c>
      <c r="IU47" t="e">
        <f>IF(#REF!,"AAAAABu/+f4=",0)</f>
        <v>#REF!</v>
      </c>
      <c r="IV47" t="e">
        <f>IF(#REF!,"AAAAABu/+f8=",0)</f>
        <v>#REF!</v>
      </c>
    </row>
    <row r="48" spans="1:256" x14ac:dyDescent="0.35">
      <c r="A48" t="e">
        <f>IF(#REF!,"AAAAAE39fQA=",0)</f>
        <v>#REF!</v>
      </c>
      <c r="B48" t="e">
        <f>IF(#REF!,"AAAAAE39fQE=",0)</f>
        <v>#REF!</v>
      </c>
      <c r="C48" t="e">
        <f>IF(#REF!,"AAAAAE39fQI=",0)</f>
        <v>#REF!</v>
      </c>
      <c r="D48" t="e">
        <f>IF(#REF!,"AAAAAE39fQM=",0)</f>
        <v>#REF!</v>
      </c>
      <c r="E48" t="e">
        <f>IF(#REF!,"AAAAAE39fQQ=",0)</f>
        <v>#REF!</v>
      </c>
      <c r="F48" t="e">
        <f>IF(#REF!,"AAAAAE39fQU=",0)</f>
        <v>#REF!</v>
      </c>
      <c r="G48" t="e">
        <f>IF(#REF!,"AAAAAE39fQY=",0)</f>
        <v>#REF!</v>
      </c>
      <c r="H48" t="e">
        <f>IF(#REF!,"AAAAAE39fQc=",0)</f>
        <v>#REF!</v>
      </c>
      <c r="I48" t="e">
        <f>IF(#REF!,"AAAAAE39fQg=",0)</f>
        <v>#REF!</v>
      </c>
      <c r="J48" t="e">
        <f>IF(#REF!,"AAAAAE39fQk=",0)</f>
        <v>#REF!</v>
      </c>
      <c r="K48" t="e">
        <f>IF(#REF!,"AAAAAE39fQo=",0)</f>
        <v>#REF!</v>
      </c>
      <c r="L48" t="e">
        <f>IF(#REF!,"AAAAAE39fQs=",0)</f>
        <v>#REF!</v>
      </c>
      <c r="M48" t="e">
        <f>IF(#REF!,"AAAAAE39fQw=",0)</f>
        <v>#REF!</v>
      </c>
      <c r="N48" t="e">
        <f>IF(#REF!,"AAAAAE39fQ0=",0)</f>
        <v>#REF!</v>
      </c>
      <c r="O48" t="e">
        <f>IF(#REF!,"AAAAAE39fQ4=",0)</f>
        <v>#REF!</v>
      </c>
      <c r="P48" t="e">
        <f>IF(#REF!,"AAAAAE39fQ8=",0)</f>
        <v>#REF!</v>
      </c>
      <c r="Q48" t="e">
        <f>IF(#REF!,"AAAAAE39fRA=",0)</f>
        <v>#REF!</v>
      </c>
      <c r="R48" t="e">
        <f>IF(#REF!,"AAAAAE39fRE=",0)</f>
        <v>#REF!</v>
      </c>
      <c r="S48" t="e">
        <f>IF(#REF!,"AAAAAE39fRI=",0)</f>
        <v>#REF!</v>
      </c>
      <c r="T48" t="e">
        <f>IF(#REF!,"AAAAAE39fRM=",0)</f>
        <v>#REF!</v>
      </c>
      <c r="U48" t="e">
        <f>IF(#REF!,"AAAAAE39fRQ=",0)</f>
        <v>#REF!</v>
      </c>
      <c r="V48" t="e">
        <f>IF(#REF!,"AAAAAE39fRU=",0)</f>
        <v>#REF!</v>
      </c>
      <c r="W48" t="e">
        <f>IF(#REF!,"AAAAAE39fRY=",0)</f>
        <v>#REF!</v>
      </c>
      <c r="X48" t="e">
        <f>IF(#REF!,"AAAAAE39fRc=",0)</f>
        <v>#REF!</v>
      </c>
      <c r="Y48" t="e">
        <f>IF(#REF!,"AAAAAE39fRg=",0)</f>
        <v>#REF!</v>
      </c>
      <c r="Z48" t="e">
        <f>IF(#REF!,"AAAAAE39fRk=",0)</f>
        <v>#REF!</v>
      </c>
      <c r="AA48" t="e">
        <f>IF(#REF!,"AAAAAE39fRo=",0)</f>
        <v>#REF!</v>
      </c>
      <c r="AB48" t="e">
        <f>IF(#REF!,"AAAAAE39fRs=",0)</f>
        <v>#REF!</v>
      </c>
      <c r="AC48" t="e">
        <f>IF(#REF!,"AAAAAE39fRw=",0)</f>
        <v>#REF!</v>
      </c>
      <c r="AD48" t="e">
        <f>IF(#REF!,"AAAAAE39fR0=",0)</f>
        <v>#REF!</v>
      </c>
      <c r="AE48" t="e">
        <f>IF(#REF!,"AAAAAE39fR4=",0)</f>
        <v>#REF!</v>
      </c>
      <c r="AF48" t="e">
        <f>IF(#REF!,"AAAAAE39fR8=",0)</f>
        <v>#REF!</v>
      </c>
      <c r="AG48" t="e">
        <f>IF(#REF!,"AAAAAE39fSA=",0)</f>
        <v>#REF!</v>
      </c>
      <c r="AH48" t="e">
        <f>IF(#REF!,"AAAAAE39fSE=",0)</f>
        <v>#REF!</v>
      </c>
      <c r="AI48" t="e">
        <f>IF(#REF!,"AAAAAE39fSI=",0)</f>
        <v>#REF!</v>
      </c>
      <c r="AJ48" t="e">
        <f>IF(#REF!,"AAAAAE39fSM=",0)</f>
        <v>#REF!</v>
      </c>
      <c r="AK48" t="e">
        <f>IF(#REF!,"AAAAAE39fSQ=",0)</f>
        <v>#REF!</v>
      </c>
      <c r="AL48" t="e">
        <f>IF(#REF!,"AAAAAE39fSU=",0)</f>
        <v>#REF!</v>
      </c>
      <c r="AM48" t="e">
        <f>IF(#REF!,"AAAAAE39fSY=",0)</f>
        <v>#REF!</v>
      </c>
      <c r="AN48" t="e">
        <f>IF(#REF!,"AAAAAE39fSc=",0)</f>
        <v>#REF!</v>
      </c>
      <c r="AO48" t="e">
        <f>IF(#REF!,"AAAAAE39fSg=",0)</f>
        <v>#REF!</v>
      </c>
      <c r="AP48" t="e">
        <f>IF(#REF!,"AAAAAE39fSk=",0)</f>
        <v>#REF!</v>
      </c>
      <c r="AQ48" t="e">
        <f>IF(#REF!,"AAAAAE39fSo=",0)</f>
        <v>#REF!</v>
      </c>
      <c r="AR48" t="e">
        <f>IF(#REF!,"AAAAAE39fSs=",0)</f>
        <v>#REF!</v>
      </c>
      <c r="AS48" t="e">
        <f>IF(#REF!,"AAAAAE39fSw=",0)</f>
        <v>#REF!</v>
      </c>
      <c r="AT48" t="e">
        <f>IF(#REF!,"AAAAAE39fS0=",0)</f>
        <v>#REF!</v>
      </c>
      <c r="AU48" t="e">
        <f>IF(#REF!,"AAAAAE39fS4=",0)</f>
        <v>#REF!</v>
      </c>
      <c r="AV48" t="e">
        <f>IF(#REF!,"AAAAAE39fS8=",0)</f>
        <v>#REF!</v>
      </c>
      <c r="AW48" t="e">
        <f>IF(#REF!,"AAAAAE39fTA=",0)</f>
        <v>#REF!</v>
      </c>
      <c r="AX48" t="e">
        <f>IF(#REF!,"AAAAAE39fTE=",0)</f>
        <v>#REF!</v>
      </c>
      <c r="AY48" t="e">
        <f>IF(#REF!,"AAAAAE39fTI=",0)</f>
        <v>#REF!</v>
      </c>
      <c r="AZ48" t="e">
        <f>IF(#REF!,"AAAAAE39fTM=",0)</f>
        <v>#REF!</v>
      </c>
      <c r="BA48" t="e">
        <f>IF(#REF!,"AAAAAE39fTQ=",0)</f>
        <v>#REF!</v>
      </c>
      <c r="BB48" t="e">
        <f>IF(#REF!,"AAAAAE39fTU=",0)</f>
        <v>#REF!</v>
      </c>
      <c r="BC48" t="e">
        <f>IF(#REF!,"AAAAAE39fTY=",0)</f>
        <v>#REF!</v>
      </c>
      <c r="BD48" t="e">
        <f>IF(#REF!,"AAAAAE39fTc=",0)</f>
        <v>#REF!</v>
      </c>
      <c r="BE48" t="e">
        <f>IF(#REF!,"AAAAAE39fTg=",0)</f>
        <v>#REF!</v>
      </c>
      <c r="BF48" t="e">
        <f>IF(#REF!,"AAAAAE39fTk=",0)</f>
        <v>#REF!</v>
      </c>
      <c r="BG48" t="e">
        <f>IF(#REF!,"AAAAAE39fTo=",0)</f>
        <v>#REF!</v>
      </c>
      <c r="BH48" t="e">
        <f>IF(#REF!,"AAAAAE39fTs=",0)</f>
        <v>#REF!</v>
      </c>
      <c r="BI48" t="e">
        <f>IF(#REF!,"AAAAAE39fTw=",0)</f>
        <v>#REF!</v>
      </c>
      <c r="BJ48" t="e">
        <f>IF(#REF!,"AAAAAE39fT0=",0)</f>
        <v>#REF!</v>
      </c>
      <c r="BK48" t="e">
        <f>IF(#REF!,"AAAAAE39fT4=",0)</f>
        <v>#REF!</v>
      </c>
      <c r="BL48" t="e">
        <f>IF(#REF!,"AAAAAE39fT8=",0)</f>
        <v>#REF!</v>
      </c>
      <c r="BM48" t="e">
        <f>IF(#REF!,"AAAAAE39fUA=",0)</f>
        <v>#REF!</v>
      </c>
      <c r="BN48" t="e">
        <f>IF(#REF!,"AAAAAE39fUE=",0)</f>
        <v>#REF!</v>
      </c>
      <c r="BO48" t="e">
        <f>IF(#REF!,"AAAAAE39fUI=",0)</f>
        <v>#REF!</v>
      </c>
      <c r="BP48" t="e">
        <f>IF(#REF!,"AAAAAE39fUM=",0)</f>
        <v>#REF!</v>
      </c>
      <c r="BQ48" t="e">
        <f>IF(#REF!,"AAAAAE39fUQ=",0)</f>
        <v>#REF!</v>
      </c>
      <c r="BR48" t="e">
        <f>IF(#REF!,"AAAAAE39fUU=",0)</f>
        <v>#REF!</v>
      </c>
      <c r="BS48" t="e">
        <f>IF(#REF!,"AAAAAE39fUY=",0)</f>
        <v>#REF!</v>
      </c>
      <c r="BT48" t="e">
        <f>IF(#REF!,"AAAAAE39fUc=",0)</f>
        <v>#REF!</v>
      </c>
      <c r="BU48" t="e">
        <f>IF(#REF!,"AAAAAE39fUg=",0)</f>
        <v>#REF!</v>
      </c>
      <c r="BV48" t="e">
        <f>IF(#REF!,"AAAAAE39fUk=",0)</f>
        <v>#REF!</v>
      </c>
      <c r="BW48" t="e">
        <f>IF(#REF!,"AAAAAE39fUo=",0)</f>
        <v>#REF!</v>
      </c>
      <c r="BX48" t="e">
        <f>IF(#REF!,"AAAAAE39fUs=",0)</f>
        <v>#REF!</v>
      </c>
      <c r="BY48" t="e">
        <f>IF(#REF!,"AAAAAE39fUw=",0)</f>
        <v>#REF!</v>
      </c>
      <c r="BZ48" t="e">
        <f>IF(#REF!,"AAAAAE39fU0=",0)</f>
        <v>#REF!</v>
      </c>
      <c r="CA48" t="e">
        <f>IF(#REF!,"AAAAAE39fU4=",0)</f>
        <v>#REF!</v>
      </c>
      <c r="CB48" t="e">
        <f>IF(#REF!,"AAAAAE39fU8=",0)</f>
        <v>#REF!</v>
      </c>
      <c r="CC48" t="e">
        <f>IF(#REF!,"AAAAAE39fVA=",0)</f>
        <v>#REF!</v>
      </c>
      <c r="CD48" t="e">
        <f>IF(#REF!,"AAAAAE39fVE=",0)</f>
        <v>#REF!</v>
      </c>
      <c r="CE48" t="e">
        <f>IF(#REF!,"AAAAAE39fVI=",0)</f>
        <v>#REF!</v>
      </c>
      <c r="CF48" t="e">
        <f>IF(#REF!,"AAAAAE39fVM=",0)</f>
        <v>#REF!</v>
      </c>
      <c r="CG48" t="e">
        <f>IF(#REF!,"AAAAAE39fVQ=",0)</f>
        <v>#REF!</v>
      </c>
      <c r="CH48" t="e">
        <f>IF(#REF!,"AAAAAE39fVU=",0)</f>
        <v>#REF!</v>
      </c>
      <c r="CI48" t="e">
        <f>IF(#REF!,"AAAAAE39fVY=",0)</f>
        <v>#REF!</v>
      </c>
      <c r="CJ48" t="e">
        <f>IF(#REF!,"AAAAAE39fVc=",0)</f>
        <v>#REF!</v>
      </c>
      <c r="CK48" t="e">
        <f>IF(#REF!,"AAAAAE39fVg=",0)</f>
        <v>#REF!</v>
      </c>
      <c r="CL48" t="e">
        <f>IF(#REF!,"AAAAAE39fVk=",0)</f>
        <v>#REF!</v>
      </c>
      <c r="CM48" t="e">
        <f>IF(#REF!,"AAAAAE39fVo=",0)</f>
        <v>#REF!</v>
      </c>
      <c r="CN48" t="e">
        <f>IF(#REF!,"AAAAAE39fVs=",0)</f>
        <v>#REF!</v>
      </c>
      <c r="CO48" t="e">
        <f>IF(#REF!,"AAAAAE39fVw=",0)</f>
        <v>#REF!</v>
      </c>
      <c r="CP48" t="e">
        <f>IF(#REF!,"AAAAAE39fV0=",0)</f>
        <v>#REF!</v>
      </c>
      <c r="CQ48" t="e">
        <f>IF(#REF!,"AAAAAE39fV4=",0)</f>
        <v>#REF!</v>
      </c>
      <c r="CR48" t="e">
        <f>IF(#REF!,"AAAAAE39fV8=",0)</f>
        <v>#REF!</v>
      </c>
      <c r="CS48" t="e">
        <f>IF(#REF!,"AAAAAE39fWA=",0)</f>
        <v>#REF!</v>
      </c>
      <c r="CT48" t="e">
        <f>IF(#REF!,"AAAAAE39fWE=",0)</f>
        <v>#REF!</v>
      </c>
      <c r="CU48" t="e">
        <f>IF(#REF!,"AAAAAE39fWI=",0)</f>
        <v>#REF!</v>
      </c>
      <c r="CV48" t="e">
        <f>IF(#REF!,"AAAAAE39fWM=",0)</f>
        <v>#REF!</v>
      </c>
      <c r="CW48" t="e">
        <f>IF(#REF!,"AAAAAE39fWQ=",0)</f>
        <v>#REF!</v>
      </c>
      <c r="CX48" t="e">
        <f>IF(#REF!,"AAAAAE39fWU=",0)</f>
        <v>#REF!</v>
      </c>
      <c r="CY48" t="e">
        <f>IF(#REF!,"AAAAAE39fWY=",0)</f>
        <v>#REF!</v>
      </c>
      <c r="CZ48" t="e">
        <f>IF(#REF!,"AAAAAE39fWc=",0)</f>
        <v>#REF!</v>
      </c>
      <c r="DA48" t="e">
        <f>IF(#REF!,"AAAAAE39fWg=",0)</f>
        <v>#REF!</v>
      </c>
      <c r="DB48" t="e">
        <f>IF(#REF!,"AAAAAE39fWk=",0)</f>
        <v>#REF!</v>
      </c>
      <c r="DC48" t="e">
        <f>IF(#REF!,"AAAAAE39fWo=",0)</f>
        <v>#REF!</v>
      </c>
      <c r="DD48" t="e">
        <f>IF(#REF!,"AAAAAE39fWs=",0)</f>
        <v>#REF!</v>
      </c>
      <c r="DE48" t="e">
        <f>IF(#REF!,"AAAAAE39fWw=",0)</f>
        <v>#REF!</v>
      </c>
      <c r="DF48" t="e">
        <f>IF(#REF!,"AAAAAE39fW0=",0)</f>
        <v>#REF!</v>
      </c>
      <c r="DG48" t="e">
        <f>IF(#REF!,"AAAAAE39fW4=",0)</f>
        <v>#REF!</v>
      </c>
      <c r="DH48" t="e">
        <f>IF(#REF!,"AAAAAE39fW8=",0)</f>
        <v>#REF!</v>
      </c>
      <c r="DI48" t="e">
        <f>IF(#REF!,"AAAAAE39fXA=",0)</f>
        <v>#REF!</v>
      </c>
      <c r="DJ48" t="e">
        <f>IF(#REF!,"AAAAAE39fXE=",0)</f>
        <v>#REF!</v>
      </c>
      <c r="DK48" t="e">
        <f>IF(#REF!,"AAAAAE39fXI=",0)</f>
        <v>#REF!</v>
      </c>
      <c r="DL48" t="e">
        <f>IF(#REF!,"AAAAAE39fXM=",0)</f>
        <v>#REF!</v>
      </c>
      <c r="DM48" t="e">
        <f>IF(#REF!,"AAAAAE39fXQ=",0)</f>
        <v>#REF!</v>
      </c>
      <c r="DN48" t="e">
        <f>IF(#REF!,"AAAAAE39fXU=",0)</f>
        <v>#REF!</v>
      </c>
      <c r="DO48" t="e">
        <f>IF(#REF!,"AAAAAE39fXY=",0)</f>
        <v>#REF!</v>
      </c>
      <c r="DP48" t="e">
        <f>IF(#REF!,"AAAAAE39fXc=",0)</f>
        <v>#REF!</v>
      </c>
      <c r="DQ48" t="e">
        <f>IF(#REF!,"AAAAAE39fXg=",0)</f>
        <v>#REF!</v>
      </c>
      <c r="DR48" t="e">
        <f>IF(#REF!,"AAAAAE39fXk=",0)</f>
        <v>#REF!</v>
      </c>
      <c r="DS48" t="e">
        <f>IF(#REF!,"AAAAAE39fXo=",0)</f>
        <v>#REF!</v>
      </c>
      <c r="DT48" t="e">
        <f>IF(#REF!,"AAAAAE39fXs=",0)</f>
        <v>#REF!</v>
      </c>
      <c r="DU48" t="e">
        <f>IF(#REF!,"AAAAAE39fXw=",0)</f>
        <v>#REF!</v>
      </c>
      <c r="DV48" t="e">
        <f>IF(#REF!,"AAAAAE39fX0=",0)</f>
        <v>#REF!</v>
      </c>
      <c r="DW48" t="e">
        <f>IF(#REF!,"AAAAAE39fX4=",0)</f>
        <v>#REF!</v>
      </c>
      <c r="DX48" t="e">
        <f>IF(#REF!,"AAAAAE39fX8=",0)</f>
        <v>#REF!</v>
      </c>
      <c r="DY48" t="e">
        <f>IF(#REF!,"AAAAAE39fYA=",0)</f>
        <v>#REF!</v>
      </c>
      <c r="DZ48" t="e">
        <f>IF(#REF!,"AAAAAE39fYE=",0)</f>
        <v>#REF!</v>
      </c>
      <c r="EA48" t="e">
        <f>IF(#REF!,"AAAAAE39fYI=",0)</f>
        <v>#REF!</v>
      </c>
      <c r="EB48" t="e">
        <f>IF(#REF!,"AAAAAE39fYM=",0)</f>
        <v>#REF!</v>
      </c>
      <c r="EC48" t="e">
        <f>IF(#REF!,"AAAAAE39fYQ=",0)</f>
        <v>#REF!</v>
      </c>
      <c r="ED48" t="e">
        <f>IF(#REF!,"AAAAAE39fYU=",0)</f>
        <v>#REF!</v>
      </c>
      <c r="EE48" t="e">
        <f>IF(#REF!,"AAAAAE39fYY=",0)</f>
        <v>#REF!</v>
      </c>
      <c r="EF48" t="e">
        <f>IF(#REF!,"AAAAAE39fYc=",0)</f>
        <v>#REF!</v>
      </c>
      <c r="EG48" t="e">
        <f>IF(#REF!,"AAAAAE39fYg=",0)</f>
        <v>#REF!</v>
      </c>
      <c r="EH48" t="e">
        <f>IF(#REF!,"AAAAAE39fYk=",0)</f>
        <v>#REF!</v>
      </c>
      <c r="EI48" t="e">
        <f>IF(#REF!,"AAAAAE39fYo=",0)</f>
        <v>#REF!</v>
      </c>
      <c r="EJ48" t="e">
        <f>IF(#REF!,"AAAAAE39fYs=",0)</f>
        <v>#REF!</v>
      </c>
      <c r="EK48" t="e">
        <f>IF(#REF!,"AAAAAE39fYw=",0)</f>
        <v>#REF!</v>
      </c>
      <c r="EL48" t="e">
        <f>IF(#REF!,"AAAAAE39fY0=",0)</f>
        <v>#REF!</v>
      </c>
      <c r="EM48" t="e">
        <f>IF(#REF!,"AAAAAE39fY4=",0)</f>
        <v>#REF!</v>
      </c>
      <c r="EN48" t="e">
        <f>IF(#REF!,"AAAAAE39fY8=",0)</f>
        <v>#REF!</v>
      </c>
      <c r="EO48" t="e">
        <f>IF(#REF!,"AAAAAE39fZA=",0)</f>
        <v>#REF!</v>
      </c>
      <c r="EP48" t="e">
        <f>IF(#REF!,"AAAAAE39fZE=",0)</f>
        <v>#REF!</v>
      </c>
      <c r="EQ48" t="e">
        <f>IF(#REF!,"AAAAAE39fZI=",0)</f>
        <v>#REF!</v>
      </c>
      <c r="ER48" t="e">
        <f>IF(#REF!,"AAAAAE39fZM=",0)</f>
        <v>#REF!</v>
      </c>
      <c r="ES48" t="e">
        <f>IF(#REF!,"AAAAAE39fZQ=",0)</f>
        <v>#REF!</v>
      </c>
      <c r="ET48" t="e">
        <f>IF(#REF!,"AAAAAE39fZU=",0)</f>
        <v>#REF!</v>
      </c>
      <c r="EU48" t="e">
        <f>IF(#REF!,"AAAAAE39fZY=",0)</f>
        <v>#REF!</v>
      </c>
      <c r="EV48" t="e">
        <f>IF(#REF!,"AAAAAE39fZc=",0)</f>
        <v>#REF!</v>
      </c>
      <c r="EW48" t="e">
        <f>IF(#REF!,"AAAAAE39fZg=",0)</f>
        <v>#REF!</v>
      </c>
      <c r="EX48" t="e">
        <f>IF(#REF!,"AAAAAE39fZk=",0)</f>
        <v>#REF!</v>
      </c>
      <c r="EY48" t="e">
        <f>IF(#REF!,"AAAAAE39fZo=",0)</f>
        <v>#REF!</v>
      </c>
      <c r="EZ48" t="e">
        <f>IF(#REF!,"AAAAAE39fZs=",0)</f>
        <v>#REF!</v>
      </c>
      <c r="FA48" t="e">
        <f>IF(#REF!,"AAAAAE39fZw=",0)</f>
        <v>#REF!</v>
      </c>
      <c r="FB48" t="e">
        <f>IF(#REF!,"AAAAAE39fZ0=",0)</f>
        <v>#REF!</v>
      </c>
      <c r="FC48" t="e">
        <f>IF(#REF!,"AAAAAE39fZ4=",0)</f>
        <v>#REF!</v>
      </c>
      <c r="FD48" t="e">
        <f>IF(#REF!,"AAAAAE39fZ8=",0)</f>
        <v>#REF!</v>
      </c>
      <c r="FE48" t="e">
        <f>IF(#REF!,"AAAAAE39faA=",0)</f>
        <v>#REF!</v>
      </c>
      <c r="FF48" t="e">
        <f>IF(#REF!,"AAAAAE39faE=",0)</f>
        <v>#REF!</v>
      </c>
      <c r="FG48" t="e">
        <f>IF(#REF!,"AAAAAE39faI=",0)</f>
        <v>#REF!</v>
      </c>
      <c r="FH48" t="e">
        <f>IF(#REF!,"AAAAAE39faM=",0)</f>
        <v>#REF!</v>
      </c>
      <c r="FI48" t="e">
        <f>IF(#REF!,"AAAAAE39faQ=",0)</f>
        <v>#REF!</v>
      </c>
      <c r="FJ48" t="e">
        <f>IF(#REF!,"AAAAAE39faU=",0)</f>
        <v>#REF!</v>
      </c>
      <c r="FK48" t="e">
        <f>IF(#REF!,"AAAAAE39faY=",0)</f>
        <v>#REF!</v>
      </c>
      <c r="FL48" t="e">
        <f>AND(#REF!,"AAAAAE39fac=")</f>
        <v>#REF!</v>
      </c>
      <c r="FM48" t="e">
        <f>AND(#REF!,"AAAAAE39fag=")</f>
        <v>#REF!</v>
      </c>
      <c r="FN48" t="e">
        <f>AND(#REF!,"AAAAAE39fak=")</f>
        <v>#REF!</v>
      </c>
      <c r="FO48" t="e">
        <f>AND(#REF!,"AAAAAE39fao=")</f>
        <v>#REF!</v>
      </c>
      <c r="FP48" t="e">
        <f>AND(#REF!,"AAAAAE39fas=")</f>
        <v>#REF!</v>
      </c>
      <c r="FQ48" t="e">
        <f>AND(#REF!,"AAAAAE39faw=")</f>
        <v>#REF!</v>
      </c>
      <c r="FR48" t="e">
        <f>AND(#REF!,"AAAAAE39fa0=")</f>
        <v>#REF!</v>
      </c>
      <c r="FS48" t="e">
        <f>AND(#REF!,"AAAAAE39fa4=")</f>
        <v>#REF!</v>
      </c>
      <c r="FT48" t="e">
        <f>AND(#REF!,"AAAAAE39fa8=")</f>
        <v>#REF!</v>
      </c>
      <c r="FU48" t="e">
        <f>AND(#REF!,"AAAAAE39fbA=")</f>
        <v>#REF!</v>
      </c>
      <c r="FV48" t="e">
        <f>AND(#REF!,"AAAAAE39fbE=")</f>
        <v>#REF!</v>
      </c>
      <c r="FW48" t="e">
        <f>AND(#REF!,"AAAAAE39fbI=")</f>
        <v>#REF!</v>
      </c>
      <c r="FX48" t="e">
        <f>AND(#REF!,"AAAAAE39fbM=")</f>
        <v>#REF!</v>
      </c>
      <c r="FY48" t="e">
        <f>AND(#REF!,"AAAAAE39fbQ=")</f>
        <v>#REF!</v>
      </c>
      <c r="FZ48" t="e">
        <f>AND(#REF!,"AAAAAE39fbU=")</f>
        <v>#REF!</v>
      </c>
      <c r="GA48" t="e">
        <f>AND(#REF!,"AAAAAE39fbY=")</f>
        <v>#REF!</v>
      </c>
      <c r="GB48" t="e">
        <f>AND(#REF!,"AAAAAE39fbc=")</f>
        <v>#REF!</v>
      </c>
      <c r="GC48" t="e">
        <f>AND(#REF!,"AAAAAE39fbg=")</f>
        <v>#REF!</v>
      </c>
      <c r="GD48" t="e">
        <f>AND(#REF!,"AAAAAE39fbk=")</f>
        <v>#REF!</v>
      </c>
      <c r="GE48" t="e">
        <f>AND(#REF!,"AAAAAE39fbo=")</f>
        <v>#REF!</v>
      </c>
      <c r="GF48" t="e">
        <f>AND(#REF!,"AAAAAE39fbs=")</f>
        <v>#REF!</v>
      </c>
      <c r="GG48" t="e">
        <f>IF(#REF!,"AAAAAE39fbw=",0)</f>
        <v>#REF!</v>
      </c>
      <c r="GH48" t="e">
        <f>AND(#REF!,"AAAAAE39fb0=")</f>
        <v>#REF!</v>
      </c>
      <c r="GI48" t="e">
        <f>AND(#REF!,"AAAAAE39fb4=")</f>
        <v>#REF!</v>
      </c>
      <c r="GJ48" t="e">
        <f>AND(#REF!,"AAAAAE39fb8=")</f>
        <v>#REF!</v>
      </c>
      <c r="GK48" t="e">
        <f>AND(#REF!,"AAAAAE39fcA=")</f>
        <v>#REF!</v>
      </c>
      <c r="GL48" t="e">
        <f>AND(#REF!,"AAAAAE39fcE=")</f>
        <v>#REF!</v>
      </c>
      <c r="GM48" t="e">
        <f>AND(#REF!,"AAAAAE39fcI=")</f>
        <v>#REF!</v>
      </c>
      <c r="GN48" t="e">
        <f>AND(#REF!,"AAAAAE39fcM=")</f>
        <v>#REF!</v>
      </c>
      <c r="GO48" t="e">
        <f>AND(#REF!,"AAAAAE39fcQ=")</f>
        <v>#REF!</v>
      </c>
      <c r="GP48" t="e">
        <f>AND(#REF!,"AAAAAE39fcU=")</f>
        <v>#REF!</v>
      </c>
      <c r="GQ48" t="e">
        <f>AND(#REF!,"AAAAAE39fcY=")</f>
        <v>#REF!</v>
      </c>
      <c r="GR48" t="e">
        <f>AND(#REF!,"AAAAAE39fcc=")</f>
        <v>#REF!</v>
      </c>
      <c r="GS48" t="e">
        <f>AND(#REF!,"AAAAAE39fcg=")</f>
        <v>#REF!</v>
      </c>
      <c r="GT48" t="e">
        <f>AND(#REF!,"AAAAAE39fck=")</f>
        <v>#REF!</v>
      </c>
      <c r="GU48" t="e">
        <f>AND(#REF!,"AAAAAE39fco=")</f>
        <v>#REF!</v>
      </c>
      <c r="GV48" t="e">
        <f>AND(#REF!,"AAAAAE39fcs=")</f>
        <v>#REF!</v>
      </c>
      <c r="GW48" t="e">
        <f>AND(#REF!,"AAAAAE39fcw=")</f>
        <v>#REF!</v>
      </c>
      <c r="GX48" t="e">
        <f>AND(#REF!,"AAAAAE39fc0=")</f>
        <v>#REF!</v>
      </c>
      <c r="GY48" t="e">
        <f>AND(#REF!,"AAAAAE39fc4=")</f>
        <v>#REF!</v>
      </c>
      <c r="GZ48" t="e">
        <f>AND(#REF!,"AAAAAE39fc8=")</f>
        <v>#REF!</v>
      </c>
      <c r="HA48" t="e">
        <f>AND(#REF!,"AAAAAE39fdA=")</f>
        <v>#REF!</v>
      </c>
      <c r="HB48" t="e">
        <f>AND(#REF!,"AAAAAE39fdE=")</f>
        <v>#REF!</v>
      </c>
      <c r="HC48" t="e">
        <f>IF(#REF!,"AAAAAE39fdI=",0)</f>
        <v>#REF!</v>
      </c>
      <c r="HD48" t="e">
        <f>AND(#REF!,"AAAAAE39fdM=")</f>
        <v>#REF!</v>
      </c>
      <c r="HE48" t="e">
        <f>AND(#REF!,"AAAAAE39fdQ=")</f>
        <v>#REF!</v>
      </c>
      <c r="HF48" t="e">
        <f>AND(#REF!,"AAAAAE39fdU=")</f>
        <v>#REF!</v>
      </c>
      <c r="HG48" t="e">
        <f>AND(#REF!,"AAAAAE39fdY=")</f>
        <v>#REF!</v>
      </c>
      <c r="HH48" t="e">
        <f>AND(#REF!,"AAAAAE39fdc=")</f>
        <v>#REF!</v>
      </c>
      <c r="HI48" t="e">
        <f>AND(#REF!,"AAAAAE39fdg=")</f>
        <v>#REF!</v>
      </c>
      <c r="HJ48" t="e">
        <f>AND(#REF!,"AAAAAE39fdk=")</f>
        <v>#REF!</v>
      </c>
      <c r="HK48" t="e">
        <f>AND(#REF!,"AAAAAE39fdo=")</f>
        <v>#REF!</v>
      </c>
      <c r="HL48" t="e">
        <f>AND(#REF!,"AAAAAE39fds=")</f>
        <v>#REF!</v>
      </c>
      <c r="HM48" t="e">
        <f>AND(#REF!,"AAAAAE39fdw=")</f>
        <v>#REF!</v>
      </c>
      <c r="HN48" t="e">
        <f>AND(#REF!,"AAAAAE39fd0=")</f>
        <v>#REF!</v>
      </c>
      <c r="HO48" t="e">
        <f>AND(#REF!,"AAAAAE39fd4=")</f>
        <v>#REF!</v>
      </c>
      <c r="HP48" t="e">
        <f>AND(#REF!,"AAAAAE39fd8=")</f>
        <v>#REF!</v>
      </c>
      <c r="HQ48" t="e">
        <f>AND(#REF!,"AAAAAE39feA=")</f>
        <v>#REF!</v>
      </c>
      <c r="HR48" t="e">
        <f>AND(#REF!,"AAAAAE39feE=")</f>
        <v>#REF!</v>
      </c>
      <c r="HS48" t="e">
        <f>AND(#REF!,"AAAAAE39feI=")</f>
        <v>#REF!</v>
      </c>
      <c r="HT48" t="e">
        <f>AND(#REF!,"AAAAAE39feM=")</f>
        <v>#REF!</v>
      </c>
      <c r="HU48" t="e">
        <f>AND(#REF!,"AAAAAE39feQ=")</f>
        <v>#REF!</v>
      </c>
      <c r="HV48" t="e">
        <f>AND(#REF!,"AAAAAE39feU=")</f>
        <v>#REF!</v>
      </c>
      <c r="HW48" t="e">
        <f>AND(#REF!,"AAAAAE39feY=")</f>
        <v>#REF!</v>
      </c>
      <c r="HX48" t="e">
        <f>AND(#REF!,"AAAAAE39fec=")</f>
        <v>#REF!</v>
      </c>
      <c r="HY48" t="e">
        <f>IF(#REF!,"AAAAAE39feg=",0)</f>
        <v>#REF!</v>
      </c>
      <c r="HZ48" t="e">
        <f>AND(#REF!,"AAAAAE39fek=")</f>
        <v>#REF!</v>
      </c>
      <c r="IA48" t="e">
        <f>AND(#REF!,"AAAAAE39feo=")</f>
        <v>#REF!</v>
      </c>
      <c r="IB48" t="e">
        <f>AND(#REF!,"AAAAAE39fes=")</f>
        <v>#REF!</v>
      </c>
      <c r="IC48" t="e">
        <f>AND(#REF!,"AAAAAE39few=")</f>
        <v>#REF!</v>
      </c>
      <c r="ID48" t="e">
        <f>AND(#REF!,"AAAAAE39fe0=")</f>
        <v>#REF!</v>
      </c>
      <c r="IE48" t="e">
        <f>AND(#REF!,"AAAAAE39fe4=")</f>
        <v>#REF!</v>
      </c>
      <c r="IF48" t="e">
        <f>AND(#REF!,"AAAAAE39fe8=")</f>
        <v>#REF!</v>
      </c>
      <c r="IG48" t="e">
        <f>AND(#REF!,"AAAAAE39ffA=")</f>
        <v>#REF!</v>
      </c>
      <c r="IH48" t="e">
        <f>AND(#REF!,"AAAAAE39ffE=")</f>
        <v>#REF!</v>
      </c>
      <c r="II48" t="e">
        <f>AND(#REF!,"AAAAAE39ffI=")</f>
        <v>#REF!</v>
      </c>
      <c r="IJ48" t="e">
        <f>AND(#REF!,"AAAAAE39ffM=")</f>
        <v>#REF!</v>
      </c>
      <c r="IK48" t="e">
        <f>AND(#REF!,"AAAAAE39ffQ=")</f>
        <v>#REF!</v>
      </c>
      <c r="IL48" t="e">
        <f>AND(#REF!,"AAAAAE39ffU=")</f>
        <v>#REF!</v>
      </c>
      <c r="IM48" t="e">
        <f>AND(#REF!,"AAAAAE39ffY=")</f>
        <v>#REF!</v>
      </c>
      <c r="IN48" t="e">
        <f>AND(#REF!,"AAAAAE39ffc=")</f>
        <v>#REF!</v>
      </c>
      <c r="IO48" t="e">
        <f>AND(#REF!,"AAAAAE39ffg=")</f>
        <v>#REF!</v>
      </c>
      <c r="IP48" t="e">
        <f>AND(#REF!,"AAAAAE39ffk=")</f>
        <v>#REF!</v>
      </c>
      <c r="IQ48" t="e">
        <f>AND(#REF!,"AAAAAE39ffo=")</f>
        <v>#REF!</v>
      </c>
      <c r="IR48" t="e">
        <f>AND(#REF!,"AAAAAE39ffs=")</f>
        <v>#REF!</v>
      </c>
      <c r="IS48" t="e">
        <f>AND(#REF!,"AAAAAE39ffw=")</f>
        <v>#REF!</v>
      </c>
      <c r="IT48" t="e">
        <f>AND(#REF!,"AAAAAE39ff0=")</f>
        <v>#REF!</v>
      </c>
      <c r="IU48" t="e">
        <f>IF(#REF!,"AAAAAE39ff4=",0)</f>
        <v>#REF!</v>
      </c>
      <c r="IV48" t="e">
        <f>AND(#REF!,"AAAAAE39ff8=")</f>
        <v>#REF!</v>
      </c>
    </row>
    <row r="49" spans="1:256" x14ac:dyDescent="0.35">
      <c r="A49" t="e">
        <f>AND(#REF!,"AAAAAG///AA=")</f>
        <v>#REF!</v>
      </c>
      <c r="B49" t="e">
        <f>AND(#REF!,"AAAAAG///AE=")</f>
        <v>#REF!</v>
      </c>
      <c r="C49" t="e">
        <f>AND(#REF!,"AAAAAG///AI=")</f>
        <v>#REF!</v>
      </c>
      <c r="D49" t="e">
        <f>AND(#REF!,"AAAAAG///AM=")</f>
        <v>#REF!</v>
      </c>
      <c r="E49" t="e">
        <f>AND(#REF!,"AAAAAG///AQ=")</f>
        <v>#REF!</v>
      </c>
      <c r="F49" t="e">
        <f>AND(#REF!,"AAAAAG///AU=")</f>
        <v>#REF!</v>
      </c>
      <c r="G49" t="e">
        <f>AND(#REF!,"AAAAAG///AY=")</f>
        <v>#REF!</v>
      </c>
      <c r="H49" t="e">
        <f>AND(#REF!,"AAAAAG///Ac=")</f>
        <v>#REF!</v>
      </c>
      <c r="I49" t="e">
        <f>AND(#REF!,"AAAAAG///Ag=")</f>
        <v>#REF!</v>
      </c>
      <c r="J49" t="e">
        <f>AND(#REF!,"AAAAAG///Ak=")</f>
        <v>#REF!</v>
      </c>
      <c r="K49" t="e">
        <f>AND(#REF!,"AAAAAG///Ao=")</f>
        <v>#REF!</v>
      </c>
      <c r="L49" t="e">
        <f>AND(#REF!,"AAAAAG///As=")</f>
        <v>#REF!</v>
      </c>
      <c r="M49" t="e">
        <f>AND(#REF!,"AAAAAG///Aw=")</f>
        <v>#REF!</v>
      </c>
      <c r="N49" t="e">
        <f>AND(#REF!,"AAAAAG///A0=")</f>
        <v>#REF!</v>
      </c>
      <c r="O49" t="e">
        <f>AND(#REF!,"AAAAAG///A4=")</f>
        <v>#REF!</v>
      </c>
      <c r="P49" t="e">
        <f>AND(#REF!,"AAAAAG///A8=")</f>
        <v>#REF!</v>
      </c>
      <c r="Q49" t="e">
        <f>AND(#REF!,"AAAAAG///BA=")</f>
        <v>#REF!</v>
      </c>
      <c r="R49" t="e">
        <f>AND(#REF!,"AAAAAG///BE=")</f>
        <v>#REF!</v>
      </c>
      <c r="S49" t="e">
        <f>AND(#REF!,"AAAAAG///BI=")</f>
        <v>#REF!</v>
      </c>
      <c r="T49" t="e">
        <f>AND(#REF!,"AAAAAG///BM=")</f>
        <v>#REF!</v>
      </c>
      <c r="U49" t="e">
        <f>IF(#REF!,"AAAAAG///BQ=",0)</f>
        <v>#REF!</v>
      </c>
      <c r="V49" t="e">
        <f>AND(#REF!,"AAAAAG///BU=")</f>
        <v>#REF!</v>
      </c>
      <c r="W49" t="e">
        <f>AND(#REF!,"AAAAAG///BY=")</f>
        <v>#REF!</v>
      </c>
      <c r="X49" t="e">
        <f>AND(#REF!,"AAAAAG///Bc=")</f>
        <v>#REF!</v>
      </c>
      <c r="Y49" t="e">
        <f>AND(#REF!,"AAAAAG///Bg=")</f>
        <v>#REF!</v>
      </c>
      <c r="Z49" t="e">
        <f>AND(#REF!,"AAAAAG///Bk=")</f>
        <v>#REF!</v>
      </c>
      <c r="AA49" t="e">
        <f>AND(#REF!,"AAAAAG///Bo=")</f>
        <v>#REF!</v>
      </c>
      <c r="AB49" t="e">
        <f>AND(#REF!,"AAAAAG///Bs=")</f>
        <v>#REF!</v>
      </c>
      <c r="AC49" t="e">
        <f>AND(#REF!,"AAAAAG///Bw=")</f>
        <v>#REF!</v>
      </c>
      <c r="AD49" t="e">
        <f>AND(#REF!,"AAAAAG///B0=")</f>
        <v>#REF!</v>
      </c>
      <c r="AE49" t="e">
        <f>AND(#REF!,"AAAAAG///B4=")</f>
        <v>#REF!</v>
      </c>
      <c r="AF49" t="e">
        <f>AND(#REF!,"AAAAAG///B8=")</f>
        <v>#REF!</v>
      </c>
      <c r="AG49" t="e">
        <f>AND(#REF!,"AAAAAG///CA=")</f>
        <v>#REF!</v>
      </c>
      <c r="AH49" t="e">
        <f>AND(#REF!,"AAAAAG///CE=")</f>
        <v>#REF!</v>
      </c>
      <c r="AI49" t="e">
        <f>AND(#REF!,"AAAAAG///CI=")</f>
        <v>#REF!</v>
      </c>
      <c r="AJ49" t="e">
        <f>AND(#REF!,"AAAAAG///CM=")</f>
        <v>#REF!</v>
      </c>
      <c r="AK49" t="e">
        <f>AND(#REF!,"AAAAAG///CQ=")</f>
        <v>#REF!</v>
      </c>
      <c r="AL49" t="e">
        <f>AND(#REF!,"AAAAAG///CU=")</f>
        <v>#REF!</v>
      </c>
      <c r="AM49" t="e">
        <f>AND(#REF!,"AAAAAG///CY=")</f>
        <v>#REF!</v>
      </c>
      <c r="AN49" t="e">
        <f>AND(#REF!,"AAAAAG///Cc=")</f>
        <v>#REF!</v>
      </c>
      <c r="AO49" t="e">
        <f>AND(#REF!,"AAAAAG///Cg=")</f>
        <v>#REF!</v>
      </c>
      <c r="AP49" t="e">
        <f>AND(#REF!,"AAAAAG///Ck=")</f>
        <v>#REF!</v>
      </c>
      <c r="AQ49" t="e">
        <f>IF(#REF!,"AAAAAG///Co=",0)</f>
        <v>#REF!</v>
      </c>
      <c r="AR49" t="e">
        <f>AND(#REF!,"AAAAAG///Cs=")</f>
        <v>#REF!</v>
      </c>
      <c r="AS49" t="e">
        <f>AND(#REF!,"AAAAAG///Cw=")</f>
        <v>#REF!</v>
      </c>
      <c r="AT49" t="e">
        <f>AND(#REF!,"AAAAAG///C0=")</f>
        <v>#REF!</v>
      </c>
      <c r="AU49" t="e">
        <f>AND(#REF!,"AAAAAG///C4=")</f>
        <v>#REF!</v>
      </c>
      <c r="AV49" t="e">
        <f>AND(#REF!,"AAAAAG///C8=")</f>
        <v>#REF!</v>
      </c>
      <c r="AW49" t="e">
        <f>AND(#REF!,"AAAAAG///DA=")</f>
        <v>#REF!</v>
      </c>
      <c r="AX49" t="e">
        <f>AND(#REF!,"AAAAAG///DE=")</f>
        <v>#REF!</v>
      </c>
      <c r="AY49" t="e">
        <f>AND(#REF!,"AAAAAG///DI=")</f>
        <v>#REF!</v>
      </c>
      <c r="AZ49" t="e">
        <f>AND(#REF!,"AAAAAG///DM=")</f>
        <v>#REF!</v>
      </c>
      <c r="BA49" t="e">
        <f>AND(#REF!,"AAAAAG///DQ=")</f>
        <v>#REF!</v>
      </c>
      <c r="BB49" t="e">
        <f>AND(#REF!,"AAAAAG///DU=")</f>
        <v>#REF!</v>
      </c>
      <c r="BC49" t="e">
        <f>AND(#REF!,"AAAAAG///DY=")</f>
        <v>#REF!</v>
      </c>
      <c r="BD49" t="e">
        <f>AND(#REF!,"AAAAAG///Dc=")</f>
        <v>#REF!</v>
      </c>
      <c r="BE49" t="e">
        <f>AND(#REF!,"AAAAAG///Dg=")</f>
        <v>#REF!</v>
      </c>
      <c r="BF49" t="e">
        <f>AND(#REF!,"AAAAAG///Dk=")</f>
        <v>#REF!</v>
      </c>
      <c r="BG49" t="e">
        <f>AND(#REF!,"AAAAAG///Do=")</f>
        <v>#REF!</v>
      </c>
      <c r="BH49" t="e">
        <f>AND(#REF!,"AAAAAG///Ds=")</f>
        <v>#REF!</v>
      </c>
      <c r="BI49" t="e">
        <f>AND(#REF!,"AAAAAG///Dw=")</f>
        <v>#REF!</v>
      </c>
      <c r="BJ49" t="e">
        <f>AND(#REF!,"AAAAAG///D0=")</f>
        <v>#REF!</v>
      </c>
      <c r="BK49" t="e">
        <f>AND(#REF!,"AAAAAG///D4=")</f>
        <v>#REF!</v>
      </c>
      <c r="BL49" t="e">
        <f>AND(#REF!,"AAAAAG///D8=")</f>
        <v>#REF!</v>
      </c>
      <c r="BM49" t="e">
        <f>IF(#REF!,"AAAAAG///EA=",0)</f>
        <v>#REF!</v>
      </c>
      <c r="BN49" t="e">
        <f>IF(#REF!,"AAAAAG///EE=",0)</f>
        <v>#REF!</v>
      </c>
      <c r="BO49" t="e">
        <f>IF(#REF!,"AAAAAG///EI=",0)</f>
        <v>#REF!</v>
      </c>
      <c r="BP49" t="e">
        <f>IF(#REF!,"AAAAAG///EM=",0)</f>
        <v>#REF!</v>
      </c>
      <c r="BQ49" t="e">
        <f>IF(#REF!,"AAAAAG///EQ=",0)</f>
        <v>#REF!</v>
      </c>
      <c r="BR49" t="e">
        <f>IF(#REF!,"AAAAAG///EU=",0)</f>
        <v>#REF!</v>
      </c>
      <c r="BS49" t="e">
        <f>IF(#REF!,"AAAAAG///EY=",0)</f>
        <v>#REF!</v>
      </c>
      <c r="BT49" t="e">
        <f>IF(#REF!,"AAAAAG///Ec=",0)</f>
        <v>#REF!</v>
      </c>
      <c r="BU49" t="e">
        <f>IF(#REF!,"AAAAAG///Eg=",0)</f>
        <v>#REF!</v>
      </c>
      <c r="BV49" t="e">
        <f>IF(#REF!,"AAAAAG///Ek=",0)</f>
        <v>#REF!</v>
      </c>
      <c r="BW49" t="e">
        <f>IF(#REF!,"AAAAAG///Eo=",0)</f>
        <v>#REF!</v>
      </c>
      <c r="BX49" t="e">
        <f>IF(#REF!,"AAAAAG///Es=",0)</f>
        <v>#REF!</v>
      </c>
      <c r="BY49" t="e">
        <f>IF(#REF!,"AAAAAG///Ew=",0)</f>
        <v>#REF!</v>
      </c>
      <c r="BZ49" t="e">
        <f>IF(#REF!,"AAAAAG///E0=",0)</f>
        <v>#REF!</v>
      </c>
      <c r="CA49" t="e">
        <f>IF(#REF!,"AAAAAG///E4=",0)</f>
        <v>#REF!</v>
      </c>
      <c r="CB49" t="e">
        <f>IF(#REF!,"AAAAAG///E8=",0)</f>
        <v>#REF!</v>
      </c>
      <c r="CC49" t="e">
        <f>IF(#REF!,"AAAAAG///FA=",0)</f>
        <v>#REF!</v>
      </c>
      <c r="CD49" t="e">
        <f>IF(#REF!,"AAAAAG///FE=",0)</f>
        <v>#REF!</v>
      </c>
      <c r="CE49" t="e">
        <f>IF(#REF!,"AAAAAG///FI=",0)</f>
        <v>#REF!</v>
      </c>
      <c r="CF49" t="e">
        <f>IF(#REF!,"AAAAAG///FM=",0)</f>
        <v>#REF!</v>
      </c>
      <c r="CG49" t="e">
        <f>IF(#REF!,"AAAAAG///FQ=",0)</f>
        <v>#REF!</v>
      </c>
      <c r="CH49" t="e">
        <f>IF(#REF!,"AAAAAG///FU=",0)</f>
        <v>#REF!</v>
      </c>
      <c r="CI49" t="e">
        <f>IF(#REF!,"AAAAAG///FY=",0)</f>
        <v>#REF!</v>
      </c>
      <c r="CJ49" t="e">
        <f>IF(#REF!,"AAAAAG///Fc=",0)</f>
        <v>#REF!</v>
      </c>
      <c r="CK49" t="e">
        <f>IF(#REF!,"AAAAAG///Fg=",0)</f>
        <v>#REF!</v>
      </c>
      <c r="CL49" t="e">
        <f>IF(#REF!,"AAAAAG///Fk=",0)</f>
        <v>#REF!</v>
      </c>
      <c r="CM49" t="e">
        <f>IF(#REF!,"AAAAAG///Fo=",0)</f>
        <v>#REF!</v>
      </c>
      <c r="CN49" t="e">
        <f>IF(#REF!,"AAAAAG///Fs=",0)</f>
        <v>#REF!</v>
      </c>
      <c r="CO49" t="e">
        <f>IF(#REF!,"AAAAAG///Fw=",0)</f>
        <v>#REF!</v>
      </c>
      <c r="CP49" t="e">
        <f>IF(#REF!,"AAAAAG///F0=",0)</f>
        <v>#REF!</v>
      </c>
      <c r="CQ49" t="e">
        <f>IF(#REF!,"AAAAAG///F4=",0)</f>
        <v>#REF!</v>
      </c>
      <c r="CR49" t="e">
        <f>IF(#REF!,"AAAAAG///F8=",0)</f>
        <v>#REF!</v>
      </c>
      <c r="CS49" t="e">
        <f>IF(#REF!,"AAAAAG///GA=",0)</f>
        <v>#REF!</v>
      </c>
      <c r="CT49" t="e">
        <f>IF(#REF!,"AAAAAG///GE=",0)</f>
        <v>#REF!</v>
      </c>
      <c r="CU49" t="e">
        <f>IF(#REF!,"AAAAAG///GI=",0)</f>
        <v>#REF!</v>
      </c>
      <c r="CV49" t="e">
        <f>IF(#REF!,"AAAAAG///GM=",0)</f>
        <v>#REF!</v>
      </c>
      <c r="CW49" t="e">
        <f>IF(#REF!,"AAAAAG///GQ=",0)</f>
        <v>#REF!</v>
      </c>
      <c r="CX49" t="e">
        <f>IF(#REF!,"AAAAAG///GU=",0)</f>
        <v>#REF!</v>
      </c>
      <c r="CY49" t="e">
        <f>IF(#REF!,"AAAAAG///GY=",0)</f>
        <v>#REF!</v>
      </c>
      <c r="CZ49" t="e">
        <f>IF(#REF!,"AAAAAG///Gc=",0)</f>
        <v>#REF!</v>
      </c>
      <c r="DA49" t="e">
        <f>IF(#REF!,"AAAAAG///Gg=",0)</f>
        <v>#REF!</v>
      </c>
      <c r="DB49" t="e">
        <f>IF(#REF!,"AAAAAG///Gk=",0)</f>
        <v>#REF!</v>
      </c>
      <c r="DC49" t="e">
        <f>IF(#REF!,"AAAAAG///Go=",0)</f>
        <v>#REF!</v>
      </c>
      <c r="DD49" t="e">
        <f>IF(#REF!,"AAAAAG///Gs=",0)</f>
        <v>#REF!</v>
      </c>
      <c r="DE49" t="e">
        <f>IF(#REF!,"AAAAAG///Gw=",0)</f>
        <v>#REF!</v>
      </c>
      <c r="DF49" t="e">
        <f>IF(#REF!,"AAAAAG///G0=",0)</f>
        <v>#REF!</v>
      </c>
      <c r="DG49" t="e">
        <f>IF(#REF!,"AAAAAG///G4=",0)</f>
        <v>#REF!</v>
      </c>
      <c r="DH49" t="e">
        <f>IF(#REF!,"AAAAAG///G8=",0)</f>
        <v>#REF!</v>
      </c>
      <c r="DI49" t="e">
        <f>IF(#REF!,"AAAAAG///HA=",0)</f>
        <v>#REF!</v>
      </c>
      <c r="DJ49" t="e">
        <f>IF(#REF!,"AAAAAG///HE=",0)</f>
        <v>#REF!</v>
      </c>
      <c r="DK49" t="e">
        <f>IF(#REF!,"AAAAAG///HI=",0)</f>
        <v>#REF!</v>
      </c>
      <c r="DL49" t="e">
        <f>IF(#REF!,"AAAAAG///HM=",0)</f>
        <v>#REF!</v>
      </c>
      <c r="DM49" t="e">
        <f>IF(#REF!,"AAAAAG///HQ=",0)</f>
        <v>#REF!</v>
      </c>
      <c r="DN49" t="e">
        <f>IF(#REF!,"AAAAAG///HU=",0)</f>
        <v>#REF!</v>
      </c>
      <c r="DO49" t="e">
        <f>IF(#REF!,"AAAAAG///HY=",0)</f>
        <v>#REF!</v>
      </c>
      <c r="DP49" t="e">
        <f>IF(#REF!,"AAAAAG///Hc=",0)</f>
        <v>#REF!</v>
      </c>
      <c r="DQ49" t="e">
        <f>IF(#REF!,"AAAAAG///Hg=",0)</f>
        <v>#REF!</v>
      </c>
      <c r="DR49" t="e">
        <f>IF(#REF!,"AAAAAG///Hk=",0)</f>
        <v>#REF!</v>
      </c>
      <c r="DS49" t="e">
        <f>IF(#REF!,"AAAAAG///Ho=",0)</f>
        <v>#REF!</v>
      </c>
      <c r="DT49" t="e">
        <f>IF(#REF!,"AAAAAG///Hs=",0)</f>
        <v>#REF!</v>
      </c>
      <c r="DU49" t="e">
        <f>IF(#REF!,"AAAAAG///Hw=",0)</f>
        <v>#REF!</v>
      </c>
      <c r="DV49" t="e">
        <f>IF(#REF!,"AAAAAG///H0=",0)</f>
        <v>#REF!</v>
      </c>
      <c r="DW49" t="e">
        <f>IF(#REF!,"AAAAAG///H4=",0)</f>
        <v>#REF!</v>
      </c>
      <c r="DX49" t="e">
        <f>IF(#REF!,"AAAAAG///H8=",0)</f>
        <v>#REF!</v>
      </c>
      <c r="DY49" t="e">
        <f>IF(#REF!,"AAAAAG///IA=",0)</f>
        <v>#REF!</v>
      </c>
      <c r="DZ49" t="e">
        <f>IF(#REF!,"AAAAAG///IE=",0)</f>
        <v>#REF!</v>
      </c>
      <c r="EA49" t="e">
        <f>IF(#REF!,"AAAAAG///II=",0)</f>
        <v>#REF!</v>
      </c>
      <c r="EB49" t="e">
        <f>IF(#REF!,"AAAAAG///IM=",0)</f>
        <v>#REF!</v>
      </c>
      <c r="EC49" t="e">
        <f>IF(#REF!,"AAAAAG///IQ=",0)</f>
        <v>#REF!</v>
      </c>
      <c r="ED49" t="e">
        <f>IF(#REF!,"AAAAAG///IU=",0)</f>
        <v>#REF!</v>
      </c>
      <c r="EE49" t="e">
        <f>IF(#REF!,"AAAAAG///IY=",0)</f>
        <v>#REF!</v>
      </c>
      <c r="EF49" t="e">
        <f>IF(#REF!,"AAAAAG///Ic=",0)</f>
        <v>#REF!</v>
      </c>
      <c r="EG49" t="e">
        <f>IF(#REF!,"AAAAAG///Ig=",0)</f>
        <v>#REF!</v>
      </c>
      <c r="EH49" t="e">
        <f>IF(#REF!,"AAAAAG///Ik=",0)</f>
        <v>#REF!</v>
      </c>
      <c r="EI49" t="e">
        <f>IF(#REF!,"AAAAAG///Io=",0)</f>
        <v>#REF!</v>
      </c>
      <c r="EJ49" t="e">
        <f>IF(#REF!,"AAAAAG///Is=",0)</f>
        <v>#REF!</v>
      </c>
      <c r="EK49" t="e">
        <f>IF(#REF!,"AAAAAG///Iw=",0)</f>
        <v>#REF!</v>
      </c>
      <c r="EL49" t="e">
        <f>IF(#REF!,"AAAAAG///I0=",0)</f>
        <v>#REF!</v>
      </c>
      <c r="EM49" t="e">
        <f>IF(#REF!,"AAAAAG///I4=",0)</f>
        <v>#REF!</v>
      </c>
      <c r="EN49" t="e">
        <f>IF(#REF!,"AAAAAG///I8=",0)</f>
        <v>#REF!</v>
      </c>
      <c r="EO49" t="e">
        <f>IF(#REF!,"AAAAAG///JA=",0)</f>
        <v>#REF!</v>
      </c>
      <c r="EP49" t="e">
        <f>IF(#REF!,"AAAAAG///JE=",0)</f>
        <v>#REF!</v>
      </c>
      <c r="EQ49" t="e">
        <f>IF(#REF!,"AAAAAG///JI=",0)</f>
        <v>#REF!</v>
      </c>
      <c r="ER49" t="e">
        <f>IF(#REF!,"AAAAAG///JM=",0)</f>
        <v>#REF!</v>
      </c>
      <c r="ES49" t="e">
        <f>IF(#REF!,"AAAAAG///JQ=",0)</f>
        <v>#REF!</v>
      </c>
      <c r="ET49" t="e">
        <f>IF(#REF!,"AAAAAG///JU=",0)</f>
        <v>#REF!</v>
      </c>
      <c r="EU49" t="e">
        <f>IF(#REF!,"AAAAAG///JY=",0)</f>
        <v>#REF!</v>
      </c>
      <c r="EV49" t="e">
        <f>IF(#REF!,"AAAAAG///Jc=",0)</f>
        <v>#REF!</v>
      </c>
      <c r="EW49" t="e">
        <f>IF(#REF!,"AAAAAG///Jg=",0)</f>
        <v>#REF!</v>
      </c>
      <c r="EX49" t="e">
        <f>IF(#REF!,"AAAAAG///Jk=",0)</f>
        <v>#REF!</v>
      </c>
      <c r="EY49" t="e">
        <f>IF(#REF!,"AAAAAG///Jo=",0)</f>
        <v>#REF!</v>
      </c>
      <c r="EZ49" t="e">
        <f>IF(#REF!,"AAAAAG///Js=",0)</f>
        <v>#REF!</v>
      </c>
      <c r="FA49" t="e">
        <f>IF(#REF!,"AAAAAG///Jw=",0)</f>
        <v>#REF!</v>
      </c>
      <c r="FB49" t="e">
        <f>IF(#REF!,"AAAAAG///J0=",0)</f>
        <v>#REF!</v>
      </c>
      <c r="FC49" t="e">
        <f>IF(#REF!,"AAAAAG///J4=",0)</f>
        <v>#REF!</v>
      </c>
      <c r="FD49" t="e">
        <f>IF(#REF!,"AAAAAG///J8=",0)</f>
        <v>#REF!</v>
      </c>
      <c r="FE49" t="e">
        <f>IF(#REF!,"AAAAAG///KA=",0)</f>
        <v>#REF!</v>
      </c>
      <c r="FF49" t="e">
        <f>IF(#REF!,"AAAAAG///KE=",0)</f>
        <v>#REF!</v>
      </c>
      <c r="FG49" t="e">
        <f>IF(#REF!,"AAAAAG///KI=",0)</f>
        <v>#REF!</v>
      </c>
      <c r="FH49" t="e">
        <f>IF(#REF!,"AAAAAG///KM=",0)</f>
        <v>#REF!</v>
      </c>
      <c r="FI49" t="e">
        <f>IF(#REF!,"AAAAAG///KQ=",0)</f>
        <v>#REF!</v>
      </c>
      <c r="FJ49" t="e">
        <f>IF(#REF!,"AAAAAG///KU=",0)</f>
        <v>#REF!</v>
      </c>
      <c r="FK49" t="e">
        <f>IF(#REF!,"AAAAAG///KY=",0)</f>
        <v>#REF!</v>
      </c>
      <c r="FL49" t="e">
        <f>IF(#REF!,"AAAAAG///Kc=",0)</f>
        <v>#REF!</v>
      </c>
      <c r="FM49" t="e">
        <f>IF(#REF!,"AAAAAG///Kg=",0)</f>
        <v>#REF!</v>
      </c>
      <c r="FN49" t="e">
        <f>IF(#REF!,"AAAAAG///Kk=",0)</f>
        <v>#REF!</v>
      </c>
      <c r="FO49" t="e">
        <f>IF(#REF!,"AAAAAG///Ko=",0)</f>
        <v>#REF!</v>
      </c>
      <c r="FP49" t="e">
        <f>IF(#REF!,"AAAAAG///Ks=",0)</f>
        <v>#REF!</v>
      </c>
      <c r="FQ49" t="e">
        <f>IF(#REF!,"AAAAAG///Kw=",0)</f>
        <v>#REF!</v>
      </c>
      <c r="FR49" t="e">
        <f>IF(#REF!,"AAAAAG///K0=",0)</f>
        <v>#REF!</v>
      </c>
      <c r="FS49" t="e">
        <f>IF(#REF!,"AAAAAG///K4=",0)</f>
        <v>#REF!</v>
      </c>
      <c r="FT49" t="e">
        <f>IF(#REF!,"AAAAAG///K8=",0)</f>
        <v>#REF!</v>
      </c>
      <c r="FU49" t="e">
        <f>IF(#REF!,"AAAAAG///LA=",0)</f>
        <v>#REF!</v>
      </c>
      <c r="FV49" t="e">
        <f>IF(#REF!,"AAAAAG///LE=",0)</f>
        <v>#REF!</v>
      </c>
      <c r="FW49" t="e">
        <f>IF(#REF!,"AAAAAG///LI=",0)</f>
        <v>#REF!</v>
      </c>
      <c r="FX49" t="e">
        <f>IF(#REF!,"AAAAAG///LM=",0)</f>
        <v>#REF!</v>
      </c>
      <c r="FY49" t="e">
        <f>IF(#REF!,"AAAAAG///LQ=",0)</f>
        <v>#REF!</v>
      </c>
      <c r="FZ49" t="e">
        <f>IF(#REF!,"AAAAAG///LU=",0)</f>
        <v>#REF!</v>
      </c>
      <c r="GA49" t="e">
        <f>IF(#REF!,"AAAAAG///LY=",0)</f>
        <v>#REF!</v>
      </c>
      <c r="GB49" t="e">
        <f>IF(#REF!,"AAAAAG///Lc=",0)</f>
        <v>#REF!</v>
      </c>
      <c r="GC49" t="e">
        <f>IF(#REF!,"AAAAAG///Lg=",0)</f>
        <v>#REF!</v>
      </c>
      <c r="GD49" t="e">
        <f>IF(#REF!,"AAAAAG///Lk=",0)</f>
        <v>#REF!</v>
      </c>
      <c r="GE49" t="e">
        <f>IF(#REF!,"AAAAAG///Lo=",0)</f>
        <v>#REF!</v>
      </c>
      <c r="GF49" t="e">
        <f>IF(#REF!,"AAAAAG///Ls=",0)</f>
        <v>#REF!</v>
      </c>
      <c r="GG49" t="e">
        <f>IF(#REF!,"AAAAAG///Lw=",0)</f>
        <v>#REF!</v>
      </c>
      <c r="GH49" t="e">
        <f>IF(#REF!,"AAAAAG///L0=",0)</f>
        <v>#REF!</v>
      </c>
      <c r="GI49" t="e">
        <f>IF(#REF!,"AAAAAG///L4=",0)</f>
        <v>#REF!</v>
      </c>
      <c r="GJ49" t="e">
        <f>IF(#REF!,"AAAAAG///L8=",0)</f>
        <v>#REF!</v>
      </c>
      <c r="GK49" t="e">
        <f>IF(#REF!,"AAAAAG///MA=",0)</f>
        <v>#REF!</v>
      </c>
      <c r="GL49" t="e">
        <f>IF(#REF!,"AAAAAG///ME=",0)</f>
        <v>#REF!</v>
      </c>
      <c r="GM49" t="e">
        <f>IF(#REF!,"AAAAAG///MI=",0)</f>
        <v>#REF!</v>
      </c>
      <c r="GN49" t="e">
        <f>IF(#REF!,"AAAAAG///MM=",0)</f>
        <v>#REF!</v>
      </c>
      <c r="GO49" t="e">
        <f>IF(#REF!,"AAAAAG///MQ=",0)</f>
        <v>#REF!</v>
      </c>
      <c r="GP49" t="e">
        <f>IF(#REF!,"AAAAAG///MU=",0)</f>
        <v>#REF!</v>
      </c>
      <c r="GQ49" t="e">
        <f>IF(#REF!,"AAAAAG///MY=",0)</f>
        <v>#REF!</v>
      </c>
      <c r="GR49" t="e">
        <f>IF(#REF!,"AAAAAG///Mc=",0)</f>
        <v>#REF!</v>
      </c>
      <c r="GS49" t="e">
        <f>IF(#REF!,"AAAAAG///Mg=",0)</f>
        <v>#REF!</v>
      </c>
      <c r="GT49" t="e">
        <f>IF(#REF!,"AAAAAG///Mk=",0)</f>
        <v>#REF!</v>
      </c>
      <c r="GU49" t="e">
        <f>IF(#REF!,"AAAAAG///Mo=",0)</f>
        <v>#REF!</v>
      </c>
      <c r="GV49" t="e">
        <f>IF(#REF!,"AAAAAG///Ms=",0)</f>
        <v>#REF!</v>
      </c>
      <c r="GW49" t="e">
        <f>IF(#REF!,"AAAAAG///Mw=",0)</f>
        <v>#REF!</v>
      </c>
      <c r="GX49" t="e">
        <f>IF(#REF!,"AAAAAG///M0=",0)</f>
        <v>#REF!</v>
      </c>
      <c r="GY49" t="e">
        <f>IF(#REF!,"AAAAAG///M4=",0)</f>
        <v>#REF!</v>
      </c>
      <c r="GZ49" t="e">
        <f>IF(#REF!,"AAAAAG///M8=",0)</f>
        <v>#REF!</v>
      </c>
      <c r="HA49" t="e">
        <f>IF(#REF!,"AAAAAG///NA=",0)</f>
        <v>#REF!</v>
      </c>
      <c r="HB49" t="e">
        <f>IF(#REF!,"AAAAAG///NE=",0)</f>
        <v>#REF!</v>
      </c>
      <c r="HC49" t="e">
        <f>IF(#REF!,"AAAAAG///NI=",0)</f>
        <v>#REF!</v>
      </c>
      <c r="HD49" t="e">
        <f>IF(#REF!,"AAAAAG///NM=",0)</f>
        <v>#REF!</v>
      </c>
      <c r="HE49" t="e">
        <f>IF(#REF!,"AAAAAG///NQ=",0)</f>
        <v>#REF!</v>
      </c>
      <c r="HF49" t="e">
        <f>IF(#REF!,"AAAAAG///NU=",0)</f>
        <v>#REF!</v>
      </c>
      <c r="HG49" t="e">
        <f>IF(#REF!,"AAAAAG///NY=",0)</f>
        <v>#REF!</v>
      </c>
      <c r="HH49" t="e">
        <f>IF(#REF!,"AAAAAG///Nc=",0)</f>
        <v>#REF!</v>
      </c>
      <c r="HI49" t="e">
        <f>IF(#REF!,"AAAAAG///Ng=",0)</f>
        <v>#REF!</v>
      </c>
      <c r="HJ49" t="e">
        <f>IF(#REF!,"AAAAAG///Nk=",0)</f>
        <v>#REF!</v>
      </c>
      <c r="HK49" t="e">
        <f>IF(#REF!,"AAAAAG///No=",0)</f>
        <v>#REF!</v>
      </c>
      <c r="HL49" t="e">
        <f>IF(#REF!,"AAAAAG///Ns=",0)</f>
        <v>#REF!</v>
      </c>
      <c r="HM49" t="e">
        <f>IF(#REF!,"AAAAAG///Nw=",0)</f>
        <v>#REF!</v>
      </c>
      <c r="HN49" t="e">
        <f>IF(#REF!,"AAAAAG///N0=",0)</f>
        <v>#REF!</v>
      </c>
      <c r="HO49" t="e">
        <f>IF(#REF!,"AAAAAG///N4=",0)</f>
        <v>#REF!</v>
      </c>
      <c r="HP49" t="e">
        <f>IF(#REF!,"AAAAAG///N8=",0)</f>
        <v>#REF!</v>
      </c>
      <c r="HQ49" t="e">
        <f>IF(#REF!,"AAAAAG///OA=",0)</f>
        <v>#REF!</v>
      </c>
      <c r="HR49" t="e">
        <f>IF(#REF!,"AAAAAG///OE=",0)</f>
        <v>#REF!</v>
      </c>
      <c r="HS49" t="e">
        <f>IF(#REF!,"AAAAAG///OI=",0)</f>
        <v>#REF!</v>
      </c>
      <c r="HT49" t="e">
        <f>IF(#REF!,"AAAAAG///OM=",0)</f>
        <v>#REF!</v>
      </c>
      <c r="HU49" t="e">
        <f>IF(#REF!,"AAAAAG///OQ=",0)</f>
        <v>#REF!</v>
      </c>
      <c r="HV49" t="e">
        <f>IF(#REF!,"AAAAAG///OU=",0)</f>
        <v>#REF!</v>
      </c>
      <c r="HW49" t="e">
        <f>IF(#REF!,"AAAAAG///OY=",0)</f>
        <v>#REF!</v>
      </c>
      <c r="HX49" t="e">
        <f>IF(#REF!,"AAAAAG///Oc=",0)</f>
        <v>#REF!</v>
      </c>
      <c r="HY49" t="e">
        <f>IF(#REF!,"AAAAAG///Og=",0)</f>
        <v>#REF!</v>
      </c>
      <c r="HZ49" t="e">
        <f>IF(#REF!,"AAAAAG///Ok=",0)</f>
        <v>#REF!</v>
      </c>
      <c r="IA49" t="e">
        <f>IF(#REF!,"AAAAAG///Oo=",0)</f>
        <v>#REF!</v>
      </c>
      <c r="IB49" t="e">
        <f>IF(#REF!,"AAAAAG///Os=",0)</f>
        <v>#REF!</v>
      </c>
      <c r="IC49" t="e">
        <f>IF(#REF!,"AAAAAG///Ow=",0)</f>
        <v>#REF!</v>
      </c>
      <c r="ID49" t="e">
        <f>IF(#REF!,"AAAAAG///O0=",0)</f>
        <v>#REF!</v>
      </c>
      <c r="IE49" t="e">
        <f>IF(#REF!,"AAAAAG///O4=",0)</f>
        <v>#REF!</v>
      </c>
      <c r="IF49" t="e">
        <f>IF(#REF!,"AAAAAG///O8=",0)</f>
        <v>#REF!</v>
      </c>
      <c r="IG49" t="e">
        <f>IF(#REF!,"AAAAAG///PA=",0)</f>
        <v>#REF!</v>
      </c>
      <c r="IH49" t="e">
        <f>IF(#REF!,"AAAAAG///PE=",0)</f>
        <v>#REF!</v>
      </c>
      <c r="II49" t="e">
        <f>IF(#REF!,"AAAAAG///PI=",0)</f>
        <v>#REF!</v>
      </c>
      <c r="IJ49" t="e">
        <f>IF(#REF!,"AAAAAG///PM=",0)</f>
        <v>#REF!</v>
      </c>
      <c r="IK49" t="e">
        <f>IF(#REF!,"AAAAAG///PQ=",0)</f>
        <v>#REF!</v>
      </c>
      <c r="IL49" t="e">
        <f>IF(#REF!,"AAAAAG///PU=",0)</f>
        <v>#REF!</v>
      </c>
      <c r="IM49" t="e">
        <f>IF(#REF!,"AAAAAG///PY=",0)</f>
        <v>#REF!</v>
      </c>
      <c r="IN49" t="e">
        <f>IF(#REF!,"AAAAAG///Pc=",0)</f>
        <v>#REF!</v>
      </c>
      <c r="IO49" t="e">
        <f>IF(#REF!,"AAAAAG///Pg=",0)</f>
        <v>#REF!</v>
      </c>
      <c r="IP49" t="e">
        <f>IF(#REF!,"AAAAAG///Pk=",0)</f>
        <v>#REF!</v>
      </c>
      <c r="IQ49" t="e">
        <f>IF(#REF!,"AAAAAG///Po=",0)</f>
        <v>#REF!</v>
      </c>
      <c r="IR49" t="e">
        <f>IF(#REF!,"AAAAAG///Ps=",0)</f>
        <v>#REF!</v>
      </c>
      <c r="IS49" t="e">
        <f>IF(#REF!,"AAAAAG///Pw=",0)</f>
        <v>#REF!</v>
      </c>
      <c r="IT49" t="e">
        <f>IF(#REF!,"AAAAAG///P0=",0)</f>
        <v>#REF!</v>
      </c>
      <c r="IU49" t="e">
        <f>IF(#REF!,"AAAAAG///P4=",0)</f>
        <v>#REF!</v>
      </c>
      <c r="IV49" t="e">
        <f>IF(#REF!,"AAAAAG///P8=",0)</f>
        <v>#REF!</v>
      </c>
    </row>
    <row r="50" spans="1:256" x14ac:dyDescent="0.35">
      <c r="A50" t="e">
        <f>IF(#REF!,"AAAAADbS9wA=",0)</f>
        <v>#REF!</v>
      </c>
      <c r="B50" t="e">
        <f>IF(#REF!,"AAAAADbS9wE=",0)</f>
        <v>#REF!</v>
      </c>
      <c r="C50" t="e">
        <f>IF(#REF!,"AAAAADbS9wI=",0)</f>
        <v>#REF!</v>
      </c>
      <c r="D50" t="e">
        <f>IF(#REF!,"AAAAADbS9wM=",0)</f>
        <v>#REF!</v>
      </c>
      <c r="E50" t="e">
        <f>IF(#REF!,"AAAAADbS9wQ=",0)</f>
        <v>#REF!</v>
      </c>
      <c r="F50" t="e">
        <f>IF(#REF!,"AAAAADbS9wU=",0)</f>
        <v>#REF!</v>
      </c>
      <c r="G50" t="e">
        <f>IF(#REF!,"AAAAADbS9wY=",0)</f>
        <v>#REF!</v>
      </c>
      <c r="H50" t="e">
        <f>IF(#REF!,"AAAAADbS9wc=",0)</f>
        <v>#REF!</v>
      </c>
      <c r="I50" t="e">
        <f>IF(#REF!,"AAAAADbS9wg=",0)</f>
        <v>#REF!</v>
      </c>
      <c r="J50" t="e">
        <f>IF(#REF!,"AAAAADbS9wk=",0)</f>
        <v>#REF!</v>
      </c>
      <c r="K50" t="e">
        <f>IF(#REF!,"AAAAADbS9wo=",0)</f>
        <v>#REF!</v>
      </c>
      <c r="L50" t="e">
        <f>IF(#REF!,"AAAAADbS9ws=",0)</f>
        <v>#REF!</v>
      </c>
      <c r="M50" t="e">
        <f>IF(#REF!,"AAAAADbS9ww=",0)</f>
        <v>#REF!</v>
      </c>
      <c r="N50" t="e">
        <f>IF(#REF!,"AAAAADbS9w0=",0)</f>
        <v>#REF!</v>
      </c>
      <c r="O50" t="e">
        <f>IF(#REF!,"AAAAADbS9w4=",0)</f>
        <v>#REF!</v>
      </c>
      <c r="P50" t="e">
        <f>IF(#REF!,"AAAAADbS9w8=",0)</f>
        <v>#REF!</v>
      </c>
      <c r="Q50" t="e">
        <f>IF(#REF!,"AAAAADbS9xA=",0)</f>
        <v>#REF!</v>
      </c>
      <c r="R50" t="e">
        <f>IF(#REF!,"AAAAADbS9xE=",0)</f>
        <v>#REF!</v>
      </c>
      <c r="S50" t="e">
        <f>IF(#REF!,"AAAAADbS9xI=",0)</f>
        <v>#REF!</v>
      </c>
      <c r="T50" t="e">
        <f>IF(#REF!,"AAAAADbS9xM=",0)</f>
        <v>#REF!</v>
      </c>
      <c r="U50" t="e">
        <f>IF(#REF!,"AAAAADbS9xQ=",0)</f>
        <v>#REF!</v>
      </c>
      <c r="V50" t="e">
        <f>IF(#REF!,"AAAAADbS9xU=",0)</f>
        <v>#REF!</v>
      </c>
      <c r="W50" t="e">
        <f>IF(#REF!,"AAAAADbS9xY=",0)</f>
        <v>#REF!</v>
      </c>
      <c r="X50" t="e">
        <f>IF(#REF!,"AAAAADbS9xc=",0)</f>
        <v>#REF!</v>
      </c>
      <c r="Y50" t="e">
        <f>IF(#REF!,"AAAAADbS9xg=",0)</f>
        <v>#REF!</v>
      </c>
      <c r="Z50" t="e">
        <f>IF(#REF!,"AAAAADbS9xk=",0)</f>
        <v>#REF!</v>
      </c>
      <c r="AA50" t="e">
        <f>IF(#REF!,"AAAAADbS9xo=",0)</f>
        <v>#REF!</v>
      </c>
      <c r="AB50" t="e">
        <f>IF(#REF!,"AAAAADbS9xs=",0)</f>
        <v>#REF!</v>
      </c>
      <c r="AC50" t="e">
        <f>IF(#REF!,"AAAAADbS9xw=",0)</f>
        <v>#REF!</v>
      </c>
      <c r="AD50" t="e">
        <f>IF(#REF!,"AAAAADbS9x0=",0)</f>
        <v>#REF!</v>
      </c>
      <c r="AE50" t="e">
        <f>IF(#REF!,"AAAAADbS9x4=",0)</f>
        <v>#REF!</v>
      </c>
      <c r="AF50" t="e">
        <f>IF(#REF!,"AAAAADbS9x8=",0)</f>
        <v>#REF!</v>
      </c>
      <c r="AG50" t="e">
        <f>IF(#REF!,"AAAAADbS9yA=",0)</f>
        <v>#REF!</v>
      </c>
      <c r="AH50" t="e">
        <f>IF(#REF!,"AAAAADbS9yE=",0)</f>
        <v>#REF!</v>
      </c>
      <c r="AI50" t="e">
        <f>IF(#REF!,"AAAAADbS9yI=",0)</f>
        <v>#REF!</v>
      </c>
      <c r="AJ50" t="e">
        <f>IF(#REF!,"AAAAADbS9yM=",0)</f>
        <v>#REF!</v>
      </c>
      <c r="AK50" t="e">
        <f>IF(#REF!,"AAAAADbS9yQ=",0)</f>
        <v>#REF!</v>
      </c>
      <c r="AL50" t="e">
        <f>IF(#REF!,"AAAAADbS9yU=",0)</f>
        <v>#REF!</v>
      </c>
      <c r="AM50" t="e">
        <f>IF(#REF!,"AAAAADbS9yY=",0)</f>
        <v>#REF!</v>
      </c>
      <c r="AN50" t="e">
        <f>IF(#REF!,"AAAAADbS9yc=",0)</f>
        <v>#REF!</v>
      </c>
      <c r="AO50" t="e">
        <f>IF(#REF!,"AAAAADbS9yg=",0)</f>
        <v>#REF!</v>
      </c>
      <c r="AP50" t="e">
        <f>IF(#REF!,"AAAAADbS9yk=",0)</f>
        <v>#REF!</v>
      </c>
      <c r="AQ50" t="e">
        <f>IF(#REF!,"AAAAADbS9yo=",0)</f>
        <v>#REF!</v>
      </c>
      <c r="AR50" t="e">
        <f>IF(#REF!,"AAAAADbS9ys=",0)</f>
        <v>#REF!</v>
      </c>
      <c r="AS50" t="e">
        <f>IF(#REF!,"AAAAADbS9yw=",0)</f>
        <v>#REF!</v>
      </c>
      <c r="AT50" t="e">
        <f>IF(#REF!,"AAAAADbS9y0=",0)</f>
        <v>#REF!</v>
      </c>
      <c r="AU50" t="e">
        <f>IF(#REF!,"AAAAADbS9y4=",0)</f>
        <v>#REF!</v>
      </c>
      <c r="AV50" t="e">
        <f>IF(#REF!,"AAAAADbS9y8=",0)</f>
        <v>#REF!</v>
      </c>
      <c r="AW50" t="e">
        <f>IF(#REF!,"AAAAADbS9zA=",0)</f>
        <v>#REF!</v>
      </c>
      <c r="AX50" t="e">
        <f>IF(#REF!,"AAAAADbS9zE=",0)</f>
        <v>#REF!</v>
      </c>
      <c r="AY50" t="e">
        <f>IF(#REF!,"AAAAADbS9zI=",0)</f>
        <v>#REF!</v>
      </c>
      <c r="AZ50" t="e">
        <f>IF(#REF!,"AAAAADbS9zM=",0)</f>
        <v>#REF!</v>
      </c>
      <c r="BA50" t="e">
        <f>IF(#REF!,"AAAAADbS9zQ=",0)</f>
        <v>#REF!</v>
      </c>
      <c r="BB50" t="e">
        <f>IF(#REF!,"AAAAADbS9zU=",0)</f>
        <v>#REF!</v>
      </c>
      <c r="BC50" t="e">
        <f>IF(#REF!,"AAAAADbS9zY=",0)</f>
        <v>#REF!</v>
      </c>
      <c r="BD50" t="e">
        <f>IF(#REF!,"AAAAADbS9zc=",0)</f>
        <v>#REF!</v>
      </c>
      <c r="BE50" t="e">
        <f>IF(#REF!,"AAAAADbS9zg=",0)</f>
        <v>#REF!</v>
      </c>
      <c r="BF50" t="e">
        <f>IF(#REF!,"AAAAADbS9zk=",0)</f>
        <v>#REF!</v>
      </c>
      <c r="BG50" t="e">
        <f>IF(#REF!,"AAAAADbS9zo=",0)</f>
        <v>#REF!</v>
      </c>
      <c r="BH50" t="e">
        <f>IF(#REF!,"AAAAADbS9zs=",0)</f>
        <v>#REF!</v>
      </c>
      <c r="BI50" t="e">
        <f>IF(#REF!,"AAAAADbS9zw=",0)</f>
        <v>#REF!</v>
      </c>
      <c r="BJ50" t="e">
        <f>IF(#REF!,"AAAAADbS9z0=",0)</f>
        <v>#REF!</v>
      </c>
      <c r="BK50" t="e">
        <f>IF(#REF!,"AAAAADbS9z4=",0)</f>
        <v>#REF!</v>
      </c>
      <c r="BL50" t="e">
        <f>IF(#REF!,"AAAAADbS9z8=",0)</f>
        <v>#REF!</v>
      </c>
      <c r="BM50" t="e">
        <f>IF(#REF!,"AAAAADbS90A=",0)</f>
        <v>#REF!</v>
      </c>
      <c r="BN50" t="e">
        <f>IF(#REF!,"AAAAADbS90E=",0)</f>
        <v>#REF!</v>
      </c>
      <c r="BO50" t="e">
        <f>IF(#REF!,"AAAAADbS90I=",0)</f>
        <v>#REF!</v>
      </c>
      <c r="BP50" t="e">
        <f>IF(#REF!,"AAAAADbS90M=",0)</f>
        <v>#REF!</v>
      </c>
      <c r="BQ50" t="e">
        <f>IF(#REF!,"AAAAADbS90Q=",0)</f>
        <v>#REF!</v>
      </c>
      <c r="BR50" t="e">
        <f>IF(#REF!,"AAAAADbS90U=",0)</f>
        <v>#REF!</v>
      </c>
      <c r="BS50" t="e">
        <f>IF(#REF!,"AAAAADbS90Y=",0)</f>
        <v>#REF!</v>
      </c>
      <c r="BT50" t="e">
        <f>IF(#REF!,"AAAAADbS90c=",0)</f>
        <v>#REF!</v>
      </c>
      <c r="BU50" t="e">
        <f>IF(#REF!,"AAAAADbS90g=",0)</f>
        <v>#REF!</v>
      </c>
      <c r="BV50" t="e">
        <f>IF(#REF!,"AAAAADbS90k=",0)</f>
        <v>#REF!</v>
      </c>
      <c r="BW50" t="e">
        <f>IF(#REF!,"AAAAADbS90o=",0)</f>
        <v>#REF!</v>
      </c>
      <c r="BX50" t="e">
        <f>IF(#REF!,"AAAAADbS90s=",0)</f>
        <v>#REF!</v>
      </c>
      <c r="BY50" t="e">
        <f>IF(#REF!,"AAAAADbS90w=",0)</f>
        <v>#REF!</v>
      </c>
      <c r="BZ50" t="e">
        <f>IF(#REF!,"AAAAADbS900=",0)</f>
        <v>#REF!</v>
      </c>
      <c r="CA50" t="e">
        <f>IF(#REF!,"AAAAADbS904=",0)</f>
        <v>#REF!</v>
      </c>
      <c r="CB50" t="e">
        <f>IF(#REF!,"AAAAADbS908=",0)</f>
        <v>#REF!</v>
      </c>
      <c r="CC50" t="e">
        <f>IF(#REF!,"AAAAADbS91A=",0)</f>
        <v>#REF!</v>
      </c>
      <c r="CD50" t="e">
        <f>IF(#REF!,"AAAAADbS91E=",0)</f>
        <v>#REF!</v>
      </c>
      <c r="CE50" t="e">
        <f>IF(#REF!,"AAAAADbS91I=",0)</f>
        <v>#REF!</v>
      </c>
      <c r="CF50" t="e">
        <f>IF(#REF!,"AAAAADbS91M=",0)</f>
        <v>#REF!</v>
      </c>
      <c r="CG50" t="e">
        <f>IF(#REF!,"AAAAADbS91Q=",0)</f>
        <v>#REF!</v>
      </c>
      <c r="CH50" t="e">
        <f>IF(#REF!,"AAAAADbS91U=",0)</f>
        <v>#REF!</v>
      </c>
      <c r="CI50" t="e">
        <f>IF(#REF!,"AAAAADbS91Y=",0)</f>
        <v>#REF!</v>
      </c>
      <c r="CJ50" t="e">
        <f>IF(#REF!,"AAAAADbS91c=",0)</f>
        <v>#REF!</v>
      </c>
      <c r="CK50" t="e">
        <f>IF(#REF!,"AAAAADbS91g=",0)</f>
        <v>#REF!</v>
      </c>
      <c r="CL50" t="e">
        <f>IF(#REF!,"AAAAADbS91k=",0)</f>
        <v>#REF!</v>
      </c>
      <c r="CM50" t="e">
        <f>IF(#REF!,"AAAAADbS91o=",0)</f>
        <v>#REF!</v>
      </c>
      <c r="CN50" t="e">
        <f>IF(#REF!,"AAAAADbS91s=",0)</f>
        <v>#REF!</v>
      </c>
      <c r="CO50" t="e">
        <f>IF(#REF!,"AAAAADbS91w=",0)</f>
        <v>#REF!</v>
      </c>
      <c r="CP50" t="e">
        <f>IF(#REF!,"AAAAADbS910=",0)</f>
        <v>#REF!</v>
      </c>
      <c r="CQ50" t="e">
        <f>IF(#REF!,"AAAAADbS914=",0)</f>
        <v>#REF!</v>
      </c>
      <c r="CR50" t="e">
        <f>IF(#REF!,"AAAAADbS918=",0)</f>
        <v>#REF!</v>
      </c>
      <c r="CS50" t="e">
        <f>IF(#REF!,"AAAAADbS92A=",0)</f>
        <v>#REF!</v>
      </c>
      <c r="CT50" t="e">
        <f>IF(#REF!,"AAAAADbS92E=",0)</f>
        <v>#REF!</v>
      </c>
      <c r="CU50" t="e">
        <f>IF(#REF!,"AAAAADbS92I=",0)</f>
        <v>#REF!</v>
      </c>
      <c r="CV50" t="e">
        <f>IF(#REF!,"AAAAADbS92M=",0)</f>
        <v>#REF!</v>
      </c>
      <c r="CW50" t="e">
        <f>IF(#REF!,"AAAAADbS92Q=",0)</f>
        <v>#REF!</v>
      </c>
      <c r="CX50" t="e">
        <f>IF(#REF!,"AAAAADbS92U=",0)</f>
        <v>#REF!</v>
      </c>
      <c r="CY50" t="e">
        <f>IF(#REF!,"AAAAADbS92Y=",0)</f>
        <v>#REF!</v>
      </c>
      <c r="CZ50" t="e">
        <f>IF(#REF!,"AAAAADbS92c=",0)</f>
        <v>#REF!</v>
      </c>
      <c r="DA50" t="e">
        <f>IF(#REF!,"AAAAADbS92g=",0)</f>
        <v>#REF!</v>
      </c>
      <c r="DB50" t="e">
        <f>IF(#REF!,"AAAAADbS92k=",0)</f>
        <v>#REF!</v>
      </c>
      <c r="DC50" t="e">
        <f>IF(#REF!,"AAAAADbS92o=",0)</f>
        <v>#REF!</v>
      </c>
      <c r="DD50" t="e">
        <f>IF(#REF!,"AAAAADbS92s=",0)</f>
        <v>#REF!</v>
      </c>
      <c r="DE50" t="e">
        <f>IF(#REF!,"AAAAADbS92w=",0)</f>
        <v>#REF!</v>
      </c>
      <c r="DF50" t="e">
        <f>IF(#REF!,"AAAAADbS920=",0)</f>
        <v>#REF!</v>
      </c>
      <c r="DG50" t="e">
        <f>IF(#REF!,"AAAAADbS924=",0)</f>
        <v>#REF!</v>
      </c>
      <c r="DH50" t="e">
        <f>IF(#REF!,"AAAAADbS928=",0)</f>
        <v>#REF!</v>
      </c>
      <c r="DI50" t="e">
        <f>IF(#REF!,"AAAAADbS93A=",0)</f>
        <v>#REF!</v>
      </c>
      <c r="DJ50" t="e">
        <f>IF(#REF!,"AAAAADbS93E=",0)</f>
        <v>#REF!</v>
      </c>
      <c r="DK50" t="e">
        <f>IF(#REF!,"AAAAADbS93I=",0)</f>
        <v>#REF!</v>
      </c>
      <c r="DL50" t="e">
        <f>IF(#REF!,"AAAAADbS93M=",0)</f>
        <v>#REF!</v>
      </c>
      <c r="DM50" t="e">
        <f>IF(#REF!,"AAAAADbS93Q=",0)</f>
        <v>#REF!</v>
      </c>
      <c r="DN50" t="e">
        <f>IF(#REF!,"AAAAADbS93U=",0)</f>
        <v>#REF!</v>
      </c>
      <c r="DO50" t="e">
        <f>IF(#REF!,"AAAAADbS93Y=",0)</f>
        <v>#REF!</v>
      </c>
      <c r="DP50" t="e">
        <f>IF(#REF!,"AAAAADbS93c=",0)</f>
        <v>#REF!</v>
      </c>
      <c r="DQ50" t="e">
        <f>IF(#REF!,"AAAAADbS93g=",0)</f>
        <v>#REF!</v>
      </c>
      <c r="DR50" t="e">
        <f>IF(#REF!,"AAAAADbS93k=",0)</f>
        <v>#REF!</v>
      </c>
      <c r="DS50" t="e">
        <f>IF(#REF!,"AAAAADbS93o=",0)</f>
        <v>#REF!</v>
      </c>
      <c r="DT50" t="e">
        <f>IF(#REF!,"AAAAADbS93s=",0)</f>
        <v>#REF!</v>
      </c>
      <c r="DU50" t="e">
        <f>IF(#REF!,"AAAAADbS93w=",0)</f>
        <v>#REF!</v>
      </c>
      <c r="DV50" t="e">
        <f>IF(#REF!,"AAAAADbS930=",0)</f>
        <v>#REF!</v>
      </c>
      <c r="DW50" t="e">
        <f>IF(#REF!,"AAAAADbS934=",0)</f>
        <v>#REF!</v>
      </c>
      <c r="DX50" t="e">
        <f>IF(#REF!,"AAAAADbS938=",0)</f>
        <v>#REF!</v>
      </c>
      <c r="DY50" t="e">
        <f>IF(#REF!,"AAAAADbS94A=",0)</f>
        <v>#REF!</v>
      </c>
      <c r="DZ50" t="e">
        <f>IF(#REF!,"AAAAADbS94E=",0)</f>
        <v>#REF!</v>
      </c>
      <c r="EA50" t="e">
        <f>IF(#REF!,"AAAAADbS94I=",0)</f>
        <v>#REF!</v>
      </c>
      <c r="EB50" t="e">
        <f>IF(#REF!,"AAAAADbS94M=",0)</f>
        <v>#REF!</v>
      </c>
      <c r="EC50" t="e">
        <f>IF(#REF!,"AAAAADbS94Q=",0)</f>
        <v>#REF!</v>
      </c>
      <c r="ED50" t="e">
        <f>IF(#REF!,"AAAAADbS94U=",0)</f>
        <v>#REF!</v>
      </c>
      <c r="EE50" t="e">
        <f>IF(#REF!,"AAAAADbS94Y=",0)</f>
        <v>#REF!</v>
      </c>
      <c r="EF50" t="e">
        <f>IF(#REF!,"AAAAADbS94c=",0)</f>
        <v>#REF!</v>
      </c>
      <c r="EG50" t="e">
        <f>IF(#REF!,"AAAAADbS94g=",0)</f>
        <v>#REF!</v>
      </c>
      <c r="EH50" t="e">
        <f>IF(#REF!,"AAAAADbS94k=",0)</f>
        <v>#REF!</v>
      </c>
      <c r="EI50" t="e">
        <f>IF(#REF!,"AAAAADbS94o=",0)</f>
        <v>#REF!</v>
      </c>
      <c r="EJ50" t="e">
        <f>IF(#REF!,"AAAAADbS94s=",0)</f>
        <v>#REF!</v>
      </c>
      <c r="EK50" t="e">
        <f>IF(#REF!,"AAAAADbS94w=",0)</f>
        <v>#REF!</v>
      </c>
      <c r="EL50" t="e">
        <f>IF(#REF!,"AAAAADbS940=",0)</f>
        <v>#REF!</v>
      </c>
      <c r="EM50" t="e">
        <f>IF(#REF!,"AAAAADbS944=",0)</f>
        <v>#REF!</v>
      </c>
      <c r="EN50" t="e">
        <f>IF(#REF!,"AAAAADbS948=",0)</f>
        <v>#REF!</v>
      </c>
      <c r="EO50" t="e">
        <f>IF(#REF!,"AAAAADbS95A=",0)</f>
        <v>#REF!</v>
      </c>
      <c r="EP50" t="e">
        <f>IF(#REF!,"AAAAADbS95E=",0)</f>
        <v>#REF!</v>
      </c>
      <c r="EQ50" t="e">
        <f>IF(#REF!,"AAAAADbS95I=",0)</f>
        <v>#REF!</v>
      </c>
      <c r="ER50" t="e">
        <f>IF(#REF!,"AAAAADbS95M=",0)</f>
        <v>#REF!</v>
      </c>
      <c r="ES50" t="e">
        <f>IF(#REF!,"AAAAADbS95Q=",0)</f>
        <v>#REF!</v>
      </c>
      <c r="ET50" t="e">
        <f>IF(#REF!,"AAAAADbS95U=",0)</f>
        <v>#REF!</v>
      </c>
      <c r="EU50" t="e">
        <f>IF(#REF!,"AAAAADbS95Y=",0)</f>
        <v>#REF!</v>
      </c>
      <c r="EV50" t="e">
        <f>IF(#REF!,"AAAAADbS95c=",0)</f>
        <v>#REF!</v>
      </c>
      <c r="EW50" t="e">
        <f>IF(#REF!,"AAAAADbS95g=",0)</f>
        <v>#REF!</v>
      </c>
      <c r="EX50" t="e">
        <f>IF(#REF!,"AAAAADbS95k=",0)</f>
        <v>#REF!</v>
      </c>
      <c r="EY50" t="e">
        <f>IF(#REF!,"AAAAADbS95o=",0)</f>
        <v>#REF!</v>
      </c>
      <c r="EZ50" t="e">
        <f>IF(#REF!,"AAAAADbS95s=",0)</f>
        <v>#REF!</v>
      </c>
      <c r="FA50" t="e">
        <f>IF(#REF!,"AAAAADbS95w=",0)</f>
        <v>#REF!</v>
      </c>
      <c r="FB50" t="e">
        <f>IF(#REF!,"AAAAADbS950=",0)</f>
        <v>#REF!</v>
      </c>
      <c r="FC50" t="e">
        <f>AND(#REF!,"AAAAADbS954=")</f>
        <v>#REF!</v>
      </c>
      <c r="FD50" t="e">
        <f>AND(#REF!,"AAAAADbS958=")</f>
        <v>#REF!</v>
      </c>
      <c r="FE50" t="e">
        <f>AND(#REF!,"AAAAADbS96A=")</f>
        <v>#REF!</v>
      </c>
      <c r="FF50" t="e">
        <f>AND(#REF!,"AAAAADbS96E=")</f>
        <v>#REF!</v>
      </c>
      <c r="FG50" t="e">
        <f>AND(#REF!,"AAAAADbS96I=")</f>
        <v>#REF!</v>
      </c>
      <c r="FH50" t="e">
        <f>AND(#REF!,"AAAAADbS96M=")</f>
        <v>#REF!</v>
      </c>
      <c r="FI50" t="e">
        <f>AND(#REF!,"AAAAADbS96Q=")</f>
        <v>#REF!</v>
      </c>
      <c r="FJ50" t="e">
        <f>AND(#REF!,"AAAAADbS96U=")</f>
        <v>#REF!</v>
      </c>
      <c r="FK50" t="e">
        <f>AND(#REF!,"AAAAADbS96Y=")</f>
        <v>#REF!</v>
      </c>
      <c r="FL50" t="e">
        <f>AND(#REF!,"AAAAADbS96c=")</f>
        <v>#REF!</v>
      </c>
      <c r="FM50" t="e">
        <f>AND(#REF!,"AAAAADbS96g=")</f>
        <v>#REF!</v>
      </c>
      <c r="FN50" t="e">
        <f>AND(#REF!,"AAAAADbS96k=")</f>
        <v>#REF!</v>
      </c>
      <c r="FO50" t="e">
        <f>AND(#REF!,"AAAAADbS96o=")</f>
        <v>#REF!</v>
      </c>
      <c r="FP50" t="e">
        <f>AND(#REF!,"AAAAADbS96s=")</f>
        <v>#REF!</v>
      </c>
      <c r="FQ50" t="e">
        <f>AND(#REF!,"AAAAADbS96w=")</f>
        <v>#REF!</v>
      </c>
      <c r="FR50" t="e">
        <f>AND(#REF!,"AAAAADbS960=")</f>
        <v>#REF!</v>
      </c>
      <c r="FS50" t="e">
        <f>AND(#REF!,"AAAAADbS964=")</f>
        <v>#REF!</v>
      </c>
      <c r="FT50" t="e">
        <f>AND(#REF!,"AAAAADbS968=")</f>
        <v>#REF!</v>
      </c>
      <c r="FU50" t="e">
        <f>AND(#REF!,"AAAAADbS97A=")</f>
        <v>#REF!</v>
      </c>
      <c r="FV50" t="e">
        <f>AND(#REF!,"AAAAADbS97E=")</f>
        <v>#REF!</v>
      </c>
      <c r="FW50" t="e">
        <f>AND(#REF!,"AAAAADbS97I=")</f>
        <v>#REF!</v>
      </c>
      <c r="FX50" t="e">
        <f>IF(#REF!,"AAAAADbS97M=",0)</f>
        <v>#REF!</v>
      </c>
      <c r="FY50" t="e">
        <f>AND(#REF!,"AAAAADbS97Q=")</f>
        <v>#REF!</v>
      </c>
      <c r="FZ50" t="e">
        <f>AND(#REF!,"AAAAADbS97U=")</f>
        <v>#REF!</v>
      </c>
      <c r="GA50" t="e">
        <f>AND(#REF!,"AAAAADbS97Y=")</f>
        <v>#REF!</v>
      </c>
      <c r="GB50" t="e">
        <f>AND(#REF!,"AAAAADbS97c=")</f>
        <v>#REF!</v>
      </c>
      <c r="GC50" t="e">
        <f>AND(#REF!,"AAAAADbS97g=")</f>
        <v>#REF!</v>
      </c>
      <c r="GD50" t="e">
        <f>AND(#REF!,"AAAAADbS97k=")</f>
        <v>#REF!</v>
      </c>
      <c r="GE50" t="e">
        <f>AND(#REF!,"AAAAADbS97o=")</f>
        <v>#REF!</v>
      </c>
      <c r="GF50" t="e">
        <f>AND(#REF!,"AAAAADbS97s=")</f>
        <v>#REF!</v>
      </c>
      <c r="GG50" t="e">
        <f>AND(#REF!,"AAAAADbS97w=")</f>
        <v>#REF!</v>
      </c>
      <c r="GH50" t="e">
        <f>AND(#REF!,"AAAAADbS970=")</f>
        <v>#REF!</v>
      </c>
      <c r="GI50" t="e">
        <f>AND(#REF!,"AAAAADbS974=")</f>
        <v>#REF!</v>
      </c>
      <c r="GJ50" t="e">
        <f>AND(#REF!,"AAAAADbS978=")</f>
        <v>#REF!</v>
      </c>
      <c r="GK50" t="e">
        <f>AND(#REF!,"AAAAADbS98A=")</f>
        <v>#REF!</v>
      </c>
      <c r="GL50" t="e">
        <f>AND(#REF!,"AAAAADbS98E=")</f>
        <v>#REF!</v>
      </c>
      <c r="GM50" t="e">
        <f>AND(#REF!,"AAAAADbS98I=")</f>
        <v>#REF!</v>
      </c>
      <c r="GN50" t="e">
        <f>AND(#REF!,"AAAAADbS98M=")</f>
        <v>#REF!</v>
      </c>
      <c r="GO50" t="e">
        <f>AND(#REF!,"AAAAADbS98Q=")</f>
        <v>#REF!</v>
      </c>
      <c r="GP50" t="e">
        <f>AND(#REF!,"AAAAADbS98U=")</f>
        <v>#REF!</v>
      </c>
      <c r="GQ50" t="e">
        <f>AND(#REF!,"AAAAADbS98Y=")</f>
        <v>#REF!</v>
      </c>
      <c r="GR50" t="e">
        <f>AND(#REF!,"AAAAADbS98c=")</f>
        <v>#REF!</v>
      </c>
      <c r="GS50" t="e">
        <f>AND(#REF!,"AAAAADbS98g=")</f>
        <v>#REF!</v>
      </c>
      <c r="GT50" t="e">
        <f>IF(#REF!,"AAAAADbS98k=",0)</f>
        <v>#REF!</v>
      </c>
      <c r="GU50" t="e">
        <f>AND(#REF!,"AAAAADbS98o=")</f>
        <v>#REF!</v>
      </c>
      <c r="GV50" t="e">
        <f>AND(#REF!,"AAAAADbS98s=")</f>
        <v>#REF!</v>
      </c>
      <c r="GW50" t="e">
        <f>AND(#REF!,"AAAAADbS98w=")</f>
        <v>#REF!</v>
      </c>
      <c r="GX50" t="e">
        <f>AND(#REF!,"AAAAADbS980=")</f>
        <v>#REF!</v>
      </c>
      <c r="GY50" t="e">
        <f>AND(#REF!,"AAAAADbS984=")</f>
        <v>#REF!</v>
      </c>
      <c r="GZ50" t="e">
        <f>AND(#REF!,"AAAAADbS988=")</f>
        <v>#REF!</v>
      </c>
      <c r="HA50" t="e">
        <f>AND(#REF!,"AAAAADbS99A=")</f>
        <v>#REF!</v>
      </c>
      <c r="HB50" t="e">
        <f>AND(#REF!,"AAAAADbS99E=")</f>
        <v>#REF!</v>
      </c>
      <c r="HC50" t="e">
        <f>AND(#REF!,"AAAAADbS99I=")</f>
        <v>#REF!</v>
      </c>
      <c r="HD50" t="e">
        <f>AND(#REF!,"AAAAADbS99M=")</f>
        <v>#REF!</v>
      </c>
      <c r="HE50" t="e">
        <f>AND(#REF!,"AAAAADbS99Q=")</f>
        <v>#REF!</v>
      </c>
      <c r="HF50" t="e">
        <f>AND(#REF!,"AAAAADbS99U=")</f>
        <v>#REF!</v>
      </c>
      <c r="HG50" t="e">
        <f>AND(#REF!,"AAAAADbS99Y=")</f>
        <v>#REF!</v>
      </c>
      <c r="HH50" t="e">
        <f>AND(#REF!,"AAAAADbS99c=")</f>
        <v>#REF!</v>
      </c>
      <c r="HI50" t="e">
        <f>AND(#REF!,"AAAAADbS99g=")</f>
        <v>#REF!</v>
      </c>
      <c r="HJ50" t="e">
        <f>AND(#REF!,"AAAAADbS99k=")</f>
        <v>#REF!</v>
      </c>
      <c r="HK50" t="e">
        <f>AND(#REF!,"AAAAADbS99o=")</f>
        <v>#REF!</v>
      </c>
      <c r="HL50" t="e">
        <f>AND(#REF!,"AAAAADbS99s=")</f>
        <v>#REF!</v>
      </c>
      <c r="HM50" t="e">
        <f>AND(#REF!,"AAAAADbS99w=")</f>
        <v>#REF!</v>
      </c>
      <c r="HN50" t="e">
        <f>AND(#REF!,"AAAAADbS990=")</f>
        <v>#REF!</v>
      </c>
      <c r="HO50" t="e">
        <f>AND(#REF!,"AAAAADbS994=")</f>
        <v>#REF!</v>
      </c>
      <c r="HP50" t="e">
        <f>IF(#REF!,"AAAAADbS998=",0)</f>
        <v>#REF!</v>
      </c>
      <c r="HQ50" t="e">
        <f>AND(#REF!,"AAAAADbS9+A=")</f>
        <v>#REF!</v>
      </c>
      <c r="HR50" t="e">
        <f>AND(#REF!,"AAAAADbS9+E=")</f>
        <v>#REF!</v>
      </c>
      <c r="HS50" t="e">
        <f>AND(#REF!,"AAAAADbS9+I=")</f>
        <v>#REF!</v>
      </c>
      <c r="HT50" t="e">
        <f>AND(#REF!,"AAAAADbS9+M=")</f>
        <v>#REF!</v>
      </c>
      <c r="HU50" t="e">
        <f>AND(#REF!,"AAAAADbS9+Q=")</f>
        <v>#REF!</v>
      </c>
      <c r="HV50" t="e">
        <f>AND(#REF!,"AAAAADbS9+U=")</f>
        <v>#REF!</v>
      </c>
      <c r="HW50" t="e">
        <f>AND(#REF!,"AAAAADbS9+Y=")</f>
        <v>#REF!</v>
      </c>
      <c r="HX50" t="e">
        <f>AND(#REF!,"AAAAADbS9+c=")</f>
        <v>#REF!</v>
      </c>
      <c r="HY50" t="e">
        <f>AND(#REF!,"AAAAADbS9+g=")</f>
        <v>#REF!</v>
      </c>
      <c r="HZ50" t="e">
        <f>AND(#REF!,"AAAAADbS9+k=")</f>
        <v>#REF!</v>
      </c>
      <c r="IA50" t="e">
        <f>AND(#REF!,"AAAAADbS9+o=")</f>
        <v>#REF!</v>
      </c>
      <c r="IB50" t="e">
        <f>AND(#REF!,"AAAAADbS9+s=")</f>
        <v>#REF!</v>
      </c>
      <c r="IC50" t="e">
        <f>AND(#REF!,"AAAAADbS9+w=")</f>
        <v>#REF!</v>
      </c>
      <c r="ID50" t="e">
        <f>AND(#REF!,"AAAAADbS9+0=")</f>
        <v>#REF!</v>
      </c>
      <c r="IE50" t="e">
        <f>AND(#REF!,"AAAAADbS9+4=")</f>
        <v>#REF!</v>
      </c>
      <c r="IF50" t="e">
        <f>AND(#REF!,"AAAAADbS9+8=")</f>
        <v>#REF!</v>
      </c>
      <c r="IG50" t="e">
        <f>AND(#REF!,"AAAAADbS9/A=")</f>
        <v>#REF!</v>
      </c>
      <c r="IH50" t="e">
        <f>AND(#REF!,"AAAAADbS9/E=")</f>
        <v>#REF!</v>
      </c>
      <c r="II50" t="e">
        <f>AND(#REF!,"AAAAADbS9/I=")</f>
        <v>#REF!</v>
      </c>
      <c r="IJ50" t="e">
        <f>AND(#REF!,"AAAAADbS9/M=")</f>
        <v>#REF!</v>
      </c>
      <c r="IK50" t="e">
        <f>AND(#REF!,"AAAAADbS9/Q=")</f>
        <v>#REF!</v>
      </c>
      <c r="IL50" t="e">
        <f>IF(#REF!,"AAAAADbS9/U=",0)</f>
        <v>#REF!</v>
      </c>
      <c r="IM50" t="e">
        <f>AND(#REF!,"AAAAADbS9/Y=")</f>
        <v>#REF!</v>
      </c>
      <c r="IN50" t="e">
        <f>AND(#REF!,"AAAAADbS9/c=")</f>
        <v>#REF!</v>
      </c>
      <c r="IO50" t="e">
        <f>AND(#REF!,"AAAAADbS9/g=")</f>
        <v>#REF!</v>
      </c>
      <c r="IP50" t="e">
        <f>AND(#REF!,"AAAAADbS9/k=")</f>
        <v>#REF!</v>
      </c>
      <c r="IQ50" t="e">
        <f>AND(#REF!,"AAAAADbS9/o=")</f>
        <v>#REF!</v>
      </c>
      <c r="IR50" t="e">
        <f>AND(#REF!,"AAAAADbS9/s=")</f>
        <v>#REF!</v>
      </c>
      <c r="IS50" t="e">
        <f>AND(#REF!,"AAAAADbS9/w=")</f>
        <v>#REF!</v>
      </c>
      <c r="IT50" t="e">
        <f>AND(#REF!,"AAAAADbS9/0=")</f>
        <v>#REF!</v>
      </c>
      <c r="IU50" t="e">
        <f>AND(#REF!,"AAAAADbS9/4=")</f>
        <v>#REF!</v>
      </c>
      <c r="IV50" t="e">
        <f>AND(#REF!,"AAAAADbS9/8=")</f>
        <v>#REF!</v>
      </c>
    </row>
    <row r="51" spans="1:256" x14ac:dyDescent="0.35">
      <c r="A51" t="e">
        <f>AND(#REF!,"AAAAAHXe+gA=")</f>
        <v>#REF!</v>
      </c>
      <c r="B51" t="e">
        <f>AND(#REF!,"AAAAAHXe+gE=")</f>
        <v>#REF!</v>
      </c>
      <c r="C51" t="e">
        <f>AND(#REF!,"AAAAAHXe+gI=")</f>
        <v>#REF!</v>
      </c>
      <c r="D51" t="e">
        <f>AND(#REF!,"AAAAAHXe+gM=")</f>
        <v>#REF!</v>
      </c>
      <c r="E51" t="e">
        <f>AND(#REF!,"AAAAAHXe+gQ=")</f>
        <v>#REF!</v>
      </c>
      <c r="F51" t="e">
        <f>AND(#REF!,"AAAAAHXe+gU=")</f>
        <v>#REF!</v>
      </c>
      <c r="G51" t="e">
        <f>AND(#REF!,"AAAAAHXe+gY=")</f>
        <v>#REF!</v>
      </c>
      <c r="H51" t="e">
        <f>AND(#REF!,"AAAAAHXe+gc=")</f>
        <v>#REF!</v>
      </c>
      <c r="I51" t="e">
        <f>AND(#REF!,"AAAAAHXe+gg=")</f>
        <v>#REF!</v>
      </c>
      <c r="J51" t="e">
        <f>AND(#REF!,"AAAAAHXe+gk=")</f>
        <v>#REF!</v>
      </c>
      <c r="K51" t="e">
        <f>AND(#REF!,"AAAAAHXe+go=")</f>
        <v>#REF!</v>
      </c>
      <c r="L51" t="e">
        <f>IF(#REF!,"AAAAAHXe+gs=",0)</f>
        <v>#REF!</v>
      </c>
      <c r="M51" t="e">
        <f>AND(#REF!,"AAAAAHXe+gw=")</f>
        <v>#REF!</v>
      </c>
      <c r="N51" t="e">
        <f>AND(#REF!,"AAAAAHXe+g0=")</f>
        <v>#REF!</v>
      </c>
      <c r="O51" t="e">
        <f>AND(#REF!,"AAAAAHXe+g4=")</f>
        <v>#REF!</v>
      </c>
      <c r="P51" t="e">
        <f>AND(#REF!,"AAAAAHXe+g8=")</f>
        <v>#REF!</v>
      </c>
      <c r="Q51" t="e">
        <f>AND(#REF!,"AAAAAHXe+hA=")</f>
        <v>#REF!</v>
      </c>
      <c r="R51" t="e">
        <f>AND(#REF!,"AAAAAHXe+hE=")</f>
        <v>#REF!</v>
      </c>
      <c r="S51" t="e">
        <f>AND(#REF!,"AAAAAHXe+hI=")</f>
        <v>#REF!</v>
      </c>
      <c r="T51" t="e">
        <f>AND(#REF!,"AAAAAHXe+hM=")</f>
        <v>#REF!</v>
      </c>
      <c r="U51" t="e">
        <f>AND(#REF!,"AAAAAHXe+hQ=")</f>
        <v>#REF!</v>
      </c>
      <c r="V51" t="e">
        <f>AND(#REF!,"AAAAAHXe+hU=")</f>
        <v>#REF!</v>
      </c>
      <c r="W51" t="e">
        <f>AND(#REF!,"AAAAAHXe+hY=")</f>
        <v>#REF!</v>
      </c>
      <c r="X51" t="e">
        <f>AND(#REF!,"AAAAAHXe+hc=")</f>
        <v>#REF!</v>
      </c>
      <c r="Y51" t="e">
        <f>AND(#REF!,"AAAAAHXe+hg=")</f>
        <v>#REF!</v>
      </c>
      <c r="Z51" t="e">
        <f>AND(#REF!,"AAAAAHXe+hk=")</f>
        <v>#REF!</v>
      </c>
      <c r="AA51" t="e">
        <f>AND(#REF!,"AAAAAHXe+ho=")</f>
        <v>#REF!</v>
      </c>
      <c r="AB51" t="e">
        <f>AND(#REF!,"AAAAAHXe+hs=")</f>
        <v>#REF!</v>
      </c>
      <c r="AC51" t="e">
        <f>AND(#REF!,"AAAAAHXe+hw=")</f>
        <v>#REF!</v>
      </c>
      <c r="AD51" t="e">
        <f>AND(#REF!,"AAAAAHXe+h0=")</f>
        <v>#REF!</v>
      </c>
      <c r="AE51" t="e">
        <f>AND(#REF!,"AAAAAHXe+h4=")</f>
        <v>#REF!</v>
      </c>
      <c r="AF51" t="e">
        <f>AND(#REF!,"AAAAAHXe+h8=")</f>
        <v>#REF!</v>
      </c>
      <c r="AG51" t="e">
        <f>AND(#REF!,"AAAAAHXe+iA=")</f>
        <v>#REF!</v>
      </c>
      <c r="AH51" t="e">
        <f>IF(#REF!,"AAAAAHXe+iE=",0)</f>
        <v>#REF!</v>
      </c>
      <c r="AI51" t="e">
        <f>AND(#REF!,"AAAAAHXe+iI=")</f>
        <v>#REF!</v>
      </c>
      <c r="AJ51" t="e">
        <f>AND(#REF!,"AAAAAHXe+iM=")</f>
        <v>#REF!</v>
      </c>
      <c r="AK51" t="e">
        <f>AND(#REF!,"AAAAAHXe+iQ=")</f>
        <v>#REF!</v>
      </c>
      <c r="AL51" t="e">
        <f>AND(#REF!,"AAAAAHXe+iU=")</f>
        <v>#REF!</v>
      </c>
      <c r="AM51" t="e">
        <f>AND(#REF!,"AAAAAHXe+iY=")</f>
        <v>#REF!</v>
      </c>
      <c r="AN51" t="e">
        <f>AND(#REF!,"AAAAAHXe+ic=")</f>
        <v>#REF!</v>
      </c>
      <c r="AO51" t="e">
        <f>AND(#REF!,"AAAAAHXe+ig=")</f>
        <v>#REF!</v>
      </c>
      <c r="AP51" t="e">
        <f>AND(#REF!,"AAAAAHXe+ik=")</f>
        <v>#REF!</v>
      </c>
      <c r="AQ51" t="e">
        <f>AND(#REF!,"AAAAAHXe+io=")</f>
        <v>#REF!</v>
      </c>
      <c r="AR51" t="e">
        <f>AND(#REF!,"AAAAAHXe+is=")</f>
        <v>#REF!</v>
      </c>
      <c r="AS51" t="e">
        <f>AND(#REF!,"AAAAAHXe+iw=")</f>
        <v>#REF!</v>
      </c>
      <c r="AT51" t="e">
        <f>AND(#REF!,"AAAAAHXe+i0=")</f>
        <v>#REF!</v>
      </c>
      <c r="AU51" t="e">
        <f>AND(#REF!,"AAAAAHXe+i4=")</f>
        <v>#REF!</v>
      </c>
      <c r="AV51" t="e">
        <f>AND(#REF!,"AAAAAHXe+i8=")</f>
        <v>#REF!</v>
      </c>
      <c r="AW51" t="e">
        <f>AND(#REF!,"AAAAAHXe+jA=")</f>
        <v>#REF!</v>
      </c>
      <c r="AX51" t="e">
        <f>AND(#REF!,"AAAAAHXe+jE=")</f>
        <v>#REF!</v>
      </c>
      <c r="AY51" t="e">
        <f>AND(#REF!,"AAAAAHXe+jI=")</f>
        <v>#REF!</v>
      </c>
      <c r="AZ51" t="e">
        <f>AND(#REF!,"AAAAAHXe+jM=")</f>
        <v>#REF!</v>
      </c>
      <c r="BA51" t="e">
        <f>AND(#REF!,"AAAAAHXe+jQ=")</f>
        <v>#REF!</v>
      </c>
      <c r="BB51" t="e">
        <f>AND(#REF!,"AAAAAHXe+jU=")</f>
        <v>#REF!</v>
      </c>
      <c r="BC51" t="e">
        <f>AND(#REF!,"AAAAAHXe+jY=")</f>
        <v>#REF!</v>
      </c>
      <c r="BD51" t="e">
        <f>IF(#REF!,"AAAAAHXe+jc=",0)</f>
        <v>#REF!</v>
      </c>
      <c r="BE51" t="e">
        <f>IF(#REF!,"AAAAAHXe+jg=",0)</f>
        <v>#REF!</v>
      </c>
      <c r="BF51" t="e">
        <f>IF(#REF!,"AAAAAHXe+jk=",0)</f>
        <v>#REF!</v>
      </c>
      <c r="BG51" t="e">
        <f>IF(#REF!,"AAAAAHXe+jo=",0)</f>
        <v>#REF!</v>
      </c>
      <c r="BH51" t="e">
        <f>IF(#REF!,"AAAAAHXe+js=",0)</f>
        <v>#REF!</v>
      </c>
      <c r="BI51" t="e">
        <f>IF(#REF!,"AAAAAHXe+jw=",0)</f>
        <v>#REF!</v>
      </c>
      <c r="BJ51" t="e">
        <f>IF(#REF!,"AAAAAHXe+j0=",0)</f>
        <v>#REF!</v>
      </c>
      <c r="BK51" t="e">
        <f>IF(#REF!,"AAAAAHXe+j4=",0)</f>
        <v>#REF!</v>
      </c>
      <c r="BL51" t="e">
        <f>IF(#REF!,"AAAAAHXe+j8=",0)</f>
        <v>#REF!</v>
      </c>
      <c r="BM51" t="e">
        <f>IF(#REF!,"AAAAAHXe+kA=",0)</f>
        <v>#REF!</v>
      </c>
      <c r="BN51" t="e">
        <f>IF(#REF!,"AAAAAHXe+kE=",0)</f>
        <v>#REF!</v>
      </c>
      <c r="BO51" t="e">
        <f>IF(#REF!,"AAAAAHXe+kI=",0)</f>
        <v>#REF!</v>
      </c>
      <c r="BP51" t="e">
        <f>IF(#REF!,"AAAAAHXe+kM=",0)</f>
        <v>#REF!</v>
      </c>
      <c r="BQ51" t="e">
        <f>IF(#REF!,"AAAAAHXe+kQ=",0)</f>
        <v>#REF!</v>
      </c>
      <c r="BR51" t="e">
        <f>IF(#REF!,"AAAAAHXe+kU=",0)</f>
        <v>#REF!</v>
      </c>
      <c r="BS51" t="e">
        <f>IF(#REF!,"AAAAAHXe+kY=",0)</f>
        <v>#REF!</v>
      </c>
      <c r="BT51" t="e">
        <f>IF(#REF!,"AAAAAHXe+kc=",0)</f>
        <v>#REF!</v>
      </c>
      <c r="BU51" t="e">
        <f>IF(#REF!,"AAAAAHXe+kg=",0)</f>
        <v>#REF!</v>
      </c>
      <c r="BV51" t="e">
        <f>IF(#REF!,"AAAAAHXe+kk=",0)</f>
        <v>#REF!</v>
      </c>
      <c r="BW51" t="e">
        <f>IF(#REF!,"AAAAAHXe+ko=",0)</f>
        <v>#REF!</v>
      </c>
      <c r="BX51" t="e">
        <f>IF(#REF!,"AAAAAHXe+ks=",0)</f>
        <v>#REF!</v>
      </c>
      <c r="BY51" t="e">
        <f>IF(#REF!,"AAAAAHXe+kw=",0)</f>
        <v>#REF!</v>
      </c>
      <c r="BZ51" t="e">
        <f>IF(#REF!,"AAAAAHXe+k0=",0)</f>
        <v>#REF!</v>
      </c>
      <c r="CA51" t="e">
        <f>IF(#REF!,"AAAAAHXe+k4=",0)</f>
        <v>#REF!</v>
      </c>
      <c r="CB51" t="e">
        <f>IF(#REF!,"AAAAAHXe+k8=",0)</f>
        <v>#REF!</v>
      </c>
      <c r="CC51" t="e">
        <f>IF(#REF!,"AAAAAHXe+lA=",0)</f>
        <v>#REF!</v>
      </c>
      <c r="CD51" t="e">
        <f>IF(#REF!,"AAAAAHXe+lE=",0)</f>
        <v>#REF!</v>
      </c>
      <c r="CE51" t="e">
        <f>IF(#REF!,"AAAAAHXe+lI=",0)</f>
        <v>#REF!</v>
      </c>
      <c r="CF51" t="e">
        <f>IF(#REF!,"AAAAAHXe+lM=",0)</f>
        <v>#REF!</v>
      </c>
      <c r="CG51" t="e">
        <f>IF(#REF!,"AAAAAHXe+lQ=",0)</f>
        <v>#REF!</v>
      </c>
      <c r="CH51" t="e">
        <f>IF(#REF!,"AAAAAHXe+lU=",0)</f>
        <v>#REF!</v>
      </c>
      <c r="CI51" t="e">
        <f>IF(#REF!,"AAAAAHXe+lY=",0)</f>
        <v>#REF!</v>
      </c>
      <c r="CJ51" t="e">
        <f>IF(#REF!,"AAAAAHXe+lc=",0)</f>
        <v>#REF!</v>
      </c>
      <c r="CK51" t="e">
        <f>IF(#REF!,"AAAAAHXe+lg=",0)</f>
        <v>#REF!</v>
      </c>
      <c r="CL51" t="e">
        <f>IF(#REF!,"AAAAAHXe+lk=",0)</f>
        <v>#REF!</v>
      </c>
      <c r="CM51" t="e">
        <f>IF(#REF!,"AAAAAHXe+lo=",0)</f>
        <v>#REF!</v>
      </c>
      <c r="CN51" t="e">
        <f>IF(#REF!,"AAAAAHXe+ls=",0)</f>
        <v>#REF!</v>
      </c>
      <c r="CO51" t="e">
        <f>IF(#REF!,"AAAAAHXe+lw=",0)</f>
        <v>#REF!</v>
      </c>
      <c r="CP51" t="e">
        <f>IF(#REF!,"AAAAAHXe+l0=",0)</f>
        <v>#REF!</v>
      </c>
      <c r="CQ51" t="e">
        <f>IF(#REF!,"AAAAAHXe+l4=",0)</f>
        <v>#REF!</v>
      </c>
      <c r="CR51" t="e">
        <f>IF(#REF!,"AAAAAHXe+l8=",0)</f>
        <v>#REF!</v>
      </c>
      <c r="CS51" t="e">
        <f>IF(#REF!,"AAAAAHXe+mA=",0)</f>
        <v>#REF!</v>
      </c>
      <c r="CT51" t="e">
        <f>IF(#REF!,"AAAAAHXe+mE=",0)</f>
        <v>#REF!</v>
      </c>
      <c r="CU51" t="e">
        <f>IF(#REF!,"AAAAAHXe+mI=",0)</f>
        <v>#REF!</v>
      </c>
      <c r="CV51" t="e">
        <f>IF(#REF!,"AAAAAHXe+mM=",0)</f>
        <v>#REF!</v>
      </c>
      <c r="CW51" t="e">
        <f>IF(#REF!,"AAAAAHXe+mQ=",0)</f>
        <v>#REF!</v>
      </c>
      <c r="CX51" t="e">
        <f>IF(#REF!,"AAAAAHXe+mU=",0)</f>
        <v>#REF!</v>
      </c>
      <c r="CY51" t="e">
        <f>IF(#REF!,"AAAAAHXe+mY=",0)</f>
        <v>#REF!</v>
      </c>
      <c r="CZ51" t="e">
        <f>IF(#REF!,"AAAAAHXe+mc=",0)</f>
        <v>#REF!</v>
      </c>
      <c r="DA51" t="e">
        <f>IF(#REF!,"AAAAAHXe+mg=",0)</f>
        <v>#REF!</v>
      </c>
      <c r="DB51" t="e">
        <f>IF(#REF!,"AAAAAHXe+mk=",0)</f>
        <v>#REF!</v>
      </c>
      <c r="DC51" t="e">
        <f>IF(#REF!,"AAAAAHXe+mo=",0)</f>
        <v>#REF!</v>
      </c>
      <c r="DD51" t="e">
        <f>IF(#REF!,"AAAAAHXe+ms=",0)</f>
        <v>#REF!</v>
      </c>
      <c r="DE51" t="e">
        <f>IF(#REF!,"AAAAAHXe+mw=",0)</f>
        <v>#REF!</v>
      </c>
      <c r="DF51" t="e">
        <f>IF(#REF!,"AAAAAHXe+m0=",0)</f>
        <v>#REF!</v>
      </c>
      <c r="DG51" t="e">
        <f>IF(#REF!,"AAAAAHXe+m4=",0)</f>
        <v>#REF!</v>
      </c>
      <c r="DH51" t="e">
        <f>IF(#REF!,"AAAAAHXe+m8=",0)</f>
        <v>#REF!</v>
      </c>
      <c r="DI51" t="e">
        <f>IF(#REF!,"AAAAAHXe+nA=",0)</f>
        <v>#REF!</v>
      </c>
      <c r="DJ51" t="e">
        <f>IF(#REF!,"AAAAAHXe+nE=",0)</f>
        <v>#REF!</v>
      </c>
      <c r="DK51" t="e">
        <f>IF(#REF!,"AAAAAHXe+nI=",0)</f>
        <v>#REF!</v>
      </c>
      <c r="DL51" t="e">
        <f>IF(#REF!,"AAAAAHXe+nM=",0)</f>
        <v>#REF!</v>
      </c>
      <c r="DM51" t="e">
        <f>IF(#REF!,"AAAAAHXe+nQ=",0)</f>
        <v>#REF!</v>
      </c>
      <c r="DN51" t="e">
        <f>IF(#REF!,"AAAAAHXe+nU=",0)</f>
        <v>#REF!</v>
      </c>
      <c r="DO51" t="e">
        <f>IF(#REF!,"AAAAAHXe+nY=",0)</f>
        <v>#REF!</v>
      </c>
      <c r="DP51" t="e">
        <f>IF(#REF!,"AAAAAHXe+nc=",0)</f>
        <v>#REF!</v>
      </c>
      <c r="DQ51" t="e">
        <f>IF(#REF!,"AAAAAHXe+ng=",0)</f>
        <v>#REF!</v>
      </c>
      <c r="DR51" t="e">
        <f>IF(#REF!,"AAAAAHXe+nk=",0)</f>
        <v>#REF!</v>
      </c>
      <c r="DS51" t="e">
        <f>IF(#REF!,"AAAAAHXe+no=",0)</f>
        <v>#REF!</v>
      </c>
      <c r="DT51" t="e">
        <f>IF(#REF!,"AAAAAHXe+ns=",0)</f>
        <v>#REF!</v>
      </c>
      <c r="DU51" t="e">
        <f>IF(#REF!,"AAAAAHXe+nw=",0)</f>
        <v>#REF!</v>
      </c>
      <c r="DV51" t="e">
        <f>IF(#REF!,"AAAAAHXe+n0=",0)</f>
        <v>#REF!</v>
      </c>
      <c r="DW51" t="e">
        <f>IF(#REF!,"AAAAAHXe+n4=",0)</f>
        <v>#REF!</v>
      </c>
      <c r="DX51" t="e">
        <f>IF(#REF!,"AAAAAHXe+n8=",0)</f>
        <v>#REF!</v>
      </c>
      <c r="DY51" t="e">
        <f>IF(#REF!,"AAAAAHXe+oA=",0)</f>
        <v>#REF!</v>
      </c>
      <c r="DZ51" t="e">
        <f>IF(#REF!,"AAAAAHXe+oE=",0)</f>
        <v>#REF!</v>
      </c>
      <c r="EA51" t="e">
        <f>IF(#REF!,"AAAAAHXe+oI=",0)</f>
        <v>#REF!</v>
      </c>
      <c r="EB51" t="e">
        <f>IF(#REF!,"AAAAAHXe+oM=",0)</f>
        <v>#REF!</v>
      </c>
      <c r="EC51" t="e">
        <f>IF(#REF!,"AAAAAHXe+oQ=",0)</f>
        <v>#REF!</v>
      </c>
      <c r="ED51" t="e">
        <f>IF(#REF!,"AAAAAHXe+oU=",0)</f>
        <v>#REF!</v>
      </c>
      <c r="EE51" t="e">
        <f>IF(#REF!,"AAAAAHXe+oY=",0)</f>
        <v>#REF!</v>
      </c>
      <c r="EF51" t="e">
        <f>IF(#REF!,"AAAAAHXe+oc=",0)</f>
        <v>#REF!</v>
      </c>
      <c r="EG51" t="e">
        <f>IF(#REF!,"AAAAAHXe+og=",0)</f>
        <v>#REF!</v>
      </c>
      <c r="EH51" t="e">
        <f>IF(#REF!,"AAAAAHXe+ok=",0)</f>
        <v>#REF!</v>
      </c>
      <c r="EI51" t="e">
        <f>IF(#REF!,"AAAAAHXe+oo=",0)</f>
        <v>#REF!</v>
      </c>
      <c r="EJ51" t="e">
        <f>IF(#REF!,"AAAAAHXe+os=",0)</f>
        <v>#REF!</v>
      </c>
      <c r="EK51" t="e">
        <f>IF(#REF!,"AAAAAHXe+ow=",0)</f>
        <v>#REF!</v>
      </c>
      <c r="EL51" t="e">
        <f>IF(#REF!,"AAAAAHXe+o0=",0)</f>
        <v>#REF!</v>
      </c>
      <c r="EM51" t="e">
        <f>IF(#REF!,"AAAAAHXe+o4=",0)</f>
        <v>#REF!</v>
      </c>
      <c r="EN51" t="e">
        <f>IF(#REF!,"AAAAAHXe+o8=",0)</f>
        <v>#REF!</v>
      </c>
      <c r="EO51" t="e">
        <f>IF(#REF!,"AAAAAHXe+pA=",0)</f>
        <v>#REF!</v>
      </c>
      <c r="EP51" t="e">
        <f>IF(#REF!,"AAAAAHXe+pE=",0)</f>
        <v>#REF!</v>
      </c>
      <c r="EQ51" t="e">
        <f>IF(#REF!,"AAAAAHXe+pI=",0)</f>
        <v>#REF!</v>
      </c>
      <c r="ER51" t="e">
        <f>IF(#REF!,"AAAAAHXe+pM=",0)</f>
        <v>#REF!</v>
      </c>
      <c r="ES51" t="e">
        <f>IF(#REF!,"AAAAAHXe+pQ=",0)</f>
        <v>#REF!</v>
      </c>
      <c r="ET51" t="e">
        <f>IF(#REF!,"AAAAAHXe+pU=",0)</f>
        <v>#REF!</v>
      </c>
      <c r="EU51" t="e">
        <f>IF(#REF!,"AAAAAHXe+pY=",0)</f>
        <v>#REF!</v>
      </c>
      <c r="EV51" t="e">
        <f>IF(#REF!,"AAAAAHXe+pc=",0)</f>
        <v>#REF!</v>
      </c>
      <c r="EW51" t="e">
        <f>IF(#REF!,"AAAAAHXe+pg=",0)</f>
        <v>#REF!</v>
      </c>
      <c r="EX51" t="e">
        <f>IF(#REF!,"AAAAAHXe+pk=",0)</f>
        <v>#REF!</v>
      </c>
      <c r="EY51" t="e">
        <f>IF(#REF!,"AAAAAHXe+po=",0)</f>
        <v>#REF!</v>
      </c>
      <c r="EZ51" t="e">
        <f>IF(#REF!,"AAAAAHXe+ps=",0)</f>
        <v>#REF!</v>
      </c>
      <c r="FA51" t="e">
        <f>IF(#REF!,"AAAAAHXe+pw=",0)</f>
        <v>#REF!</v>
      </c>
      <c r="FB51" t="e">
        <f>IF(#REF!,"AAAAAHXe+p0=",0)</f>
        <v>#REF!</v>
      </c>
      <c r="FC51" t="e">
        <f>IF(#REF!,"AAAAAHXe+p4=",0)</f>
        <v>#REF!</v>
      </c>
      <c r="FD51" t="e">
        <f>IF(#REF!,"AAAAAHXe+p8=",0)</f>
        <v>#REF!</v>
      </c>
      <c r="FE51" t="e">
        <f>IF(#REF!,"AAAAAHXe+qA=",0)</f>
        <v>#REF!</v>
      </c>
      <c r="FF51" t="e">
        <f>IF(#REF!,"AAAAAHXe+qE=",0)</f>
        <v>#REF!</v>
      </c>
      <c r="FG51" t="e">
        <f>IF(#REF!,"AAAAAHXe+qI=",0)</f>
        <v>#REF!</v>
      </c>
      <c r="FH51" t="e">
        <f>IF(#REF!,"AAAAAHXe+qM=",0)</f>
        <v>#REF!</v>
      </c>
      <c r="FI51" t="e">
        <f>IF(#REF!,"AAAAAHXe+qQ=",0)</f>
        <v>#REF!</v>
      </c>
      <c r="FJ51" t="e">
        <f>IF(#REF!,"AAAAAHXe+qU=",0)</f>
        <v>#REF!</v>
      </c>
      <c r="FK51" t="e">
        <f>IF(#REF!,"AAAAAHXe+qY=",0)</f>
        <v>#REF!</v>
      </c>
      <c r="FL51" t="e">
        <f>IF(#REF!,"AAAAAHXe+qc=",0)</f>
        <v>#REF!</v>
      </c>
      <c r="FM51" t="e">
        <f>IF(#REF!,"AAAAAHXe+qg=",0)</f>
        <v>#REF!</v>
      </c>
      <c r="FN51" t="e">
        <f>IF(#REF!,"AAAAAHXe+qk=",0)</f>
        <v>#REF!</v>
      </c>
      <c r="FO51" t="e">
        <f>IF(#REF!,"AAAAAHXe+qo=",0)</f>
        <v>#REF!</v>
      </c>
      <c r="FP51" t="e">
        <f>IF(#REF!,"AAAAAHXe+qs=",0)</f>
        <v>#REF!</v>
      </c>
      <c r="FQ51" t="e">
        <f>IF(#REF!,"AAAAAHXe+qw=",0)</f>
        <v>#REF!</v>
      </c>
      <c r="FR51" t="e">
        <f>IF(#REF!,"AAAAAHXe+q0=",0)</f>
        <v>#REF!</v>
      </c>
      <c r="FS51" t="e">
        <f>IF(#REF!,"AAAAAHXe+q4=",0)</f>
        <v>#REF!</v>
      </c>
      <c r="FT51" t="e">
        <f>IF(#REF!,"AAAAAHXe+q8=",0)</f>
        <v>#REF!</v>
      </c>
      <c r="FU51" t="e">
        <f>IF(#REF!,"AAAAAHXe+rA=",0)</f>
        <v>#REF!</v>
      </c>
      <c r="FV51" t="e">
        <f>IF(#REF!,"AAAAAHXe+rE=",0)</f>
        <v>#REF!</v>
      </c>
      <c r="FW51" t="e">
        <f>IF(#REF!,"AAAAAHXe+rI=",0)</f>
        <v>#REF!</v>
      </c>
      <c r="FX51" t="e">
        <f>IF(#REF!,"AAAAAHXe+rM=",0)</f>
        <v>#REF!</v>
      </c>
      <c r="FY51" t="e">
        <f>IF(#REF!,"AAAAAHXe+rQ=",0)</f>
        <v>#REF!</v>
      </c>
      <c r="FZ51" t="e">
        <f>IF(#REF!,"AAAAAHXe+rU=",0)</f>
        <v>#REF!</v>
      </c>
      <c r="GA51" t="e">
        <f>IF(#REF!,"AAAAAHXe+rY=",0)</f>
        <v>#REF!</v>
      </c>
      <c r="GB51" t="e">
        <f>IF(#REF!,"AAAAAHXe+rc=",0)</f>
        <v>#REF!</v>
      </c>
      <c r="GC51" t="e">
        <f>IF(#REF!,"AAAAAHXe+rg=",0)</f>
        <v>#REF!</v>
      </c>
      <c r="GD51" t="e">
        <f>IF(#REF!,"AAAAAHXe+rk=",0)</f>
        <v>#REF!</v>
      </c>
      <c r="GE51" t="e">
        <f>IF(#REF!,"AAAAAHXe+ro=",0)</f>
        <v>#REF!</v>
      </c>
      <c r="GF51" t="e">
        <f>IF(#REF!,"AAAAAHXe+rs=",0)</f>
        <v>#REF!</v>
      </c>
      <c r="GG51" t="e">
        <f>IF(#REF!,"AAAAAHXe+rw=",0)</f>
        <v>#REF!</v>
      </c>
      <c r="GH51" t="e">
        <f>IF(#REF!,"AAAAAHXe+r0=",0)</f>
        <v>#REF!</v>
      </c>
      <c r="GI51" t="e">
        <f>IF(#REF!,"AAAAAHXe+r4=",0)</f>
        <v>#REF!</v>
      </c>
      <c r="GJ51" t="e">
        <f>IF(#REF!,"AAAAAHXe+r8=",0)</f>
        <v>#REF!</v>
      </c>
      <c r="GK51" t="e">
        <f>IF(#REF!,"AAAAAHXe+sA=",0)</f>
        <v>#REF!</v>
      </c>
      <c r="GL51" t="e">
        <f>IF(#REF!,"AAAAAHXe+sE=",0)</f>
        <v>#REF!</v>
      </c>
      <c r="GM51" t="e">
        <f>IF(#REF!,"AAAAAHXe+sI=",0)</f>
        <v>#REF!</v>
      </c>
      <c r="GN51" t="e">
        <f>IF(#REF!,"AAAAAHXe+sM=",0)</f>
        <v>#REF!</v>
      </c>
      <c r="GO51" t="e">
        <f>IF(#REF!,"AAAAAHXe+sQ=",0)</f>
        <v>#REF!</v>
      </c>
      <c r="GP51" t="e">
        <f>IF(#REF!,"AAAAAHXe+sU=",0)</f>
        <v>#REF!</v>
      </c>
      <c r="GQ51" t="e">
        <f>IF(#REF!,"AAAAAHXe+sY=",0)</f>
        <v>#REF!</v>
      </c>
      <c r="GR51" t="e">
        <f>IF(#REF!,"AAAAAHXe+sc=",0)</f>
        <v>#REF!</v>
      </c>
      <c r="GS51" t="e">
        <f>IF(#REF!,"AAAAAHXe+sg=",0)</f>
        <v>#REF!</v>
      </c>
      <c r="GT51" t="e">
        <f>IF(#REF!,"AAAAAHXe+sk=",0)</f>
        <v>#REF!</v>
      </c>
      <c r="GU51" t="e">
        <f>IF(#REF!,"AAAAAHXe+so=",0)</f>
        <v>#REF!</v>
      </c>
      <c r="GV51" t="e">
        <f>IF(#REF!,"AAAAAHXe+ss=",0)</f>
        <v>#REF!</v>
      </c>
      <c r="GW51" t="e">
        <f>IF(#REF!,"AAAAAHXe+sw=",0)</f>
        <v>#REF!</v>
      </c>
      <c r="GX51" t="e">
        <f>IF(#REF!,"AAAAAHXe+s0=",0)</f>
        <v>#REF!</v>
      </c>
      <c r="GY51" t="e">
        <f>IF(#REF!,"AAAAAHXe+s4=",0)</f>
        <v>#REF!</v>
      </c>
      <c r="GZ51" t="e">
        <f>IF(#REF!,"AAAAAHXe+s8=",0)</f>
        <v>#REF!</v>
      </c>
      <c r="HA51" t="e">
        <f>IF(#REF!,"AAAAAHXe+tA=",0)</f>
        <v>#REF!</v>
      </c>
      <c r="HB51" t="e">
        <f>IF(#REF!,"AAAAAHXe+tE=",0)</f>
        <v>#REF!</v>
      </c>
      <c r="HC51" t="e">
        <f>IF(#REF!,"AAAAAHXe+tI=",0)</f>
        <v>#REF!</v>
      </c>
      <c r="HD51" t="e">
        <f>IF(#REF!,"AAAAAHXe+tM=",0)</f>
        <v>#REF!</v>
      </c>
      <c r="HE51" t="e">
        <f>IF(#REF!,"AAAAAHXe+tQ=",0)</f>
        <v>#REF!</v>
      </c>
      <c r="HF51" t="e">
        <f>IF(#REF!,"AAAAAHXe+tU=",0)</f>
        <v>#REF!</v>
      </c>
      <c r="HG51" t="e">
        <f>IF(#REF!,"AAAAAHXe+tY=",0)</f>
        <v>#REF!</v>
      </c>
      <c r="HH51" t="e">
        <f>IF(#REF!,"AAAAAHXe+tc=",0)</f>
        <v>#REF!</v>
      </c>
      <c r="HI51" t="e">
        <f>IF(#REF!,"AAAAAHXe+tg=",0)</f>
        <v>#REF!</v>
      </c>
      <c r="HJ51" t="e">
        <f>IF(#REF!,"AAAAAHXe+tk=",0)</f>
        <v>#REF!</v>
      </c>
      <c r="HK51" t="e">
        <f>IF(#REF!,"AAAAAHXe+to=",0)</f>
        <v>#REF!</v>
      </c>
      <c r="HL51" t="e">
        <f>IF(#REF!,"AAAAAHXe+ts=",0)</f>
        <v>#REF!</v>
      </c>
      <c r="HM51" t="e">
        <f>IF(#REF!,"AAAAAHXe+tw=",0)</f>
        <v>#REF!</v>
      </c>
      <c r="HN51" t="e">
        <f>IF(#REF!,"AAAAAHXe+t0=",0)</f>
        <v>#REF!</v>
      </c>
      <c r="HO51" t="e">
        <f>IF(#REF!,"AAAAAHXe+t4=",0)</f>
        <v>#REF!</v>
      </c>
      <c r="HP51" t="e">
        <f>IF(#REF!,"AAAAAHXe+t8=",0)</f>
        <v>#REF!</v>
      </c>
      <c r="HQ51" t="e">
        <f>IF(#REF!,"AAAAAHXe+uA=",0)</f>
        <v>#REF!</v>
      </c>
      <c r="HR51" t="e">
        <f>IF(#REF!,"AAAAAHXe+uE=",0)</f>
        <v>#REF!</v>
      </c>
      <c r="HS51" t="e">
        <f>IF(#REF!,"AAAAAHXe+uI=",0)</f>
        <v>#REF!</v>
      </c>
      <c r="HT51" t="e">
        <f>IF(#REF!,"AAAAAHXe+uM=",0)</f>
        <v>#REF!</v>
      </c>
      <c r="HU51" t="e">
        <f>IF(#REF!,"AAAAAHXe+uQ=",0)</f>
        <v>#REF!</v>
      </c>
      <c r="HV51" t="e">
        <f>IF(#REF!,"AAAAAHXe+uU=",0)</f>
        <v>#REF!</v>
      </c>
      <c r="HW51" t="e">
        <f>IF(#REF!,"AAAAAHXe+uY=",0)</f>
        <v>#REF!</v>
      </c>
      <c r="HX51" t="e">
        <f>IF(#REF!,"AAAAAHXe+uc=",0)</f>
        <v>#REF!</v>
      </c>
      <c r="HY51" t="e">
        <f>IF(#REF!,"AAAAAHXe+ug=",0)</f>
        <v>#REF!</v>
      </c>
      <c r="HZ51" t="e">
        <f>IF(#REF!,"AAAAAHXe+uk=",0)</f>
        <v>#REF!</v>
      </c>
      <c r="IA51" t="e">
        <f>IF(#REF!,"AAAAAHXe+uo=",0)</f>
        <v>#REF!</v>
      </c>
      <c r="IB51" t="e">
        <f>IF(#REF!,"AAAAAHXe+us=",0)</f>
        <v>#REF!</v>
      </c>
      <c r="IC51" t="e">
        <f>IF(#REF!,"AAAAAHXe+uw=",0)</f>
        <v>#REF!</v>
      </c>
      <c r="ID51" t="e">
        <f>IF(#REF!,"AAAAAHXe+u0=",0)</f>
        <v>#REF!</v>
      </c>
      <c r="IE51" t="e">
        <f>IF(#REF!,"AAAAAHXe+u4=",0)</f>
        <v>#REF!</v>
      </c>
      <c r="IF51" t="e">
        <f>IF(#REF!,"AAAAAHXe+u8=",0)</f>
        <v>#REF!</v>
      </c>
      <c r="IG51" t="e">
        <f>IF(#REF!,"AAAAAHXe+vA=",0)</f>
        <v>#REF!</v>
      </c>
      <c r="IH51" t="e">
        <f>IF(#REF!,"AAAAAHXe+vE=",0)</f>
        <v>#REF!</v>
      </c>
      <c r="II51" t="e">
        <f>IF(#REF!,"AAAAAHXe+vI=",0)</f>
        <v>#REF!</v>
      </c>
      <c r="IJ51" t="e">
        <f>IF(#REF!,"AAAAAHXe+vM=",0)</f>
        <v>#REF!</v>
      </c>
      <c r="IK51" t="e">
        <f>IF(#REF!,"AAAAAHXe+vQ=",0)</f>
        <v>#REF!</v>
      </c>
      <c r="IL51" t="e">
        <f>IF(#REF!,"AAAAAHXe+vU=",0)</f>
        <v>#REF!</v>
      </c>
      <c r="IM51" t="e">
        <f>IF(#REF!,"AAAAAHXe+vY=",0)</f>
        <v>#REF!</v>
      </c>
      <c r="IN51" t="e">
        <f>IF(#REF!,"AAAAAHXe+vc=",0)</f>
        <v>#REF!</v>
      </c>
      <c r="IO51" t="e">
        <f>IF(#REF!,"AAAAAHXe+vg=",0)</f>
        <v>#REF!</v>
      </c>
      <c r="IP51" t="e">
        <f>IF(#REF!,"AAAAAHXe+vk=",0)</f>
        <v>#REF!</v>
      </c>
      <c r="IQ51" t="e">
        <f>IF(#REF!,"AAAAAHXe+vo=",0)</f>
        <v>#REF!</v>
      </c>
      <c r="IR51" t="e">
        <f>IF(#REF!,"AAAAAHXe+vs=",0)</f>
        <v>#REF!</v>
      </c>
      <c r="IS51" t="e">
        <f>IF(#REF!,"AAAAAHXe+vw=",0)</f>
        <v>#REF!</v>
      </c>
      <c r="IT51" t="e">
        <f>IF(#REF!,"AAAAAHXe+v0=",0)</f>
        <v>#REF!</v>
      </c>
      <c r="IU51" t="e">
        <f>IF(#REF!,"AAAAAHXe+v4=",0)</f>
        <v>#REF!</v>
      </c>
      <c r="IV51" t="e">
        <f>IF(#REF!,"AAAAAHXe+v8=",0)</f>
        <v>#REF!</v>
      </c>
    </row>
    <row r="52" spans="1:256" x14ac:dyDescent="0.35">
      <c r="A52" t="e">
        <f>IF(#REF!,"AAAAAFP71gA=",0)</f>
        <v>#REF!</v>
      </c>
      <c r="B52" t="e">
        <f>IF(#REF!,"AAAAAFP71gE=",0)</f>
        <v>#REF!</v>
      </c>
      <c r="C52" t="e">
        <f>IF(#REF!,"AAAAAFP71gI=",0)</f>
        <v>#REF!</v>
      </c>
      <c r="D52" t="e">
        <f>IF(#REF!,"AAAAAFP71gM=",0)</f>
        <v>#REF!</v>
      </c>
      <c r="E52" t="e">
        <f>IF(#REF!,"AAAAAFP71gQ=",0)</f>
        <v>#REF!</v>
      </c>
      <c r="F52" t="e">
        <f>IF(#REF!,"AAAAAFP71gU=",0)</f>
        <v>#REF!</v>
      </c>
      <c r="G52" t="e">
        <f>IF(#REF!,"AAAAAFP71gY=",0)</f>
        <v>#REF!</v>
      </c>
      <c r="H52" t="e">
        <f>IF(#REF!,"AAAAAFP71gc=",0)</f>
        <v>#REF!</v>
      </c>
      <c r="I52" t="e">
        <f>IF(#REF!,"AAAAAFP71gg=",0)</f>
        <v>#REF!</v>
      </c>
      <c r="J52" t="e">
        <f>IF(#REF!,"AAAAAFP71gk=",0)</f>
        <v>#REF!</v>
      </c>
      <c r="K52" t="e">
        <f>IF(#REF!,"AAAAAFP71go=",0)</f>
        <v>#REF!</v>
      </c>
      <c r="L52" t="e">
        <f>IF(#REF!,"AAAAAFP71gs=",0)</f>
        <v>#REF!</v>
      </c>
      <c r="M52" t="e">
        <f>IF(#REF!,"AAAAAFP71gw=",0)</f>
        <v>#REF!</v>
      </c>
      <c r="N52" t="e">
        <f>IF(#REF!,"AAAAAFP71g0=",0)</f>
        <v>#REF!</v>
      </c>
      <c r="O52" t="e">
        <f>IF(#REF!,"AAAAAFP71g4=",0)</f>
        <v>#REF!</v>
      </c>
      <c r="P52" t="e">
        <f>IF(#REF!,"AAAAAFP71g8=",0)</f>
        <v>#REF!</v>
      </c>
      <c r="Q52" t="e">
        <f>IF(#REF!,"AAAAAFP71hA=",0)</f>
        <v>#REF!</v>
      </c>
      <c r="R52" t="e">
        <f>IF(#REF!,"AAAAAFP71hE=",0)</f>
        <v>#REF!</v>
      </c>
      <c r="S52" t="e">
        <f>IF(#REF!,"AAAAAFP71hI=",0)</f>
        <v>#REF!</v>
      </c>
      <c r="T52" t="e">
        <f>IF(#REF!,"AAAAAFP71hM=",0)</f>
        <v>#REF!</v>
      </c>
      <c r="U52" t="e">
        <f>IF(#REF!,"AAAAAFP71hQ=",0)</f>
        <v>#REF!</v>
      </c>
      <c r="V52" t="e">
        <f>IF(#REF!,"AAAAAFP71hU=",0)</f>
        <v>#REF!</v>
      </c>
      <c r="W52" t="e">
        <f>IF(#REF!,"AAAAAFP71hY=",0)</f>
        <v>#REF!</v>
      </c>
      <c r="X52" t="e">
        <f>IF(#REF!,"AAAAAFP71hc=",0)</f>
        <v>#REF!</v>
      </c>
      <c r="Y52" t="e">
        <f>IF(#REF!,"AAAAAFP71hg=",0)</f>
        <v>#REF!</v>
      </c>
      <c r="Z52" t="e">
        <f>IF(#REF!,"AAAAAFP71hk=",0)</f>
        <v>#REF!</v>
      </c>
      <c r="AA52" t="e">
        <f>IF(#REF!,"AAAAAFP71ho=",0)</f>
        <v>#REF!</v>
      </c>
      <c r="AB52" t="e">
        <f>IF(#REF!,"AAAAAFP71hs=",0)</f>
        <v>#REF!</v>
      </c>
      <c r="AC52" t="e">
        <f>IF(#REF!,"AAAAAFP71hw=",0)</f>
        <v>#REF!</v>
      </c>
      <c r="AD52" t="e">
        <f>IF(#REF!,"AAAAAFP71h0=",0)</f>
        <v>#REF!</v>
      </c>
      <c r="AE52" t="e">
        <f>IF(#REF!,"AAAAAFP71h4=",0)</f>
        <v>#REF!</v>
      </c>
      <c r="AF52" t="e">
        <f>IF(#REF!,"AAAAAFP71h8=",0)</f>
        <v>#REF!</v>
      </c>
      <c r="AG52" t="e">
        <f>IF(#REF!,"AAAAAFP71iA=",0)</f>
        <v>#REF!</v>
      </c>
      <c r="AH52" t="e">
        <f>IF(#REF!,"AAAAAFP71iE=",0)</f>
        <v>#REF!</v>
      </c>
      <c r="AI52" t="e">
        <f>IF(#REF!,"AAAAAFP71iI=",0)</f>
        <v>#REF!</v>
      </c>
      <c r="AJ52" t="e">
        <f>IF(#REF!,"AAAAAFP71iM=",0)</f>
        <v>#REF!</v>
      </c>
      <c r="AK52" t="e">
        <f>IF(#REF!,"AAAAAFP71iQ=",0)</f>
        <v>#REF!</v>
      </c>
      <c r="AL52" t="e">
        <f>IF(#REF!,"AAAAAFP71iU=",0)</f>
        <v>#REF!</v>
      </c>
      <c r="AM52" t="e">
        <f>IF(#REF!,"AAAAAFP71iY=",0)</f>
        <v>#REF!</v>
      </c>
      <c r="AN52" t="e">
        <f>IF(#REF!,"AAAAAFP71ic=",0)</f>
        <v>#REF!</v>
      </c>
      <c r="AO52" t="e">
        <f>IF(#REF!,"AAAAAFP71ig=",0)</f>
        <v>#REF!</v>
      </c>
      <c r="AP52" t="e">
        <f>IF(#REF!,"AAAAAFP71ik=",0)</f>
        <v>#REF!</v>
      </c>
      <c r="AQ52" t="e">
        <f>IF(#REF!,"AAAAAFP71io=",0)</f>
        <v>#REF!</v>
      </c>
      <c r="AR52" t="e">
        <f>IF(#REF!,"AAAAAFP71is=",0)</f>
        <v>#REF!</v>
      </c>
      <c r="AS52" t="e">
        <f>IF(#REF!,"AAAAAFP71iw=",0)</f>
        <v>#REF!</v>
      </c>
      <c r="AT52" t="e">
        <f>IF(#REF!,"AAAAAFP71i0=",0)</f>
        <v>#REF!</v>
      </c>
      <c r="AU52" t="e">
        <f>IF(#REF!,"AAAAAFP71i4=",0)</f>
        <v>#REF!</v>
      </c>
      <c r="AV52" t="e">
        <f>IF(#REF!,"AAAAAFP71i8=",0)</f>
        <v>#REF!</v>
      </c>
      <c r="AW52" t="e">
        <f>IF(#REF!,"AAAAAFP71jA=",0)</f>
        <v>#REF!</v>
      </c>
      <c r="AX52" t="e">
        <f>IF(#REF!,"AAAAAFP71jE=",0)</f>
        <v>#REF!</v>
      </c>
      <c r="AY52" t="e">
        <f>IF(#REF!,"AAAAAFP71jI=",0)</f>
        <v>#REF!</v>
      </c>
      <c r="AZ52" t="e">
        <f>IF(#REF!,"AAAAAFP71jM=",0)</f>
        <v>#REF!</v>
      </c>
      <c r="BA52" t="e">
        <f>IF(#REF!,"AAAAAFP71jQ=",0)</f>
        <v>#REF!</v>
      </c>
      <c r="BB52" t="e">
        <f>IF(#REF!,"AAAAAFP71jU=",0)</f>
        <v>#REF!</v>
      </c>
      <c r="BC52" t="e">
        <f>IF(#REF!,"AAAAAFP71jY=",0)</f>
        <v>#REF!</v>
      </c>
      <c r="BD52" t="e">
        <f>IF(#REF!,"AAAAAFP71jc=",0)</f>
        <v>#REF!</v>
      </c>
      <c r="BE52" t="e">
        <f>IF(#REF!,"AAAAAFP71jg=",0)</f>
        <v>#REF!</v>
      </c>
      <c r="BF52" t="e">
        <f>IF(#REF!,"AAAAAFP71jk=",0)</f>
        <v>#REF!</v>
      </c>
      <c r="BG52" t="e">
        <f>IF(#REF!,"AAAAAFP71jo=",0)</f>
        <v>#REF!</v>
      </c>
      <c r="BH52" t="e">
        <f>IF(#REF!,"AAAAAFP71js=",0)</f>
        <v>#REF!</v>
      </c>
      <c r="BI52" t="e">
        <f>IF(#REF!,"AAAAAFP71jw=",0)</f>
        <v>#REF!</v>
      </c>
      <c r="BJ52" t="e">
        <f>IF(#REF!,"AAAAAFP71j0=",0)</f>
        <v>#REF!</v>
      </c>
      <c r="BK52" t="e">
        <f>IF(#REF!,"AAAAAFP71j4=",0)</f>
        <v>#REF!</v>
      </c>
      <c r="BL52" t="e">
        <f>IF(#REF!,"AAAAAFP71j8=",0)</f>
        <v>#REF!</v>
      </c>
      <c r="BM52" t="e">
        <f>IF(#REF!,"AAAAAFP71kA=",0)</f>
        <v>#REF!</v>
      </c>
      <c r="BN52" t="e">
        <f>IF(#REF!,"AAAAAFP71kE=",0)</f>
        <v>#REF!</v>
      </c>
      <c r="BO52" t="e">
        <f>IF(#REF!,"AAAAAFP71kI=",0)</f>
        <v>#REF!</v>
      </c>
      <c r="BP52" t="e">
        <f>IF(#REF!,"AAAAAFP71kM=",0)</f>
        <v>#REF!</v>
      </c>
      <c r="BQ52" t="e">
        <f>IF(#REF!,"AAAAAFP71kQ=",0)</f>
        <v>#REF!</v>
      </c>
      <c r="BR52" t="e">
        <f>IF(#REF!,"AAAAAFP71kU=",0)</f>
        <v>#REF!</v>
      </c>
      <c r="BS52" t="e">
        <f>IF(#REF!,"AAAAAFP71kY=",0)</f>
        <v>#REF!</v>
      </c>
      <c r="BT52" t="e">
        <f>IF(#REF!,"AAAAAFP71kc=",0)</f>
        <v>#REF!</v>
      </c>
      <c r="BU52" t="e">
        <f>IF(#REF!,"AAAAAFP71kg=",0)</f>
        <v>#REF!</v>
      </c>
      <c r="BV52" t="e">
        <f>IF(#REF!,"AAAAAFP71kk=",0)</f>
        <v>#REF!</v>
      </c>
      <c r="BW52" t="e">
        <f>IF(#REF!,"AAAAAFP71ko=",0)</f>
        <v>#REF!</v>
      </c>
      <c r="BX52" t="e">
        <f>IF(#REF!,"AAAAAFP71ks=",0)</f>
        <v>#REF!</v>
      </c>
      <c r="BY52" t="e">
        <f>IF(#REF!,"AAAAAFP71kw=",0)</f>
        <v>#REF!</v>
      </c>
      <c r="BZ52" t="e">
        <f>IF(#REF!,"AAAAAFP71k0=",0)</f>
        <v>#REF!</v>
      </c>
      <c r="CA52" t="e">
        <f>IF(#REF!,"AAAAAFP71k4=",0)</f>
        <v>#REF!</v>
      </c>
      <c r="CB52" t="e">
        <f>IF(#REF!,"AAAAAFP71k8=",0)</f>
        <v>#REF!</v>
      </c>
      <c r="CC52" t="e">
        <f>IF(#REF!,"AAAAAFP71lA=",0)</f>
        <v>#REF!</v>
      </c>
      <c r="CD52" t="e">
        <f>IF(#REF!,"AAAAAFP71lE=",0)</f>
        <v>#REF!</v>
      </c>
      <c r="CE52" t="e">
        <f>IF(#REF!,"AAAAAFP71lI=",0)</f>
        <v>#REF!</v>
      </c>
      <c r="CF52" t="e">
        <f>IF(#REF!,"AAAAAFP71lM=",0)</f>
        <v>#REF!</v>
      </c>
      <c r="CG52" t="e">
        <f>IF(#REF!,"AAAAAFP71lQ=",0)</f>
        <v>#REF!</v>
      </c>
      <c r="CH52" t="e">
        <f>IF(#REF!,"AAAAAFP71lU=",0)</f>
        <v>#REF!</v>
      </c>
      <c r="CI52" t="e">
        <f>IF(#REF!,"AAAAAFP71lY=",0)</f>
        <v>#REF!</v>
      </c>
      <c r="CJ52" t="e">
        <f>IF(#REF!,"AAAAAFP71lc=",0)</f>
        <v>#REF!</v>
      </c>
      <c r="CK52" t="e">
        <f>IF(#REF!,"AAAAAFP71lg=",0)</f>
        <v>#REF!</v>
      </c>
      <c r="CL52" t="e">
        <f>IF(#REF!,"AAAAAFP71lk=",0)</f>
        <v>#REF!</v>
      </c>
      <c r="CM52" t="e">
        <f>IF(#REF!,"AAAAAFP71lo=",0)</f>
        <v>#REF!</v>
      </c>
      <c r="CN52" t="e">
        <f>IF(#REF!,"AAAAAFP71ls=",0)</f>
        <v>#REF!</v>
      </c>
      <c r="CO52" t="e">
        <f>IF(#REF!,"AAAAAFP71lw=",0)</f>
        <v>#REF!</v>
      </c>
      <c r="CP52" t="e">
        <f>IF(#REF!,"AAAAAFP71l0=",0)</f>
        <v>#REF!</v>
      </c>
      <c r="CQ52" t="e">
        <f>IF(#REF!,"AAAAAFP71l4=",0)</f>
        <v>#REF!</v>
      </c>
      <c r="CR52" t="e">
        <f>IF(#REF!,"AAAAAFP71l8=",0)</f>
        <v>#REF!</v>
      </c>
      <c r="CS52" t="e">
        <f>IF(#REF!,"AAAAAFP71mA=",0)</f>
        <v>#REF!</v>
      </c>
      <c r="CT52" t="e">
        <f>IF(#REF!,"AAAAAFP71mE=",0)</f>
        <v>#REF!</v>
      </c>
      <c r="CU52" t="e">
        <f>IF(#REF!,"AAAAAFP71mI=",0)</f>
        <v>#REF!</v>
      </c>
      <c r="CV52" t="e">
        <f>IF(#REF!,"AAAAAFP71mM=",0)</f>
        <v>#REF!</v>
      </c>
      <c r="CW52" t="e">
        <f>IF(#REF!,"AAAAAFP71mQ=",0)</f>
        <v>#REF!</v>
      </c>
      <c r="CX52" t="e">
        <f>IF(#REF!,"AAAAAFP71mU=",0)</f>
        <v>#REF!</v>
      </c>
      <c r="CY52" t="e">
        <f>IF(#REF!,"AAAAAFP71mY=",0)</f>
        <v>#REF!</v>
      </c>
      <c r="CZ52" t="e">
        <f>IF(#REF!,"AAAAAFP71mc=",0)</f>
        <v>#REF!</v>
      </c>
      <c r="DA52" t="e">
        <f>IF(#REF!,"AAAAAFP71mg=",0)</f>
        <v>#REF!</v>
      </c>
      <c r="DB52" t="e">
        <f>IF(#REF!,"AAAAAFP71mk=",0)</f>
        <v>#REF!</v>
      </c>
      <c r="DC52" t="e">
        <f>IF(#REF!,"AAAAAFP71mo=",0)</f>
        <v>#REF!</v>
      </c>
      <c r="DD52" t="e">
        <f>IF(#REF!,"AAAAAFP71ms=",0)</f>
        <v>#REF!</v>
      </c>
      <c r="DE52" t="e">
        <f>IF(#REF!,"AAAAAFP71mw=",0)</f>
        <v>#REF!</v>
      </c>
      <c r="DF52" t="e">
        <f>IF(#REF!,"AAAAAFP71m0=",0)</f>
        <v>#REF!</v>
      </c>
      <c r="DG52" t="e">
        <f>IF(#REF!,"AAAAAFP71m4=",0)</f>
        <v>#REF!</v>
      </c>
      <c r="DH52" t="e">
        <f>IF(#REF!,"AAAAAFP71m8=",0)</f>
        <v>#REF!</v>
      </c>
      <c r="DI52" t="e">
        <f>IF(#REF!,"AAAAAFP71nA=",0)</f>
        <v>#REF!</v>
      </c>
      <c r="DJ52" t="e">
        <f>IF(#REF!,"AAAAAFP71nE=",0)</f>
        <v>#REF!</v>
      </c>
      <c r="DK52" t="e">
        <f>IF(#REF!,"AAAAAFP71nI=",0)</f>
        <v>#REF!</v>
      </c>
      <c r="DL52" t="e">
        <f>IF(#REF!,"AAAAAFP71nM=",0)</f>
        <v>#REF!</v>
      </c>
      <c r="DM52" t="e">
        <f>IF(#REF!,"AAAAAFP71nQ=",0)</f>
        <v>#REF!</v>
      </c>
      <c r="DN52" t="e">
        <f>IF(#REF!,"AAAAAFP71nU=",0)</f>
        <v>#REF!</v>
      </c>
      <c r="DO52" t="e">
        <f>IF(#REF!,"AAAAAFP71nY=",0)</f>
        <v>#REF!</v>
      </c>
      <c r="DP52" t="e">
        <f>IF(#REF!,"AAAAAFP71nc=",0)</f>
        <v>#REF!</v>
      </c>
      <c r="DQ52" t="e">
        <f>IF(#REF!,"AAAAAFP71ng=",0)</f>
        <v>#REF!</v>
      </c>
      <c r="DR52" t="e">
        <f>IF(#REF!,"AAAAAFP71nk=",0)</f>
        <v>#REF!</v>
      </c>
      <c r="DS52" t="e">
        <f>IF(#REF!,"AAAAAFP71no=",0)</f>
        <v>#REF!</v>
      </c>
      <c r="DT52" t="e">
        <f>IF(#REF!,"AAAAAFP71ns=",0)</f>
        <v>#REF!</v>
      </c>
      <c r="DU52" t="e">
        <f>IF(#REF!,"AAAAAFP71nw=",0)</f>
        <v>#REF!</v>
      </c>
      <c r="DV52" t="e">
        <f>IF(#REF!,"AAAAAFP71n0=",0)</f>
        <v>#REF!</v>
      </c>
      <c r="DW52" t="e">
        <f>IF(#REF!,"AAAAAFP71n4=",0)</f>
        <v>#REF!</v>
      </c>
      <c r="DX52" t="e">
        <f>IF(#REF!,"AAAAAFP71n8=",0)</f>
        <v>#REF!</v>
      </c>
      <c r="DY52" t="e">
        <f>IF(#REF!,"AAAAAFP71oA=",0)</f>
        <v>#REF!</v>
      </c>
      <c r="DZ52" t="e">
        <f>IF(#REF!,"AAAAAFP71oE=",0)</f>
        <v>#REF!</v>
      </c>
      <c r="EA52" t="e">
        <f>IF(#REF!,"AAAAAFP71oI=",0)</f>
        <v>#REF!</v>
      </c>
      <c r="EB52" t="e">
        <f>IF(#REF!,"AAAAAFP71oM=",0)</f>
        <v>#REF!</v>
      </c>
      <c r="EC52" t="e">
        <f>IF(#REF!,"AAAAAFP71oQ=",0)</f>
        <v>#REF!</v>
      </c>
      <c r="ED52" t="e">
        <f>IF(#REF!,"AAAAAFP71oU=",0)</f>
        <v>#REF!</v>
      </c>
      <c r="EE52" t="e">
        <f>IF(#REF!,"AAAAAFP71oY=",0)</f>
        <v>#REF!</v>
      </c>
      <c r="EF52" t="e">
        <f>IF(#REF!,"AAAAAFP71oc=",0)</f>
        <v>#REF!</v>
      </c>
      <c r="EG52" t="e">
        <f>IF(#REF!,"AAAAAFP71og=",0)</f>
        <v>#REF!</v>
      </c>
      <c r="EH52" t="e">
        <f>IF(#REF!,"AAAAAFP71ok=",0)</f>
        <v>#REF!</v>
      </c>
      <c r="EI52" t="e">
        <f>IF(#REF!,"AAAAAFP71oo=",0)</f>
        <v>#REF!</v>
      </c>
      <c r="EJ52" t="e">
        <f>IF(#REF!,"AAAAAFP71os=",0)</f>
        <v>#REF!</v>
      </c>
      <c r="EK52" t="e">
        <f>IF(#REF!,"AAAAAFP71ow=",0)</f>
        <v>#REF!</v>
      </c>
      <c r="EL52" t="e">
        <f>IF(#REF!,"AAAAAFP71o0=",0)</f>
        <v>#REF!</v>
      </c>
      <c r="EM52" t="e">
        <f>IF(#REF!,"AAAAAFP71o4=",0)</f>
        <v>#REF!</v>
      </c>
      <c r="EN52" t="e">
        <f>IF(#REF!,"AAAAAFP71o8=",0)</f>
        <v>#REF!</v>
      </c>
      <c r="EO52" t="e">
        <f>IF(#REF!,"AAAAAFP71pA=",0)</f>
        <v>#REF!</v>
      </c>
      <c r="EP52" t="e">
        <f>IF(#REF!,"AAAAAFP71pE=",0)</f>
        <v>#REF!</v>
      </c>
      <c r="EQ52" t="e">
        <f>IF(#REF!,"AAAAAFP71pI=",0)</f>
        <v>#REF!</v>
      </c>
      <c r="ER52" t="e">
        <f>IF(#REF!,"AAAAAFP71pM=",0)</f>
        <v>#REF!</v>
      </c>
      <c r="ES52" t="e">
        <f>IF(#REF!,"AAAAAFP71pQ=",0)</f>
        <v>#REF!</v>
      </c>
      <c r="ET52" t="e">
        <f>AND(#REF!,"AAAAAFP71pU=")</f>
        <v>#REF!</v>
      </c>
      <c r="EU52" t="e">
        <f>AND(#REF!,"AAAAAFP71pY=")</f>
        <v>#REF!</v>
      </c>
      <c r="EV52" t="e">
        <f>AND(#REF!,"AAAAAFP71pc=")</f>
        <v>#REF!</v>
      </c>
      <c r="EW52" t="e">
        <f>AND(#REF!,"AAAAAFP71pg=")</f>
        <v>#REF!</v>
      </c>
      <c r="EX52" t="e">
        <f>AND(#REF!,"AAAAAFP71pk=")</f>
        <v>#REF!</v>
      </c>
      <c r="EY52" t="e">
        <f>AND(#REF!,"AAAAAFP71po=")</f>
        <v>#REF!</v>
      </c>
      <c r="EZ52" t="e">
        <f>AND(#REF!,"AAAAAFP71ps=")</f>
        <v>#REF!</v>
      </c>
      <c r="FA52" t="e">
        <f>AND(#REF!,"AAAAAFP71pw=")</f>
        <v>#REF!</v>
      </c>
      <c r="FB52" t="e">
        <f>AND(#REF!,"AAAAAFP71p0=")</f>
        <v>#REF!</v>
      </c>
      <c r="FC52" t="e">
        <f>AND(#REF!,"AAAAAFP71p4=")</f>
        <v>#REF!</v>
      </c>
      <c r="FD52" t="e">
        <f>AND(#REF!,"AAAAAFP71p8=")</f>
        <v>#REF!</v>
      </c>
      <c r="FE52" t="e">
        <f>AND(#REF!,"AAAAAFP71qA=")</f>
        <v>#REF!</v>
      </c>
      <c r="FF52" t="e">
        <f>AND(#REF!,"AAAAAFP71qE=")</f>
        <v>#REF!</v>
      </c>
      <c r="FG52" t="e">
        <f>AND(#REF!,"AAAAAFP71qI=")</f>
        <v>#REF!</v>
      </c>
      <c r="FH52" t="e">
        <f>AND(#REF!,"AAAAAFP71qM=")</f>
        <v>#REF!</v>
      </c>
      <c r="FI52" t="e">
        <f>AND(#REF!,"AAAAAFP71qQ=")</f>
        <v>#REF!</v>
      </c>
      <c r="FJ52" t="e">
        <f>AND(#REF!,"AAAAAFP71qU=")</f>
        <v>#REF!</v>
      </c>
      <c r="FK52" t="e">
        <f>AND(#REF!,"AAAAAFP71qY=")</f>
        <v>#REF!</v>
      </c>
      <c r="FL52" t="e">
        <f>AND(#REF!,"AAAAAFP71qc=")</f>
        <v>#REF!</v>
      </c>
      <c r="FM52" t="e">
        <f>AND(#REF!,"AAAAAFP71qg=")</f>
        <v>#REF!</v>
      </c>
      <c r="FN52" t="e">
        <f>AND(#REF!,"AAAAAFP71qk=")</f>
        <v>#REF!</v>
      </c>
      <c r="FO52" t="e">
        <f>AND(#REF!,"AAAAAFP71qo=")</f>
        <v>#REF!</v>
      </c>
      <c r="FP52" t="e">
        <f>IF(#REF!,"AAAAAFP71qs=",0)</f>
        <v>#REF!</v>
      </c>
      <c r="FQ52" t="e">
        <f>AND(#REF!,"AAAAAFP71qw=")</f>
        <v>#REF!</v>
      </c>
      <c r="FR52" t="e">
        <f>AND(#REF!,"AAAAAFP71q0=")</f>
        <v>#REF!</v>
      </c>
      <c r="FS52" t="e">
        <f>AND(#REF!,"AAAAAFP71q4=")</f>
        <v>#REF!</v>
      </c>
      <c r="FT52" t="e">
        <f>AND(#REF!,"AAAAAFP71q8=")</f>
        <v>#REF!</v>
      </c>
      <c r="FU52" t="e">
        <f>AND(#REF!,"AAAAAFP71rA=")</f>
        <v>#REF!</v>
      </c>
      <c r="FV52" t="e">
        <f>AND(#REF!,"AAAAAFP71rE=")</f>
        <v>#REF!</v>
      </c>
      <c r="FW52" t="e">
        <f>AND(#REF!,"AAAAAFP71rI=")</f>
        <v>#REF!</v>
      </c>
      <c r="FX52" t="e">
        <f>AND(#REF!,"AAAAAFP71rM=")</f>
        <v>#REF!</v>
      </c>
      <c r="FY52" t="e">
        <f>AND(#REF!,"AAAAAFP71rQ=")</f>
        <v>#REF!</v>
      </c>
      <c r="FZ52" t="e">
        <f>AND(#REF!,"AAAAAFP71rU=")</f>
        <v>#REF!</v>
      </c>
      <c r="GA52" t="e">
        <f>AND(#REF!,"AAAAAFP71rY=")</f>
        <v>#REF!</v>
      </c>
      <c r="GB52" t="e">
        <f>AND(#REF!,"AAAAAFP71rc=")</f>
        <v>#REF!</v>
      </c>
      <c r="GC52" t="e">
        <f>AND(#REF!,"AAAAAFP71rg=")</f>
        <v>#REF!</v>
      </c>
      <c r="GD52" t="e">
        <f>AND(#REF!,"AAAAAFP71rk=")</f>
        <v>#REF!</v>
      </c>
      <c r="GE52" t="e">
        <f>AND(#REF!,"AAAAAFP71ro=")</f>
        <v>#REF!</v>
      </c>
      <c r="GF52" t="e">
        <f>AND(#REF!,"AAAAAFP71rs=")</f>
        <v>#REF!</v>
      </c>
      <c r="GG52" t="e">
        <f>AND(#REF!,"AAAAAFP71rw=")</f>
        <v>#REF!</v>
      </c>
      <c r="GH52" t="e">
        <f>AND(#REF!,"AAAAAFP71r0=")</f>
        <v>#REF!</v>
      </c>
      <c r="GI52" t="e">
        <f>AND(#REF!,"AAAAAFP71r4=")</f>
        <v>#REF!</v>
      </c>
      <c r="GJ52" t="e">
        <f>AND(#REF!,"AAAAAFP71r8=")</f>
        <v>#REF!</v>
      </c>
      <c r="GK52" t="e">
        <f>AND(#REF!,"AAAAAFP71sA=")</f>
        <v>#REF!</v>
      </c>
      <c r="GL52" t="e">
        <f>AND(#REF!,"AAAAAFP71sE=")</f>
        <v>#REF!</v>
      </c>
      <c r="GM52" t="e">
        <f>IF(#REF!,"AAAAAFP71sI=",0)</f>
        <v>#REF!</v>
      </c>
      <c r="GN52" t="e">
        <f>AND(#REF!,"AAAAAFP71sM=")</f>
        <v>#REF!</v>
      </c>
      <c r="GO52" t="e">
        <f>AND(#REF!,"AAAAAFP71sQ=")</f>
        <v>#REF!</v>
      </c>
      <c r="GP52" t="e">
        <f>AND(#REF!,"AAAAAFP71sU=")</f>
        <v>#REF!</v>
      </c>
      <c r="GQ52" t="e">
        <f>AND(#REF!,"AAAAAFP71sY=")</f>
        <v>#REF!</v>
      </c>
      <c r="GR52" t="e">
        <f>AND(#REF!,"AAAAAFP71sc=")</f>
        <v>#REF!</v>
      </c>
      <c r="GS52" t="e">
        <f>AND(#REF!,"AAAAAFP71sg=")</f>
        <v>#REF!</v>
      </c>
      <c r="GT52" t="e">
        <f>AND(#REF!,"AAAAAFP71sk=")</f>
        <v>#REF!</v>
      </c>
      <c r="GU52" t="e">
        <f>AND(#REF!,"AAAAAFP71so=")</f>
        <v>#REF!</v>
      </c>
      <c r="GV52" t="e">
        <f>AND(#REF!,"AAAAAFP71ss=")</f>
        <v>#REF!</v>
      </c>
      <c r="GW52" t="e">
        <f>AND(#REF!,"AAAAAFP71sw=")</f>
        <v>#REF!</v>
      </c>
      <c r="GX52" t="e">
        <f>AND(#REF!,"AAAAAFP71s0=")</f>
        <v>#REF!</v>
      </c>
      <c r="GY52" t="e">
        <f>AND(#REF!,"AAAAAFP71s4=")</f>
        <v>#REF!</v>
      </c>
      <c r="GZ52" t="e">
        <f>AND(#REF!,"AAAAAFP71s8=")</f>
        <v>#REF!</v>
      </c>
      <c r="HA52" t="e">
        <f>AND(#REF!,"AAAAAFP71tA=")</f>
        <v>#REF!</v>
      </c>
      <c r="HB52" t="e">
        <f>AND(#REF!,"AAAAAFP71tE=")</f>
        <v>#REF!</v>
      </c>
      <c r="HC52" t="e">
        <f>AND(#REF!,"AAAAAFP71tI=")</f>
        <v>#REF!</v>
      </c>
      <c r="HD52" t="e">
        <f>AND(#REF!,"AAAAAFP71tM=")</f>
        <v>#REF!</v>
      </c>
      <c r="HE52" t="e">
        <f>AND(#REF!,"AAAAAFP71tQ=")</f>
        <v>#REF!</v>
      </c>
      <c r="HF52" t="e">
        <f>AND(#REF!,"AAAAAFP71tU=")</f>
        <v>#REF!</v>
      </c>
      <c r="HG52" t="e">
        <f>AND(#REF!,"AAAAAFP71tY=")</f>
        <v>#REF!</v>
      </c>
      <c r="HH52" t="e">
        <f>AND(#REF!,"AAAAAFP71tc=")</f>
        <v>#REF!</v>
      </c>
      <c r="HI52" t="e">
        <f>AND(#REF!,"AAAAAFP71tg=")</f>
        <v>#REF!</v>
      </c>
      <c r="HJ52" t="e">
        <f>IF(#REF!,"AAAAAFP71tk=",0)</f>
        <v>#REF!</v>
      </c>
      <c r="HK52" t="e">
        <f>AND(#REF!,"AAAAAFP71to=")</f>
        <v>#REF!</v>
      </c>
      <c r="HL52" t="e">
        <f>AND(#REF!,"AAAAAFP71ts=")</f>
        <v>#REF!</v>
      </c>
      <c r="HM52" t="e">
        <f>AND(#REF!,"AAAAAFP71tw=")</f>
        <v>#REF!</v>
      </c>
      <c r="HN52" t="e">
        <f>AND(#REF!,"AAAAAFP71t0=")</f>
        <v>#REF!</v>
      </c>
      <c r="HO52" t="e">
        <f>AND(#REF!,"AAAAAFP71t4=")</f>
        <v>#REF!</v>
      </c>
      <c r="HP52" t="e">
        <f>AND(#REF!,"AAAAAFP71t8=")</f>
        <v>#REF!</v>
      </c>
      <c r="HQ52" t="e">
        <f>AND(#REF!,"AAAAAFP71uA=")</f>
        <v>#REF!</v>
      </c>
      <c r="HR52" t="e">
        <f>AND(#REF!,"AAAAAFP71uE=")</f>
        <v>#REF!</v>
      </c>
      <c r="HS52" t="e">
        <f>AND(#REF!,"AAAAAFP71uI=")</f>
        <v>#REF!</v>
      </c>
      <c r="HT52" t="e">
        <f>AND(#REF!,"AAAAAFP71uM=")</f>
        <v>#REF!</v>
      </c>
      <c r="HU52" t="e">
        <f>AND(#REF!,"AAAAAFP71uQ=")</f>
        <v>#REF!</v>
      </c>
      <c r="HV52" t="e">
        <f>AND(#REF!,"AAAAAFP71uU=")</f>
        <v>#REF!</v>
      </c>
      <c r="HW52" t="e">
        <f>AND(#REF!,"AAAAAFP71uY=")</f>
        <v>#REF!</v>
      </c>
      <c r="HX52" t="e">
        <f>AND(#REF!,"AAAAAFP71uc=")</f>
        <v>#REF!</v>
      </c>
      <c r="HY52" t="e">
        <f>AND(#REF!,"AAAAAFP71ug=")</f>
        <v>#REF!</v>
      </c>
      <c r="HZ52" t="e">
        <f>AND(#REF!,"AAAAAFP71uk=")</f>
        <v>#REF!</v>
      </c>
      <c r="IA52" t="e">
        <f>AND(#REF!,"AAAAAFP71uo=")</f>
        <v>#REF!</v>
      </c>
      <c r="IB52" t="e">
        <f>AND(#REF!,"AAAAAFP71us=")</f>
        <v>#REF!</v>
      </c>
      <c r="IC52" t="e">
        <f>AND(#REF!,"AAAAAFP71uw=")</f>
        <v>#REF!</v>
      </c>
      <c r="ID52" t="e">
        <f>AND(#REF!,"AAAAAFP71u0=")</f>
        <v>#REF!</v>
      </c>
      <c r="IE52" t="e">
        <f>AND(#REF!,"AAAAAFP71u4=")</f>
        <v>#REF!</v>
      </c>
      <c r="IF52" t="e">
        <f>AND(#REF!,"AAAAAFP71u8=")</f>
        <v>#REF!</v>
      </c>
      <c r="IG52" t="e">
        <f>IF(#REF!,"AAAAAFP71vA=",0)</f>
        <v>#REF!</v>
      </c>
      <c r="IH52" t="e">
        <f>AND(#REF!,"AAAAAFP71vE=")</f>
        <v>#REF!</v>
      </c>
      <c r="II52" t="e">
        <f>AND(#REF!,"AAAAAFP71vI=")</f>
        <v>#REF!</v>
      </c>
      <c r="IJ52" t="e">
        <f>AND(#REF!,"AAAAAFP71vM=")</f>
        <v>#REF!</v>
      </c>
      <c r="IK52" t="e">
        <f>AND(#REF!,"AAAAAFP71vQ=")</f>
        <v>#REF!</v>
      </c>
      <c r="IL52" t="e">
        <f>AND(#REF!,"AAAAAFP71vU=")</f>
        <v>#REF!</v>
      </c>
      <c r="IM52" t="e">
        <f>AND(#REF!,"AAAAAFP71vY=")</f>
        <v>#REF!</v>
      </c>
      <c r="IN52" t="e">
        <f>AND(#REF!,"AAAAAFP71vc=")</f>
        <v>#REF!</v>
      </c>
      <c r="IO52" t="e">
        <f>AND(#REF!,"AAAAAFP71vg=")</f>
        <v>#REF!</v>
      </c>
      <c r="IP52" t="e">
        <f>AND(#REF!,"AAAAAFP71vk=")</f>
        <v>#REF!</v>
      </c>
      <c r="IQ52" t="e">
        <f>AND(#REF!,"AAAAAFP71vo=")</f>
        <v>#REF!</v>
      </c>
      <c r="IR52" t="e">
        <f>AND(#REF!,"AAAAAFP71vs=")</f>
        <v>#REF!</v>
      </c>
      <c r="IS52" t="e">
        <f>AND(#REF!,"AAAAAFP71vw=")</f>
        <v>#REF!</v>
      </c>
      <c r="IT52" t="e">
        <f>AND(#REF!,"AAAAAFP71v0=")</f>
        <v>#REF!</v>
      </c>
      <c r="IU52" t="e">
        <f>AND(#REF!,"AAAAAFP71v4=")</f>
        <v>#REF!</v>
      </c>
      <c r="IV52" t="e">
        <f>AND(#REF!,"AAAAAFP71v8=")</f>
        <v>#REF!</v>
      </c>
    </row>
    <row r="53" spans="1:256" x14ac:dyDescent="0.35">
      <c r="A53" t="e">
        <f>AND(#REF!,"AAAAAFfqlwA=")</f>
        <v>#REF!</v>
      </c>
      <c r="B53" t="e">
        <f>AND(#REF!,"AAAAAFfqlwE=")</f>
        <v>#REF!</v>
      </c>
      <c r="C53" t="e">
        <f>AND(#REF!,"AAAAAFfqlwI=")</f>
        <v>#REF!</v>
      </c>
      <c r="D53" t="e">
        <f>AND(#REF!,"AAAAAFfqlwM=")</f>
        <v>#REF!</v>
      </c>
      <c r="E53" t="e">
        <f>AND(#REF!,"AAAAAFfqlwQ=")</f>
        <v>#REF!</v>
      </c>
      <c r="F53" t="e">
        <f>AND(#REF!,"AAAAAFfqlwU=")</f>
        <v>#REF!</v>
      </c>
      <c r="G53" t="e">
        <f>AND(#REF!,"AAAAAFfqlwY=")</f>
        <v>#REF!</v>
      </c>
      <c r="H53" t="e">
        <f>IF(#REF!,"AAAAAFfqlwc=",0)</f>
        <v>#REF!</v>
      </c>
      <c r="I53" t="e">
        <f>AND(#REF!,"AAAAAFfqlwg=")</f>
        <v>#REF!</v>
      </c>
      <c r="J53" t="e">
        <f>AND(#REF!,"AAAAAFfqlwk=")</f>
        <v>#REF!</v>
      </c>
      <c r="K53" t="e">
        <f>AND(#REF!,"AAAAAFfqlwo=")</f>
        <v>#REF!</v>
      </c>
      <c r="L53" t="e">
        <f>AND(#REF!,"AAAAAFfqlws=")</f>
        <v>#REF!</v>
      </c>
      <c r="M53" t="e">
        <f>AND(#REF!,"AAAAAFfqlww=")</f>
        <v>#REF!</v>
      </c>
      <c r="N53" t="e">
        <f>AND(#REF!,"AAAAAFfqlw0=")</f>
        <v>#REF!</v>
      </c>
      <c r="O53" t="e">
        <f>AND(#REF!,"AAAAAFfqlw4=")</f>
        <v>#REF!</v>
      </c>
      <c r="P53" t="e">
        <f>AND(#REF!,"AAAAAFfqlw8=")</f>
        <v>#REF!</v>
      </c>
      <c r="Q53" t="e">
        <f>AND(#REF!,"AAAAAFfqlxA=")</f>
        <v>#REF!</v>
      </c>
      <c r="R53" t="e">
        <f>AND(#REF!,"AAAAAFfqlxE=")</f>
        <v>#REF!</v>
      </c>
      <c r="S53" t="e">
        <f>AND(#REF!,"AAAAAFfqlxI=")</f>
        <v>#REF!</v>
      </c>
      <c r="T53" t="e">
        <f>AND(#REF!,"AAAAAFfqlxM=")</f>
        <v>#REF!</v>
      </c>
      <c r="U53" t="e">
        <f>AND(#REF!,"AAAAAFfqlxQ=")</f>
        <v>#REF!</v>
      </c>
      <c r="V53" t="e">
        <f>AND(#REF!,"AAAAAFfqlxU=")</f>
        <v>#REF!</v>
      </c>
      <c r="W53" t="e">
        <f>AND(#REF!,"AAAAAFfqlxY=")</f>
        <v>#REF!</v>
      </c>
      <c r="X53" t="e">
        <f>AND(#REF!,"AAAAAFfqlxc=")</f>
        <v>#REF!</v>
      </c>
      <c r="Y53" t="e">
        <f>AND(#REF!,"AAAAAFfqlxg=")</f>
        <v>#REF!</v>
      </c>
      <c r="Z53" t="e">
        <f>AND(#REF!,"AAAAAFfqlxk=")</f>
        <v>#REF!</v>
      </c>
      <c r="AA53" t="e">
        <f>AND(#REF!,"AAAAAFfqlxo=")</f>
        <v>#REF!</v>
      </c>
      <c r="AB53" t="e">
        <f>AND(#REF!,"AAAAAFfqlxs=")</f>
        <v>#REF!</v>
      </c>
      <c r="AC53" t="e">
        <f>AND(#REF!,"AAAAAFfqlxw=")</f>
        <v>#REF!</v>
      </c>
      <c r="AD53" t="e">
        <f>AND(#REF!,"AAAAAFfqlx0=")</f>
        <v>#REF!</v>
      </c>
      <c r="AE53" t="e">
        <f>IF(#REF!,"AAAAAFfqlx4=",0)</f>
        <v>#REF!</v>
      </c>
      <c r="AF53" t="e">
        <f>AND(#REF!,"AAAAAFfqlx8=")</f>
        <v>#REF!</v>
      </c>
      <c r="AG53" t="e">
        <f>AND(#REF!,"AAAAAFfqlyA=")</f>
        <v>#REF!</v>
      </c>
      <c r="AH53" t="e">
        <f>AND(#REF!,"AAAAAFfqlyE=")</f>
        <v>#REF!</v>
      </c>
      <c r="AI53" t="e">
        <f>AND(#REF!,"AAAAAFfqlyI=")</f>
        <v>#REF!</v>
      </c>
      <c r="AJ53" t="e">
        <f>AND(#REF!,"AAAAAFfqlyM=")</f>
        <v>#REF!</v>
      </c>
      <c r="AK53" t="e">
        <f>AND(#REF!,"AAAAAFfqlyQ=")</f>
        <v>#REF!</v>
      </c>
      <c r="AL53" t="e">
        <f>AND(#REF!,"AAAAAFfqlyU=")</f>
        <v>#REF!</v>
      </c>
      <c r="AM53" t="e">
        <f>AND(#REF!,"AAAAAFfqlyY=")</f>
        <v>#REF!</v>
      </c>
      <c r="AN53" t="e">
        <f>AND(#REF!,"AAAAAFfqlyc=")</f>
        <v>#REF!</v>
      </c>
      <c r="AO53" t="e">
        <f>AND(#REF!,"AAAAAFfqlyg=")</f>
        <v>#REF!</v>
      </c>
      <c r="AP53" t="e">
        <f>AND(#REF!,"AAAAAFfqlyk=")</f>
        <v>#REF!</v>
      </c>
      <c r="AQ53" t="e">
        <f>AND(#REF!,"AAAAAFfqlyo=")</f>
        <v>#REF!</v>
      </c>
      <c r="AR53" t="e">
        <f>AND(#REF!,"AAAAAFfqlys=")</f>
        <v>#REF!</v>
      </c>
      <c r="AS53" t="e">
        <f>AND(#REF!,"AAAAAFfqlyw=")</f>
        <v>#REF!</v>
      </c>
      <c r="AT53" t="e">
        <f>AND(#REF!,"AAAAAFfqly0=")</f>
        <v>#REF!</v>
      </c>
      <c r="AU53" t="e">
        <f>AND(#REF!,"AAAAAFfqly4=")</f>
        <v>#REF!</v>
      </c>
      <c r="AV53" t="e">
        <f>AND(#REF!,"AAAAAFfqly8=")</f>
        <v>#REF!</v>
      </c>
      <c r="AW53" t="e">
        <f>AND(#REF!,"AAAAAFfqlzA=")</f>
        <v>#REF!</v>
      </c>
      <c r="AX53" t="e">
        <f>AND(#REF!,"AAAAAFfqlzE=")</f>
        <v>#REF!</v>
      </c>
      <c r="AY53" t="e">
        <f>AND(#REF!,"AAAAAFfqlzI=")</f>
        <v>#REF!</v>
      </c>
      <c r="AZ53" t="e">
        <f>AND(#REF!,"AAAAAFfqlzM=")</f>
        <v>#REF!</v>
      </c>
      <c r="BA53" t="e">
        <f>AND(#REF!,"AAAAAFfqlzQ=")</f>
        <v>#REF!</v>
      </c>
      <c r="BB53" t="e">
        <f>IF(#REF!,"AAAAAFfqlzU=",0)</f>
        <v>#REF!</v>
      </c>
      <c r="BC53" t="e">
        <f>IF(#REF!,"AAAAAFfqlzY=",0)</f>
        <v>#REF!</v>
      </c>
      <c r="BD53" t="e">
        <f>IF(#REF!,"AAAAAFfqlzc=",0)</f>
        <v>#REF!</v>
      </c>
      <c r="BE53" t="e">
        <f>IF(#REF!,"AAAAAFfqlzg=",0)</f>
        <v>#REF!</v>
      </c>
      <c r="BF53" t="e">
        <f>IF(#REF!,"AAAAAFfqlzk=",0)</f>
        <v>#REF!</v>
      </c>
      <c r="BG53" t="e">
        <f>IF(#REF!,"AAAAAFfqlzo=",0)</f>
        <v>#REF!</v>
      </c>
      <c r="BH53" t="e">
        <f>IF(#REF!,"AAAAAFfqlzs=",0)</f>
        <v>#REF!</v>
      </c>
      <c r="BI53" t="e">
        <f>IF(#REF!,"AAAAAFfqlzw=",0)</f>
        <v>#REF!</v>
      </c>
      <c r="BJ53" t="e">
        <f>IF(#REF!,"AAAAAFfqlz0=",0)</f>
        <v>#REF!</v>
      </c>
      <c r="BK53" t="e">
        <f>IF(#REF!,"AAAAAFfqlz4=",0)</f>
        <v>#REF!</v>
      </c>
      <c r="BL53" t="e">
        <f>IF(#REF!,"AAAAAFfqlz8=",0)</f>
        <v>#REF!</v>
      </c>
      <c r="BM53" t="e">
        <f>IF(#REF!,"AAAAAFfql0A=",0)</f>
        <v>#REF!</v>
      </c>
      <c r="BN53" t="e">
        <f>IF(#REF!,"AAAAAFfql0E=",0)</f>
        <v>#REF!</v>
      </c>
      <c r="BO53" t="e">
        <f>IF(#REF!,"AAAAAFfql0I=",0)</f>
        <v>#REF!</v>
      </c>
      <c r="BP53" t="e">
        <f>IF(#REF!,"AAAAAFfql0M=",0)</f>
        <v>#REF!</v>
      </c>
      <c r="BQ53" t="e">
        <f>IF(#REF!,"AAAAAFfql0Q=",0)</f>
        <v>#REF!</v>
      </c>
      <c r="BR53" t="e">
        <f>IF(#REF!,"AAAAAFfql0U=",0)</f>
        <v>#REF!</v>
      </c>
      <c r="BS53" t="e">
        <f>IF(#REF!,"AAAAAFfql0Y=",0)</f>
        <v>#REF!</v>
      </c>
      <c r="BT53" t="e">
        <f>IF(#REF!,"AAAAAFfql0c=",0)</f>
        <v>#REF!</v>
      </c>
      <c r="BU53" t="e">
        <f>IF(#REF!,"AAAAAFfql0g=",0)</f>
        <v>#REF!</v>
      </c>
      <c r="BV53" t="e">
        <f>IF(#REF!,"AAAAAFfql0k=",0)</f>
        <v>#REF!</v>
      </c>
      <c r="BW53" t="e">
        <f>IF(#REF!,"AAAAAFfql0o=",0)</f>
        <v>#REF!</v>
      </c>
      <c r="BX53" t="e">
        <f>IF(#REF!,"AAAAAFfql0s=",0)</f>
        <v>#REF!</v>
      </c>
      <c r="BY53" t="e">
        <f>IF(#REF!,"AAAAAFfql0w=",0)</f>
        <v>#REF!</v>
      </c>
      <c r="BZ53" t="e">
        <f>IF(#REF!,"AAAAAFfql00=",0)</f>
        <v>#REF!</v>
      </c>
      <c r="CA53" t="e">
        <f>IF(#REF!,"AAAAAFfql04=",0)</f>
        <v>#REF!</v>
      </c>
      <c r="CB53" t="e">
        <f>IF(#REF!,"AAAAAFfql08=",0)</f>
        <v>#REF!</v>
      </c>
      <c r="CC53" t="e">
        <f>IF(#REF!,"AAAAAFfql1A=",0)</f>
        <v>#REF!</v>
      </c>
      <c r="CD53" t="e">
        <f>IF(#REF!,"AAAAAFfql1E=",0)</f>
        <v>#REF!</v>
      </c>
      <c r="CE53" t="e">
        <f>IF(#REF!,"AAAAAFfql1I=",0)</f>
        <v>#REF!</v>
      </c>
      <c r="CF53" t="e">
        <f>IF(#REF!,"AAAAAFfql1M=",0)</f>
        <v>#REF!</v>
      </c>
      <c r="CG53" t="e">
        <f>IF(#REF!,"AAAAAFfql1Q=",0)</f>
        <v>#REF!</v>
      </c>
      <c r="CH53" t="e">
        <f>IF(#REF!,"AAAAAFfql1U=",0)</f>
        <v>#REF!</v>
      </c>
      <c r="CI53" t="e">
        <f>IF(#REF!,"AAAAAFfql1Y=",0)</f>
        <v>#REF!</v>
      </c>
      <c r="CJ53" t="e">
        <f>IF(#REF!,"AAAAAFfql1c=",0)</f>
        <v>#REF!</v>
      </c>
      <c r="CK53" t="e">
        <f>IF(#REF!,"AAAAAFfql1g=",0)</f>
        <v>#REF!</v>
      </c>
      <c r="CL53" t="e">
        <f>IF(#REF!,"AAAAAFfql1k=",0)</f>
        <v>#REF!</v>
      </c>
      <c r="CM53" t="e">
        <f>IF(#REF!,"AAAAAFfql1o=",0)</f>
        <v>#REF!</v>
      </c>
      <c r="CN53" t="e">
        <f>IF(#REF!,"AAAAAFfql1s=",0)</f>
        <v>#REF!</v>
      </c>
      <c r="CO53" t="e">
        <f>IF(#REF!,"AAAAAFfql1w=",0)</f>
        <v>#REF!</v>
      </c>
      <c r="CP53" t="e">
        <f>IF(#REF!,"AAAAAFfql10=",0)</f>
        <v>#REF!</v>
      </c>
      <c r="CQ53" t="e">
        <f>IF(#REF!,"AAAAAFfql14=",0)</f>
        <v>#REF!</v>
      </c>
      <c r="CR53" t="e">
        <f>IF(#REF!,"AAAAAFfql18=",0)</f>
        <v>#REF!</v>
      </c>
      <c r="CS53" t="e">
        <f>IF(#REF!,"AAAAAFfql2A=",0)</f>
        <v>#REF!</v>
      </c>
      <c r="CT53" t="e">
        <f>IF(#REF!,"AAAAAFfql2E=",0)</f>
        <v>#REF!</v>
      </c>
      <c r="CU53" t="e">
        <f>IF(#REF!,"AAAAAFfql2I=",0)</f>
        <v>#REF!</v>
      </c>
      <c r="CV53" t="e">
        <f>IF(#REF!,"AAAAAFfql2M=",0)</f>
        <v>#REF!</v>
      </c>
      <c r="CW53" t="e">
        <f>IF(#REF!,"AAAAAFfql2Q=",0)</f>
        <v>#REF!</v>
      </c>
      <c r="CX53" t="e">
        <f>IF(#REF!,"AAAAAFfql2U=",0)</f>
        <v>#REF!</v>
      </c>
      <c r="CY53" t="e">
        <f>IF(#REF!,"AAAAAFfql2Y=",0)</f>
        <v>#REF!</v>
      </c>
      <c r="CZ53" t="e">
        <f>IF(#REF!,"AAAAAFfql2c=",0)</f>
        <v>#REF!</v>
      </c>
      <c r="DA53" t="e">
        <f>IF(#REF!,"AAAAAFfql2g=",0)</f>
        <v>#REF!</v>
      </c>
      <c r="DB53" t="e">
        <f>IF(#REF!,"AAAAAFfql2k=",0)</f>
        <v>#REF!</v>
      </c>
      <c r="DC53" t="e">
        <f>IF(#REF!,"AAAAAFfql2o=",0)</f>
        <v>#REF!</v>
      </c>
      <c r="DD53" t="e">
        <f>IF(#REF!,"AAAAAFfql2s=",0)</f>
        <v>#REF!</v>
      </c>
      <c r="DE53" t="e">
        <f>IF(#REF!,"AAAAAFfql2w=",0)</f>
        <v>#REF!</v>
      </c>
      <c r="DF53" t="e">
        <f>IF(#REF!,"AAAAAFfql20=",0)</f>
        <v>#REF!</v>
      </c>
      <c r="DG53" t="e">
        <f>IF(#REF!,"AAAAAFfql24=",0)</f>
        <v>#REF!</v>
      </c>
      <c r="DH53" t="e">
        <f>IF(#REF!,"AAAAAFfql28=",0)</f>
        <v>#REF!</v>
      </c>
      <c r="DI53" t="e">
        <f>IF(#REF!,"AAAAAFfql3A=",0)</f>
        <v>#REF!</v>
      </c>
      <c r="DJ53" t="e">
        <f>IF(#REF!,"AAAAAFfql3E=",0)</f>
        <v>#REF!</v>
      </c>
      <c r="DK53" t="e">
        <f>IF(#REF!,"AAAAAFfql3I=",0)</f>
        <v>#REF!</v>
      </c>
      <c r="DL53" t="e">
        <f>IF(#REF!,"AAAAAFfql3M=",0)</f>
        <v>#REF!</v>
      </c>
      <c r="DM53" t="e">
        <f>IF(#REF!,"AAAAAFfql3Q=",0)</f>
        <v>#REF!</v>
      </c>
      <c r="DN53" t="e">
        <f>IF(#REF!,"AAAAAFfql3U=",0)</f>
        <v>#REF!</v>
      </c>
      <c r="DO53" t="e">
        <f>IF(#REF!,"AAAAAFfql3Y=",0)</f>
        <v>#REF!</v>
      </c>
      <c r="DP53" t="e">
        <f>IF(#REF!,"AAAAAFfql3c=",0)</f>
        <v>#REF!</v>
      </c>
      <c r="DQ53" t="e">
        <f>IF(#REF!,"AAAAAFfql3g=",0)</f>
        <v>#REF!</v>
      </c>
      <c r="DR53" t="e">
        <f>IF(#REF!,"AAAAAFfql3k=",0)</f>
        <v>#REF!</v>
      </c>
      <c r="DS53" t="e">
        <f>IF(#REF!,"AAAAAFfql3o=",0)</f>
        <v>#REF!</v>
      </c>
      <c r="DT53" t="e">
        <f>IF(#REF!,"AAAAAFfql3s=",0)</f>
        <v>#REF!</v>
      </c>
      <c r="DU53" t="e">
        <f>IF(#REF!,"AAAAAFfql3w=",0)</f>
        <v>#REF!</v>
      </c>
      <c r="DV53" t="e">
        <f>IF(#REF!,"AAAAAFfql30=",0)</f>
        <v>#REF!</v>
      </c>
      <c r="DW53" t="e">
        <f>IF(#REF!,"AAAAAFfql34=",0)</f>
        <v>#REF!</v>
      </c>
      <c r="DX53" t="e">
        <f>IF(#REF!,"AAAAAFfql38=",0)</f>
        <v>#REF!</v>
      </c>
      <c r="DY53" t="e">
        <f>IF(#REF!,"AAAAAFfql4A=",0)</f>
        <v>#REF!</v>
      </c>
      <c r="DZ53" t="e">
        <f>IF(#REF!,"AAAAAFfql4E=",0)</f>
        <v>#REF!</v>
      </c>
      <c r="EA53" t="e">
        <f>IF(#REF!,"AAAAAFfql4I=",0)</f>
        <v>#REF!</v>
      </c>
      <c r="EB53" t="e">
        <f>IF(#REF!,"AAAAAFfql4M=",0)</f>
        <v>#REF!</v>
      </c>
      <c r="EC53" t="e">
        <f>IF(#REF!,"AAAAAFfql4Q=",0)</f>
        <v>#REF!</v>
      </c>
      <c r="ED53" t="e">
        <f>IF(#REF!,"AAAAAFfql4U=",0)</f>
        <v>#REF!</v>
      </c>
      <c r="EE53" t="e">
        <f>IF(#REF!,"AAAAAFfql4Y=",0)</f>
        <v>#REF!</v>
      </c>
      <c r="EF53" t="e">
        <f>IF(#REF!,"AAAAAFfql4c=",0)</f>
        <v>#REF!</v>
      </c>
      <c r="EG53" t="e">
        <f>IF(#REF!,"AAAAAFfql4g=",0)</f>
        <v>#REF!</v>
      </c>
      <c r="EH53" t="e">
        <f>IF(#REF!,"AAAAAFfql4k=",0)</f>
        <v>#REF!</v>
      </c>
      <c r="EI53" t="e">
        <f>IF(#REF!,"AAAAAFfql4o=",0)</f>
        <v>#REF!</v>
      </c>
      <c r="EJ53" t="e">
        <f>IF(#REF!,"AAAAAFfql4s=",0)</f>
        <v>#REF!</v>
      </c>
      <c r="EK53" t="e">
        <f>IF(#REF!,"AAAAAFfql4w=",0)</f>
        <v>#REF!</v>
      </c>
      <c r="EL53" t="e">
        <f>IF(#REF!,"AAAAAFfql40=",0)</f>
        <v>#REF!</v>
      </c>
      <c r="EM53" t="e">
        <f>IF(#REF!,"AAAAAFfql44=",0)</f>
        <v>#REF!</v>
      </c>
      <c r="EN53" t="e">
        <f>IF(#REF!,"AAAAAFfql48=",0)</f>
        <v>#REF!</v>
      </c>
      <c r="EO53" t="e">
        <f>IF(#REF!,"AAAAAFfql5A=",0)</f>
        <v>#REF!</v>
      </c>
      <c r="EP53" t="e">
        <f>IF(#REF!,"AAAAAFfql5E=",0)</f>
        <v>#REF!</v>
      </c>
      <c r="EQ53" t="e">
        <f>IF(#REF!,"AAAAAFfql5I=",0)</f>
        <v>#REF!</v>
      </c>
      <c r="ER53" t="e">
        <f>IF(#REF!,"AAAAAFfql5M=",0)</f>
        <v>#REF!</v>
      </c>
      <c r="ES53" t="e">
        <f>IF(#REF!,"AAAAAFfql5Q=",0)</f>
        <v>#REF!</v>
      </c>
      <c r="ET53" t="e">
        <f>IF(#REF!,"AAAAAFfql5U=",0)</f>
        <v>#REF!</v>
      </c>
      <c r="EU53" t="e">
        <f>IF(#REF!,"AAAAAFfql5Y=",0)</f>
        <v>#REF!</v>
      </c>
      <c r="EV53" t="e">
        <f>IF(#REF!,"AAAAAFfql5c=",0)</f>
        <v>#REF!</v>
      </c>
      <c r="EW53" t="e">
        <f>IF(#REF!,"AAAAAFfql5g=",0)</f>
        <v>#REF!</v>
      </c>
      <c r="EX53" t="e">
        <f>IF(#REF!,"AAAAAFfql5k=",0)</f>
        <v>#REF!</v>
      </c>
      <c r="EY53" t="e">
        <f>IF(#REF!,"AAAAAFfql5o=",0)</f>
        <v>#REF!</v>
      </c>
      <c r="EZ53" t="e">
        <f>IF(#REF!,"AAAAAFfql5s=",0)</f>
        <v>#REF!</v>
      </c>
      <c r="FA53" t="e">
        <f>IF(#REF!,"AAAAAFfql5w=",0)</f>
        <v>#REF!</v>
      </c>
      <c r="FB53" t="e">
        <f>IF(#REF!,"AAAAAFfql50=",0)</f>
        <v>#REF!</v>
      </c>
      <c r="FC53" t="e">
        <f>IF(#REF!,"AAAAAFfql54=",0)</f>
        <v>#REF!</v>
      </c>
      <c r="FD53" t="e">
        <f>IF(#REF!,"AAAAAFfql58=",0)</f>
        <v>#REF!</v>
      </c>
      <c r="FE53" t="e">
        <f>IF(#REF!,"AAAAAFfql6A=",0)</f>
        <v>#REF!</v>
      </c>
      <c r="FF53" t="e">
        <f>IF(#REF!,"AAAAAFfql6E=",0)</f>
        <v>#REF!</v>
      </c>
      <c r="FG53" t="e">
        <f>IF(#REF!,"AAAAAFfql6I=",0)</f>
        <v>#REF!</v>
      </c>
      <c r="FH53" t="e">
        <f>IF(#REF!,"AAAAAFfql6M=",0)</f>
        <v>#REF!</v>
      </c>
      <c r="FI53" t="e">
        <f>IF(#REF!,"AAAAAFfql6Q=",0)</f>
        <v>#REF!</v>
      </c>
      <c r="FJ53" t="e">
        <f>IF(#REF!,"AAAAAFfql6U=",0)</f>
        <v>#REF!</v>
      </c>
      <c r="FK53" t="e">
        <f>IF(#REF!,"AAAAAFfql6Y=",0)</f>
        <v>#REF!</v>
      </c>
      <c r="FL53" t="e">
        <f>IF(#REF!,"AAAAAFfql6c=",0)</f>
        <v>#REF!</v>
      </c>
      <c r="FM53" t="e">
        <f>IF(#REF!,"AAAAAFfql6g=",0)</f>
        <v>#REF!</v>
      </c>
      <c r="FN53" t="e">
        <f>IF(#REF!,"AAAAAFfql6k=",0)</f>
        <v>#REF!</v>
      </c>
      <c r="FO53" t="e">
        <f>IF(#REF!,"AAAAAFfql6o=",0)</f>
        <v>#REF!</v>
      </c>
      <c r="FP53" t="e">
        <f>IF(#REF!,"AAAAAFfql6s=",0)</f>
        <v>#REF!</v>
      </c>
      <c r="FQ53" t="e">
        <f>IF(#REF!,"AAAAAFfql6w=",0)</f>
        <v>#REF!</v>
      </c>
      <c r="FR53" t="e">
        <f>IF(#REF!,"AAAAAFfql60=",0)</f>
        <v>#REF!</v>
      </c>
      <c r="FS53" t="e">
        <f>IF(#REF!,"AAAAAFfql64=",0)</f>
        <v>#REF!</v>
      </c>
      <c r="FT53" t="e">
        <f>IF(#REF!,"AAAAAFfql68=",0)</f>
        <v>#REF!</v>
      </c>
      <c r="FU53" t="e">
        <f>IF(#REF!,"AAAAAFfql7A=",0)</f>
        <v>#REF!</v>
      </c>
      <c r="FV53" t="e">
        <f>IF(#REF!,"AAAAAFfql7E=",0)</f>
        <v>#REF!</v>
      </c>
      <c r="FW53" t="e">
        <f>IF(#REF!,"AAAAAFfql7I=",0)</f>
        <v>#REF!</v>
      </c>
      <c r="FX53" t="e">
        <f>IF(#REF!,"AAAAAFfql7M=",0)</f>
        <v>#REF!</v>
      </c>
      <c r="FY53" t="e">
        <f>IF(#REF!,"AAAAAFfql7Q=",0)</f>
        <v>#REF!</v>
      </c>
      <c r="FZ53" t="e">
        <f>IF(#REF!,"AAAAAFfql7U=",0)</f>
        <v>#REF!</v>
      </c>
      <c r="GA53" t="e">
        <f>IF(#REF!,"AAAAAFfql7Y=",0)</f>
        <v>#REF!</v>
      </c>
      <c r="GB53" t="e">
        <f>IF(#REF!,"AAAAAFfql7c=",0)</f>
        <v>#REF!</v>
      </c>
      <c r="GC53" t="e">
        <f>IF(#REF!,"AAAAAFfql7g=",0)</f>
        <v>#REF!</v>
      </c>
      <c r="GD53" t="e">
        <f>IF(#REF!,"AAAAAFfql7k=",0)</f>
        <v>#REF!</v>
      </c>
      <c r="GE53" t="e">
        <f>IF(#REF!,"AAAAAFfql7o=",0)</f>
        <v>#REF!</v>
      </c>
      <c r="GF53" t="e">
        <f>IF(#REF!,"AAAAAFfql7s=",0)</f>
        <v>#REF!</v>
      </c>
      <c r="GG53" t="e">
        <f>IF(#REF!,"AAAAAFfql7w=",0)</f>
        <v>#REF!</v>
      </c>
      <c r="GH53" t="e">
        <f>IF(#REF!,"AAAAAFfql70=",0)</f>
        <v>#REF!</v>
      </c>
      <c r="GI53" t="e">
        <f>IF(#REF!,"AAAAAFfql74=",0)</f>
        <v>#REF!</v>
      </c>
      <c r="GJ53" t="e">
        <f>IF(#REF!,"AAAAAFfql78=",0)</f>
        <v>#REF!</v>
      </c>
      <c r="GK53" t="e">
        <f>IF(#REF!,"AAAAAFfql8A=",0)</f>
        <v>#REF!</v>
      </c>
      <c r="GL53" t="e">
        <f>IF(#REF!,"AAAAAFfql8E=",0)</f>
        <v>#REF!</v>
      </c>
      <c r="GM53" t="e">
        <f>IF(#REF!,"AAAAAFfql8I=",0)</f>
        <v>#REF!</v>
      </c>
      <c r="GN53" t="e">
        <f>IF(#REF!,"AAAAAFfql8M=",0)</f>
        <v>#REF!</v>
      </c>
      <c r="GO53" t="e">
        <f>IF(#REF!,"AAAAAFfql8Q=",0)</f>
        <v>#REF!</v>
      </c>
      <c r="GP53" t="e">
        <f>IF(#REF!,"AAAAAFfql8U=",0)</f>
        <v>#REF!</v>
      </c>
      <c r="GQ53" t="e">
        <f>IF(#REF!,"AAAAAFfql8Y=",0)</f>
        <v>#REF!</v>
      </c>
      <c r="GR53" t="e">
        <f>IF(#REF!,"AAAAAFfql8c=",0)</f>
        <v>#REF!</v>
      </c>
      <c r="GS53" t="e">
        <f>IF(#REF!,"AAAAAFfql8g=",0)</f>
        <v>#REF!</v>
      </c>
      <c r="GT53" t="e">
        <f>IF(#REF!,"AAAAAFfql8k=",0)</f>
        <v>#REF!</v>
      </c>
      <c r="GU53" t="e">
        <f>IF(#REF!,"AAAAAFfql8o=",0)</f>
        <v>#REF!</v>
      </c>
      <c r="GV53" t="e">
        <f>IF(#REF!,"AAAAAFfql8s=",0)</f>
        <v>#REF!</v>
      </c>
      <c r="GW53" t="e">
        <f>IF(#REF!,"AAAAAFfql8w=",0)</f>
        <v>#REF!</v>
      </c>
      <c r="GX53" t="e">
        <f>IF(#REF!,"AAAAAFfql80=",0)</f>
        <v>#REF!</v>
      </c>
      <c r="GY53" t="e">
        <f>IF(#REF!,"AAAAAFfql84=",0)</f>
        <v>#REF!</v>
      </c>
      <c r="GZ53" t="e">
        <f>IF(#REF!,"AAAAAFfql88=",0)</f>
        <v>#REF!</v>
      </c>
      <c r="HA53" t="e">
        <f>IF(#REF!,"AAAAAFfql9A=",0)</f>
        <v>#REF!</v>
      </c>
      <c r="HB53" t="e">
        <f>IF(#REF!,"AAAAAFfql9E=",0)</f>
        <v>#REF!</v>
      </c>
      <c r="HC53" t="e">
        <f>IF(#REF!,"AAAAAFfql9I=",0)</f>
        <v>#REF!</v>
      </c>
      <c r="HD53" t="e">
        <f>IF(#REF!,"AAAAAFfql9M=",0)</f>
        <v>#REF!</v>
      </c>
      <c r="HE53" t="e">
        <f>IF(#REF!,"AAAAAFfql9Q=",0)</f>
        <v>#REF!</v>
      </c>
      <c r="HF53" t="e">
        <f>IF(#REF!,"AAAAAFfql9U=",0)</f>
        <v>#REF!</v>
      </c>
      <c r="HG53" t="e">
        <f>IF(#REF!,"AAAAAFfql9Y=",0)</f>
        <v>#REF!</v>
      </c>
      <c r="HH53" t="e">
        <f>IF(#REF!,"AAAAAFfql9c=",0)</f>
        <v>#REF!</v>
      </c>
      <c r="HI53" t="e">
        <f>IF(#REF!,"AAAAAFfql9g=",0)</f>
        <v>#REF!</v>
      </c>
      <c r="HJ53" t="e">
        <f>IF(#REF!,"AAAAAFfql9k=",0)</f>
        <v>#REF!</v>
      </c>
      <c r="HK53" t="e">
        <f>IF(#REF!,"AAAAAFfql9o=",0)</f>
        <v>#REF!</v>
      </c>
      <c r="HL53" t="e">
        <f>IF(#REF!,"AAAAAFfql9s=",0)</f>
        <v>#REF!</v>
      </c>
      <c r="HM53" t="e">
        <f>IF(#REF!,"AAAAAFfql9w=",0)</f>
        <v>#REF!</v>
      </c>
      <c r="HN53" t="e">
        <f>IF(#REF!,"AAAAAFfql90=",0)</f>
        <v>#REF!</v>
      </c>
      <c r="HO53" t="e">
        <f>IF(#REF!,"AAAAAFfql94=",0)</f>
        <v>#REF!</v>
      </c>
      <c r="HP53" t="e">
        <f>IF(#REF!,"AAAAAFfql98=",0)</f>
        <v>#REF!</v>
      </c>
      <c r="HQ53" t="e">
        <f>IF(#REF!,"AAAAAFfql+A=",0)</f>
        <v>#REF!</v>
      </c>
      <c r="HR53" t="e">
        <f>IF(#REF!,"AAAAAFfql+E=",0)</f>
        <v>#REF!</v>
      </c>
      <c r="HS53" t="e">
        <f>IF(#REF!,"AAAAAFfql+I=",0)</f>
        <v>#REF!</v>
      </c>
      <c r="HT53" t="e">
        <f>IF(#REF!,"AAAAAFfql+M=",0)</f>
        <v>#REF!</v>
      </c>
      <c r="HU53" t="e">
        <f>IF(#REF!,"AAAAAFfql+Q=",0)</f>
        <v>#REF!</v>
      </c>
      <c r="HV53" t="e">
        <f>IF(#REF!,"AAAAAFfql+U=",0)</f>
        <v>#REF!</v>
      </c>
      <c r="HW53" t="e">
        <f>IF(#REF!,"AAAAAFfql+Y=",0)</f>
        <v>#REF!</v>
      </c>
      <c r="HX53" t="e">
        <f>IF(#REF!,"AAAAAFfql+c=",0)</f>
        <v>#REF!</v>
      </c>
      <c r="HY53" t="e">
        <f>IF(#REF!,"AAAAAFfql+g=",0)</f>
        <v>#REF!</v>
      </c>
      <c r="HZ53" t="e">
        <f>IF(#REF!,"AAAAAFfql+k=",0)</f>
        <v>#REF!</v>
      </c>
      <c r="IA53" t="e">
        <f>IF(#REF!,"AAAAAFfql+o=",0)</f>
        <v>#REF!</v>
      </c>
      <c r="IB53" t="e">
        <f>IF(#REF!,"AAAAAFfql+s=",0)</f>
        <v>#REF!</v>
      </c>
      <c r="IC53" t="e">
        <f>IF(#REF!,"AAAAAFfql+w=",0)</f>
        <v>#REF!</v>
      </c>
      <c r="ID53" t="e">
        <f>IF(#REF!,"AAAAAFfql+0=",0)</f>
        <v>#REF!</v>
      </c>
      <c r="IE53" t="e">
        <f>IF(#REF!,"AAAAAFfql+4=",0)</f>
        <v>#REF!</v>
      </c>
      <c r="IF53" t="e">
        <f>IF(#REF!,"AAAAAFfql+8=",0)</f>
        <v>#REF!</v>
      </c>
      <c r="IG53" t="e">
        <f>IF(#REF!,"AAAAAFfql/A=",0)</f>
        <v>#REF!</v>
      </c>
      <c r="IH53" t="e">
        <f>IF(#REF!,"AAAAAFfql/E=",0)</f>
        <v>#REF!</v>
      </c>
      <c r="II53" t="e">
        <f>IF(#REF!,"AAAAAFfql/I=",0)</f>
        <v>#REF!</v>
      </c>
      <c r="IJ53" t="e">
        <f>IF(#REF!,"AAAAAFfql/M=",0)</f>
        <v>#REF!</v>
      </c>
      <c r="IK53" t="e">
        <f>IF(#REF!,"AAAAAFfql/Q=",0)</f>
        <v>#REF!</v>
      </c>
      <c r="IL53" t="e">
        <f>IF(#REF!,"AAAAAFfql/U=",0)</f>
        <v>#REF!</v>
      </c>
      <c r="IM53" t="e">
        <f>IF(#REF!,"AAAAAFfql/Y=",0)</f>
        <v>#REF!</v>
      </c>
      <c r="IN53" t="e">
        <f>IF(#REF!,"AAAAAFfql/c=",0)</f>
        <v>#REF!</v>
      </c>
      <c r="IO53" t="e">
        <f>IF(#REF!,"AAAAAFfql/g=",0)</f>
        <v>#REF!</v>
      </c>
      <c r="IP53" t="e">
        <f>IF(#REF!,"AAAAAFfql/k=",0)</f>
        <v>#REF!</v>
      </c>
      <c r="IQ53" t="e">
        <f>IF(#REF!,"AAAAAFfql/o=",0)</f>
        <v>#REF!</v>
      </c>
      <c r="IR53" t="e">
        <f>IF(#REF!,"AAAAAFfql/s=",0)</f>
        <v>#REF!</v>
      </c>
      <c r="IS53" t="e">
        <f>IF(#REF!,"AAAAAFfql/w=",0)</f>
        <v>#REF!</v>
      </c>
      <c r="IT53" t="e">
        <f>IF(#REF!,"AAAAAFfql/0=",0)</f>
        <v>#REF!</v>
      </c>
      <c r="IU53" t="e">
        <f>IF(#REF!,"AAAAAFfql/4=",0)</f>
        <v>#REF!</v>
      </c>
      <c r="IV53" t="e">
        <f>IF(#REF!,"AAAAAFfql/8=",0)</f>
        <v>#REF!</v>
      </c>
    </row>
    <row r="54" spans="1:256" x14ac:dyDescent="0.35">
      <c r="A54" t="e">
        <f>IF(#REF!,"AAAAAFb++AA=",0)</f>
        <v>#REF!</v>
      </c>
      <c r="B54" t="e">
        <f>IF(#REF!,"AAAAAFb++AE=",0)</f>
        <v>#REF!</v>
      </c>
      <c r="C54" t="e">
        <f>IF(#REF!,"AAAAAFb++AI=",0)</f>
        <v>#REF!</v>
      </c>
      <c r="D54" t="e">
        <f>IF(#REF!,"AAAAAFb++AM=",0)</f>
        <v>#REF!</v>
      </c>
      <c r="E54" t="e">
        <f>IF(#REF!,"AAAAAFb++AQ=",0)</f>
        <v>#REF!</v>
      </c>
      <c r="F54" t="e">
        <f>IF(#REF!,"AAAAAFb++AU=",0)</f>
        <v>#REF!</v>
      </c>
      <c r="G54" t="e">
        <f>IF(#REF!,"AAAAAFb++AY=",0)</f>
        <v>#REF!</v>
      </c>
      <c r="H54" t="e">
        <f>IF(#REF!,"AAAAAFb++Ac=",0)</f>
        <v>#REF!</v>
      </c>
      <c r="I54" t="e">
        <f>IF(#REF!,"AAAAAFb++Ag=",0)</f>
        <v>#REF!</v>
      </c>
      <c r="J54" t="e">
        <f>IF(#REF!,"AAAAAFb++Ak=",0)</f>
        <v>#REF!</v>
      </c>
      <c r="K54" t="e">
        <f>IF(#REF!,"AAAAAFb++Ao=",0)</f>
        <v>#REF!</v>
      </c>
      <c r="L54" t="e">
        <f>IF(#REF!,"AAAAAFb++As=",0)</f>
        <v>#REF!</v>
      </c>
      <c r="M54" t="e">
        <f>IF(#REF!,"AAAAAFb++Aw=",0)</f>
        <v>#REF!</v>
      </c>
      <c r="N54" t="e">
        <f>IF(#REF!,"AAAAAFb++A0=",0)</f>
        <v>#REF!</v>
      </c>
      <c r="O54" t="e">
        <f>IF(#REF!,"AAAAAFb++A4=",0)</f>
        <v>#REF!</v>
      </c>
      <c r="P54" t="e">
        <f>IF(#REF!,"AAAAAFb++A8=",0)</f>
        <v>#REF!</v>
      </c>
      <c r="Q54" t="e">
        <f>IF(#REF!,"AAAAAFb++BA=",0)</f>
        <v>#REF!</v>
      </c>
      <c r="R54" t="e">
        <f>IF(#REF!,"AAAAAFb++BE=",0)</f>
        <v>#REF!</v>
      </c>
      <c r="S54" t="e">
        <f>IF(#REF!,"AAAAAFb++BI=",0)</f>
        <v>#REF!</v>
      </c>
      <c r="T54" t="e">
        <f>IF(#REF!,"AAAAAFb++BM=",0)</f>
        <v>#REF!</v>
      </c>
      <c r="U54" t="e">
        <f>IF(#REF!,"AAAAAFb++BQ=",0)</f>
        <v>#REF!</v>
      </c>
      <c r="V54" t="e">
        <f>IF(#REF!,"AAAAAFb++BU=",0)</f>
        <v>#REF!</v>
      </c>
      <c r="W54" t="e">
        <f>IF(#REF!,"AAAAAFb++BY=",0)</f>
        <v>#REF!</v>
      </c>
      <c r="X54" t="e">
        <f>IF(#REF!,"AAAAAFb++Bc=",0)</f>
        <v>#REF!</v>
      </c>
      <c r="Y54" t="e">
        <f>IF(#REF!,"AAAAAFb++Bg=",0)</f>
        <v>#REF!</v>
      </c>
      <c r="Z54" t="e">
        <f>IF(#REF!,"AAAAAFb++Bk=",0)</f>
        <v>#REF!</v>
      </c>
      <c r="AA54" t="e">
        <f>IF(#REF!,"AAAAAFb++Bo=",0)</f>
        <v>#REF!</v>
      </c>
      <c r="AB54" t="e">
        <f>IF(#REF!,"AAAAAFb++Bs=",0)</f>
        <v>#REF!</v>
      </c>
      <c r="AC54" t="e">
        <f>IF(#REF!,"AAAAAFb++Bw=",0)</f>
        <v>#REF!</v>
      </c>
      <c r="AD54" t="e">
        <f>IF(#REF!,"AAAAAFb++B0=",0)</f>
        <v>#REF!</v>
      </c>
      <c r="AE54" t="e">
        <f>IF(#REF!,"AAAAAFb++B4=",0)</f>
        <v>#REF!</v>
      </c>
      <c r="AF54" t="e">
        <f>IF(#REF!,"AAAAAFb++B8=",0)</f>
        <v>#REF!</v>
      </c>
      <c r="AG54" t="e">
        <f>IF(#REF!,"AAAAAFb++CA=",0)</f>
        <v>#REF!</v>
      </c>
      <c r="AH54" t="e">
        <f>IF(#REF!,"AAAAAFb++CE=",0)</f>
        <v>#REF!</v>
      </c>
      <c r="AI54" t="e">
        <f>IF(#REF!,"AAAAAFb++CI=",0)</f>
        <v>#REF!</v>
      </c>
      <c r="AJ54" t="e">
        <f>IF(#REF!,"AAAAAFb++CM=",0)</f>
        <v>#REF!</v>
      </c>
      <c r="AK54" t="e">
        <f>IF(#REF!,"AAAAAFb++CQ=",0)</f>
        <v>#REF!</v>
      </c>
      <c r="AL54" t="e">
        <f>IF(#REF!,"AAAAAFb++CU=",0)</f>
        <v>#REF!</v>
      </c>
      <c r="AM54" t="e">
        <f>IF(#REF!,"AAAAAFb++CY=",0)</f>
        <v>#REF!</v>
      </c>
      <c r="AN54" t="e">
        <f>IF(#REF!,"AAAAAFb++Cc=",0)</f>
        <v>#REF!</v>
      </c>
      <c r="AO54" t="e">
        <f>IF(#REF!,"AAAAAFb++Cg=",0)</f>
        <v>#REF!</v>
      </c>
      <c r="AP54" t="e">
        <f>IF(#REF!,"AAAAAFb++Ck=",0)</f>
        <v>#REF!</v>
      </c>
      <c r="AQ54" t="e">
        <f>IF(#REF!,"AAAAAFb++Co=",0)</f>
        <v>#REF!</v>
      </c>
      <c r="AR54" t="e">
        <f>IF(#REF!,"AAAAAFb++Cs=",0)</f>
        <v>#REF!</v>
      </c>
      <c r="AS54" t="e">
        <f>IF(#REF!,"AAAAAFb++Cw=",0)</f>
        <v>#REF!</v>
      </c>
      <c r="AT54" t="e">
        <f>IF(#REF!,"AAAAAFb++C0=",0)</f>
        <v>#REF!</v>
      </c>
      <c r="AU54" t="e">
        <f>IF(#REF!,"AAAAAFb++C4=",0)</f>
        <v>#REF!</v>
      </c>
      <c r="AV54" t="e">
        <f>IF(#REF!,"AAAAAFb++C8=",0)</f>
        <v>#REF!</v>
      </c>
      <c r="AW54" t="e">
        <f>IF(#REF!,"AAAAAFb++DA=",0)</f>
        <v>#REF!</v>
      </c>
      <c r="AX54" t="e">
        <f>IF(#REF!,"AAAAAFb++DE=",0)</f>
        <v>#REF!</v>
      </c>
      <c r="AY54" t="e">
        <f>IF(#REF!,"AAAAAFb++DI=",0)</f>
        <v>#REF!</v>
      </c>
      <c r="AZ54" t="e">
        <f>IF(#REF!,"AAAAAFb++DM=",0)</f>
        <v>#REF!</v>
      </c>
      <c r="BA54" t="e">
        <f>IF(#REF!,"AAAAAFb++DQ=",0)</f>
        <v>#REF!</v>
      </c>
      <c r="BB54" t="e">
        <f>IF(#REF!,"AAAAAFb++DU=",0)</f>
        <v>#REF!</v>
      </c>
      <c r="BC54" t="e">
        <f>IF(#REF!,"AAAAAFb++DY=",0)</f>
        <v>#REF!</v>
      </c>
      <c r="BD54" t="e">
        <f>IF(#REF!,"AAAAAFb++Dc=",0)</f>
        <v>#REF!</v>
      </c>
      <c r="BE54" t="e">
        <f>IF(#REF!,"AAAAAFb++Dg=",0)</f>
        <v>#REF!</v>
      </c>
      <c r="BF54" t="e">
        <f>IF(#REF!,"AAAAAFb++Dk=",0)</f>
        <v>#REF!</v>
      </c>
      <c r="BG54" t="e">
        <f>IF(#REF!,"AAAAAFb++Do=",0)</f>
        <v>#REF!</v>
      </c>
      <c r="BH54" t="e">
        <f>IF(#REF!,"AAAAAFb++Ds=",0)</f>
        <v>#REF!</v>
      </c>
      <c r="BI54" t="e">
        <f>IF(#REF!,"AAAAAFb++Dw=",0)</f>
        <v>#REF!</v>
      </c>
      <c r="BJ54" t="e">
        <f>IF(#REF!,"AAAAAFb++D0=",0)</f>
        <v>#REF!</v>
      </c>
      <c r="BK54" t="e">
        <f>IF(#REF!,"AAAAAFb++D4=",0)</f>
        <v>#REF!</v>
      </c>
      <c r="BL54" t="e">
        <f>IF(#REF!,"AAAAAFb++D8=",0)</f>
        <v>#REF!</v>
      </c>
      <c r="BM54" t="e">
        <f>IF(#REF!,"AAAAAFb++EA=",0)</f>
        <v>#REF!</v>
      </c>
      <c r="BN54" t="e">
        <f>IF(#REF!,"AAAAAFb++EE=",0)</f>
        <v>#REF!</v>
      </c>
      <c r="BO54" t="e">
        <f>IF(#REF!,"AAAAAFb++EI=",0)</f>
        <v>#REF!</v>
      </c>
      <c r="BP54" t="e">
        <f>IF(#REF!,"AAAAAFb++EM=",0)</f>
        <v>#REF!</v>
      </c>
      <c r="BQ54" t="e">
        <f>IF(#REF!,"AAAAAFb++EQ=",0)</f>
        <v>#REF!</v>
      </c>
      <c r="BR54" t="e">
        <f>IF(#REF!,"AAAAAFb++EU=",0)</f>
        <v>#REF!</v>
      </c>
      <c r="BS54" t="e">
        <f>IF(#REF!,"AAAAAFb++EY=",0)</f>
        <v>#REF!</v>
      </c>
      <c r="BT54" t="e">
        <f>IF(#REF!,"AAAAAFb++Ec=",0)</f>
        <v>#REF!</v>
      </c>
      <c r="BU54" t="e">
        <f>IF(#REF!,"AAAAAFb++Eg=",0)</f>
        <v>#REF!</v>
      </c>
      <c r="BV54" t="e">
        <f>IF(#REF!,"AAAAAFb++Ek=",0)</f>
        <v>#REF!</v>
      </c>
      <c r="BW54" t="e">
        <f>IF(#REF!,"AAAAAFb++Eo=",0)</f>
        <v>#REF!</v>
      </c>
      <c r="BX54" t="e">
        <f>IF(#REF!,"AAAAAFb++Es=",0)</f>
        <v>#REF!</v>
      </c>
      <c r="BY54" t="e">
        <f>IF(#REF!,"AAAAAFb++Ew=",0)</f>
        <v>#REF!</v>
      </c>
      <c r="BZ54" t="e">
        <f>IF(#REF!,"AAAAAFb++E0=",0)</f>
        <v>#REF!</v>
      </c>
      <c r="CA54" t="e">
        <f>IF(#REF!,"AAAAAFb++E4=",0)</f>
        <v>#REF!</v>
      </c>
      <c r="CB54" t="e">
        <f>IF(#REF!,"AAAAAFb++E8=",0)</f>
        <v>#REF!</v>
      </c>
      <c r="CC54" t="e">
        <f>IF(#REF!,"AAAAAFb++FA=",0)</f>
        <v>#REF!</v>
      </c>
      <c r="CD54" t="e">
        <f>IF(#REF!,"AAAAAFb++FE=",0)</f>
        <v>#REF!</v>
      </c>
      <c r="CE54" t="e">
        <f>IF(#REF!,"AAAAAFb++FI=",0)</f>
        <v>#REF!</v>
      </c>
      <c r="CF54" t="e">
        <f>IF(#REF!,"AAAAAFb++FM=",0)</f>
        <v>#REF!</v>
      </c>
      <c r="CG54" t="e">
        <f>IF(#REF!,"AAAAAFb++FQ=",0)</f>
        <v>#REF!</v>
      </c>
      <c r="CH54" t="e">
        <f>IF(#REF!,"AAAAAFb++FU=",0)</f>
        <v>#REF!</v>
      </c>
      <c r="CI54" t="e">
        <f>IF(#REF!,"AAAAAFb++FY=",0)</f>
        <v>#REF!</v>
      </c>
      <c r="CJ54" t="e">
        <f>IF(#REF!,"AAAAAFb++Fc=",0)</f>
        <v>#REF!</v>
      </c>
      <c r="CK54" t="e">
        <f>IF(#REF!,"AAAAAFb++Fg=",0)</f>
        <v>#REF!</v>
      </c>
      <c r="CL54" t="e">
        <f>IF(#REF!,"AAAAAFb++Fk=",0)</f>
        <v>#REF!</v>
      </c>
      <c r="CM54" t="e">
        <f>IF(#REF!,"AAAAAFb++Fo=",0)</f>
        <v>#REF!</v>
      </c>
      <c r="CN54" t="e">
        <f>IF(#REF!,"AAAAAFb++Fs=",0)</f>
        <v>#REF!</v>
      </c>
      <c r="CO54" t="e">
        <f>IF(#REF!,"AAAAAFb++Fw=",0)</f>
        <v>#REF!</v>
      </c>
      <c r="CP54" t="e">
        <f>IF(#REF!,"AAAAAFb++F0=",0)</f>
        <v>#REF!</v>
      </c>
      <c r="CQ54" t="e">
        <f>IF(#REF!,"AAAAAFb++F4=",0)</f>
        <v>#REF!</v>
      </c>
      <c r="CR54" t="e">
        <f>IF(#REF!,"AAAAAFb++F8=",0)</f>
        <v>#REF!</v>
      </c>
      <c r="CS54" t="e">
        <f>IF(#REF!,"AAAAAFb++GA=",0)</f>
        <v>#REF!</v>
      </c>
      <c r="CT54" t="e">
        <f>IF(#REF!,"AAAAAFb++GE=",0)</f>
        <v>#REF!</v>
      </c>
      <c r="CU54" t="e">
        <f>IF(#REF!,"AAAAAFb++GI=",0)</f>
        <v>#REF!</v>
      </c>
      <c r="CV54" t="e">
        <f>IF(#REF!,"AAAAAFb++GM=",0)</f>
        <v>#REF!</v>
      </c>
      <c r="CW54" t="e">
        <f>IF(#REF!,"AAAAAFb++GQ=",0)</f>
        <v>#REF!</v>
      </c>
      <c r="CX54" t="e">
        <f>IF(#REF!,"AAAAAFb++GU=",0)</f>
        <v>#REF!</v>
      </c>
      <c r="CY54" t="e">
        <f>IF(#REF!,"AAAAAFb++GY=",0)</f>
        <v>#REF!</v>
      </c>
      <c r="CZ54" t="e">
        <f>IF(#REF!,"AAAAAFb++Gc=",0)</f>
        <v>#REF!</v>
      </c>
      <c r="DA54" t="e">
        <f>IF(#REF!,"AAAAAFb++Gg=",0)</f>
        <v>#REF!</v>
      </c>
      <c r="DB54" t="e">
        <f>IF(#REF!,"AAAAAFb++Gk=",0)</f>
        <v>#REF!</v>
      </c>
      <c r="DC54" t="e">
        <f>IF(#REF!,"AAAAAFb++Go=",0)</f>
        <v>#REF!</v>
      </c>
      <c r="DD54" t="e">
        <f>IF(#REF!,"AAAAAFb++Gs=",0)</f>
        <v>#REF!</v>
      </c>
      <c r="DE54" t="e">
        <f>IF(#REF!,"AAAAAFb++Gw=",0)</f>
        <v>#REF!</v>
      </c>
      <c r="DF54" t="e">
        <f>IF(#REF!,"AAAAAFb++G0=",0)</f>
        <v>#REF!</v>
      </c>
      <c r="DG54" t="e">
        <f>IF(#REF!,"AAAAAFb++G4=",0)</f>
        <v>#REF!</v>
      </c>
      <c r="DH54" t="e">
        <f>IF(#REF!,"AAAAAFb++G8=",0)</f>
        <v>#REF!</v>
      </c>
      <c r="DI54" t="e">
        <f>IF(#REF!,"AAAAAFb++HA=",0)</f>
        <v>#REF!</v>
      </c>
      <c r="DJ54" t="e">
        <f>IF(#REF!,"AAAAAFb++HE=",0)</f>
        <v>#REF!</v>
      </c>
      <c r="DK54" t="e">
        <f>IF(#REF!,"AAAAAFb++HI=",0)</f>
        <v>#REF!</v>
      </c>
      <c r="DL54" t="e">
        <f>IF(#REF!,"AAAAAFb++HM=",0)</f>
        <v>#REF!</v>
      </c>
      <c r="DM54" t="e">
        <f>IF(#REF!,"AAAAAFb++HQ=",0)</f>
        <v>#REF!</v>
      </c>
      <c r="DN54" t="e">
        <f>IF(#REF!,"AAAAAFb++HU=",0)</f>
        <v>#REF!</v>
      </c>
      <c r="DO54" t="e">
        <f>IF(#REF!,"AAAAAFb++HY=",0)</f>
        <v>#REF!</v>
      </c>
      <c r="DP54" t="e">
        <f>IF(#REF!,"AAAAAFb++Hc=",0)</f>
        <v>#REF!</v>
      </c>
      <c r="DQ54" t="e">
        <f>IF(#REF!,"AAAAAFb++Hg=",0)</f>
        <v>#REF!</v>
      </c>
      <c r="DR54" t="e">
        <f>IF(#REF!,"AAAAAFb++Hk=",0)</f>
        <v>#REF!</v>
      </c>
      <c r="DS54" t="e">
        <f>IF(#REF!,"AAAAAFb++Ho=",0)</f>
        <v>#REF!</v>
      </c>
      <c r="DT54" t="e">
        <f>IF(#REF!,"AAAAAFb++Hs=",0)</f>
        <v>#REF!</v>
      </c>
      <c r="DU54" t="e">
        <f>IF(#REF!,"AAAAAFb++Hw=",0)</f>
        <v>#REF!</v>
      </c>
      <c r="DV54" t="e">
        <f>IF(#REF!,"AAAAAFb++H0=",0)</f>
        <v>#REF!</v>
      </c>
      <c r="DW54" t="e">
        <f>IF(#REF!,"AAAAAFb++H4=",0)</f>
        <v>#REF!</v>
      </c>
      <c r="DX54" t="e">
        <f>IF(#REF!,"AAAAAFb++H8=",0)</f>
        <v>#REF!</v>
      </c>
      <c r="DY54" t="e">
        <f>IF(#REF!,"AAAAAFb++IA=",0)</f>
        <v>#REF!</v>
      </c>
      <c r="DZ54" t="e">
        <f>IF(#REF!,"AAAAAFb++IE=",0)</f>
        <v>#REF!</v>
      </c>
      <c r="EA54" t="e">
        <f>IF(#REF!,"AAAAAFb++II=",0)</f>
        <v>#REF!</v>
      </c>
      <c r="EB54" t="e">
        <f>IF(#REF!,"AAAAAFb++IM=",0)</f>
        <v>#REF!</v>
      </c>
      <c r="EC54" t="e">
        <f>IF(#REF!,"AAAAAFb++IQ=",0)</f>
        <v>#REF!</v>
      </c>
      <c r="ED54" t="e">
        <f>IF(#REF!,"AAAAAFb++IU=",0)</f>
        <v>#REF!</v>
      </c>
      <c r="EE54" t="e">
        <f>IF(#REF!,"AAAAAFb++IY=",0)</f>
        <v>#REF!</v>
      </c>
      <c r="EF54" t="e">
        <f>IF(#REF!,"AAAAAFb++Ic=",0)</f>
        <v>#REF!</v>
      </c>
      <c r="EG54" t="e">
        <f>IF(#REF!,"AAAAAFb++Ig=",0)</f>
        <v>#REF!</v>
      </c>
      <c r="EH54" t="e">
        <f>IF(#REF!,"AAAAAFb++Ik=",0)</f>
        <v>#REF!</v>
      </c>
      <c r="EI54" t="e">
        <f>IF(#REF!,"AAAAAFb++Io=",0)</f>
        <v>#REF!</v>
      </c>
      <c r="EJ54" t="e">
        <f>IF(#REF!,"AAAAAFb++Is=",0)</f>
        <v>#REF!</v>
      </c>
      <c r="EK54" t="e">
        <f>IF(#REF!,"AAAAAFb++Iw=",0)</f>
        <v>#REF!</v>
      </c>
      <c r="EL54" t="e">
        <f>IF(#REF!,"AAAAAFb++I0=",0)</f>
        <v>#REF!</v>
      </c>
      <c r="EM54" t="e">
        <f>IF(#REF!,"AAAAAFb++I4=",0)</f>
        <v>#REF!</v>
      </c>
      <c r="EN54" t="e">
        <f>IF(#REF!,"AAAAAFb++I8=",0)</f>
        <v>#REF!</v>
      </c>
      <c r="EO54" t="e">
        <f>IF(#REF!,"AAAAAFb++JA=",0)</f>
        <v>#REF!</v>
      </c>
      <c r="EP54" t="e">
        <f>IF(#REF!,"AAAAAFb++JE=",0)</f>
        <v>#REF!</v>
      </c>
      <c r="EQ54" t="e">
        <f>IF(#REF!,"AAAAAFb++JI=",0)</f>
        <v>#REF!</v>
      </c>
      <c r="ER54" t="e">
        <f>IF(#REF!,"AAAAAFb++JM=",0)</f>
        <v>#REF!</v>
      </c>
      <c r="ES54" t="e">
        <f>AND(#REF!,"AAAAAFb++JQ=")</f>
        <v>#REF!</v>
      </c>
      <c r="ET54" t="e">
        <f>AND(#REF!,"AAAAAFb++JU=")</f>
        <v>#REF!</v>
      </c>
      <c r="EU54" t="e">
        <f>AND(#REF!,"AAAAAFb++JY=")</f>
        <v>#REF!</v>
      </c>
      <c r="EV54" t="e">
        <f>AND(#REF!,"AAAAAFb++Jc=")</f>
        <v>#REF!</v>
      </c>
      <c r="EW54" t="e">
        <f>AND(#REF!,"AAAAAFb++Jg=")</f>
        <v>#REF!</v>
      </c>
      <c r="EX54" t="e">
        <f>AND(#REF!,"AAAAAFb++Jk=")</f>
        <v>#REF!</v>
      </c>
      <c r="EY54" t="e">
        <f>AND(#REF!,"AAAAAFb++Jo=")</f>
        <v>#REF!</v>
      </c>
      <c r="EZ54" t="e">
        <f>AND(#REF!,"AAAAAFb++Js=")</f>
        <v>#REF!</v>
      </c>
      <c r="FA54" t="e">
        <f>AND(#REF!,"AAAAAFb++Jw=")</f>
        <v>#REF!</v>
      </c>
      <c r="FB54" t="e">
        <f>AND(#REF!,"AAAAAFb++J0=")</f>
        <v>#REF!</v>
      </c>
      <c r="FC54" t="e">
        <f>AND(#REF!,"AAAAAFb++J4=")</f>
        <v>#REF!</v>
      </c>
      <c r="FD54" t="e">
        <f>AND(#REF!,"AAAAAFb++J8=")</f>
        <v>#REF!</v>
      </c>
      <c r="FE54" t="e">
        <f>AND(#REF!,"AAAAAFb++KA=")</f>
        <v>#REF!</v>
      </c>
      <c r="FF54" t="e">
        <f>AND(#REF!,"AAAAAFb++KE=")</f>
        <v>#REF!</v>
      </c>
      <c r="FG54" t="e">
        <f>AND(#REF!,"AAAAAFb++KI=")</f>
        <v>#REF!</v>
      </c>
      <c r="FH54" t="e">
        <f>AND(#REF!,"AAAAAFb++KM=")</f>
        <v>#REF!</v>
      </c>
      <c r="FI54" t="e">
        <f>AND(#REF!,"AAAAAFb++KQ=")</f>
        <v>#REF!</v>
      </c>
      <c r="FJ54" t="e">
        <f>AND(#REF!,"AAAAAFb++KU=")</f>
        <v>#REF!</v>
      </c>
      <c r="FK54" t="e">
        <f>AND(#REF!,"AAAAAFb++KY=")</f>
        <v>#REF!</v>
      </c>
      <c r="FL54" t="e">
        <f>AND(#REF!,"AAAAAFb++Kc=")</f>
        <v>#REF!</v>
      </c>
      <c r="FM54" t="e">
        <f>AND(#REF!,"AAAAAFb++Kg=")</f>
        <v>#REF!</v>
      </c>
      <c r="FN54" t="e">
        <f>IF(#REF!,"AAAAAFb++Kk=",0)</f>
        <v>#REF!</v>
      </c>
      <c r="FO54" t="e">
        <f>AND(#REF!,"AAAAAFb++Ko=")</f>
        <v>#REF!</v>
      </c>
      <c r="FP54" t="e">
        <f>AND(#REF!,"AAAAAFb++Ks=")</f>
        <v>#REF!</v>
      </c>
      <c r="FQ54" t="e">
        <f>AND(#REF!,"AAAAAFb++Kw=")</f>
        <v>#REF!</v>
      </c>
      <c r="FR54" t="e">
        <f>AND(#REF!,"AAAAAFb++K0=")</f>
        <v>#REF!</v>
      </c>
      <c r="FS54" t="e">
        <f>AND(#REF!,"AAAAAFb++K4=")</f>
        <v>#REF!</v>
      </c>
      <c r="FT54" t="e">
        <f>AND(#REF!,"AAAAAFb++K8=")</f>
        <v>#REF!</v>
      </c>
      <c r="FU54" t="e">
        <f>AND(#REF!,"AAAAAFb++LA=")</f>
        <v>#REF!</v>
      </c>
      <c r="FV54" t="e">
        <f>AND(#REF!,"AAAAAFb++LE=")</f>
        <v>#REF!</v>
      </c>
      <c r="FW54" t="e">
        <f>AND(#REF!,"AAAAAFb++LI=")</f>
        <v>#REF!</v>
      </c>
      <c r="FX54" t="e">
        <f>AND(#REF!,"AAAAAFb++LM=")</f>
        <v>#REF!</v>
      </c>
      <c r="FY54" t="e">
        <f>AND(#REF!,"AAAAAFb++LQ=")</f>
        <v>#REF!</v>
      </c>
      <c r="FZ54" t="e">
        <f>AND(#REF!,"AAAAAFb++LU=")</f>
        <v>#REF!</v>
      </c>
      <c r="GA54" t="e">
        <f>AND(#REF!,"AAAAAFb++LY=")</f>
        <v>#REF!</v>
      </c>
      <c r="GB54" t="e">
        <f>AND(#REF!,"AAAAAFb++Lc=")</f>
        <v>#REF!</v>
      </c>
      <c r="GC54" t="e">
        <f>AND(#REF!,"AAAAAFb++Lg=")</f>
        <v>#REF!</v>
      </c>
      <c r="GD54" t="e">
        <f>AND(#REF!,"AAAAAFb++Lk=")</f>
        <v>#REF!</v>
      </c>
      <c r="GE54" t="e">
        <f>AND(#REF!,"AAAAAFb++Lo=")</f>
        <v>#REF!</v>
      </c>
      <c r="GF54" t="e">
        <f>AND(#REF!,"AAAAAFb++Ls=")</f>
        <v>#REF!</v>
      </c>
      <c r="GG54" t="e">
        <f>AND(#REF!,"AAAAAFb++Lw=")</f>
        <v>#REF!</v>
      </c>
      <c r="GH54" t="e">
        <f>AND(#REF!,"AAAAAFb++L0=")</f>
        <v>#REF!</v>
      </c>
      <c r="GI54" t="e">
        <f>AND(#REF!,"AAAAAFb++L4=")</f>
        <v>#REF!</v>
      </c>
      <c r="GJ54" t="e">
        <f>IF(#REF!,"AAAAAFb++L8=",0)</f>
        <v>#REF!</v>
      </c>
      <c r="GK54" t="e">
        <f>AND(#REF!,"AAAAAFb++MA=")</f>
        <v>#REF!</v>
      </c>
      <c r="GL54" t="e">
        <f>AND(#REF!,"AAAAAFb++ME=")</f>
        <v>#REF!</v>
      </c>
      <c r="GM54" t="e">
        <f>AND(#REF!,"AAAAAFb++MI=")</f>
        <v>#REF!</v>
      </c>
      <c r="GN54" t="e">
        <f>AND(#REF!,"AAAAAFb++MM=")</f>
        <v>#REF!</v>
      </c>
      <c r="GO54" t="e">
        <f>AND(#REF!,"AAAAAFb++MQ=")</f>
        <v>#REF!</v>
      </c>
      <c r="GP54" t="e">
        <f>AND(#REF!,"AAAAAFb++MU=")</f>
        <v>#REF!</v>
      </c>
      <c r="GQ54" t="e">
        <f>AND(#REF!,"AAAAAFb++MY=")</f>
        <v>#REF!</v>
      </c>
      <c r="GR54" t="e">
        <f>AND(#REF!,"AAAAAFb++Mc=")</f>
        <v>#REF!</v>
      </c>
      <c r="GS54" t="e">
        <f>AND(#REF!,"AAAAAFb++Mg=")</f>
        <v>#REF!</v>
      </c>
      <c r="GT54" t="e">
        <f>AND(#REF!,"AAAAAFb++Mk=")</f>
        <v>#REF!</v>
      </c>
      <c r="GU54" t="e">
        <f>AND(#REF!,"AAAAAFb++Mo=")</f>
        <v>#REF!</v>
      </c>
      <c r="GV54" t="e">
        <f>AND(#REF!,"AAAAAFb++Ms=")</f>
        <v>#REF!</v>
      </c>
      <c r="GW54" t="e">
        <f>AND(#REF!,"AAAAAFb++Mw=")</f>
        <v>#REF!</v>
      </c>
      <c r="GX54" t="e">
        <f>AND(#REF!,"AAAAAFb++M0=")</f>
        <v>#REF!</v>
      </c>
      <c r="GY54" t="e">
        <f>AND(#REF!,"AAAAAFb++M4=")</f>
        <v>#REF!</v>
      </c>
      <c r="GZ54" t="e">
        <f>AND(#REF!,"AAAAAFb++M8=")</f>
        <v>#REF!</v>
      </c>
      <c r="HA54" t="e">
        <f>AND(#REF!,"AAAAAFb++NA=")</f>
        <v>#REF!</v>
      </c>
      <c r="HB54" t="e">
        <f>AND(#REF!,"AAAAAFb++NE=")</f>
        <v>#REF!</v>
      </c>
      <c r="HC54" t="e">
        <f>AND(#REF!,"AAAAAFb++NI=")</f>
        <v>#REF!</v>
      </c>
      <c r="HD54" t="e">
        <f>AND(#REF!,"AAAAAFb++NM=")</f>
        <v>#REF!</v>
      </c>
      <c r="HE54" t="e">
        <f>AND(#REF!,"AAAAAFb++NQ=")</f>
        <v>#REF!</v>
      </c>
      <c r="HF54" t="e">
        <f>IF(#REF!,"AAAAAFb++NU=",0)</f>
        <v>#REF!</v>
      </c>
      <c r="HG54" t="e">
        <f>AND(#REF!,"AAAAAFb++NY=")</f>
        <v>#REF!</v>
      </c>
      <c r="HH54" t="e">
        <f>AND(#REF!,"AAAAAFb++Nc=")</f>
        <v>#REF!</v>
      </c>
      <c r="HI54" t="e">
        <f>AND(#REF!,"AAAAAFb++Ng=")</f>
        <v>#REF!</v>
      </c>
      <c r="HJ54" t="e">
        <f>AND(#REF!,"AAAAAFb++Nk=")</f>
        <v>#REF!</v>
      </c>
      <c r="HK54" t="e">
        <f>AND(#REF!,"AAAAAFb++No=")</f>
        <v>#REF!</v>
      </c>
      <c r="HL54" t="e">
        <f>AND(#REF!,"AAAAAFb++Ns=")</f>
        <v>#REF!</v>
      </c>
      <c r="HM54" t="e">
        <f>AND(#REF!,"AAAAAFb++Nw=")</f>
        <v>#REF!</v>
      </c>
      <c r="HN54" t="e">
        <f>AND(#REF!,"AAAAAFb++N0=")</f>
        <v>#REF!</v>
      </c>
      <c r="HO54" t="e">
        <f>AND(#REF!,"AAAAAFb++N4=")</f>
        <v>#REF!</v>
      </c>
      <c r="HP54" t="e">
        <f>AND(#REF!,"AAAAAFb++N8=")</f>
        <v>#REF!</v>
      </c>
      <c r="HQ54" t="e">
        <f>AND(#REF!,"AAAAAFb++OA=")</f>
        <v>#REF!</v>
      </c>
      <c r="HR54" t="e">
        <f>AND(#REF!,"AAAAAFb++OE=")</f>
        <v>#REF!</v>
      </c>
      <c r="HS54" t="e">
        <f>AND(#REF!,"AAAAAFb++OI=")</f>
        <v>#REF!</v>
      </c>
      <c r="HT54" t="e">
        <f>AND(#REF!,"AAAAAFb++OM=")</f>
        <v>#REF!</v>
      </c>
      <c r="HU54" t="e">
        <f>AND(#REF!,"AAAAAFb++OQ=")</f>
        <v>#REF!</v>
      </c>
      <c r="HV54" t="e">
        <f>AND(#REF!,"AAAAAFb++OU=")</f>
        <v>#REF!</v>
      </c>
      <c r="HW54" t="e">
        <f>AND(#REF!,"AAAAAFb++OY=")</f>
        <v>#REF!</v>
      </c>
      <c r="HX54" t="e">
        <f>AND(#REF!,"AAAAAFb++Oc=")</f>
        <v>#REF!</v>
      </c>
      <c r="HY54" t="e">
        <f>AND(#REF!,"AAAAAFb++Og=")</f>
        <v>#REF!</v>
      </c>
      <c r="HZ54" t="e">
        <f>AND(#REF!,"AAAAAFb++Ok=")</f>
        <v>#REF!</v>
      </c>
      <c r="IA54" t="e">
        <f>AND(#REF!,"AAAAAFb++Oo=")</f>
        <v>#REF!</v>
      </c>
      <c r="IB54" t="e">
        <f>IF(#REF!,"AAAAAFb++Os=",0)</f>
        <v>#REF!</v>
      </c>
      <c r="IC54" t="e">
        <f>AND(#REF!,"AAAAAFb++Ow=")</f>
        <v>#REF!</v>
      </c>
      <c r="ID54" t="e">
        <f>AND(#REF!,"AAAAAFb++O0=")</f>
        <v>#REF!</v>
      </c>
      <c r="IE54" t="e">
        <f>AND(#REF!,"AAAAAFb++O4=")</f>
        <v>#REF!</v>
      </c>
      <c r="IF54" t="e">
        <f>AND(#REF!,"AAAAAFb++O8=")</f>
        <v>#REF!</v>
      </c>
      <c r="IG54" t="e">
        <f>AND(#REF!,"AAAAAFb++PA=")</f>
        <v>#REF!</v>
      </c>
      <c r="IH54" t="e">
        <f>AND(#REF!,"AAAAAFb++PE=")</f>
        <v>#REF!</v>
      </c>
      <c r="II54" t="e">
        <f>AND(#REF!,"AAAAAFb++PI=")</f>
        <v>#REF!</v>
      </c>
      <c r="IJ54" t="e">
        <f>AND(#REF!,"AAAAAFb++PM=")</f>
        <v>#REF!</v>
      </c>
      <c r="IK54" t="e">
        <f>AND(#REF!,"AAAAAFb++PQ=")</f>
        <v>#REF!</v>
      </c>
      <c r="IL54" t="e">
        <f>AND(#REF!,"AAAAAFb++PU=")</f>
        <v>#REF!</v>
      </c>
      <c r="IM54" t="e">
        <f>AND(#REF!,"AAAAAFb++PY=")</f>
        <v>#REF!</v>
      </c>
      <c r="IN54" t="e">
        <f>AND(#REF!,"AAAAAFb++Pc=")</f>
        <v>#REF!</v>
      </c>
      <c r="IO54" t="e">
        <f>AND(#REF!,"AAAAAFb++Pg=")</f>
        <v>#REF!</v>
      </c>
      <c r="IP54" t="e">
        <f>AND(#REF!,"AAAAAFb++Pk=")</f>
        <v>#REF!</v>
      </c>
      <c r="IQ54" t="e">
        <f>AND(#REF!,"AAAAAFb++Po=")</f>
        <v>#REF!</v>
      </c>
      <c r="IR54" t="e">
        <f>AND(#REF!,"AAAAAFb++Ps=")</f>
        <v>#REF!</v>
      </c>
      <c r="IS54" t="e">
        <f>AND(#REF!,"AAAAAFb++Pw=")</f>
        <v>#REF!</v>
      </c>
      <c r="IT54" t="e">
        <f>AND(#REF!,"AAAAAFb++P0=")</f>
        <v>#REF!</v>
      </c>
      <c r="IU54" t="e">
        <f>AND(#REF!,"AAAAAFb++P4=")</f>
        <v>#REF!</v>
      </c>
      <c r="IV54" t="e">
        <f>AND(#REF!,"AAAAAFb++P8=")</f>
        <v>#REF!</v>
      </c>
    </row>
    <row r="55" spans="1:256" x14ac:dyDescent="0.35">
      <c r="A55" t="e">
        <f>AND(#REF!,"AAAAADf//wA=")</f>
        <v>#REF!</v>
      </c>
      <c r="B55" t="e">
        <f>IF(#REF!,"AAAAADf//wE=",0)</f>
        <v>#REF!</v>
      </c>
      <c r="C55" t="e">
        <f>AND(#REF!,"AAAAADf//wI=")</f>
        <v>#REF!</v>
      </c>
      <c r="D55" t="e">
        <f>AND(#REF!,"AAAAADf//wM=")</f>
        <v>#REF!</v>
      </c>
      <c r="E55" t="e">
        <f>AND(#REF!,"AAAAADf//wQ=")</f>
        <v>#REF!</v>
      </c>
      <c r="F55" t="e">
        <f>AND(#REF!,"AAAAADf//wU=")</f>
        <v>#REF!</v>
      </c>
      <c r="G55" t="e">
        <f>AND(#REF!,"AAAAADf//wY=")</f>
        <v>#REF!</v>
      </c>
      <c r="H55" t="e">
        <f>AND(#REF!,"AAAAADf//wc=")</f>
        <v>#REF!</v>
      </c>
      <c r="I55" t="e">
        <f>AND(#REF!,"AAAAADf//wg=")</f>
        <v>#REF!</v>
      </c>
      <c r="J55" t="e">
        <f>AND(#REF!,"AAAAADf//wk=")</f>
        <v>#REF!</v>
      </c>
      <c r="K55" t="e">
        <f>AND(#REF!,"AAAAADf//wo=")</f>
        <v>#REF!</v>
      </c>
      <c r="L55" t="e">
        <f>AND(#REF!,"AAAAADf//ws=")</f>
        <v>#REF!</v>
      </c>
      <c r="M55" t="e">
        <f>AND(#REF!,"AAAAADf//ww=")</f>
        <v>#REF!</v>
      </c>
      <c r="N55" t="e">
        <f>AND(#REF!,"AAAAADf//w0=")</f>
        <v>#REF!</v>
      </c>
      <c r="O55" t="e">
        <f>AND(#REF!,"AAAAADf//w4=")</f>
        <v>#REF!</v>
      </c>
      <c r="P55" t="e">
        <f>AND(#REF!,"AAAAADf//w8=")</f>
        <v>#REF!</v>
      </c>
      <c r="Q55" t="e">
        <f>AND(#REF!,"AAAAADf//xA=")</f>
        <v>#REF!</v>
      </c>
      <c r="R55" t="e">
        <f>AND(#REF!,"AAAAADf//xE=")</f>
        <v>#REF!</v>
      </c>
      <c r="S55" t="e">
        <f>AND(#REF!,"AAAAADf//xI=")</f>
        <v>#REF!</v>
      </c>
      <c r="T55" t="e">
        <f>AND(#REF!,"AAAAADf//xM=")</f>
        <v>#REF!</v>
      </c>
      <c r="U55" t="e">
        <f>AND(#REF!,"AAAAADf//xQ=")</f>
        <v>#REF!</v>
      </c>
      <c r="V55" t="e">
        <f>AND(#REF!,"AAAAADf//xU=")</f>
        <v>#REF!</v>
      </c>
      <c r="W55" t="e">
        <f>AND(#REF!,"AAAAADf//xY=")</f>
        <v>#REF!</v>
      </c>
      <c r="X55" t="e">
        <f>IF(#REF!,"AAAAADf//xc=",0)</f>
        <v>#REF!</v>
      </c>
      <c r="Y55" t="e">
        <f>AND(#REF!,"AAAAADf//xg=")</f>
        <v>#REF!</v>
      </c>
      <c r="Z55" t="e">
        <f>AND(#REF!,"AAAAADf//xk=")</f>
        <v>#REF!</v>
      </c>
      <c r="AA55" t="e">
        <f>AND(#REF!,"AAAAADf//xo=")</f>
        <v>#REF!</v>
      </c>
      <c r="AB55" t="e">
        <f>AND(#REF!,"AAAAADf//xs=")</f>
        <v>#REF!</v>
      </c>
      <c r="AC55" t="e">
        <f>AND(#REF!,"AAAAADf//xw=")</f>
        <v>#REF!</v>
      </c>
      <c r="AD55" t="e">
        <f>AND(#REF!,"AAAAADf//x0=")</f>
        <v>#REF!</v>
      </c>
      <c r="AE55" t="e">
        <f>AND(#REF!,"AAAAADf//x4=")</f>
        <v>#REF!</v>
      </c>
      <c r="AF55" t="e">
        <f>AND(#REF!,"AAAAADf//x8=")</f>
        <v>#REF!</v>
      </c>
      <c r="AG55" t="e">
        <f>AND(#REF!,"AAAAADf//yA=")</f>
        <v>#REF!</v>
      </c>
      <c r="AH55" t="e">
        <f>AND(#REF!,"AAAAADf//yE=")</f>
        <v>#REF!</v>
      </c>
      <c r="AI55" t="e">
        <f>AND(#REF!,"AAAAADf//yI=")</f>
        <v>#REF!</v>
      </c>
      <c r="AJ55" t="e">
        <f>AND(#REF!,"AAAAADf//yM=")</f>
        <v>#REF!</v>
      </c>
      <c r="AK55" t="e">
        <f>AND(#REF!,"AAAAADf//yQ=")</f>
        <v>#REF!</v>
      </c>
      <c r="AL55" t="e">
        <f>AND(#REF!,"AAAAADf//yU=")</f>
        <v>#REF!</v>
      </c>
      <c r="AM55" t="e">
        <f>AND(#REF!,"AAAAADf//yY=")</f>
        <v>#REF!</v>
      </c>
      <c r="AN55" t="e">
        <f>AND(#REF!,"AAAAADf//yc=")</f>
        <v>#REF!</v>
      </c>
      <c r="AO55" t="e">
        <f>AND(#REF!,"AAAAADf//yg=")</f>
        <v>#REF!</v>
      </c>
      <c r="AP55" t="e">
        <f>AND(#REF!,"AAAAADf//yk=")</f>
        <v>#REF!</v>
      </c>
      <c r="AQ55" t="e">
        <f>AND(#REF!,"AAAAADf//yo=")</f>
        <v>#REF!</v>
      </c>
      <c r="AR55" t="e">
        <f>AND(#REF!,"AAAAADf//ys=")</f>
        <v>#REF!</v>
      </c>
      <c r="AS55" t="e">
        <f>AND(#REF!,"AAAAADf//yw=")</f>
        <v>#REF!</v>
      </c>
      <c r="AT55" t="e">
        <f>IF(#REF!,"AAAAADf//y0=",0)</f>
        <v>#REF!</v>
      </c>
      <c r="AU55" t="e">
        <f>IF(#REF!,"AAAAADf//y4=",0)</f>
        <v>#REF!</v>
      </c>
      <c r="AV55" t="e">
        <f>IF(#REF!,"AAAAADf//y8=",0)</f>
        <v>#REF!</v>
      </c>
      <c r="AW55" t="e">
        <f>IF(#REF!,"AAAAADf//zA=",0)</f>
        <v>#REF!</v>
      </c>
      <c r="AX55" t="e">
        <f>IF(#REF!,"AAAAADf//zE=",0)</f>
        <v>#REF!</v>
      </c>
      <c r="AY55" t="e">
        <f>IF(#REF!,"AAAAADf//zI=",0)</f>
        <v>#REF!</v>
      </c>
      <c r="AZ55" t="e">
        <f>IF(#REF!,"AAAAADf//zM=",0)</f>
        <v>#REF!</v>
      </c>
      <c r="BA55" t="e">
        <f>IF(#REF!,"AAAAADf//zQ=",0)</f>
        <v>#REF!</v>
      </c>
      <c r="BB55" t="e">
        <f>IF(#REF!,"AAAAADf//zU=",0)</f>
        <v>#REF!</v>
      </c>
      <c r="BC55" t="e">
        <f>IF(#REF!,"AAAAADf//zY=",0)</f>
        <v>#REF!</v>
      </c>
      <c r="BD55" t="e">
        <f>IF(#REF!,"AAAAADf//zc=",0)</f>
        <v>#REF!</v>
      </c>
      <c r="BE55" t="e">
        <f>IF(#REF!,"AAAAADf//zg=",0)</f>
        <v>#REF!</v>
      </c>
      <c r="BF55" t="e">
        <f>IF(#REF!,"AAAAADf//zk=",0)</f>
        <v>#REF!</v>
      </c>
      <c r="BG55" t="e">
        <f>IF(#REF!,"AAAAADf//zo=",0)</f>
        <v>#REF!</v>
      </c>
      <c r="BH55" t="e">
        <f>IF(#REF!,"AAAAADf//zs=",0)</f>
        <v>#REF!</v>
      </c>
      <c r="BI55" t="e">
        <f>IF(#REF!,"AAAAADf//zw=",0)</f>
        <v>#REF!</v>
      </c>
      <c r="BJ55" t="e">
        <f>IF(#REF!,"AAAAADf//z0=",0)</f>
        <v>#REF!</v>
      </c>
      <c r="BK55" t="e">
        <f>IF(#REF!,"AAAAADf//z4=",0)</f>
        <v>#REF!</v>
      </c>
      <c r="BL55" t="e">
        <f>IF(#REF!,"AAAAADf//z8=",0)</f>
        <v>#REF!</v>
      </c>
      <c r="BM55" t="e">
        <f>IF(#REF!,"AAAAADf//0A=",0)</f>
        <v>#REF!</v>
      </c>
      <c r="BN55" t="e">
        <f>IF(#REF!,"AAAAADf//0E=",0)</f>
        <v>#REF!</v>
      </c>
      <c r="BO55" t="e">
        <f>IF(#REF!,"AAAAADf//0I=",0)</f>
        <v>#REF!</v>
      </c>
      <c r="BP55" t="e">
        <f>IF(#REF!,"AAAAADf//0M=",0)</f>
        <v>#REF!</v>
      </c>
      <c r="BQ55" t="e">
        <f>IF(#REF!,"AAAAADf//0Q=",0)</f>
        <v>#REF!</v>
      </c>
      <c r="BR55" t="e">
        <f>IF(#REF!,"AAAAADf//0U=",0)</f>
        <v>#REF!</v>
      </c>
      <c r="BS55" t="e">
        <f>IF(#REF!,"AAAAADf//0Y=",0)</f>
        <v>#REF!</v>
      </c>
      <c r="BT55" t="e">
        <f>IF(#REF!,"AAAAADf//0c=",0)</f>
        <v>#REF!</v>
      </c>
      <c r="BU55" t="e">
        <f>IF(#REF!,"AAAAADf//0g=",0)</f>
        <v>#REF!</v>
      </c>
      <c r="BV55" t="e">
        <f>IF(#REF!,"AAAAADf//0k=",0)</f>
        <v>#REF!</v>
      </c>
      <c r="BW55" t="e">
        <f>IF(#REF!,"AAAAADf//0o=",0)</f>
        <v>#REF!</v>
      </c>
      <c r="BX55" t="e">
        <f>IF(#REF!,"AAAAADf//0s=",0)</f>
        <v>#REF!</v>
      </c>
      <c r="BY55" t="e">
        <f>IF(#REF!,"AAAAADf//0w=",0)</f>
        <v>#REF!</v>
      </c>
      <c r="BZ55" t="e">
        <f>IF(#REF!,"AAAAADf//00=",0)</f>
        <v>#REF!</v>
      </c>
      <c r="CA55" t="e">
        <f>IF(#REF!,"AAAAADf//04=",0)</f>
        <v>#REF!</v>
      </c>
      <c r="CB55" t="e">
        <f>IF(#REF!,"AAAAADf//08=",0)</f>
        <v>#REF!</v>
      </c>
      <c r="CC55" t="e">
        <f>IF(#REF!,"AAAAADf//1A=",0)</f>
        <v>#REF!</v>
      </c>
      <c r="CD55" t="e">
        <f>IF(#REF!,"AAAAADf//1E=",0)</f>
        <v>#REF!</v>
      </c>
      <c r="CE55" t="e">
        <f>IF(#REF!,"AAAAADf//1I=",0)</f>
        <v>#REF!</v>
      </c>
      <c r="CF55" t="e">
        <f>IF(#REF!,"AAAAADf//1M=",0)</f>
        <v>#REF!</v>
      </c>
      <c r="CG55" t="e">
        <f>IF(#REF!,"AAAAADf//1Q=",0)</f>
        <v>#REF!</v>
      </c>
      <c r="CH55" t="e">
        <f>IF(#REF!,"AAAAADf//1U=",0)</f>
        <v>#REF!</v>
      </c>
      <c r="CI55" t="e">
        <f>IF(#REF!,"AAAAADf//1Y=",0)</f>
        <v>#REF!</v>
      </c>
      <c r="CJ55" t="e">
        <f>IF(#REF!,"AAAAADf//1c=",0)</f>
        <v>#REF!</v>
      </c>
      <c r="CK55" t="e">
        <f>IF(#REF!,"AAAAADf//1g=",0)</f>
        <v>#REF!</v>
      </c>
      <c r="CL55" t="e">
        <f>IF(#REF!,"AAAAADf//1k=",0)</f>
        <v>#REF!</v>
      </c>
      <c r="CM55" t="e">
        <f>IF(#REF!,"AAAAADf//1o=",0)</f>
        <v>#REF!</v>
      </c>
      <c r="CN55" t="e">
        <f>IF(#REF!,"AAAAADf//1s=",0)</f>
        <v>#REF!</v>
      </c>
      <c r="CO55" t="e">
        <f>IF(#REF!,"AAAAADf//1w=",0)</f>
        <v>#REF!</v>
      </c>
      <c r="CP55" t="e">
        <f>IF(#REF!,"AAAAADf//10=",0)</f>
        <v>#REF!</v>
      </c>
      <c r="CQ55" t="e">
        <f>IF(#REF!,"AAAAADf//14=",0)</f>
        <v>#REF!</v>
      </c>
      <c r="CR55" t="e">
        <f>IF(#REF!,"AAAAADf//18=",0)</f>
        <v>#REF!</v>
      </c>
      <c r="CS55" t="e">
        <f>IF(#REF!,"AAAAADf//2A=",0)</f>
        <v>#REF!</v>
      </c>
      <c r="CT55" t="e">
        <f>IF(#REF!,"AAAAADf//2E=",0)</f>
        <v>#REF!</v>
      </c>
      <c r="CU55" t="e">
        <f>IF(#REF!,"AAAAADf//2I=",0)</f>
        <v>#REF!</v>
      </c>
      <c r="CV55" t="e">
        <f>IF(#REF!,"AAAAADf//2M=",0)</f>
        <v>#REF!</v>
      </c>
      <c r="CW55" t="e">
        <f>IF(#REF!,"AAAAADf//2Q=",0)</f>
        <v>#REF!</v>
      </c>
      <c r="CX55" t="e">
        <f>IF(#REF!,"AAAAADf//2U=",0)</f>
        <v>#REF!</v>
      </c>
      <c r="CY55" t="e">
        <f>IF(#REF!,"AAAAADf//2Y=",0)</f>
        <v>#REF!</v>
      </c>
      <c r="CZ55" t="e">
        <f>IF(#REF!,"AAAAADf//2c=",0)</f>
        <v>#REF!</v>
      </c>
      <c r="DA55" t="e">
        <f>IF(#REF!,"AAAAADf//2g=",0)</f>
        <v>#REF!</v>
      </c>
      <c r="DB55" t="e">
        <f>IF(#REF!,"AAAAADf//2k=",0)</f>
        <v>#REF!</v>
      </c>
      <c r="DC55" t="e">
        <f>IF(#REF!,"AAAAADf//2o=",0)</f>
        <v>#REF!</v>
      </c>
      <c r="DD55" t="e">
        <f>IF(#REF!,"AAAAADf//2s=",0)</f>
        <v>#REF!</v>
      </c>
      <c r="DE55" t="e">
        <f>IF(#REF!,"AAAAADf//2w=",0)</f>
        <v>#REF!</v>
      </c>
      <c r="DF55" t="e">
        <f>IF(#REF!,"AAAAADf//20=",0)</f>
        <v>#REF!</v>
      </c>
      <c r="DG55" t="e">
        <f>IF(#REF!,"AAAAADf//24=",0)</f>
        <v>#REF!</v>
      </c>
      <c r="DH55" t="e">
        <f>IF(#REF!,"AAAAADf//28=",0)</f>
        <v>#REF!</v>
      </c>
      <c r="DI55" t="e">
        <f>IF(#REF!,"AAAAADf//3A=",0)</f>
        <v>#REF!</v>
      </c>
      <c r="DJ55" t="e">
        <f>IF(#REF!,"AAAAADf//3E=",0)</f>
        <v>#REF!</v>
      </c>
      <c r="DK55" t="e">
        <f>IF(#REF!,"AAAAADf//3I=",0)</f>
        <v>#REF!</v>
      </c>
      <c r="DL55" t="e">
        <f>IF(#REF!,"AAAAADf//3M=",0)</f>
        <v>#REF!</v>
      </c>
      <c r="DM55" t="e">
        <f>IF(#REF!,"AAAAADf//3Q=",0)</f>
        <v>#REF!</v>
      </c>
      <c r="DN55" t="e">
        <f>IF(#REF!,"AAAAADf//3U=",0)</f>
        <v>#REF!</v>
      </c>
      <c r="DO55" t="e">
        <f>IF(#REF!,"AAAAADf//3Y=",0)</f>
        <v>#REF!</v>
      </c>
      <c r="DP55" t="e">
        <f>IF(#REF!,"AAAAADf//3c=",0)</f>
        <v>#REF!</v>
      </c>
      <c r="DQ55" t="e">
        <f>IF(#REF!,"AAAAADf//3g=",0)</f>
        <v>#REF!</v>
      </c>
      <c r="DR55" t="e">
        <f>IF(#REF!,"AAAAADf//3k=",0)</f>
        <v>#REF!</v>
      </c>
      <c r="DS55" t="e">
        <f>IF(#REF!,"AAAAADf//3o=",0)</f>
        <v>#REF!</v>
      </c>
      <c r="DT55" t="e">
        <f>IF(#REF!,"AAAAADf//3s=",0)</f>
        <v>#REF!</v>
      </c>
      <c r="DU55" t="e">
        <f>IF(#REF!,"AAAAADf//3w=",0)</f>
        <v>#REF!</v>
      </c>
      <c r="DV55" t="e">
        <f>IF(#REF!,"AAAAADf//30=",0)</f>
        <v>#REF!</v>
      </c>
      <c r="DW55" t="e">
        <f>IF(#REF!,"AAAAADf//34=",0)</f>
        <v>#REF!</v>
      </c>
      <c r="DX55" t="e">
        <f>IF(#REF!,"AAAAADf//38=",0)</f>
        <v>#REF!</v>
      </c>
      <c r="DY55" t="e">
        <f>IF(#REF!,"AAAAADf//4A=",0)</f>
        <v>#REF!</v>
      </c>
      <c r="DZ55" t="e">
        <f>IF(#REF!,"AAAAADf//4E=",0)</f>
        <v>#REF!</v>
      </c>
      <c r="EA55" t="e">
        <f>IF(#REF!,"AAAAADf//4I=",0)</f>
        <v>#REF!</v>
      </c>
      <c r="EB55" t="e">
        <f>IF(#REF!,"AAAAADf//4M=",0)</f>
        <v>#REF!</v>
      </c>
      <c r="EC55" t="e">
        <f>IF(#REF!,"AAAAADf//4Q=",0)</f>
        <v>#REF!</v>
      </c>
      <c r="ED55" t="e">
        <f>IF(#REF!,"AAAAADf//4U=",0)</f>
        <v>#REF!</v>
      </c>
      <c r="EE55" t="e">
        <f>IF(#REF!,"AAAAADf//4Y=",0)</f>
        <v>#REF!</v>
      </c>
      <c r="EF55" t="e">
        <f>IF(#REF!,"AAAAADf//4c=",0)</f>
        <v>#REF!</v>
      </c>
      <c r="EG55" t="e">
        <f>IF(#REF!,"AAAAADf//4g=",0)</f>
        <v>#REF!</v>
      </c>
      <c r="EH55" t="e">
        <f>IF(#REF!,"AAAAADf//4k=",0)</f>
        <v>#REF!</v>
      </c>
      <c r="EI55" t="e">
        <f>IF(#REF!,"AAAAADf//4o=",0)</f>
        <v>#REF!</v>
      </c>
      <c r="EJ55" t="e">
        <f>IF(#REF!,"AAAAADf//4s=",0)</f>
        <v>#REF!</v>
      </c>
      <c r="EK55" t="e">
        <f>IF(#REF!,"AAAAADf//4w=",0)</f>
        <v>#REF!</v>
      </c>
      <c r="EL55" t="e">
        <f>IF(#REF!,"AAAAADf//40=",0)</f>
        <v>#REF!</v>
      </c>
      <c r="EM55" t="e">
        <f>IF(#REF!,"AAAAADf//44=",0)</f>
        <v>#REF!</v>
      </c>
      <c r="EN55" t="e">
        <f>IF(#REF!,"AAAAADf//48=",0)</f>
        <v>#REF!</v>
      </c>
      <c r="EO55" t="e">
        <f>IF(#REF!,"AAAAADf//5A=",0)</f>
        <v>#REF!</v>
      </c>
      <c r="EP55" t="e">
        <f>IF(#REF!,"AAAAADf//5E=",0)</f>
        <v>#REF!</v>
      </c>
      <c r="EQ55" t="e">
        <f>IF(#REF!,"AAAAADf//5I=",0)</f>
        <v>#REF!</v>
      </c>
      <c r="ER55" t="e">
        <f>IF(#REF!,"AAAAADf//5M=",0)</f>
        <v>#REF!</v>
      </c>
      <c r="ES55" t="e">
        <f>IF(#REF!,"AAAAADf//5Q=",0)</f>
        <v>#REF!</v>
      </c>
      <c r="ET55" t="e">
        <f>IF(#REF!,"AAAAADf//5U=",0)</f>
        <v>#REF!</v>
      </c>
      <c r="EU55" t="e">
        <f>IF(#REF!,"AAAAADf//5Y=",0)</f>
        <v>#REF!</v>
      </c>
      <c r="EV55" t="e">
        <f>IF(#REF!,"AAAAADf//5c=",0)</f>
        <v>#REF!</v>
      </c>
      <c r="EW55" t="e">
        <f>IF(#REF!,"AAAAADf//5g=",0)</f>
        <v>#REF!</v>
      </c>
      <c r="EX55" t="e">
        <f>IF(#REF!,"AAAAADf//5k=",0)</f>
        <v>#REF!</v>
      </c>
      <c r="EY55" t="e">
        <f>IF(#REF!,"AAAAADf//5o=",0)</f>
        <v>#REF!</v>
      </c>
      <c r="EZ55" t="e">
        <f>IF(#REF!,"AAAAADf//5s=",0)</f>
        <v>#REF!</v>
      </c>
      <c r="FA55" t="e">
        <f>IF(#REF!,"AAAAADf//5w=",0)</f>
        <v>#REF!</v>
      </c>
      <c r="FB55" t="e">
        <f>IF(#REF!,"AAAAADf//50=",0)</f>
        <v>#REF!</v>
      </c>
      <c r="FC55" t="e">
        <f>IF(#REF!,"AAAAADf//54=",0)</f>
        <v>#REF!</v>
      </c>
      <c r="FD55" t="e">
        <f>IF(#REF!,"AAAAADf//58=",0)</f>
        <v>#REF!</v>
      </c>
      <c r="FE55" t="e">
        <f>IF(#REF!,"AAAAADf//6A=",0)</f>
        <v>#REF!</v>
      </c>
      <c r="FF55" t="e">
        <f>IF(#REF!,"AAAAADf//6E=",0)</f>
        <v>#REF!</v>
      </c>
      <c r="FG55" t="e">
        <f>IF(#REF!,"AAAAADf//6I=",0)</f>
        <v>#REF!</v>
      </c>
      <c r="FH55" t="e">
        <f>IF(#REF!,"AAAAADf//6M=",0)</f>
        <v>#REF!</v>
      </c>
      <c r="FI55" t="e">
        <f>IF(#REF!,"AAAAADf//6Q=",0)</f>
        <v>#REF!</v>
      </c>
      <c r="FJ55" t="e">
        <f>IF(#REF!,"AAAAADf//6U=",0)</f>
        <v>#REF!</v>
      </c>
      <c r="FK55" t="e">
        <f>IF(#REF!,"AAAAADf//6Y=",0)</f>
        <v>#REF!</v>
      </c>
      <c r="FL55" t="e">
        <f>IF(#REF!,"AAAAADf//6c=",0)</f>
        <v>#REF!</v>
      </c>
      <c r="FM55" t="e">
        <f>IF(#REF!,"AAAAADf//6g=",0)</f>
        <v>#REF!</v>
      </c>
      <c r="FN55" t="e">
        <f>IF(#REF!,"AAAAADf//6k=",0)</f>
        <v>#REF!</v>
      </c>
      <c r="FO55" t="e">
        <f>IF(#REF!,"AAAAADf//6o=",0)</f>
        <v>#REF!</v>
      </c>
      <c r="FP55" t="e">
        <f>IF(#REF!,"AAAAADf//6s=",0)</f>
        <v>#REF!</v>
      </c>
      <c r="FQ55" t="e">
        <f>IF(#REF!,"AAAAADf//6w=",0)</f>
        <v>#REF!</v>
      </c>
      <c r="FR55" t="e">
        <f>IF(#REF!,"AAAAADf//60=",0)</f>
        <v>#REF!</v>
      </c>
      <c r="FS55" t="e">
        <f>IF(#REF!,"AAAAADf//64=",0)</f>
        <v>#REF!</v>
      </c>
      <c r="FT55" t="e">
        <f>IF(#REF!,"AAAAADf//68=",0)</f>
        <v>#REF!</v>
      </c>
      <c r="FU55" t="e">
        <f>IF(#REF!,"AAAAADf//7A=",0)</f>
        <v>#REF!</v>
      </c>
      <c r="FV55" t="e">
        <f>IF(#REF!,"AAAAADf//7E=",0)</f>
        <v>#REF!</v>
      </c>
      <c r="FW55" t="e">
        <f>IF(#REF!,"AAAAADf//7I=",0)</f>
        <v>#REF!</v>
      </c>
      <c r="FX55" t="e">
        <f>IF(#REF!,"AAAAADf//7M=",0)</f>
        <v>#REF!</v>
      </c>
      <c r="FY55" t="e">
        <f>IF(#REF!,"AAAAADf//7Q=",0)</f>
        <v>#REF!</v>
      </c>
      <c r="FZ55" t="e">
        <f>IF(#REF!,"AAAAADf//7U=",0)</f>
        <v>#REF!</v>
      </c>
      <c r="GA55" t="e">
        <f>IF(#REF!,"AAAAADf//7Y=",0)</f>
        <v>#REF!</v>
      </c>
      <c r="GB55" t="e">
        <f>IF(#REF!,"AAAAADf//7c=",0)</f>
        <v>#REF!</v>
      </c>
      <c r="GC55" t="e">
        <f>IF(#REF!,"AAAAADf//7g=",0)</f>
        <v>#REF!</v>
      </c>
      <c r="GD55" t="e">
        <f>IF(#REF!,"AAAAADf//7k=",0)</f>
        <v>#REF!</v>
      </c>
      <c r="GE55" t="e">
        <f>IF(#REF!,"AAAAADf//7o=",0)</f>
        <v>#REF!</v>
      </c>
      <c r="GF55" t="e">
        <f>IF(#REF!,"AAAAADf//7s=",0)</f>
        <v>#REF!</v>
      </c>
      <c r="GG55" t="e">
        <f>IF(#REF!,"AAAAADf//7w=",0)</f>
        <v>#REF!</v>
      </c>
      <c r="GH55" t="e">
        <f>IF(#REF!,"AAAAADf//70=",0)</f>
        <v>#REF!</v>
      </c>
      <c r="GI55" t="e">
        <f>IF(#REF!,"AAAAADf//74=",0)</f>
        <v>#REF!</v>
      </c>
      <c r="GJ55" t="e">
        <f>IF(#REF!,"AAAAADf//78=",0)</f>
        <v>#REF!</v>
      </c>
      <c r="GK55" t="e">
        <f>IF(#REF!,"AAAAADf//8A=",0)</f>
        <v>#REF!</v>
      </c>
      <c r="GL55" t="e">
        <f>IF(#REF!,"AAAAADf//8E=",0)</f>
        <v>#REF!</v>
      </c>
      <c r="GM55" t="e">
        <f>IF(#REF!,"AAAAADf//8I=",0)</f>
        <v>#REF!</v>
      </c>
      <c r="GN55" t="e">
        <f>IF(#REF!,"AAAAADf//8M=",0)</f>
        <v>#REF!</v>
      </c>
      <c r="GO55" t="e">
        <f>IF(#REF!,"AAAAADf//8Q=",0)</f>
        <v>#REF!</v>
      </c>
      <c r="GP55" t="e">
        <f>IF(#REF!,"AAAAADf//8U=",0)</f>
        <v>#REF!</v>
      </c>
      <c r="GQ55" t="e">
        <f>IF(#REF!,"AAAAADf//8Y=",0)</f>
        <v>#REF!</v>
      </c>
      <c r="GR55" t="e">
        <f>IF(#REF!,"AAAAADf//8c=",0)</f>
        <v>#REF!</v>
      </c>
      <c r="GS55" t="e">
        <f>IF(#REF!,"AAAAADf//8g=",0)</f>
        <v>#REF!</v>
      </c>
      <c r="GT55" t="e">
        <f>IF(#REF!,"AAAAADf//8k=",0)</f>
        <v>#REF!</v>
      </c>
      <c r="GU55" t="e">
        <f>IF(#REF!,"AAAAADf//8o=",0)</f>
        <v>#REF!</v>
      </c>
      <c r="GV55" t="e">
        <f>IF(#REF!,"AAAAADf//8s=",0)</f>
        <v>#REF!</v>
      </c>
      <c r="GW55" t="e">
        <f>IF(#REF!,"AAAAADf//8w=",0)</f>
        <v>#REF!</v>
      </c>
      <c r="GX55" t="e">
        <f>IF(#REF!,"AAAAADf//80=",0)</f>
        <v>#REF!</v>
      </c>
      <c r="GY55" t="e">
        <f>IF(#REF!,"AAAAADf//84=",0)</f>
        <v>#REF!</v>
      </c>
      <c r="GZ55" t="e">
        <f>IF(#REF!,"AAAAADf//88=",0)</f>
        <v>#REF!</v>
      </c>
      <c r="HA55" t="e">
        <f>IF(#REF!,"AAAAADf//9A=",0)</f>
        <v>#REF!</v>
      </c>
      <c r="HB55" t="e">
        <f>IF(#REF!,"AAAAADf//9E=",0)</f>
        <v>#REF!</v>
      </c>
      <c r="HC55" t="e">
        <f>IF(#REF!,"AAAAADf//9I=",0)</f>
        <v>#REF!</v>
      </c>
      <c r="HD55" t="e">
        <f>IF(#REF!,"AAAAADf//9M=",0)</f>
        <v>#REF!</v>
      </c>
      <c r="HE55" t="e">
        <f>IF(#REF!,"AAAAADf//9Q=",0)</f>
        <v>#REF!</v>
      </c>
      <c r="HF55" t="e">
        <f>IF(#REF!,"AAAAADf//9U=",0)</f>
        <v>#REF!</v>
      </c>
      <c r="HG55" t="e">
        <f>IF(#REF!,"AAAAADf//9Y=",0)</f>
        <v>#REF!</v>
      </c>
      <c r="HH55" t="e">
        <f>IF(#REF!,"AAAAADf//9c=",0)</f>
        <v>#REF!</v>
      </c>
      <c r="HI55" t="e">
        <f>IF(#REF!,"AAAAADf//9g=",0)</f>
        <v>#REF!</v>
      </c>
      <c r="HJ55" t="e">
        <f>IF(#REF!,"AAAAADf//9k=",0)</f>
        <v>#REF!</v>
      </c>
      <c r="HK55" t="e">
        <f>IF(#REF!,"AAAAADf//9o=",0)</f>
        <v>#REF!</v>
      </c>
      <c r="HL55" t="e">
        <f>IF(#REF!,"AAAAADf//9s=",0)</f>
        <v>#REF!</v>
      </c>
      <c r="HM55" t="e">
        <f>IF(#REF!,"AAAAADf//9w=",0)</f>
        <v>#REF!</v>
      </c>
      <c r="HN55" t="e">
        <f>IF(#REF!,"AAAAADf//90=",0)</f>
        <v>#REF!</v>
      </c>
      <c r="HO55" t="e">
        <f>IF(#REF!,"AAAAADf//94=",0)</f>
        <v>#REF!</v>
      </c>
      <c r="HP55" t="e">
        <f>IF(#REF!,"AAAAADf//98=",0)</f>
        <v>#REF!</v>
      </c>
      <c r="HQ55" t="e">
        <f>IF(#REF!,"AAAAADf//+A=",0)</f>
        <v>#REF!</v>
      </c>
      <c r="HR55" t="e">
        <f>IF(#REF!,"AAAAADf//+E=",0)</f>
        <v>#REF!</v>
      </c>
      <c r="HS55" t="e">
        <f>IF(#REF!,"AAAAADf//+I=",0)</f>
        <v>#REF!</v>
      </c>
      <c r="HT55" t="e">
        <f>IF(#REF!,"AAAAADf//+M=",0)</f>
        <v>#REF!</v>
      </c>
      <c r="HU55" t="e">
        <f>IF(#REF!,"AAAAADf//+Q=",0)</f>
        <v>#REF!</v>
      </c>
      <c r="HV55" t="e">
        <f>IF(#REF!,"AAAAADf//+U=",0)</f>
        <v>#REF!</v>
      </c>
      <c r="HW55" t="e">
        <f>IF(#REF!,"AAAAADf//+Y=",0)</f>
        <v>#REF!</v>
      </c>
      <c r="HX55" t="e">
        <f>IF(#REF!,"AAAAADf//+c=",0)</f>
        <v>#REF!</v>
      </c>
      <c r="HY55" t="e">
        <f>IF(#REF!,"AAAAADf//+g=",0)</f>
        <v>#REF!</v>
      </c>
      <c r="HZ55" t="e">
        <f>IF(#REF!,"AAAAADf//+k=",0)</f>
        <v>#REF!</v>
      </c>
      <c r="IA55" t="e">
        <f>IF(#REF!,"AAAAADf//+o=",0)</f>
        <v>#REF!</v>
      </c>
      <c r="IB55" t="e">
        <f>IF(#REF!,"AAAAADf//+s=",0)</f>
        <v>#REF!</v>
      </c>
      <c r="IC55" t="e">
        <f>IF(#REF!,"AAAAADf//+w=",0)</f>
        <v>#REF!</v>
      </c>
      <c r="ID55" t="e">
        <f>IF(#REF!,"AAAAADf//+0=",0)</f>
        <v>#REF!</v>
      </c>
      <c r="IE55" t="e">
        <f>IF(#REF!,"AAAAADf//+4=",0)</f>
        <v>#REF!</v>
      </c>
      <c r="IF55" t="e">
        <f>IF(#REF!,"AAAAADf//+8=",0)</f>
        <v>#REF!</v>
      </c>
      <c r="IG55" t="e">
        <f>IF(#REF!,"AAAAADf///A=",0)</f>
        <v>#REF!</v>
      </c>
      <c r="IH55" t="e">
        <f>IF(#REF!,"AAAAADf///E=",0)</f>
        <v>#REF!</v>
      </c>
      <c r="II55" t="e">
        <f>IF(#REF!,"AAAAADf///I=",0)</f>
        <v>#REF!</v>
      </c>
      <c r="IJ55" t="e">
        <f>IF(#REF!,"AAAAADf///M=",0)</f>
        <v>#REF!</v>
      </c>
      <c r="IK55" t="e">
        <f>IF(#REF!,"AAAAADf///Q=",0)</f>
        <v>#REF!</v>
      </c>
      <c r="IL55" t="e">
        <f>IF(#REF!,"AAAAADf///U=",0)</f>
        <v>#REF!</v>
      </c>
      <c r="IM55" t="e">
        <f>IF(#REF!,"AAAAADf///Y=",0)</f>
        <v>#REF!</v>
      </c>
      <c r="IN55" t="e">
        <f>IF(#REF!,"AAAAADf///c=",0)</f>
        <v>#REF!</v>
      </c>
      <c r="IO55" t="e">
        <f>IF(#REF!,"AAAAADf///g=",0)</f>
        <v>#REF!</v>
      </c>
      <c r="IP55" t="e">
        <f>IF(#REF!,"AAAAADf///k=",0)</f>
        <v>#REF!</v>
      </c>
      <c r="IQ55" t="e">
        <f>IF(#REF!,"AAAAADf///o=",0)</f>
        <v>#REF!</v>
      </c>
      <c r="IR55" t="e">
        <f>IF(#REF!,"AAAAADf///s=",0)</f>
        <v>#REF!</v>
      </c>
      <c r="IS55" t="e">
        <f>IF(#REF!,"AAAAADf///w=",0)</f>
        <v>#REF!</v>
      </c>
      <c r="IT55" t="e">
        <f>IF(#REF!,"AAAAADf///0=",0)</f>
        <v>#REF!</v>
      </c>
      <c r="IU55" t="e">
        <f>IF(#REF!,"AAAAADf///4=",0)</f>
        <v>#REF!</v>
      </c>
      <c r="IV55" t="e">
        <f>IF(#REF!,"AAAAADf///8=",0)</f>
        <v>#REF!</v>
      </c>
    </row>
    <row r="56" spans="1:256" x14ac:dyDescent="0.35">
      <c r="A56" t="e">
        <f>IF(#REF!,"AAAAAFfd/gA=",0)</f>
        <v>#REF!</v>
      </c>
      <c r="B56" t="e">
        <f>IF(#REF!,"AAAAAFfd/gE=",0)</f>
        <v>#REF!</v>
      </c>
      <c r="C56" t="e">
        <f>IF(#REF!,"AAAAAFfd/gI=",0)</f>
        <v>#REF!</v>
      </c>
      <c r="D56" t="e">
        <f>IF(#REF!,"AAAAAFfd/gM=",0)</f>
        <v>#REF!</v>
      </c>
      <c r="E56" t="e">
        <f>IF(#REF!,"AAAAAFfd/gQ=",0)</f>
        <v>#REF!</v>
      </c>
      <c r="F56" t="e">
        <f>IF(#REF!,"AAAAAFfd/gU=",0)</f>
        <v>#REF!</v>
      </c>
      <c r="G56" t="e">
        <f>IF(#REF!,"AAAAAFfd/gY=",0)</f>
        <v>#REF!</v>
      </c>
      <c r="H56" t="e">
        <f>IF(#REF!,"AAAAAFfd/gc=",0)</f>
        <v>#REF!</v>
      </c>
      <c r="I56" t="e">
        <f>IF(#REF!,"AAAAAFfd/gg=",0)</f>
        <v>#REF!</v>
      </c>
      <c r="J56" t="e">
        <f>IF(#REF!,"AAAAAFfd/gk=",0)</f>
        <v>#REF!</v>
      </c>
      <c r="K56" t="e">
        <f>IF(#REF!,"AAAAAFfd/go=",0)</f>
        <v>#REF!</v>
      </c>
      <c r="L56" t="e">
        <f>IF(#REF!,"AAAAAFfd/gs=",0)</f>
        <v>#REF!</v>
      </c>
      <c r="M56" t="e">
        <f>IF(#REF!,"AAAAAFfd/gw=",0)</f>
        <v>#REF!</v>
      </c>
      <c r="N56" t="e">
        <f>IF(#REF!,"AAAAAFfd/g0=",0)</f>
        <v>#REF!</v>
      </c>
      <c r="O56" t="e">
        <f>IF(#REF!,"AAAAAFfd/g4=",0)</f>
        <v>#REF!</v>
      </c>
      <c r="P56" t="e">
        <f>IF(#REF!,"AAAAAFfd/g8=",0)</f>
        <v>#REF!</v>
      </c>
      <c r="Q56" t="e">
        <f>IF(#REF!,"AAAAAFfd/hA=",0)</f>
        <v>#REF!</v>
      </c>
      <c r="R56" t="e">
        <f>IF(#REF!,"AAAAAFfd/hE=",0)</f>
        <v>#REF!</v>
      </c>
      <c r="S56" t="e">
        <f>IF(#REF!,"AAAAAFfd/hI=",0)</f>
        <v>#REF!</v>
      </c>
      <c r="T56" t="e">
        <f>IF(#REF!,"AAAAAFfd/hM=",0)</f>
        <v>#REF!</v>
      </c>
      <c r="U56" t="e">
        <f>IF(#REF!,"AAAAAFfd/hQ=",0)</f>
        <v>#REF!</v>
      </c>
      <c r="V56" t="e">
        <f>IF(#REF!,"AAAAAFfd/hU=",0)</f>
        <v>#REF!</v>
      </c>
      <c r="W56" t="e">
        <f>IF(#REF!,"AAAAAFfd/hY=",0)</f>
        <v>#REF!</v>
      </c>
      <c r="X56" t="e">
        <f>IF(#REF!,"AAAAAFfd/hc=",0)</f>
        <v>#REF!</v>
      </c>
      <c r="Y56" t="e">
        <f>IF(#REF!,"AAAAAFfd/hg=",0)</f>
        <v>#REF!</v>
      </c>
      <c r="Z56" t="e">
        <f>IF(#REF!,"AAAAAFfd/hk=",0)</f>
        <v>#REF!</v>
      </c>
      <c r="AA56" t="e">
        <f>IF(#REF!,"AAAAAFfd/ho=",0)</f>
        <v>#REF!</v>
      </c>
      <c r="AB56" t="e">
        <f>IF(#REF!,"AAAAAFfd/hs=",0)</f>
        <v>#REF!</v>
      </c>
      <c r="AC56" t="e">
        <f>IF(#REF!,"AAAAAFfd/hw=",0)</f>
        <v>#REF!</v>
      </c>
      <c r="AD56" t="e">
        <f>IF(#REF!,"AAAAAFfd/h0=",0)</f>
        <v>#REF!</v>
      </c>
      <c r="AE56" t="e">
        <f>IF(#REF!,"AAAAAFfd/h4=",0)</f>
        <v>#REF!</v>
      </c>
      <c r="AF56" t="e">
        <f>IF(#REF!,"AAAAAFfd/h8=",0)</f>
        <v>#REF!</v>
      </c>
      <c r="AG56" t="e">
        <f>IF(#REF!,"AAAAAFfd/iA=",0)</f>
        <v>#REF!</v>
      </c>
      <c r="AH56" t="e">
        <f>IF(#REF!,"AAAAAFfd/iE=",0)</f>
        <v>#REF!</v>
      </c>
      <c r="AI56" t="e">
        <f>IF(#REF!,"AAAAAFfd/iI=",0)</f>
        <v>#REF!</v>
      </c>
      <c r="AJ56" t="e">
        <f>IF(#REF!,"AAAAAFfd/iM=",0)</f>
        <v>#REF!</v>
      </c>
      <c r="AK56" t="e">
        <f>IF(#REF!,"AAAAAFfd/iQ=",0)</f>
        <v>#REF!</v>
      </c>
      <c r="AL56" t="e">
        <f>IF(#REF!,"AAAAAFfd/iU=",0)</f>
        <v>#REF!</v>
      </c>
      <c r="AM56" t="e">
        <f>IF(#REF!,"AAAAAFfd/iY=",0)</f>
        <v>#REF!</v>
      </c>
      <c r="AN56" t="e">
        <f>IF(#REF!,"AAAAAFfd/ic=",0)</f>
        <v>#REF!</v>
      </c>
      <c r="AO56" t="e">
        <f>IF(#REF!,"AAAAAFfd/ig=",0)</f>
        <v>#REF!</v>
      </c>
      <c r="AP56" t="e">
        <f>IF(#REF!,"AAAAAFfd/ik=",0)</f>
        <v>#REF!</v>
      </c>
      <c r="AQ56" t="e">
        <f>IF(#REF!,"AAAAAFfd/io=",0)</f>
        <v>#REF!</v>
      </c>
      <c r="AR56" t="e">
        <f>IF(#REF!,"AAAAAFfd/is=",0)</f>
        <v>#REF!</v>
      </c>
      <c r="AS56" t="e">
        <f>IF(#REF!,"AAAAAFfd/iw=",0)</f>
        <v>#REF!</v>
      </c>
      <c r="AT56" t="e">
        <f>IF(#REF!,"AAAAAFfd/i0=",0)</f>
        <v>#REF!</v>
      </c>
      <c r="AU56" t="e">
        <f>IF(#REF!,"AAAAAFfd/i4=",0)</f>
        <v>#REF!</v>
      </c>
      <c r="AV56" t="e">
        <f>IF(#REF!,"AAAAAFfd/i8=",0)</f>
        <v>#REF!</v>
      </c>
      <c r="AW56" t="e">
        <f>IF(#REF!,"AAAAAFfd/jA=",0)</f>
        <v>#REF!</v>
      </c>
      <c r="AX56" t="e">
        <f>IF(#REF!,"AAAAAFfd/jE=",0)</f>
        <v>#REF!</v>
      </c>
      <c r="AY56" t="e">
        <f>IF(#REF!,"AAAAAFfd/jI=",0)</f>
        <v>#REF!</v>
      </c>
      <c r="AZ56" t="e">
        <f>IF(#REF!,"AAAAAFfd/jM=",0)</f>
        <v>#REF!</v>
      </c>
      <c r="BA56" t="e">
        <f>IF(#REF!,"AAAAAFfd/jQ=",0)</f>
        <v>#REF!</v>
      </c>
      <c r="BB56" t="e">
        <f>IF(#REF!,"AAAAAFfd/jU=",0)</f>
        <v>#REF!</v>
      </c>
      <c r="BC56" t="e">
        <f>IF(#REF!,"AAAAAFfd/jY=",0)</f>
        <v>#REF!</v>
      </c>
      <c r="BD56" t="e">
        <f>IF(#REF!,"AAAAAFfd/jc=",0)</f>
        <v>#REF!</v>
      </c>
      <c r="BE56" t="e">
        <f>IF(#REF!,"AAAAAFfd/jg=",0)</f>
        <v>#REF!</v>
      </c>
      <c r="BF56" t="e">
        <f>IF(#REF!,"AAAAAFfd/jk=",0)</f>
        <v>#REF!</v>
      </c>
      <c r="BG56" t="e">
        <f>IF(#REF!,"AAAAAFfd/jo=",0)</f>
        <v>#REF!</v>
      </c>
      <c r="BH56" t="e">
        <f>IF(#REF!,"AAAAAFfd/js=",0)</f>
        <v>#REF!</v>
      </c>
      <c r="BI56" t="e">
        <f>IF(#REF!,"AAAAAFfd/jw=",0)</f>
        <v>#REF!</v>
      </c>
      <c r="BJ56" t="e">
        <f>IF(#REF!,"AAAAAFfd/j0=",0)</f>
        <v>#REF!</v>
      </c>
      <c r="BK56" t="e">
        <f>IF(#REF!,"AAAAAFfd/j4=",0)</f>
        <v>#REF!</v>
      </c>
      <c r="BL56" t="e">
        <f>IF(#REF!,"AAAAAFfd/j8=",0)</f>
        <v>#REF!</v>
      </c>
      <c r="BM56" t="e">
        <f>IF(#REF!,"AAAAAFfd/kA=",0)</f>
        <v>#REF!</v>
      </c>
      <c r="BN56" t="e">
        <f>IF(#REF!,"AAAAAFfd/kE=",0)</f>
        <v>#REF!</v>
      </c>
      <c r="BO56" t="e">
        <f>IF(#REF!,"AAAAAFfd/kI=",0)</f>
        <v>#REF!</v>
      </c>
      <c r="BP56" t="e">
        <f>IF(#REF!,"AAAAAFfd/kM=",0)</f>
        <v>#REF!</v>
      </c>
      <c r="BQ56" t="e">
        <f>IF(#REF!,"AAAAAFfd/kQ=",0)</f>
        <v>#REF!</v>
      </c>
      <c r="BR56" t="e">
        <f>IF(#REF!,"AAAAAFfd/kU=",0)</f>
        <v>#REF!</v>
      </c>
      <c r="BS56" t="e">
        <f>IF(#REF!,"AAAAAFfd/kY=",0)</f>
        <v>#REF!</v>
      </c>
      <c r="BT56" t="e">
        <f>IF(#REF!,"AAAAAFfd/kc=",0)</f>
        <v>#REF!</v>
      </c>
      <c r="BU56" t="e">
        <f>IF(#REF!,"AAAAAFfd/kg=",0)</f>
        <v>#REF!</v>
      </c>
      <c r="BV56" t="e">
        <f>IF(#REF!,"AAAAAFfd/kk=",0)</f>
        <v>#REF!</v>
      </c>
      <c r="BW56" t="e">
        <f>IF(#REF!,"AAAAAFfd/ko=",0)</f>
        <v>#REF!</v>
      </c>
      <c r="BX56" t="e">
        <f>IF(#REF!,"AAAAAFfd/ks=",0)</f>
        <v>#REF!</v>
      </c>
      <c r="BY56" t="e">
        <f>IF(#REF!,"AAAAAFfd/kw=",0)</f>
        <v>#REF!</v>
      </c>
      <c r="BZ56" t="e">
        <f>IF(#REF!,"AAAAAFfd/k0=",0)</f>
        <v>#REF!</v>
      </c>
      <c r="CA56" t="e">
        <f>IF(#REF!,"AAAAAFfd/k4=",0)</f>
        <v>#REF!</v>
      </c>
      <c r="CB56" t="e">
        <f>IF(#REF!,"AAAAAFfd/k8=",0)</f>
        <v>#REF!</v>
      </c>
      <c r="CC56" t="e">
        <f>IF(#REF!,"AAAAAFfd/lA=",0)</f>
        <v>#REF!</v>
      </c>
      <c r="CD56" t="e">
        <f>IF(#REF!,"AAAAAFfd/lE=",0)</f>
        <v>#REF!</v>
      </c>
      <c r="CE56" t="e">
        <f>IF(#REF!,"AAAAAFfd/lI=",0)</f>
        <v>#REF!</v>
      </c>
      <c r="CF56" t="e">
        <f>IF(#REF!,"AAAAAFfd/lM=",0)</f>
        <v>#REF!</v>
      </c>
      <c r="CG56" t="e">
        <f>IF(#REF!,"AAAAAFfd/lQ=",0)</f>
        <v>#REF!</v>
      </c>
      <c r="CH56" t="e">
        <f>IF(#REF!,"AAAAAFfd/lU=",0)</f>
        <v>#REF!</v>
      </c>
      <c r="CI56" t="e">
        <f>IF(#REF!,"AAAAAFfd/lY=",0)</f>
        <v>#REF!</v>
      </c>
      <c r="CJ56" t="e">
        <f>IF(#REF!,"AAAAAFfd/lc=",0)</f>
        <v>#REF!</v>
      </c>
      <c r="CK56" t="e">
        <f>IF(#REF!,"AAAAAFfd/lg=",0)</f>
        <v>#REF!</v>
      </c>
      <c r="CL56" t="e">
        <f>IF(#REF!,"AAAAAFfd/lk=",0)</f>
        <v>#REF!</v>
      </c>
      <c r="CM56" t="e">
        <f>IF(#REF!,"AAAAAFfd/lo=",0)</f>
        <v>#REF!</v>
      </c>
      <c r="CN56" t="e">
        <f>IF(#REF!,"AAAAAFfd/ls=",0)</f>
        <v>#REF!</v>
      </c>
      <c r="CO56" t="e">
        <f>IF(#REF!,"AAAAAFfd/lw=",0)</f>
        <v>#REF!</v>
      </c>
      <c r="CP56" t="e">
        <f>IF(#REF!,"AAAAAFfd/l0=",0)</f>
        <v>#REF!</v>
      </c>
      <c r="CQ56" t="e">
        <f>IF(#REF!,"AAAAAFfd/l4=",0)</f>
        <v>#REF!</v>
      </c>
      <c r="CR56" t="e">
        <f>IF(#REF!,"AAAAAFfd/l8=",0)</f>
        <v>#REF!</v>
      </c>
      <c r="CS56" t="e">
        <f>IF(#REF!,"AAAAAFfd/mA=",0)</f>
        <v>#REF!</v>
      </c>
      <c r="CT56" t="e">
        <f>IF(#REF!,"AAAAAFfd/mE=",0)</f>
        <v>#REF!</v>
      </c>
      <c r="CU56" t="e">
        <f>IF(#REF!,"AAAAAFfd/mI=",0)</f>
        <v>#REF!</v>
      </c>
      <c r="CV56" t="e">
        <f>IF(#REF!,"AAAAAFfd/mM=",0)</f>
        <v>#REF!</v>
      </c>
      <c r="CW56" t="e">
        <f>IF(#REF!,"AAAAAFfd/mQ=",0)</f>
        <v>#REF!</v>
      </c>
      <c r="CX56" t="e">
        <f>IF(#REF!,"AAAAAFfd/mU=",0)</f>
        <v>#REF!</v>
      </c>
      <c r="CY56" t="e">
        <f>IF(#REF!,"AAAAAFfd/mY=",0)</f>
        <v>#REF!</v>
      </c>
      <c r="CZ56" t="e">
        <f>IF(#REF!,"AAAAAFfd/mc=",0)</f>
        <v>#REF!</v>
      </c>
      <c r="DA56" t="e">
        <f>IF(#REF!,"AAAAAFfd/mg=",0)</f>
        <v>#REF!</v>
      </c>
      <c r="DB56" t="e">
        <f>IF(#REF!,"AAAAAFfd/mk=",0)</f>
        <v>#REF!</v>
      </c>
      <c r="DC56" t="e">
        <f>IF(#REF!,"AAAAAFfd/mo=",0)</f>
        <v>#REF!</v>
      </c>
      <c r="DD56" t="e">
        <f>IF(#REF!,"AAAAAFfd/ms=",0)</f>
        <v>#REF!</v>
      </c>
      <c r="DE56" t="e">
        <f>IF(#REF!,"AAAAAFfd/mw=",0)</f>
        <v>#REF!</v>
      </c>
      <c r="DF56" t="e">
        <f>IF(#REF!,"AAAAAFfd/m0=",0)</f>
        <v>#REF!</v>
      </c>
      <c r="DG56" t="e">
        <f>IF(#REF!,"AAAAAFfd/m4=",0)</f>
        <v>#REF!</v>
      </c>
      <c r="DH56" t="e">
        <f>IF(#REF!,"AAAAAFfd/m8=",0)</f>
        <v>#REF!</v>
      </c>
      <c r="DI56" t="e">
        <f>IF(#REF!,"AAAAAFfd/nA=",0)</f>
        <v>#REF!</v>
      </c>
      <c r="DJ56" t="e">
        <f>IF(#REF!,"AAAAAFfd/nE=",0)</f>
        <v>#REF!</v>
      </c>
      <c r="DK56" t="e">
        <f>IF(#REF!,"AAAAAFfd/nI=",0)</f>
        <v>#REF!</v>
      </c>
      <c r="DL56" t="e">
        <f>IF(#REF!,"AAAAAFfd/nM=",0)</f>
        <v>#REF!</v>
      </c>
      <c r="DM56" t="e">
        <f>IF(#REF!,"AAAAAFfd/nQ=",0)</f>
        <v>#REF!</v>
      </c>
      <c r="DN56" t="e">
        <f>IF(#REF!,"AAAAAFfd/nU=",0)</f>
        <v>#REF!</v>
      </c>
      <c r="DO56" t="e">
        <f>IF(#REF!,"AAAAAFfd/nY=",0)</f>
        <v>#REF!</v>
      </c>
      <c r="DP56" t="e">
        <f>IF(#REF!,"AAAAAFfd/nc=",0)</f>
        <v>#REF!</v>
      </c>
      <c r="DQ56" t="e">
        <f>IF(#REF!,"AAAAAFfd/ng=",0)</f>
        <v>#REF!</v>
      </c>
      <c r="DR56" t="e">
        <f>IF(#REF!,"AAAAAFfd/nk=",0)</f>
        <v>#REF!</v>
      </c>
      <c r="DS56" t="e">
        <f>IF(#REF!,"AAAAAFfd/no=",0)</f>
        <v>#REF!</v>
      </c>
      <c r="DT56" t="e">
        <f>IF(#REF!,"AAAAAFfd/ns=",0)</f>
        <v>#REF!</v>
      </c>
      <c r="DU56" t="e">
        <f>IF(#REF!,"AAAAAFfd/nw=",0)</f>
        <v>#REF!</v>
      </c>
      <c r="DV56" t="e">
        <f>IF(#REF!,"AAAAAFfd/n0=",0)</f>
        <v>#REF!</v>
      </c>
      <c r="DW56" t="e">
        <f>IF(#REF!,"AAAAAFfd/n4=",0)</f>
        <v>#REF!</v>
      </c>
      <c r="DX56" t="e">
        <f>IF(#REF!,"AAAAAFfd/n8=",0)</f>
        <v>#REF!</v>
      </c>
      <c r="DY56" t="e">
        <f>IF(#REF!,"AAAAAFfd/oA=",0)</f>
        <v>#REF!</v>
      </c>
      <c r="DZ56" t="e">
        <f>IF(#REF!,"AAAAAFfd/oE=",0)</f>
        <v>#REF!</v>
      </c>
      <c r="EA56" t="e">
        <f>IF(#REF!,"AAAAAFfd/oI=",0)</f>
        <v>#REF!</v>
      </c>
      <c r="EB56" t="e">
        <f>IF(#REF!,"AAAAAFfd/oM=",0)</f>
        <v>#REF!</v>
      </c>
      <c r="EC56" t="e">
        <f>IF(#REF!,"AAAAAFfd/oQ=",0)</f>
        <v>#REF!</v>
      </c>
      <c r="ED56" t="e">
        <f>IF(#REF!,"AAAAAFfd/oU=",0)</f>
        <v>#REF!</v>
      </c>
      <c r="EE56" t="e">
        <f>IF(#REF!,"AAAAAFfd/oY=",0)</f>
        <v>#REF!</v>
      </c>
      <c r="EF56" t="e">
        <f>IF(#REF!,"AAAAAFfd/oc=",0)</f>
        <v>#REF!</v>
      </c>
      <c r="EG56" t="e">
        <f>IF(#REF!,"AAAAAFfd/og=",0)</f>
        <v>#REF!</v>
      </c>
      <c r="EH56" t="e">
        <f>IF(#REF!,"AAAAAFfd/ok=",0)</f>
        <v>#REF!</v>
      </c>
      <c r="EI56" t="e">
        <f>IF(#REF!,"AAAAAFfd/oo=",0)</f>
        <v>#REF!</v>
      </c>
      <c r="EJ56" t="e">
        <f>AND(#REF!,"AAAAAFfd/os=")</f>
        <v>#REF!</v>
      </c>
      <c r="EK56" t="e">
        <f>AND(#REF!,"AAAAAFfd/ow=")</f>
        <v>#REF!</v>
      </c>
      <c r="EL56" t="e">
        <f>AND(#REF!,"AAAAAFfd/o0=")</f>
        <v>#REF!</v>
      </c>
      <c r="EM56" t="e">
        <f>AND(#REF!,"AAAAAFfd/o4=")</f>
        <v>#REF!</v>
      </c>
      <c r="EN56" t="e">
        <f>AND(#REF!,"AAAAAFfd/o8=")</f>
        <v>#REF!</v>
      </c>
      <c r="EO56" t="e">
        <f>AND(#REF!,"AAAAAFfd/pA=")</f>
        <v>#REF!</v>
      </c>
      <c r="EP56" t="e">
        <f>AND(#REF!,"AAAAAFfd/pE=")</f>
        <v>#REF!</v>
      </c>
      <c r="EQ56" t="e">
        <f>AND(#REF!,"AAAAAFfd/pI=")</f>
        <v>#REF!</v>
      </c>
      <c r="ER56" t="e">
        <f>AND(#REF!,"AAAAAFfd/pM=")</f>
        <v>#REF!</v>
      </c>
      <c r="ES56" t="e">
        <f>AND(#REF!,"AAAAAFfd/pQ=")</f>
        <v>#REF!</v>
      </c>
      <c r="ET56" t="e">
        <f>AND(#REF!,"AAAAAFfd/pU=")</f>
        <v>#REF!</v>
      </c>
      <c r="EU56" t="e">
        <f>AND(#REF!,"AAAAAFfd/pY=")</f>
        <v>#REF!</v>
      </c>
      <c r="EV56" t="e">
        <f>AND(#REF!,"AAAAAFfd/pc=")</f>
        <v>#REF!</v>
      </c>
      <c r="EW56" t="e">
        <f>AND(#REF!,"AAAAAFfd/pg=")</f>
        <v>#REF!</v>
      </c>
      <c r="EX56" t="e">
        <f>AND(#REF!,"AAAAAFfd/pk=")</f>
        <v>#REF!</v>
      </c>
      <c r="EY56" t="e">
        <f>AND(#REF!,"AAAAAFfd/po=")</f>
        <v>#REF!</v>
      </c>
      <c r="EZ56" t="e">
        <f>AND(#REF!,"AAAAAFfd/ps=")</f>
        <v>#REF!</v>
      </c>
      <c r="FA56" t="e">
        <f>AND(#REF!,"AAAAAFfd/pw=")</f>
        <v>#REF!</v>
      </c>
      <c r="FB56" t="e">
        <f>AND(#REF!,"AAAAAFfd/p0=")</f>
        <v>#REF!</v>
      </c>
      <c r="FC56" t="e">
        <f>AND(#REF!,"AAAAAFfd/p4=")</f>
        <v>#REF!</v>
      </c>
      <c r="FD56" t="e">
        <f>AND(#REF!,"AAAAAFfd/p8=")</f>
        <v>#REF!</v>
      </c>
      <c r="FE56" t="e">
        <f>IF(#REF!,"AAAAAFfd/qA=",0)</f>
        <v>#REF!</v>
      </c>
      <c r="FF56" t="e">
        <f>AND(#REF!,"AAAAAFfd/qE=")</f>
        <v>#REF!</v>
      </c>
      <c r="FG56" t="e">
        <f>AND(#REF!,"AAAAAFfd/qI=")</f>
        <v>#REF!</v>
      </c>
      <c r="FH56" t="e">
        <f>AND(#REF!,"AAAAAFfd/qM=")</f>
        <v>#REF!</v>
      </c>
      <c r="FI56" t="e">
        <f>AND(#REF!,"AAAAAFfd/qQ=")</f>
        <v>#REF!</v>
      </c>
      <c r="FJ56" t="e">
        <f>AND(#REF!,"AAAAAFfd/qU=")</f>
        <v>#REF!</v>
      </c>
      <c r="FK56" t="e">
        <f>AND(#REF!,"AAAAAFfd/qY=")</f>
        <v>#REF!</v>
      </c>
      <c r="FL56" t="e">
        <f>AND(#REF!,"AAAAAFfd/qc=")</f>
        <v>#REF!</v>
      </c>
      <c r="FM56" t="e">
        <f>AND(#REF!,"AAAAAFfd/qg=")</f>
        <v>#REF!</v>
      </c>
      <c r="FN56" t="e">
        <f>AND(#REF!,"AAAAAFfd/qk=")</f>
        <v>#REF!</v>
      </c>
      <c r="FO56" t="e">
        <f>AND(#REF!,"AAAAAFfd/qo=")</f>
        <v>#REF!</v>
      </c>
      <c r="FP56" t="e">
        <f>AND(#REF!,"AAAAAFfd/qs=")</f>
        <v>#REF!</v>
      </c>
      <c r="FQ56" t="e">
        <f>AND(#REF!,"AAAAAFfd/qw=")</f>
        <v>#REF!</v>
      </c>
      <c r="FR56" t="e">
        <f>AND(#REF!,"AAAAAFfd/q0=")</f>
        <v>#REF!</v>
      </c>
      <c r="FS56" t="e">
        <f>AND(#REF!,"AAAAAFfd/q4=")</f>
        <v>#REF!</v>
      </c>
      <c r="FT56" t="e">
        <f>AND(#REF!,"AAAAAFfd/q8=")</f>
        <v>#REF!</v>
      </c>
      <c r="FU56" t="e">
        <f>AND(#REF!,"AAAAAFfd/rA=")</f>
        <v>#REF!</v>
      </c>
      <c r="FV56" t="e">
        <f>AND(#REF!,"AAAAAFfd/rE=")</f>
        <v>#REF!</v>
      </c>
      <c r="FW56" t="e">
        <f>AND(#REF!,"AAAAAFfd/rI=")</f>
        <v>#REF!</v>
      </c>
      <c r="FX56" t="e">
        <f>AND(#REF!,"AAAAAFfd/rM=")</f>
        <v>#REF!</v>
      </c>
      <c r="FY56" t="e">
        <f>AND(#REF!,"AAAAAFfd/rQ=")</f>
        <v>#REF!</v>
      </c>
      <c r="FZ56" t="e">
        <f>AND(#REF!,"AAAAAFfd/rU=")</f>
        <v>#REF!</v>
      </c>
      <c r="GA56" t="e">
        <f>IF(#REF!,"AAAAAFfd/rY=",0)</f>
        <v>#REF!</v>
      </c>
      <c r="GB56" t="e">
        <f>AND(#REF!,"AAAAAFfd/rc=")</f>
        <v>#REF!</v>
      </c>
      <c r="GC56" t="e">
        <f>AND(#REF!,"AAAAAFfd/rg=")</f>
        <v>#REF!</v>
      </c>
      <c r="GD56" t="e">
        <f>AND(#REF!,"AAAAAFfd/rk=")</f>
        <v>#REF!</v>
      </c>
      <c r="GE56" t="e">
        <f>AND(#REF!,"AAAAAFfd/ro=")</f>
        <v>#REF!</v>
      </c>
      <c r="GF56" t="e">
        <f>AND(#REF!,"AAAAAFfd/rs=")</f>
        <v>#REF!</v>
      </c>
      <c r="GG56" t="e">
        <f>AND(#REF!,"AAAAAFfd/rw=")</f>
        <v>#REF!</v>
      </c>
      <c r="GH56" t="e">
        <f>AND(#REF!,"AAAAAFfd/r0=")</f>
        <v>#REF!</v>
      </c>
      <c r="GI56" t="e">
        <f>AND(#REF!,"AAAAAFfd/r4=")</f>
        <v>#REF!</v>
      </c>
      <c r="GJ56" t="e">
        <f>AND(#REF!,"AAAAAFfd/r8=")</f>
        <v>#REF!</v>
      </c>
      <c r="GK56" t="e">
        <f>AND(#REF!,"AAAAAFfd/sA=")</f>
        <v>#REF!</v>
      </c>
      <c r="GL56" t="e">
        <f>AND(#REF!,"AAAAAFfd/sE=")</f>
        <v>#REF!</v>
      </c>
      <c r="GM56" t="e">
        <f>AND(#REF!,"AAAAAFfd/sI=")</f>
        <v>#REF!</v>
      </c>
      <c r="GN56" t="e">
        <f>AND(#REF!,"AAAAAFfd/sM=")</f>
        <v>#REF!</v>
      </c>
      <c r="GO56" t="e">
        <f>AND(#REF!,"AAAAAFfd/sQ=")</f>
        <v>#REF!</v>
      </c>
      <c r="GP56" t="e">
        <f>AND(#REF!,"AAAAAFfd/sU=")</f>
        <v>#REF!</v>
      </c>
      <c r="GQ56" t="e">
        <f>AND(#REF!,"AAAAAFfd/sY=")</f>
        <v>#REF!</v>
      </c>
      <c r="GR56" t="e">
        <f>AND(#REF!,"AAAAAFfd/sc=")</f>
        <v>#REF!</v>
      </c>
      <c r="GS56" t="e">
        <f>AND(#REF!,"AAAAAFfd/sg=")</f>
        <v>#REF!</v>
      </c>
      <c r="GT56" t="e">
        <f>AND(#REF!,"AAAAAFfd/sk=")</f>
        <v>#REF!</v>
      </c>
      <c r="GU56" t="e">
        <f>AND(#REF!,"AAAAAFfd/so=")</f>
        <v>#REF!</v>
      </c>
      <c r="GV56" t="e">
        <f>AND(#REF!,"AAAAAFfd/ss=")</f>
        <v>#REF!</v>
      </c>
      <c r="GW56" t="e">
        <f>IF(#REF!,"AAAAAFfd/sw=",0)</f>
        <v>#REF!</v>
      </c>
      <c r="GX56" t="e">
        <f>AND(#REF!,"AAAAAFfd/s0=")</f>
        <v>#REF!</v>
      </c>
      <c r="GY56" t="e">
        <f>AND(#REF!,"AAAAAFfd/s4=")</f>
        <v>#REF!</v>
      </c>
      <c r="GZ56" t="e">
        <f>AND(#REF!,"AAAAAFfd/s8=")</f>
        <v>#REF!</v>
      </c>
      <c r="HA56" t="e">
        <f>AND(#REF!,"AAAAAFfd/tA=")</f>
        <v>#REF!</v>
      </c>
      <c r="HB56" t="e">
        <f>AND(#REF!,"AAAAAFfd/tE=")</f>
        <v>#REF!</v>
      </c>
      <c r="HC56" t="e">
        <f>AND(#REF!,"AAAAAFfd/tI=")</f>
        <v>#REF!</v>
      </c>
      <c r="HD56" t="e">
        <f>AND(#REF!,"AAAAAFfd/tM=")</f>
        <v>#REF!</v>
      </c>
      <c r="HE56" t="e">
        <f>AND(#REF!,"AAAAAFfd/tQ=")</f>
        <v>#REF!</v>
      </c>
      <c r="HF56" t="e">
        <f>AND(#REF!,"AAAAAFfd/tU=")</f>
        <v>#REF!</v>
      </c>
      <c r="HG56" t="e">
        <f>AND(#REF!,"AAAAAFfd/tY=")</f>
        <v>#REF!</v>
      </c>
      <c r="HH56" t="e">
        <f>AND(#REF!,"AAAAAFfd/tc=")</f>
        <v>#REF!</v>
      </c>
      <c r="HI56" t="e">
        <f>AND(#REF!,"AAAAAFfd/tg=")</f>
        <v>#REF!</v>
      </c>
      <c r="HJ56" t="e">
        <f>AND(#REF!,"AAAAAFfd/tk=")</f>
        <v>#REF!</v>
      </c>
      <c r="HK56" t="e">
        <f>AND(#REF!,"AAAAAFfd/to=")</f>
        <v>#REF!</v>
      </c>
      <c r="HL56" t="e">
        <f>AND(#REF!,"AAAAAFfd/ts=")</f>
        <v>#REF!</v>
      </c>
      <c r="HM56" t="e">
        <f>AND(#REF!,"AAAAAFfd/tw=")</f>
        <v>#REF!</v>
      </c>
      <c r="HN56" t="e">
        <f>AND(#REF!,"AAAAAFfd/t0=")</f>
        <v>#REF!</v>
      </c>
      <c r="HO56" t="e">
        <f>AND(#REF!,"AAAAAFfd/t4=")</f>
        <v>#REF!</v>
      </c>
      <c r="HP56" t="e">
        <f>AND(#REF!,"AAAAAFfd/t8=")</f>
        <v>#REF!</v>
      </c>
      <c r="HQ56" t="e">
        <f>AND(#REF!,"AAAAAFfd/uA=")</f>
        <v>#REF!</v>
      </c>
      <c r="HR56" t="e">
        <f>AND(#REF!,"AAAAAFfd/uE=")</f>
        <v>#REF!</v>
      </c>
      <c r="HS56" t="e">
        <f>IF(#REF!,"AAAAAFfd/uI=",0)</f>
        <v>#REF!</v>
      </c>
      <c r="HT56" t="e">
        <f>AND(#REF!,"AAAAAFfd/uM=")</f>
        <v>#REF!</v>
      </c>
      <c r="HU56" t="e">
        <f>AND(#REF!,"AAAAAFfd/uQ=")</f>
        <v>#REF!</v>
      </c>
      <c r="HV56" t="e">
        <f>AND(#REF!,"AAAAAFfd/uU=")</f>
        <v>#REF!</v>
      </c>
      <c r="HW56" t="e">
        <f>AND(#REF!,"AAAAAFfd/uY=")</f>
        <v>#REF!</v>
      </c>
      <c r="HX56" t="e">
        <f>AND(#REF!,"AAAAAFfd/uc=")</f>
        <v>#REF!</v>
      </c>
      <c r="HY56" t="e">
        <f>AND(#REF!,"AAAAAFfd/ug=")</f>
        <v>#REF!</v>
      </c>
      <c r="HZ56" t="e">
        <f>AND(#REF!,"AAAAAFfd/uk=")</f>
        <v>#REF!</v>
      </c>
      <c r="IA56" t="e">
        <f>AND(#REF!,"AAAAAFfd/uo=")</f>
        <v>#REF!</v>
      </c>
      <c r="IB56" t="e">
        <f>AND(#REF!,"AAAAAFfd/us=")</f>
        <v>#REF!</v>
      </c>
      <c r="IC56" t="e">
        <f>AND(#REF!,"AAAAAFfd/uw=")</f>
        <v>#REF!</v>
      </c>
      <c r="ID56" t="e">
        <f>AND(#REF!,"AAAAAFfd/u0=")</f>
        <v>#REF!</v>
      </c>
      <c r="IE56" t="e">
        <f>AND(#REF!,"AAAAAFfd/u4=")</f>
        <v>#REF!</v>
      </c>
      <c r="IF56" t="e">
        <f>AND(#REF!,"AAAAAFfd/u8=")</f>
        <v>#REF!</v>
      </c>
      <c r="IG56" t="e">
        <f>AND(#REF!,"AAAAAFfd/vA=")</f>
        <v>#REF!</v>
      </c>
      <c r="IH56" t="e">
        <f>AND(#REF!,"AAAAAFfd/vE=")</f>
        <v>#REF!</v>
      </c>
      <c r="II56" t="e">
        <f>AND(#REF!,"AAAAAFfd/vI=")</f>
        <v>#REF!</v>
      </c>
      <c r="IJ56" t="e">
        <f>AND(#REF!,"AAAAAFfd/vM=")</f>
        <v>#REF!</v>
      </c>
      <c r="IK56" t="e">
        <f>AND(#REF!,"AAAAAFfd/vQ=")</f>
        <v>#REF!</v>
      </c>
      <c r="IL56" t="e">
        <f>AND(#REF!,"AAAAAFfd/vU=")</f>
        <v>#REF!</v>
      </c>
      <c r="IM56" t="e">
        <f>AND(#REF!,"AAAAAFfd/vY=")</f>
        <v>#REF!</v>
      </c>
      <c r="IN56" t="e">
        <f>AND(#REF!,"AAAAAFfd/vc=")</f>
        <v>#REF!</v>
      </c>
      <c r="IO56" t="e">
        <f>IF(#REF!,"AAAAAFfd/vg=",0)</f>
        <v>#REF!</v>
      </c>
      <c r="IP56" t="e">
        <f>AND(#REF!,"AAAAAFfd/vk=")</f>
        <v>#REF!</v>
      </c>
      <c r="IQ56" t="e">
        <f>AND(#REF!,"AAAAAFfd/vo=")</f>
        <v>#REF!</v>
      </c>
      <c r="IR56" t="e">
        <f>AND(#REF!,"AAAAAFfd/vs=")</f>
        <v>#REF!</v>
      </c>
      <c r="IS56" t="e">
        <f>AND(#REF!,"AAAAAFfd/vw=")</f>
        <v>#REF!</v>
      </c>
      <c r="IT56" t="e">
        <f>AND(#REF!,"AAAAAFfd/v0=")</f>
        <v>#REF!</v>
      </c>
      <c r="IU56" t="e">
        <f>AND(#REF!,"AAAAAFfd/v4=")</f>
        <v>#REF!</v>
      </c>
      <c r="IV56" t="e">
        <f>AND(#REF!,"AAAAAFfd/v8=")</f>
        <v>#REF!</v>
      </c>
    </row>
    <row r="57" spans="1:256" x14ac:dyDescent="0.35">
      <c r="A57" t="e">
        <f>AND(#REF!,"AAAAAH263AA=")</f>
        <v>#REF!</v>
      </c>
      <c r="B57" t="e">
        <f>AND(#REF!,"AAAAAH263AE=")</f>
        <v>#REF!</v>
      </c>
      <c r="C57" t="e">
        <f>AND(#REF!,"AAAAAH263AI=")</f>
        <v>#REF!</v>
      </c>
      <c r="D57" t="e">
        <f>AND(#REF!,"AAAAAH263AM=")</f>
        <v>#REF!</v>
      </c>
      <c r="E57" t="e">
        <f>AND(#REF!,"AAAAAH263AQ=")</f>
        <v>#REF!</v>
      </c>
      <c r="F57" t="e">
        <f>AND(#REF!,"AAAAAH263AU=")</f>
        <v>#REF!</v>
      </c>
      <c r="G57" t="e">
        <f>AND(#REF!,"AAAAAH263AY=")</f>
        <v>#REF!</v>
      </c>
      <c r="H57" t="e">
        <f>AND(#REF!,"AAAAAH263Ac=")</f>
        <v>#REF!</v>
      </c>
      <c r="I57" t="e">
        <f>AND(#REF!,"AAAAAH263Ag=")</f>
        <v>#REF!</v>
      </c>
      <c r="J57" t="e">
        <f>AND(#REF!,"AAAAAH263Ak=")</f>
        <v>#REF!</v>
      </c>
      <c r="K57" t="e">
        <f>AND(#REF!,"AAAAAH263Ao=")</f>
        <v>#REF!</v>
      </c>
      <c r="L57" t="e">
        <f>AND(#REF!,"AAAAAH263As=")</f>
        <v>#REF!</v>
      </c>
      <c r="M57" t="e">
        <f>AND(#REF!,"AAAAAH263Aw=")</f>
        <v>#REF!</v>
      </c>
      <c r="N57" t="e">
        <f>AND(#REF!,"AAAAAH263A0=")</f>
        <v>#REF!</v>
      </c>
      <c r="O57" t="e">
        <f>IF(#REF!,"AAAAAH263A4=",0)</f>
        <v>#REF!</v>
      </c>
      <c r="P57" t="e">
        <f>AND(#REF!,"AAAAAH263A8=")</f>
        <v>#REF!</v>
      </c>
      <c r="Q57" t="e">
        <f>AND(#REF!,"AAAAAH263BA=")</f>
        <v>#REF!</v>
      </c>
      <c r="R57" t="e">
        <f>AND(#REF!,"AAAAAH263BE=")</f>
        <v>#REF!</v>
      </c>
      <c r="S57" t="e">
        <f>AND(#REF!,"AAAAAH263BI=")</f>
        <v>#REF!</v>
      </c>
      <c r="T57" t="e">
        <f>AND(#REF!,"AAAAAH263BM=")</f>
        <v>#REF!</v>
      </c>
      <c r="U57" t="e">
        <f>AND(#REF!,"AAAAAH263BQ=")</f>
        <v>#REF!</v>
      </c>
      <c r="V57" t="e">
        <f>AND(#REF!,"AAAAAH263BU=")</f>
        <v>#REF!</v>
      </c>
      <c r="W57" t="e">
        <f>AND(#REF!,"AAAAAH263BY=")</f>
        <v>#REF!</v>
      </c>
      <c r="X57" t="e">
        <f>AND(#REF!,"AAAAAH263Bc=")</f>
        <v>#REF!</v>
      </c>
      <c r="Y57" t="e">
        <f>AND(#REF!,"AAAAAH263Bg=")</f>
        <v>#REF!</v>
      </c>
      <c r="Z57" t="e">
        <f>AND(#REF!,"AAAAAH263Bk=")</f>
        <v>#REF!</v>
      </c>
      <c r="AA57" t="e">
        <f>AND(#REF!,"AAAAAH263Bo=")</f>
        <v>#REF!</v>
      </c>
      <c r="AB57" t="e">
        <f>AND(#REF!,"AAAAAH263Bs=")</f>
        <v>#REF!</v>
      </c>
      <c r="AC57" t="e">
        <f>AND(#REF!,"AAAAAH263Bw=")</f>
        <v>#REF!</v>
      </c>
      <c r="AD57" t="e">
        <f>AND(#REF!,"AAAAAH263B0=")</f>
        <v>#REF!</v>
      </c>
      <c r="AE57" t="e">
        <f>AND(#REF!,"AAAAAH263B4=")</f>
        <v>#REF!</v>
      </c>
      <c r="AF57" t="e">
        <f>AND(#REF!,"AAAAAH263B8=")</f>
        <v>#REF!</v>
      </c>
      <c r="AG57" t="e">
        <f>AND(#REF!,"AAAAAH263CA=")</f>
        <v>#REF!</v>
      </c>
      <c r="AH57" t="e">
        <f>AND(#REF!,"AAAAAH263CE=")</f>
        <v>#REF!</v>
      </c>
      <c r="AI57" t="e">
        <f>AND(#REF!,"AAAAAH263CI=")</f>
        <v>#REF!</v>
      </c>
      <c r="AJ57" t="e">
        <f>AND(#REF!,"AAAAAH263CM=")</f>
        <v>#REF!</v>
      </c>
      <c r="AK57" t="e">
        <f>IF(#REF!,"AAAAAH263CQ=",0)</f>
        <v>#REF!</v>
      </c>
      <c r="AL57" t="e">
        <f>IF(#REF!,"AAAAAH263CU=",0)</f>
        <v>#REF!</v>
      </c>
      <c r="AM57" t="e">
        <f>IF(#REF!,"AAAAAH263CY=",0)</f>
        <v>#REF!</v>
      </c>
      <c r="AN57" t="e">
        <f>IF(#REF!,"AAAAAH263Cc=",0)</f>
        <v>#REF!</v>
      </c>
      <c r="AO57" t="e">
        <f>IF(#REF!,"AAAAAH263Cg=",0)</f>
        <v>#REF!</v>
      </c>
      <c r="AP57" t="e">
        <f>IF(#REF!,"AAAAAH263Ck=",0)</f>
        <v>#REF!</v>
      </c>
      <c r="AQ57" t="e">
        <f>IF(#REF!,"AAAAAH263Co=",0)</f>
        <v>#REF!</v>
      </c>
      <c r="AR57" t="e">
        <f>IF(#REF!,"AAAAAH263Cs=",0)</f>
        <v>#REF!</v>
      </c>
      <c r="AS57" t="e">
        <f>IF(#REF!,"AAAAAH263Cw=",0)</f>
        <v>#REF!</v>
      </c>
      <c r="AT57" t="e">
        <f>IF(#REF!,"AAAAAH263C0=",0)</f>
        <v>#REF!</v>
      </c>
      <c r="AU57" t="e">
        <f>IF(#REF!,"AAAAAH263C4=",0)</f>
        <v>#REF!</v>
      </c>
      <c r="AV57" t="e">
        <f>IF(#REF!,"AAAAAH263C8=",0)</f>
        <v>#REF!</v>
      </c>
      <c r="AW57" t="e">
        <f>IF(#REF!,"AAAAAH263DA=",0)</f>
        <v>#REF!</v>
      </c>
      <c r="AX57" t="e">
        <f>IF(#REF!,"AAAAAH263DE=",0)</f>
        <v>#REF!</v>
      </c>
      <c r="AY57" t="e">
        <f>IF(#REF!,"AAAAAH263DI=",0)</f>
        <v>#REF!</v>
      </c>
      <c r="AZ57" t="e">
        <f>IF(#REF!,"AAAAAH263DM=",0)</f>
        <v>#REF!</v>
      </c>
      <c r="BA57" t="e">
        <f>IF(#REF!,"AAAAAH263DQ=",0)</f>
        <v>#REF!</v>
      </c>
      <c r="BB57" t="e">
        <f>IF(#REF!,"AAAAAH263DU=",0)</f>
        <v>#REF!</v>
      </c>
      <c r="BC57" t="e">
        <f>IF(#REF!,"AAAAAH263DY=",0)</f>
        <v>#REF!</v>
      </c>
      <c r="BD57" t="e">
        <f>IF(#REF!,"AAAAAH263Dc=",0)</f>
        <v>#REF!</v>
      </c>
      <c r="BE57" t="e">
        <f>IF(#REF!,"AAAAAH263Dg=",0)</f>
        <v>#REF!</v>
      </c>
      <c r="BF57" t="e">
        <f>IF(#REF!,"AAAAAH263Dk=",0)</f>
        <v>#REF!</v>
      </c>
      <c r="BG57" t="e">
        <f>IF(#REF!,"AAAAAH263Do=",0)</f>
        <v>#REF!</v>
      </c>
      <c r="BH57" t="e">
        <f>IF(#REF!,"AAAAAH263Ds=",0)</f>
        <v>#REF!</v>
      </c>
      <c r="BI57" t="e">
        <f>IF(#REF!,"AAAAAH263Dw=",0)</f>
        <v>#REF!</v>
      </c>
      <c r="BJ57" t="e">
        <f>IF(#REF!,"AAAAAH263D0=",0)</f>
        <v>#REF!</v>
      </c>
      <c r="BK57" t="e">
        <f>IF(#REF!,"AAAAAH263D4=",0)</f>
        <v>#REF!</v>
      </c>
      <c r="BL57" t="e">
        <f>IF(#REF!,"AAAAAH263D8=",0)</f>
        <v>#REF!</v>
      </c>
      <c r="BM57" t="e">
        <f>IF(#REF!,"AAAAAH263EA=",0)</f>
        <v>#REF!</v>
      </c>
      <c r="BN57" t="e">
        <f>IF(#REF!,"AAAAAH263EE=",0)</f>
        <v>#REF!</v>
      </c>
      <c r="BO57" t="e">
        <f>IF(#REF!,"AAAAAH263EI=",0)</f>
        <v>#REF!</v>
      </c>
      <c r="BP57" t="e">
        <f>IF(#REF!,"AAAAAH263EM=",0)</f>
        <v>#REF!</v>
      </c>
      <c r="BQ57" t="e">
        <f>IF(#REF!,"AAAAAH263EQ=",0)</f>
        <v>#REF!</v>
      </c>
      <c r="BR57" t="e">
        <f>IF(#REF!,"AAAAAH263EU=",0)</f>
        <v>#REF!</v>
      </c>
      <c r="BS57" t="e">
        <f>IF(#REF!,"AAAAAH263EY=",0)</f>
        <v>#REF!</v>
      </c>
      <c r="BT57" t="e">
        <f>IF(#REF!,"AAAAAH263Ec=",0)</f>
        <v>#REF!</v>
      </c>
      <c r="BU57" t="e">
        <f>IF(#REF!,"AAAAAH263Eg=",0)</f>
        <v>#REF!</v>
      </c>
      <c r="BV57" t="e">
        <f>IF(#REF!,"AAAAAH263Ek=",0)</f>
        <v>#REF!</v>
      </c>
      <c r="BW57" t="e">
        <f>IF(#REF!,"AAAAAH263Eo=",0)</f>
        <v>#REF!</v>
      </c>
      <c r="BX57" t="e">
        <f>IF(#REF!,"AAAAAH263Es=",0)</f>
        <v>#REF!</v>
      </c>
      <c r="BY57" t="e">
        <f>IF(#REF!,"AAAAAH263Ew=",0)</f>
        <v>#REF!</v>
      </c>
      <c r="BZ57" t="e">
        <f>IF(#REF!,"AAAAAH263E0=",0)</f>
        <v>#REF!</v>
      </c>
      <c r="CA57" t="e">
        <f>IF(#REF!,"AAAAAH263E4=",0)</f>
        <v>#REF!</v>
      </c>
      <c r="CB57" t="e">
        <f>IF(#REF!,"AAAAAH263E8=",0)</f>
        <v>#REF!</v>
      </c>
      <c r="CC57" t="e">
        <f>IF(#REF!,"AAAAAH263FA=",0)</f>
        <v>#REF!</v>
      </c>
      <c r="CD57" t="e">
        <f>IF(#REF!,"AAAAAH263FE=",0)</f>
        <v>#REF!</v>
      </c>
      <c r="CE57" t="e">
        <f>IF(#REF!,"AAAAAH263FI=",0)</f>
        <v>#REF!</v>
      </c>
      <c r="CF57" t="e">
        <f>IF(#REF!,"AAAAAH263FM=",0)</f>
        <v>#REF!</v>
      </c>
      <c r="CG57" t="e">
        <f>IF(#REF!,"AAAAAH263FQ=",0)</f>
        <v>#REF!</v>
      </c>
      <c r="CH57" t="e">
        <f>IF(#REF!,"AAAAAH263FU=",0)</f>
        <v>#REF!</v>
      </c>
      <c r="CI57" t="e">
        <f>IF(#REF!,"AAAAAH263FY=",0)</f>
        <v>#REF!</v>
      </c>
      <c r="CJ57" t="e">
        <f>IF(#REF!,"AAAAAH263Fc=",0)</f>
        <v>#REF!</v>
      </c>
      <c r="CK57" t="e">
        <f>IF(#REF!,"AAAAAH263Fg=",0)</f>
        <v>#REF!</v>
      </c>
      <c r="CL57" t="e">
        <f>IF(#REF!,"AAAAAH263Fk=",0)</f>
        <v>#REF!</v>
      </c>
      <c r="CM57" t="e">
        <f>IF(#REF!,"AAAAAH263Fo=",0)</f>
        <v>#REF!</v>
      </c>
      <c r="CN57" t="e">
        <f>IF(#REF!,"AAAAAH263Fs=",0)</f>
        <v>#REF!</v>
      </c>
      <c r="CO57" t="e">
        <f>IF(#REF!,"AAAAAH263Fw=",0)</f>
        <v>#REF!</v>
      </c>
      <c r="CP57" t="e">
        <f>IF(#REF!,"AAAAAH263F0=",0)</f>
        <v>#REF!</v>
      </c>
      <c r="CQ57" t="e">
        <f>IF(#REF!,"AAAAAH263F4=",0)</f>
        <v>#REF!</v>
      </c>
      <c r="CR57" t="e">
        <f>IF(#REF!,"AAAAAH263F8=",0)</f>
        <v>#REF!</v>
      </c>
      <c r="CS57" t="e">
        <f>IF(#REF!,"AAAAAH263GA=",0)</f>
        <v>#REF!</v>
      </c>
      <c r="CT57" t="e">
        <f>IF(#REF!,"AAAAAH263GE=",0)</f>
        <v>#REF!</v>
      </c>
      <c r="CU57" t="e">
        <f>IF(#REF!,"AAAAAH263GI=",0)</f>
        <v>#REF!</v>
      </c>
      <c r="CV57" t="e">
        <f>IF(#REF!,"AAAAAH263GM=",0)</f>
        <v>#REF!</v>
      </c>
      <c r="CW57" t="e">
        <f>IF(#REF!,"AAAAAH263GQ=",0)</f>
        <v>#REF!</v>
      </c>
      <c r="CX57" t="e">
        <f>IF(#REF!,"AAAAAH263GU=",0)</f>
        <v>#REF!</v>
      </c>
      <c r="CY57" t="e">
        <f>IF(#REF!,"AAAAAH263GY=",0)</f>
        <v>#REF!</v>
      </c>
      <c r="CZ57" t="e">
        <f>IF(#REF!,"AAAAAH263Gc=",0)</f>
        <v>#REF!</v>
      </c>
      <c r="DA57" t="e">
        <f>IF(#REF!,"AAAAAH263Gg=",0)</f>
        <v>#REF!</v>
      </c>
      <c r="DB57" t="e">
        <f>IF(#REF!,"AAAAAH263Gk=",0)</f>
        <v>#REF!</v>
      </c>
      <c r="DC57" t="e">
        <f>IF(#REF!,"AAAAAH263Go=",0)</f>
        <v>#REF!</v>
      </c>
      <c r="DD57" t="e">
        <f>IF(#REF!,"AAAAAH263Gs=",0)</f>
        <v>#REF!</v>
      </c>
      <c r="DE57" t="e">
        <f>IF(#REF!,"AAAAAH263Gw=",0)</f>
        <v>#REF!</v>
      </c>
      <c r="DF57" t="e">
        <f>IF(#REF!,"AAAAAH263G0=",0)</f>
        <v>#REF!</v>
      </c>
      <c r="DG57" t="e">
        <f>IF(#REF!,"AAAAAH263G4=",0)</f>
        <v>#REF!</v>
      </c>
      <c r="DH57" t="e">
        <f>IF(#REF!,"AAAAAH263G8=",0)</f>
        <v>#REF!</v>
      </c>
      <c r="DI57" t="e">
        <f>IF(#REF!,"AAAAAH263HA=",0)</f>
        <v>#REF!</v>
      </c>
      <c r="DJ57" t="e">
        <f>IF(#REF!,"AAAAAH263HE=",0)</f>
        <v>#REF!</v>
      </c>
      <c r="DK57" t="e">
        <f>IF(#REF!,"AAAAAH263HI=",0)</f>
        <v>#REF!</v>
      </c>
      <c r="DL57" t="e">
        <f>IF(#REF!,"AAAAAH263HM=",0)</f>
        <v>#REF!</v>
      </c>
      <c r="DM57" t="e">
        <f>IF(#REF!,"AAAAAH263HQ=",0)</f>
        <v>#REF!</v>
      </c>
      <c r="DN57" t="e">
        <f>IF(#REF!,"AAAAAH263HU=",0)</f>
        <v>#REF!</v>
      </c>
      <c r="DO57" t="e">
        <f>IF(#REF!,"AAAAAH263HY=",0)</f>
        <v>#REF!</v>
      </c>
      <c r="DP57" t="e">
        <f>IF(#REF!,"AAAAAH263Hc=",0)</f>
        <v>#REF!</v>
      </c>
      <c r="DQ57" t="e">
        <f>IF(#REF!,"AAAAAH263Hg=",0)</f>
        <v>#REF!</v>
      </c>
      <c r="DR57" t="e">
        <f>IF(#REF!,"AAAAAH263Hk=",0)</f>
        <v>#REF!</v>
      </c>
      <c r="DS57" t="e">
        <f>IF(#REF!,"AAAAAH263Ho=",0)</f>
        <v>#REF!</v>
      </c>
      <c r="DT57" t="e">
        <f>IF(#REF!,"AAAAAH263Hs=",0)</f>
        <v>#REF!</v>
      </c>
      <c r="DU57" t="e">
        <f>IF(#REF!,"AAAAAH263Hw=",0)</f>
        <v>#REF!</v>
      </c>
      <c r="DV57" t="e">
        <f>IF(#REF!,"AAAAAH263H0=",0)</f>
        <v>#REF!</v>
      </c>
      <c r="DW57" t="e">
        <f>IF(#REF!,"AAAAAH263H4=",0)</f>
        <v>#REF!</v>
      </c>
      <c r="DX57" t="e">
        <f>IF(#REF!,"AAAAAH263H8=",0)</f>
        <v>#REF!</v>
      </c>
      <c r="DY57" t="e">
        <f>IF(#REF!,"AAAAAH263IA=",0)</f>
        <v>#REF!</v>
      </c>
      <c r="DZ57" t="e">
        <f>IF(#REF!,"AAAAAH263IE=",0)</f>
        <v>#REF!</v>
      </c>
      <c r="EA57" t="e">
        <f>IF(#REF!,"AAAAAH263II=",0)</f>
        <v>#REF!</v>
      </c>
      <c r="EB57" t="e">
        <f>IF(#REF!,"AAAAAH263IM=",0)</f>
        <v>#REF!</v>
      </c>
      <c r="EC57" t="e">
        <f>IF(#REF!,"AAAAAH263IQ=",0)</f>
        <v>#REF!</v>
      </c>
      <c r="ED57" t="e">
        <f>IF(#REF!,"AAAAAH263IU=",0)</f>
        <v>#REF!</v>
      </c>
      <c r="EE57" t="e">
        <f>IF(#REF!,"AAAAAH263IY=",0)</f>
        <v>#REF!</v>
      </c>
      <c r="EF57" t="e">
        <f>IF(#REF!,"AAAAAH263Ic=",0)</f>
        <v>#REF!</v>
      </c>
      <c r="EG57" t="e">
        <f>IF(#REF!,"AAAAAH263Ig=",0)</f>
        <v>#REF!</v>
      </c>
      <c r="EH57" t="e">
        <f>IF(#REF!,"AAAAAH263Ik=",0)</f>
        <v>#REF!</v>
      </c>
      <c r="EI57" t="e">
        <f>IF(#REF!,"AAAAAH263Io=",0)</f>
        <v>#REF!</v>
      </c>
      <c r="EJ57" t="e">
        <f>IF(#REF!,"AAAAAH263Is=",0)</f>
        <v>#REF!</v>
      </c>
      <c r="EK57" t="e">
        <f>IF(#REF!,"AAAAAH263Iw=",0)</f>
        <v>#REF!</v>
      </c>
      <c r="EL57" t="e">
        <f>IF(#REF!,"AAAAAH263I0=",0)</f>
        <v>#REF!</v>
      </c>
      <c r="EM57" t="e">
        <f>IF(#REF!,"AAAAAH263I4=",0)</f>
        <v>#REF!</v>
      </c>
      <c r="EN57" t="e">
        <f>IF(#REF!,"AAAAAH263I8=",0)</f>
        <v>#REF!</v>
      </c>
      <c r="EO57" t="e">
        <f>IF(#REF!,"AAAAAH263JA=",0)</f>
        <v>#REF!</v>
      </c>
      <c r="EP57" t="e">
        <f>IF(#REF!,"AAAAAH263JE=",0)</f>
        <v>#REF!</v>
      </c>
      <c r="EQ57" t="e">
        <f>IF(#REF!,"AAAAAH263JI=",0)</f>
        <v>#REF!</v>
      </c>
      <c r="ER57" t="e">
        <f>IF(#REF!,"AAAAAH263JM=",0)</f>
        <v>#REF!</v>
      </c>
      <c r="ES57" t="e">
        <f>IF(#REF!,"AAAAAH263JQ=",0)</f>
        <v>#REF!</v>
      </c>
      <c r="ET57" t="e">
        <f>IF(#REF!,"AAAAAH263JU=",0)</f>
        <v>#REF!</v>
      </c>
      <c r="EU57" t="e">
        <f>IF(#REF!,"AAAAAH263JY=",0)</f>
        <v>#REF!</v>
      </c>
      <c r="EV57" t="e">
        <f>IF(#REF!,"AAAAAH263Jc=",0)</f>
        <v>#REF!</v>
      </c>
      <c r="EW57" t="e">
        <f>IF(#REF!,"AAAAAH263Jg=",0)</f>
        <v>#REF!</v>
      </c>
      <c r="EX57" t="e">
        <f>IF(#REF!,"AAAAAH263Jk=",0)</f>
        <v>#REF!</v>
      </c>
      <c r="EY57" t="e">
        <f>IF(#REF!,"AAAAAH263Jo=",0)</f>
        <v>#REF!</v>
      </c>
      <c r="EZ57" t="e">
        <f>IF(#REF!,"AAAAAH263Js=",0)</f>
        <v>#REF!</v>
      </c>
      <c r="FA57" t="e">
        <f>IF(#REF!,"AAAAAH263Jw=",0)</f>
        <v>#REF!</v>
      </c>
      <c r="FB57" t="e">
        <f>IF(#REF!,"AAAAAH263J0=",0)</f>
        <v>#REF!</v>
      </c>
      <c r="FC57" t="e">
        <f>IF(#REF!,"AAAAAH263J4=",0)</f>
        <v>#REF!</v>
      </c>
      <c r="FD57" t="e">
        <f>IF(#REF!,"AAAAAH263J8=",0)</f>
        <v>#REF!</v>
      </c>
      <c r="FE57" t="e">
        <f>IF(#REF!,"AAAAAH263KA=",0)</f>
        <v>#REF!</v>
      </c>
      <c r="FF57" t="e">
        <f>IF(#REF!,"AAAAAH263KE=",0)</f>
        <v>#REF!</v>
      </c>
      <c r="FG57" t="e">
        <f>IF(#REF!,"AAAAAH263KI=",0)</f>
        <v>#REF!</v>
      </c>
      <c r="FH57" t="e">
        <f>IF(#REF!,"AAAAAH263KM=",0)</f>
        <v>#REF!</v>
      </c>
      <c r="FI57" t="e">
        <f>IF(#REF!,"AAAAAH263KQ=",0)</f>
        <v>#REF!</v>
      </c>
      <c r="FJ57" t="e">
        <f>IF(#REF!,"AAAAAH263KU=",0)</f>
        <v>#REF!</v>
      </c>
      <c r="FK57" t="e">
        <f>IF(#REF!,"AAAAAH263KY=",0)</f>
        <v>#REF!</v>
      </c>
      <c r="FL57" t="e">
        <f>IF(#REF!,"AAAAAH263Kc=",0)</f>
        <v>#REF!</v>
      </c>
      <c r="FM57" t="e">
        <f>IF(#REF!,"AAAAAH263Kg=",0)</f>
        <v>#REF!</v>
      </c>
      <c r="FN57" t="e">
        <f>IF(#REF!,"AAAAAH263Kk=",0)</f>
        <v>#REF!</v>
      </c>
      <c r="FO57" t="e">
        <f>IF(#REF!,"AAAAAH263Ko=",0)</f>
        <v>#REF!</v>
      </c>
      <c r="FP57" t="e">
        <f>IF(#REF!,"AAAAAH263Ks=",0)</f>
        <v>#REF!</v>
      </c>
      <c r="FQ57" t="e">
        <f>IF(#REF!,"AAAAAH263Kw=",0)</f>
        <v>#REF!</v>
      </c>
      <c r="FR57" t="e">
        <f>IF(#REF!,"AAAAAH263K0=",0)</f>
        <v>#REF!</v>
      </c>
      <c r="FS57" t="e">
        <f>IF(#REF!,"AAAAAH263K4=",0)</f>
        <v>#REF!</v>
      </c>
      <c r="FT57" t="e">
        <f>IF(#REF!,"AAAAAH263K8=",0)</f>
        <v>#REF!</v>
      </c>
      <c r="FU57" t="e">
        <f>IF(#REF!,"AAAAAH263LA=",0)</f>
        <v>#REF!</v>
      </c>
      <c r="FV57" t="e">
        <f>IF(#REF!,"AAAAAH263LE=",0)</f>
        <v>#REF!</v>
      </c>
      <c r="FW57" t="e">
        <f>IF(#REF!,"AAAAAH263LI=",0)</f>
        <v>#REF!</v>
      </c>
      <c r="FX57" t="e">
        <f>IF(#REF!,"AAAAAH263LM=",0)</f>
        <v>#REF!</v>
      </c>
      <c r="FY57" t="e">
        <f>IF(#REF!,"AAAAAH263LQ=",0)</f>
        <v>#REF!</v>
      </c>
      <c r="FZ57" t="e">
        <f>IF(#REF!,"AAAAAH263LU=",0)</f>
        <v>#REF!</v>
      </c>
      <c r="GA57" t="e">
        <f>IF(#REF!,"AAAAAH263LY=",0)</f>
        <v>#REF!</v>
      </c>
      <c r="GB57" t="e">
        <f>IF(#REF!,"AAAAAH263Lc=",0)</f>
        <v>#REF!</v>
      </c>
      <c r="GC57" t="e">
        <f>IF(#REF!,"AAAAAH263Lg=",0)</f>
        <v>#REF!</v>
      </c>
      <c r="GD57" t="e">
        <f>IF(#REF!,"AAAAAH263Lk=",0)</f>
        <v>#REF!</v>
      </c>
      <c r="GE57" t="e">
        <f>IF(#REF!,"AAAAAH263Lo=",0)</f>
        <v>#REF!</v>
      </c>
      <c r="GF57" t="e">
        <f>IF(#REF!,"AAAAAH263Ls=",0)</f>
        <v>#REF!</v>
      </c>
      <c r="GG57" t="e">
        <f>IF(#REF!,"AAAAAH263Lw=",0)</f>
        <v>#REF!</v>
      </c>
      <c r="GH57" t="e">
        <f>IF(#REF!,"AAAAAH263L0=",0)</f>
        <v>#REF!</v>
      </c>
      <c r="GI57" t="e">
        <f>IF(#REF!,"AAAAAH263L4=",0)</f>
        <v>#REF!</v>
      </c>
      <c r="GJ57" t="e">
        <f>IF(#REF!,"AAAAAH263L8=",0)</f>
        <v>#REF!</v>
      </c>
      <c r="GK57" t="e">
        <f>IF(#REF!,"AAAAAH263MA=",0)</f>
        <v>#REF!</v>
      </c>
      <c r="GL57" t="e">
        <f>IF(#REF!,"AAAAAH263ME=",0)</f>
        <v>#REF!</v>
      </c>
      <c r="GM57" t="e">
        <f>IF(#REF!,"AAAAAH263MI=",0)</f>
        <v>#REF!</v>
      </c>
      <c r="GN57" t="e">
        <f>IF(#REF!,"AAAAAH263MM=",0)</f>
        <v>#REF!</v>
      </c>
      <c r="GO57" t="e">
        <f>IF(#REF!,"AAAAAH263MQ=",0)</f>
        <v>#REF!</v>
      </c>
      <c r="GP57" t="e">
        <f>IF(#REF!,"AAAAAH263MU=",0)</f>
        <v>#REF!</v>
      </c>
      <c r="GQ57" t="e">
        <f>IF(#REF!,"AAAAAH263MY=",0)</f>
        <v>#REF!</v>
      </c>
      <c r="GR57" t="e">
        <f>IF(#REF!,"AAAAAH263Mc=",0)</f>
        <v>#REF!</v>
      </c>
      <c r="GS57" t="e">
        <f>IF(#REF!,"AAAAAH263Mg=",0)</f>
        <v>#REF!</v>
      </c>
      <c r="GT57" t="e">
        <f>IF(#REF!,"AAAAAH263Mk=",0)</f>
        <v>#REF!</v>
      </c>
      <c r="GU57" t="e">
        <f>IF(#REF!,"AAAAAH263Mo=",0)</f>
        <v>#REF!</v>
      </c>
      <c r="GV57" t="e">
        <f>IF(#REF!,"AAAAAH263Ms=",0)</f>
        <v>#REF!</v>
      </c>
      <c r="GW57" t="e">
        <f>IF(#REF!,"AAAAAH263Mw=",0)</f>
        <v>#REF!</v>
      </c>
      <c r="GX57" t="e">
        <f>IF(#REF!,"AAAAAH263M0=",0)</f>
        <v>#REF!</v>
      </c>
      <c r="GY57" t="e">
        <f>IF(#REF!,"AAAAAH263M4=",0)</f>
        <v>#REF!</v>
      </c>
      <c r="GZ57" t="e">
        <f>IF(#REF!,"AAAAAH263M8=",0)</f>
        <v>#REF!</v>
      </c>
      <c r="HA57" t="e">
        <f>IF(#REF!,"AAAAAH263NA=",0)</f>
        <v>#REF!</v>
      </c>
      <c r="HB57" t="e">
        <f>IF(#REF!,"AAAAAH263NE=",0)</f>
        <v>#REF!</v>
      </c>
      <c r="HC57" t="e">
        <f>IF(#REF!,"AAAAAH263NI=",0)</f>
        <v>#REF!</v>
      </c>
      <c r="HD57" t="e">
        <f>IF(#REF!,"AAAAAH263NM=",0)</f>
        <v>#REF!</v>
      </c>
      <c r="HE57" t="e">
        <f>IF(#REF!,"AAAAAH263NQ=",0)</f>
        <v>#REF!</v>
      </c>
      <c r="HF57" t="e">
        <f>IF(#REF!,"AAAAAH263NU=",0)</f>
        <v>#REF!</v>
      </c>
      <c r="HG57" t="e">
        <f>IF(#REF!,"AAAAAH263NY=",0)</f>
        <v>#REF!</v>
      </c>
      <c r="HH57" t="e">
        <f>IF(#REF!,"AAAAAH263Nc=",0)</f>
        <v>#REF!</v>
      </c>
      <c r="HI57" t="e">
        <f>IF(#REF!,"AAAAAH263Ng=",0)</f>
        <v>#REF!</v>
      </c>
      <c r="HJ57" t="e">
        <f>IF(#REF!,"AAAAAH263Nk=",0)</f>
        <v>#REF!</v>
      </c>
      <c r="HK57" t="e">
        <f>IF(#REF!,"AAAAAH263No=",0)</f>
        <v>#REF!</v>
      </c>
      <c r="HL57" t="e">
        <f>IF(#REF!,"AAAAAH263Ns=",0)</f>
        <v>#REF!</v>
      </c>
      <c r="HM57" t="e">
        <f>IF(#REF!,"AAAAAH263Nw=",0)</f>
        <v>#REF!</v>
      </c>
      <c r="HN57" t="e">
        <f>IF(#REF!,"AAAAAH263N0=",0)</f>
        <v>#REF!</v>
      </c>
      <c r="HO57" t="e">
        <f>IF(#REF!,"AAAAAH263N4=",0)</f>
        <v>#REF!</v>
      </c>
      <c r="HP57" t="e">
        <f>IF(#REF!,"AAAAAH263N8=",0)</f>
        <v>#REF!</v>
      </c>
      <c r="HQ57" t="e">
        <f>IF(#REF!,"AAAAAH263OA=",0)</f>
        <v>#REF!</v>
      </c>
      <c r="HR57" t="e">
        <f>IF(#REF!,"AAAAAH263OE=",0)</f>
        <v>#REF!</v>
      </c>
      <c r="HS57" t="e">
        <f>IF(#REF!,"AAAAAH263OI=",0)</f>
        <v>#REF!</v>
      </c>
      <c r="HT57" t="e">
        <f>IF(#REF!,"AAAAAH263OM=",0)</f>
        <v>#REF!</v>
      </c>
      <c r="HU57" t="e">
        <f>IF(#REF!,"AAAAAH263OQ=",0)</f>
        <v>#REF!</v>
      </c>
      <c r="HV57" t="e">
        <f>IF(#REF!,"AAAAAH263OU=",0)</f>
        <v>#REF!</v>
      </c>
      <c r="HW57" t="e">
        <f>IF(#REF!,"AAAAAH263OY=",0)</f>
        <v>#REF!</v>
      </c>
      <c r="HX57" t="e">
        <f>IF(#REF!,"AAAAAH263Oc=",0)</f>
        <v>#REF!</v>
      </c>
      <c r="HY57" t="e">
        <f>IF(#REF!,"AAAAAH263Og=",0)</f>
        <v>#REF!</v>
      </c>
      <c r="HZ57" t="e">
        <f>IF(#REF!,"AAAAAH263Ok=",0)</f>
        <v>#REF!</v>
      </c>
      <c r="IA57" t="e">
        <f>IF(#REF!,"AAAAAH263Oo=",0)</f>
        <v>#REF!</v>
      </c>
      <c r="IB57" t="e">
        <f>IF(#REF!,"AAAAAH263Os=",0)</f>
        <v>#REF!</v>
      </c>
      <c r="IC57" t="e">
        <f>IF(#REF!,"AAAAAH263Ow=",0)</f>
        <v>#REF!</v>
      </c>
      <c r="ID57" t="e">
        <f>IF(#REF!,"AAAAAH263O0=",0)</f>
        <v>#REF!</v>
      </c>
      <c r="IE57" t="e">
        <f>IF(#REF!,"AAAAAH263O4=",0)</f>
        <v>#REF!</v>
      </c>
      <c r="IF57" t="e">
        <f>IF(#REF!,"AAAAAH263O8=",0)</f>
        <v>#REF!</v>
      </c>
      <c r="IG57" t="e">
        <f>IF(#REF!,"AAAAAH263PA=",0)</f>
        <v>#REF!</v>
      </c>
      <c r="IH57" t="e">
        <f>IF(#REF!,"AAAAAH263PE=",0)</f>
        <v>#REF!</v>
      </c>
      <c r="II57" t="e">
        <f>IF(#REF!,"AAAAAH263PI=",0)</f>
        <v>#REF!</v>
      </c>
      <c r="IJ57" t="e">
        <f>IF(#REF!,"AAAAAH263PM=",0)</f>
        <v>#REF!</v>
      </c>
      <c r="IK57" t="e">
        <f>IF(#REF!,"AAAAAH263PQ=",0)</f>
        <v>#REF!</v>
      </c>
      <c r="IL57" t="e">
        <f>IF(#REF!,"AAAAAH263PU=",0)</f>
        <v>#REF!</v>
      </c>
      <c r="IM57" t="e">
        <f>IF(#REF!,"AAAAAH263PY=",0)</f>
        <v>#REF!</v>
      </c>
      <c r="IN57" t="e">
        <f>IF(#REF!,"AAAAAH263Pc=",0)</f>
        <v>#REF!</v>
      </c>
      <c r="IO57" t="e">
        <f>IF(#REF!,"AAAAAH263Pg=",0)</f>
        <v>#REF!</v>
      </c>
      <c r="IP57" t="e">
        <f>IF(#REF!,"AAAAAH263Pk=",0)</f>
        <v>#REF!</v>
      </c>
      <c r="IQ57" t="e">
        <f>IF(#REF!,"AAAAAH263Po=",0)</f>
        <v>#REF!</v>
      </c>
      <c r="IR57" t="e">
        <f>IF(#REF!,"AAAAAH263Ps=",0)</f>
        <v>#REF!</v>
      </c>
      <c r="IS57" t="e">
        <f>IF(#REF!,"AAAAAH263Pw=",0)</f>
        <v>#REF!</v>
      </c>
      <c r="IT57" t="e">
        <f>IF(#REF!,"AAAAAH263P0=",0)</f>
        <v>#REF!</v>
      </c>
      <c r="IU57" t="e">
        <f>IF(#REF!,"AAAAAH263P4=",0)</f>
        <v>#REF!</v>
      </c>
      <c r="IV57" t="e">
        <f>IF(#REF!,"AAAAAH263P8=",0)</f>
        <v>#REF!</v>
      </c>
    </row>
    <row r="58" spans="1:256" x14ac:dyDescent="0.35">
      <c r="A58" t="e">
        <f>IF(#REF!,"AAAAAH8+/QA=",0)</f>
        <v>#REF!</v>
      </c>
      <c r="B58" t="e">
        <f>IF(#REF!,"AAAAAH8+/QE=",0)</f>
        <v>#REF!</v>
      </c>
      <c r="C58" t="e">
        <f>IF(#REF!,"AAAAAH8+/QI=",0)</f>
        <v>#REF!</v>
      </c>
      <c r="D58" t="e">
        <f>IF(#REF!,"AAAAAH8+/QM=",0)</f>
        <v>#REF!</v>
      </c>
      <c r="E58" t="e">
        <f>IF(#REF!,"AAAAAH8+/QQ=",0)</f>
        <v>#REF!</v>
      </c>
      <c r="F58" t="e">
        <f>IF(#REF!,"AAAAAH8+/QU=",0)</f>
        <v>#REF!</v>
      </c>
      <c r="G58" t="e">
        <f>IF(#REF!,"AAAAAH8+/QY=",0)</f>
        <v>#REF!</v>
      </c>
      <c r="H58" t="e">
        <f>IF(#REF!,"AAAAAH8+/Qc=",0)</f>
        <v>#REF!</v>
      </c>
      <c r="I58" t="e">
        <f>IF(#REF!,"AAAAAH8+/Qg=",0)</f>
        <v>#REF!</v>
      </c>
      <c r="J58" t="e">
        <f>IF(#REF!,"AAAAAH8+/Qk=",0)</f>
        <v>#REF!</v>
      </c>
      <c r="K58" t="e">
        <f>IF(#REF!,"AAAAAH8+/Qo=",0)</f>
        <v>#REF!</v>
      </c>
      <c r="L58" t="e">
        <f>IF(#REF!,"AAAAAH8+/Qs=",0)</f>
        <v>#REF!</v>
      </c>
      <c r="M58" t="e">
        <f>IF(#REF!,"AAAAAH8+/Qw=",0)</f>
        <v>#REF!</v>
      </c>
      <c r="N58" t="e">
        <f>IF(#REF!,"AAAAAH8+/Q0=",0)</f>
        <v>#REF!</v>
      </c>
      <c r="O58" t="e">
        <f>IF(#REF!,"AAAAAH8+/Q4=",0)</f>
        <v>#REF!</v>
      </c>
      <c r="P58" t="e">
        <f>IF(#REF!,"AAAAAH8+/Q8=",0)</f>
        <v>#REF!</v>
      </c>
      <c r="Q58" t="e">
        <f>IF(#REF!,"AAAAAH8+/RA=",0)</f>
        <v>#REF!</v>
      </c>
      <c r="R58" t="e">
        <f>IF(#REF!,"AAAAAH8+/RE=",0)</f>
        <v>#REF!</v>
      </c>
      <c r="S58" t="e">
        <f>IF(#REF!,"AAAAAH8+/RI=",0)</f>
        <v>#REF!</v>
      </c>
      <c r="T58" t="e">
        <f>IF(#REF!,"AAAAAH8+/RM=",0)</f>
        <v>#REF!</v>
      </c>
      <c r="U58" t="e">
        <f>IF(#REF!,"AAAAAH8+/RQ=",0)</f>
        <v>#REF!</v>
      </c>
      <c r="V58" t="e">
        <f>IF(#REF!,"AAAAAH8+/RU=",0)</f>
        <v>#REF!</v>
      </c>
      <c r="W58" t="e">
        <f>IF(#REF!,"AAAAAH8+/RY=",0)</f>
        <v>#REF!</v>
      </c>
      <c r="X58" t="e">
        <f>IF(#REF!,"AAAAAH8+/Rc=",0)</f>
        <v>#REF!</v>
      </c>
      <c r="Y58" t="e">
        <f>IF(#REF!,"AAAAAH8+/Rg=",0)</f>
        <v>#REF!</v>
      </c>
      <c r="Z58" t="e">
        <f>IF(#REF!,"AAAAAH8+/Rk=",0)</f>
        <v>#REF!</v>
      </c>
      <c r="AA58" t="e">
        <f>IF(#REF!,"AAAAAH8+/Ro=",0)</f>
        <v>#REF!</v>
      </c>
      <c r="AB58" t="e">
        <f>IF(#REF!,"AAAAAH8+/Rs=",0)</f>
        <v>#REF!</v>
      </c>
      <c r="AC58" t="e">
        <f>IF(#REF!,"AAAAAH8+/Rw=",0)</f>
        <v>#REF!</v>
      </c>
      <c r="AD58" t="e">
        <f>IF(#REF!,"AAAAAH8+/R0=",0)</f>
        <v>#REF!</v>
      </c>
      <c r="AE58" t="e">
        <f>IF(#REF!,"AAAAAH8+/R4=",0)</f>
        <v>#REF!</v>
      </c>
      <c r="AF58" t="e">
        <f>IF(#REF!,"AAAAAH8+/R8=",0)</f>
        <v>#REF!</v>
      </c>
      <c r="AG58" t="e">
        <f>IF(#REF!,"AAAAAH8+/SA=",0)</f>
        <v>#REF!</v>
      </c>
      <c r="AH58" t="e">
        <f>IF(#REF!,"AAAAAH8+/SE=",0)</f>
        <v>#REF!</v>
      </c>
      <c r="AI58" t="e">
        <f>IF(#REF!,"AAAAAH8+/SI=",0)</f>
        <v>#REF!</v>
      </c>
      <c r="AJ58" t="e">
        <f>IF(#REF!,"AAAAAH8+/SM=",0)</f>
        <v>#REF!</v>
      </c>
      <c r="AK58" t="e">
        <f>IF(#REF!,"AAAAAH8+/SQ=",0)</f>
        <v>#REF!</v>
      </c>
      <c r="AL58" t="e">
        <f>IF(#REF!,"AAAAAH8+/SU=",0)</f>
        <v>#REF!</v>
      </c>
      <c r="AM58" t="e">
        <f>IF(#REF!,"AAAAAH8+/SY=",0)</f>
        <v>#REF!</v>
      </c>
      <c r="AN58" t="e">
        <f>IF(#REF!,"AAAAAH8+/Sc=",0)</f>
        <v>#REF!</v>
      </c>
      <c r="AO58" t="e">
        <f>IF(#REF!,"AAAAAH8+/Sg=",0)</f>
        <v>#REF!</v>
      </c>
      <c r="AP58" t="e">
        <f>IF(#REF!,"AAAAAH8+/Sk=",0)</f>
        <v>#REF!</v>
      </c>
      <c r="AQ58" t="e">
        <f>IF(#REF!,"AAAAAH8+/So=",0)</f>
        <v>#REF!</v>
      </c>
      <c r="AR58" t="e">
        <f>IF(#REF!,"AAAAAH8+/Ss=",0)</f>
        <v>#REF!</v>
      </c>
      <c r="AS58" t="e">
        <f>IF(#REF!,"AAAAAH8+/Sw=",0)</f>
        <v>#REF!</v>
      </c>
      <c r="AT58" t="e">
        <f>IF(#REF!,"AAAAAH8+/S0=",0)</f>
        <v>#REF!</v>
      </c>
      <c r="AU58" t="e">
        <f>IF(#REF!,"AAAAAH8+/S4=",0)</f>
        <v>#REF!</v>
      </c>
      <c r="AV58" t="e">
        <f>IF(#REF!,"AAAAAH8+/S8=",0)</f>
        <v>#REF!</v>
      </c>
      <c r="AW58" t="e">
        <f>IF(#REF!,"AAAAAH8+/TA=",0)</f>
        <v>#REF!</v>
      </c>
      <c r="AX58" t="e">
        <f>IF(#REF!,"AAAAAH8+/TE=",0)</f>
        <v>#REF!</v>
      </c>
      <c r="AY58" t="e">
        <f>IF(#REF!,"AAAAAH8+/TI=",0)</f>
        <v>#REF!</v>
      </c>
      <c r="AZ58" t="e">
        <f>IF(#REF!,"AAAAAH8+/TM=",0)</f>
        <v>#REF!</v>
      </c>
      <c r="BA58" t="e">
        <f>IF(#REF!,"AAAAAH8+/TQ=",0)</f>
        <v>#REF!</v>
      </c>
      <c r="BB58" t="e">
        <f>IF(#REF!,"AAAAAH8+/TU=",0)</f>
        <v>#REF!</v>
      </c>
      <c r="BC58" t="e">
        <f>IF(#REF!,"AAAAAH8+/TY=",0)</f>
        <v>#REF!</v>
      </c>
      <c r="BD58" t="e">
        <f>IF(#REF!,"AAAAAH8+/Tc=",0)</f>
        <v>#REF!</v>
      </c>
      <c r="BE58" t="e">
        <f>IF(#REF!,"AAAAAH8+/Tg=",0)</f>
        <v>#REF!</v>
      </c>
      <c r="BF58" t="e">
        <f>IF(#REF!,"AAAAAH8+/Tk=",0)</f>
        <v>#REF!</v>
      </c>
      <c r="BG58" t="e">
        <f>IF(#REF!,"AAAAAH8+/To=",0)</f>
        <v>#REF!</v>
      </c>
      <c r="BH58" t="e">
        <f>IF(#REF!,"AAAAAH8+/Ts=",0)</f>
        <v>#REF!</v>
      </c>
      <c r="BI58" t="e">
        <f>IF(#REF!,"AAAAAH8+/Tw=",0)</f>
        <v>#REF!</v>
      </c>
      <c r="BJ58" t="e">
        <f>IF(#REF!,"AAAAAH8+/T0=",0)</f>
        <v>#REF!</v>
      </c>
      <c r="BK58" t="e">
        <f>IF(#REF!,"AAAAAH8+/T4=",0)</f>
        <v>#REF!</v>
      </c>
      <c r="BL58" t="e">
        <f>IF(#REF!,"AAAAAH8+/T8=",0)</f>
        <v>#REF!</v>
      </c>
      <c r="BM58" t="e">
        <f>IF(#REF!,"AAAAAH8+/UA=",0)</f>
        <v>#REF!</v>
      </c>
      <c r="BN58" t="e">
        <f>IF(#REF!,"AAAAAH8+/UE=",0)</f>
        <v>#REF!</v>
      </c>
      <c r="BO58" t="e">
        <f>IF(#REF!,"AAAAAH8+/UI=",0)</f>
        <v>#REF!</v>
      </c>
      <c r="BP58" t="e">
        <f>IF(#REF!,"AAAAAH8+/UM=",0)</f>
        <v>#REF!</v>
      </c>
      <c r="BQ58" t="e">
        <f>IF(#REF!,"AAAAAH8+/UQ=",0)</f>
        <v>#REF!</v>
      </c>
      <c r="BR58" t="e">
        <f>IF(#REF!,"AAAAAH8+/UU=",0)</f>
        <v>#REF!</v>
      </c>
      <c r="BS58" t="e">
        <f>IF(#REF!,"AAAAAH8+/UY=",0)</f>
        <v>#REF!</v>
      </c>
      <c r="BT58" t="e">
        <f>IF(#REF!,"AAAAAH8+/Uc=",0)</f>
        <v>#REF!</v>
      </c>
      <c r="BU58" t="e">
        <f>IF(#REF!,"AAAAAH8+/Ug=",0)</f>
        <v>#REF!</v>
      </c>
      <c r="BV58" t="e">
        <f>IF(#REF!,"AAAAAH8+/Uk=",0)</f>
        <v>#REF!</v>
      </c>
      <c r="BW58" t="e">
        <f>IF(#REF!,"AAAAAH8+/Uo=",0)</f>
        <v>#REF!</v>
      </c>
      <c r="BX58" t="e">
        <f>IF(#REF!,"AAAAAH8+/Us=",0)</f>
        <v>#REF!</v>
      </c>
      <c r="BY58" t="e">
        <f>IF(#REF!,"AAAAAH8+/Uw=",0)</f>
        <v>#REF!</v>
      </c>
      <c r="BZ58" t="e">
        <f>IF(#REF!,"AAAAAH8+/U0=",0)</f>
        <v>#REF!</v>
      </c>
      <c r="CA58" t="e">
        <f>IF(#REF!,"AAAAAH8+/U4=",0)</f>
        <v>#REF!</v>
      </c>
      <c r="CB58" t="e">
        <f>IF(#REF!,"AAAAAH8+/U8=",0)</f>
        <v>#REF!</v>
      </c>
      <c r="CC58" t="e">
        <f>IF(#REF!,"AAAAAH8+/VA=",0)</f>
        <v>#REF!</v>
      </c>
      <c r="CD58" t="e">
        <f>IF(#REF!,"AAAAAH8+/VE=",0)</f>
        <v>#REF!</v>
      </c>
      <c r="CE58" t="e">
        <f>IF(#REF!,"AAAAAH8+/VI=",0)</f>
        <v>#REF!</v>
      </c>
      <c r="CF58" t="e">
        <f>IF(#REF!,"AAAAAH8+/VM=",0)</f>
        <v>#REF!</v>
      </c>
      <c r="CG58" t="e">
        <f>IF(#REF!,"AAAAAH8+/VQ=",0)</f>
        <v>#REF!</v>
      </c>
      <c r="CH58" t="e">
        <f>IF(#REF!,"AAAAAH8+/VU=",0)</f>
        <v>#REF!</v>
      </c>
      <c r="CI58" t="e">
        <f>IF(#REF!,"AAAAAH8+/VY=",0)</f>
        <v>#REF!</v>
      </c>
      <c r="CJ58" t="e">
        <f>IF(#REF!,"AAAAAH8+/Vc=",0)</f>
        <v>#REF!</v>
      </c>
      <c r="CK58" t="e">
        <f>IF(#REF!,"AAAAAH8+/Vg=",0)</f>
        <v>#REF!</v>
      </c>
      <c r="CL58" t="e">
        <f>IF(#REF!,"AAAAAH8+/Vk=",0)</f>
        <v>#REF!</v>
      </c>
      <c r="CM58" t="e">
        <f>IF(#REF!,"AAAAAH8+/Vo=",0)</f>
        <v>#REF!</v>
      </c>
      <c r="CN58" t="e">
        <f>IF(#REF!,"AAAAAH8+/Vs=",0)</f>
        <v>#REF!</v>
      </c>
      <c r="CO58" t="e">
        <f>IF(#REF!,"AAAAAH8+/Vw=",0)</f>
        <v>#REF!</v>
      </c>
      <c r="CP58" t="e">
        <f>IF(#REF!,"AAAAAH8+/V0=",0)</f>
        <v>#REF!</v>
      </c>
      <c r="CQ58" t="e">
        <f>IF(#REF!,"AAAAAH8+/V4=",0)</f>
        <v>#REF!</v>
      </c>
      <c r="CR58" t="e">
        <f>IF(#REF!,"AAAAAH8+/V8=",0)</f>
        <v>#REF!</v>
      </c>
      <c r="CS58" t="e">
        <f>IF(#REF!,"AAAAAH8+/WA=",0)</f>
        <v>#REF!</v>
      </c>
      <c r="CT58" t="e">
        <f>IF(#REF!,"AAAAAH8+/WE=",0)</f>
        <v>#REF!</v>
      </c>
      <c r="CU58" t="e">
        <f>IF(#REF!,"AAAAAH8+/WI=",0)</f>
        <v>#REF!</v>
      </c>
      <c r="CV58" t="e">
        <f>IF(#REF!,"AAAAAH8+/WM=",0)</f>
        <v>#REF!</v>
      </c>
      <c r="CW58" t="e">
        <f>IF(#REF!,"AAAAAH8+/WQ=",0)</f>
        <v>#REF!</v>
      </c>
      <c r="CX58" t="e">
        <f>IF(#REF!,"AAAAAH8+/WU=",0)</f>
        <v>#REF!</v>
      </c>
      <c r="CY58" t="e">
        <f>IF(#REF!,"AAAAAH8+/WY=",0)</f>
        <v>#REF!</v>
      </c>
      <c r="CZ58" t="e">
        <f>IF(#REF!,"AAAAAH8+/Wc=",0)</f>
        <v>#REF!</v>
      </c>
      <c r="DA58" t="e">
        <f>IF(#REF!,"AAAAAH8+/Wg=",0)</f>
        <v>#REF!</v>
      </c>
      <c r="DB58" t="e">
        <f>IF(#REF!,"AAAAAH8+/Wk=",0)</f>
        <v>#REF!</v>
      </c>
      <c r="DC58" t="e">
        <f>IF(#REF!,"AAAAAH8+/Wo=",0)</f>
        <v>#REF!</v>
      </c>
      <c r="DD58" t="e">
        <f>IF(#REF!,"AAAAAH8+/Ws=",0)</f>
        <v>#REF!</v>
      </c>
      <c r="DE58" t="e">
        <f>IF(#REF!,"AAAAAH8+/Ww=",0)</f>
        <v>#REF!</v>
      </c>
      <c r="DF58" t="e">
        <f>IF(#REF!,"AAAAAH8+/W0=",0)</f>
        <v>#REF!</v>
      </c>
      <c r="DG58" t="e">
        <f>IF(#REF!,"AAAAAH8+/W4=",0)</f>
        <v>#REF!</v>
      </c>
      <c r="DH58" t="e">
        <f>IF(#REF!,"AAAAAH8+/W8=",0)</f>
        <v>#REF!</v>
      </c>
      <c r="DI58" t="e">
        <f>IF(#REF!,"AAAAAH8+/XA=",0)</f>
        <v>#REF!</v>
      </c>
      <c r="DJ58" t="e">
        <f>IF(#REF!,"AAAAAH8+/XE=",0)</f>
        <v>#REF!</v>
      </c>
      <c r="DK58" t="e">
        <f>IF(#REF!,"AAAAAH8+/XI=",0)</f>
        <v>#REF!</v>
      </c>
      <c r="DL58" t="e">
        <f>IF(#REF!,"AAAAAH8+/XM=",0)</f>
        <v>#REF!</v>
      </c>
      <c r="DM58" t="e">
        <f>IF(#REF!,"AAAAAH8+/XQ=",0)</f>
        <v>#REF!</v>
      </c>
      <c r="DN58" t="e">
        <f>IF(#REF!,"AAAAAH8+/XU=",0)</f>
        <v>#REF!</v>
      </c>
      <c r="DO58" t="e">
        <f>IF(#REF!,"AAAAAH8+/XY=",0)</f>
        <v>#REF!</v>
      </c>
      <c r="DP58" t="e">
        <f>IF(#REF!,"AAAAAH8+/Xc=",0)</f>
        <v>#REF!</v>
      </c>
      <c r="DQ58" t="e">
        <f>IF(#REF!,"AAAAAH8+/Xg=",0)</f>
        <v>#REF!</v>
      </c>
      <c r="DR58" t="e">
        <f>IF(#REF!,"AAAAAH8+/Xk=",0)</f>
        <v>#REF!</v>
      </c>
      <c r="DS58" t="e">
        <f>IF(#REF!,"AAAAAH8+/Xo=",0)</f>
        <v>#REF!</v>
      </c>
      <c r="DT58" t="e">
        <f>IF(#REF!,"AAAAAH8+/Xs=",0)</f>
        <v>#REF!</v>
      </c>
      <c r="DU58" t="e">
        <f>IF(#REF!,"AAAAAH8+/Xw=",0)</f>
        <v>#REF!</v>
      </c>
      <c r="DV58" t="e">
        <f>IF(#REF!,"AAAAAH8+/X0=",0)</f>
        <v>#REF!</v>
      </c>
      <c r="DW58" t="e">
        <f>IF(#REF!,"AAAAAH8+/X4=",0)</f>
        <v>#REF!</v>
      </c>
      <c r="DX58" t="e">
        <f>IF(#REF!,"AAAAAH8+/X8=",0)</f>
        <v>#REF!</v>
      </c>
      <c r="DY58" t="e">
        <f>IF(#REF!,"AAAAAH8+/YA=",0)</f>
        <v>#REF!</v>
      </c>
      <c r="DZ58" t="e">
        <f>IF(#REF!,"AAAAAH8+/YE=",0)</f>
        <v>#REF!</v>
      </c>
      <c r="EA58" t="e">
        <f>AND(#REF!,"AAAAAH8+/YI=")</f>
        <v>#REF!</v>
      </c>
      <c r="EB58" t="e">
        <f>AND(#REF!,"AAAAAH8+/YM=")</f>
        <v>#REF!</v>
      </c>
      <c r="EC58" t="e">
        <f>AND(#REF!,"AAAAAH8+/YQ=")</f>
        <v>#REF!</v>
      </c>
      <c r="ED58" t="e">
        <f>AND(#REF!,"AAAAAH8+/YU=")</f>
        <v>#REF!</v>
      </c>
      <c r="EE58" t="e">
        <f>AND(#REF!,"AAAAAH8+/YY=")</f>
        <v>#REF!</v>
      </c>
      <c r="EF58" t="e">
        <f>AND(#REF!,"AAAAAH8+/Yc=")</f>
        <v>#REF!</v>
      </c>
      <c r="EG58" t="e">
        <f>AND(#REF!,"AAAAAH8+/Yg=")</f>
        <v>#REF!</v>
      </c>
      <c r="EH58" t="e">
        <f>AND(#REF!,"AAAAAH8+/Yk=")</f>
        <v>#REF!</v>
      </c>
      <c r="EI58" t="e">
        <f>AND(#REF!,"AAAAAH8+/Yo=")</f>
        <v>#REF!</v>
      </c>
      <c r="EJ58" t="e">
        <f>AND(#REF!,"AAAAAH8+/Ys=")</f>
        <v>#REF!</v>
      </c>
      <c r="EK58" t="e">
        <f>AND(#REF!,"AAAAAH8+/Yw=")</f>
        <v>#REF!</v>
      </c>
      <c r="EL58" t="e">
        <f>AND(#REF!,"AAAAAH8+/Y0=")</f>
        <v>#REF!</v>
      </c>
      <c r="EM58" t="e">
        <f>AND(#REF!,"AAAAAH8+/Y4=")</f>
        <v>#REF!</v>
      </c>
      <c r="EN58" t="e">
        <f>AND(#REF!,"AAAAAH8+/Y8=")</f>
        <v>#REF!</v>
      </c>
      <c r="EO58" t="e">
        <f>AND(#REF!,"AAAAAH8+/ZA=")</f>
        <v>#REF!</v>
      </c>
      <c r="EP58" t="e">
        <f>AND(#REF!,"AAAAAH8+/ZE=")</f>
        <v>#REF!</v>
      </c>
      <c r="EQ58" t="e">
        <f>AND(#REF!,"AAAAAH8+/ZI=")</f>
        <v>#REF!</v>
      </c>
      <c r="ER58" t="e">
        <f>AND(#REF!,"AAAAAH8+/ZM=")</f>
        <v>#REF!</v>
      </c>
      <c r="ES58" t="e">
        <f>AND(#REF!,"AAAAAH8+/ZQ=")</f>
        <v>#REF!</v>
      </c>
      <c r="ET58" t="e">
        <f>AND(#REF!,"AAAAAH8+/ZU=")</f>
        <v>#REF!</v>
      </c>
      <c r="EU58" t="e">
        <f>AND(#REF!,"AAAAAH8+/ZY=")</f>
        <v>#REF!</v>
      </c>
      <c r="EV58" t="e">
        <f>AND(#REF!,"AAAAAH8+/Zc=")</f>
        <v>#REF!</v>
      </c>
      <c r="EW58" t="e">
        <f>IF(#REF!,"AAAAAH8+/Zg=",0)</f>
        <v>#REF!</v>
      </c>
      <c r="EX58" t="e">
        <f>AND(#REF!,"AAAAAH8+/Zk=")</f>
        <v>#REF!</v>
      </c>
      <c r="EY58" t="e">
        <f>AND(#REF!,"AAAAAH8+/Zo=")</f>
        <v>#REF!</v>
      </c>
      <c r="EZ58" t="e">
        <f>AND(#REF!,"AAAAAH8+/Zs=")</f>
        <v>#REF!</v>
      </c>
      <c r="FA58" t="e">
        <f>AND(#REF!,"AAAAAH8+/Zw=")</f>
        <v>#REF!</v>
      </c>
      <c r="FB58" t="e">
        <f>AND(#REF!,"AAAAAH8+/Z0=")</f>
        <v>#REF!</v>
      </c>
      <c r="FC58" t="e">
        <f>AND(#REF!,"AAAAAH8+/Z4=")</f>
        <v>#REF!</v>
      </c>
      <c r="FD58" t="e">
        <f>AND(#REF!,"AAAAAH8+/Z8=")</f>
        <v>#REF!</v>
      </c>
      <c r="FE58" t="e">
        <f>AND(#REF!,"AAAAAH8+/aA=")</f>
        <v>#REF!</v>
      </c>
      <c r="FF58" t="e">
        <f>AND(#REF!,"AAAAAH8+/aE=")</f>
        <v>#REF!</v>
      </c>
      <c r="FG58" t="e">
        <f>AND(#REF!,"AAAAAH8+/aI=")</f>
        <v>#REF!</v>
      </c>
      <c r="FH58" t="e">
        <f>AND(#REF!,"AAAAAH8+/aM=")</f>
        <v>#REF!</v>
      </c>
      <c r="FI58" t="e">
        <f>AND(#REF!,"AAAAAH8+/aQ=")</f>
        <v>#REF!</v>
      </c>
      <c r="FJ58" t="e">
        <f>AND(#REF!,"AAAAAH8+/aU=")</f>
        <v>#REF!</v>
      </c>
      <c r="FK58" t="e">
        <f>AND(#REF!,"AAAAAH8+/aY=")</f>
        <v>#REF!</v>
      </c>
      <c r="FL58" t="e">
        <f>AND(#REF!,"AAAAAH8+/ac=")</f>
        <v>#REF!</v>
      </c>
      <c r="FM58" t="e">
        <f>AND(#REF!,"AAAAAH8+/ag=")</f>
        <v>#REF!</v>
      </c>
      <c r="FN58" t="e">
        <f>AND(#REF!,"AAAAAH8+/ak=")</f>
        <v>#REF!</v>
      </c>
      <c r="FO58" t="e">
        <f>AND(#REF!,"AAAAAH8+/ao=")</f>
        <v>#REF!</v>
      </c>
      <c r="FP58" t="e">
        <f>AND(#REF!,"AAAAAH8+/as=")</f>
        <v>#REF!</v>
      </c>
      <c r="FQ58" t="e">
        <f>AND(#REF!,"AAAAAH8+/aw=")</f>
        <v>#REF!</v>
      </c>
      <c r="FR58" t="e">
        <f>AND(#REF!,"AAAAAH8+/a0=")</f>
        <v>#REF!</v>
      </c>
      <c r="FS58" t="e">
        <f>AND(#REF!,"AAAAAH8+/a4=")</f>
        <v>#REF!</v>
      </c>
      <c r="FT58" t="e">
        <f>IF(#REF!,"AAAAAH8+/a8=",0)</f>
        <v>#REF!</v>
      </c>
      <c r="FU58" t="e">
        <f>AND(#REF!,"AAAAAH8+/bA=")</f>
        <v>#REF!</v>
      </c>
      <c r="FV58" t="e">
        <f>AND(#REF!,"AAAAAH8+/bE=")</f>
        <v>#REF!</v>
      </c>
      <c r="FW58" t="e">
        <f>AND(#REF!,"AAAAAH8+/bI=")</f>
        <v>#REF!</v>
      </c>
      <c r="FX58" t="e">
        <f>AND(#REF!,"AAAAAH8+/bM=")</f>
        <v>#REF!</v>
      </c>
      <c r="FY58" t="e">
        <f>AND(#REF!,"AAAAAH8+/bQ=")</f>
        <v>#REF!</v>
      </c>
      <c r="FZ58" t="e">
        <f>AND(#REF!,"AAAAAH8+/bU=")</f>
        <v>#REF!</v>
      </c>
      <c r="GA58" t="e">
        <f>AND(#REF!,"AAAAAH8+/bY=")</f>
        <v>#REF!</v>
      </c>
      <c r="GB58" t="e">
        <f>AND(#REF!,"AAAAAH8+/bc=")</f>
        <v>#REF!</v>
      </c>
      <c r="GC58" t="e">
        <f>AND(#REF!,"AAAAAH8+/bg=")</f>
        <v>#REF!</v>
      </c>
      <c r="GD58" t="e">
        <f>AND(#REF!,"AAAAAH8+/bk=")</f>
        <v>#REF!</v>
      </c>
      <c r="GE58" t="e">
        <f>AND(#REF!,"AAAAAH8+/bo=")</f>
        <v>#REF!</v>
      </c>
      <c r="GF58" t="e">
        <f>AND(#REF!,"AAAAAH8+/bs=")</f>
        <v>#REF!</v>
      </c>
      <c r="GG58" t="e">
        <f>AND(#REF!,"AAAAAH8+/bw=")</f>
        <v>#REF!</v>
      </c>
      <c r="GH58" t="e">
        <f>AND(#REF!,"AAAAAH8+/b0=")</f>
        <v>#REF!</v>
      </c>
      <c r="GI58" t="e">
        <f>AND(#REF!,"AAAAAH8+/b4=")</f>
        <v>#REF!</v>
      </c>
      <c r="GJ58" t="e">
        <f>AND(#REF!,"AAAAAH8+/b8=")</f>
        <v>#REF!</v>
      </c>
      <c r="GK58" t="e">
        <f>AND(#REF!,"AAAAAH8+/cA=")</f>
        <v>#REF!</v>
      </c>
      <c r="GL58" t="e">
        <f>AND(#REF!,"AAAAAH8+/cE=")</f>
        <v>#REF!</v>
      </c>
      <c r="GM58" t="e">
        <f>AND(#REF!,"AAAAAH8+/cI=")</f>
        <v>#REF!</v>
      </c>
      <c r="GN58" t="e">
        <f>AND(#REF!,"AAAAAH8+/cM=")</f>
        <v>#REF!</v>
      </c>
      <c r="GO58" t="e">
        <f>AND(#REF!,"AAAAAH8+/cQ=")</f>
        <v>#REF!</v>
      </c>
      <c r="GP58" t="e">
        <f>AND(#REF!,"AAAAAH8+/cU=")</f>
        <v>#REF!</v>
      </c>
      <c r="GQ58" t="e">
        <f>IF(#REF!,"AAAAAH8+/cY=",0)</f>
        <v>#REF!</v>
      </c>
      <c r="GR58" t="e">
        <f>AND(#REF!,"AAAAAH8+/cc=")</f>
        <v>#REF!</v>
      </c>
      <c r="GS58" t="e">
        <f>AND(#REF!,"AAAAAH8+/cg=")</f>
        <v>#REF!</v>
      </c>
      <c r="GT58" t="e">
        <f>AND(#REF!,"AAAAAH8+/ck=")</f>
        <v>#REF!</v>
      </c>
      <c r="GU58" t="e">
        <f>AND(#REF!,"AAAAAH8+/co=")</f>
        <v>#REF!</v>
      </c>
      <c r="GV58" t="e">
        <f>AND(#REF!,"AAAAAH8+/cs=")</f>
        <v>#REF!</v>
      </c>
      <c r="GW58" t="e">
        <f>AND(#REF!,"AAAAAH8+/cw=")</f>
        <v>#REF!</v>
      </c>
      <c r="GX58" t="e">
        <f>AND(#REF!,"AAAAAH8+/c0=")</f>
        <v>#REF!</v>
      </c>
      <c r="GY58" t="e">
        <f>AND(#REF!,"AAAAAH8+/c4=")</f>
        <v>#REF!</v>
      </c>
      <c r="GZ58" t="e">
        <f>AND(#REF!,"AAAAAH8+/c8=")</f>
        <v>#REF!</v>
      </c>
      <c r="HA58" t="e">
        <f>AND(#REF!,"AAAAAH8+/dA=")</f>
        <v>#REF!</v>
      </c>
      <c r="HB58" t="e">
        <f>AND(#REF!,"AAAAAH8+/dE=")</f>
        <v>#REF!</v>
      </c>
      <c r="HC58" t="e">
        <f>AND(#REF!,"AAAAAH8+/dI=")</f>
        <v>#REF!</v>
      </c>
      <c r="HD58" t="e">
        <f>AND(#REF!,"AAAAAH8+/dM=")</f>
        <v>#REF!</v>
      </c>
      <c r="HE58" t="e">
        <f>AND(#REF!,"AAAAAH8+/dQ=")</f>
        <v>#REF!</v>
      </c>
      <c r="HF58" t="e">
        <f>AND(#REF!,"AAAAAH8+/dU=")</f>
        <v>#REF!</v>
      </c>
      <c r="HG58" t="e">
        <f>AND(#REF!,"AAAAAH8+/dY=")</f>
        <v>#REF!</v>
      </c>
      <c r="HH58" t="e">
        <f>AND(#REF!,"AAAAAH8+/dc=")</f>
        <v>#REF!</v>
      </c>
      <c r="HI58" t="e">
        <f>AND(#REF!,"AAAAAH8+/dg=")</f>
        <v>#REF!</v>
      </c>
      <c r="HJ58" t="e">
        <f>AND(#REF!,"AAAAAH8+/dk=")</f>
        <v>#REF!</v>
      </c>
      <c r="HK58" t="e">
        <f>AND(#REF!,"AAAAAH8+/do=")</f>
        <v>#REF!</v>
      </c>
      <c r="HL58" t="e">
        <f>AND(#REF!,"AAAAAH8+/ds=")</f>
        <v>#REF!</v>
      </c>
      <c r="HM58" t="e">
        <f>AND(#REF!,"AAAAAH8+/dw=")</f>
        <v>#REF!</v>
      </c>
      <c r="HN58" t="e">
        <f>IF(#REF!,"AAAAAH8+/d0=",0)</f>
        <v>#REF!</v>
      </c>
      <c r="HO58" t="e">
        <f>AND(#REF!,"AAAAAH8+/d4=")</f>
        <v>#REF!</v>
      </c>
      <c r="HP58" t="e">
        <f>AND(#REF!,"AAAAAH8+/d8=")</f>
        <v>#REF!</v>
      </c>
      <c r="HQ58" t="e">
        <f>AND(#REF!,"AAAAAH8+/eA=")</f>
        <v>#REF!</v>
      </c>
      <c r="HR58" t="e">
        <f>AND(#REF!,"AAAAAH8+/eE=")</f>
        <v>#REF!</v>
      </c>
      <c r="HS58" t="e">
        <f>AND(#REF!,"AAAAAH8+/eI=")</f>
        <v>#REF!</v>
      </c>
      <c r="HT58" t="e">
        <f>AND(#REF!,"AAAAAH8+/eM=")</f>
        <v>#REF!</v>
      </c>
      <c r="HU58" t="e">
        <f>AND(#REF!,"AAAAAH8+/eQ=")</f>
        <v>#REF!</v>
      </c>
      <c r="HV58" t="e">
        <f>AND(#REF!,"AAAAAH8+/eU=")</f>
        <v>#REF!</v>
      </c>
      <c r="HW58" t="e">
        <f>AND(#REF!,"AAAAAH8+/eY=")</f>
        <v>#REF!</v>
      </c>
      <c r="HX58" t="e">
        <f>AND(#REF!,"AAAAAH8+/ec=")</f>
        <v>#REF!</v>
      </c>
      <c r="HY58" t="e">
        <f>AND(#REF!,"AAAAAH8+/eg=")</f>
        <v>#REF!</v>
      </c>
      <c r="HZ58" t="e">
        <f>AND(#REF!,"AAAAAH8+/ek=")</f>
        <v>#REF!</v>
      </c>
      <c r="IA58" t="e">
        <f>AND(#REF!,"AAAAAH8+/eo=")</f>
        <v>#REF!</v>
      </c>
      <c r="IB58" t="e">
        <f>AND(#REF!,"AAAAAH8+/es=")</f>
        <v>#REF!</v>
      </c>
      <c r="IC58" t="e">
        <f>AND(#REF!,"AAAAAH8+/ew=")</f>
        <v>#REF!</v>
      </c>
      <c r="ID58" t="e">
        <f>AND(#REF!,"AAAAAH8+/e0=")</f>
        <v>#REF!</v>
      </c>
      <c r="IE58" t="e">
        <f>AND(#REF!,"AAAAAH8+/e4=")</f>
        <v>#REF!</v>
      </c>
      <c r="IF58" t="e">
        <f>AND(#REF!,"AAAAAH8+/e8=")</f>
        <v>#REF!</v>
      </c>
      <c r="IG58" t="e">
        <f>AND(#REF!,"AAAAAH8+/fA=")</f>
        <v>#REF!</v>
      </c>
      <c r="IH58" t="e">
        <f>AND(#REF!,"AAAAAH8+/fE=")</f>
        <v>#REF!</v>
      </c>
      <c r="II58" t="e">
        <f>AND(#REF!,"AAAAAH8+/fI=")</f>
        <v>#REF!</v>
      </c>
      <c r="IJ58" t="e">
        <f>AND(#REF!,"AAAAAH8+/fM=")</f>
        <v>#REF!</v>
      </c>
      <c r="IK58" t="e">
        <f>IF(#REF!,"AAAAAH8+/fQ=",0)</f>
        <v>#REF!</v>
      </c>
      <c r="IL58" t="e">
        <f>AND(#REF!,"AAAAAH8+/fU=")</f>
        <v>#REF!</v>
      </c>
      <c r="IM58" t="e">
        <f>AND(#REF!,"AAAAAH8+/fY=")</f>
        <v>#REF!</v>
      </c>
      <c r="IN58" t="e">
        <f>AND(#REF!,"AAAAAH8+/fc=")</f>
        <v>#REF!</v>
      </c>
      <c r="IO58" t="e">
        <f>AND(#REF!,"AAAAAH8+/fg=")</f>
        <v>#REF!</v>
      </c>
      <c r="IP58" t="e">
        <f>AND(#REF!,"AAAAAH8+/fk=")</f>
        <v>#REF!</v>
      </c>
      <c r="IQ58" t="e">
        <f>AND(#REF!,"AAAAAH8+/fo=")</f>
        <v>#REF!</v>
      </c>
      <c r="IR58" t="e">
        <f>AND(#REF!,"AAAAAH8+/fs=")</f>
        <v>#REF!</v>
      </c>
      <c r="IS58" t="e">
        <f>AND(#REF!,"AAAAAH8+/fw=")</f>
        <v>#REF!</v>
      </c>
      <c r="IT58" t="e">
        <f>AND(#REF!,"AAAAAH8+/f0=")</f>
        <v>#REF!</v>
      </c>
      <c r="IU58" t="e">
        <f>AND(#REF!,"AAAAAH8+/f4=")</f>
        <v>#REF!</v>
      </c>
      <c r="IV58" t="e">
        <f>AND(#REF!,"AAAAAH8+/f8=")</f>
        <v>#REF!</v>
      </c>
    </row>
    <row r="59" spans="1:256" x14ac:dyDescent="0.35">
      <c r="A59" t="e">
        <f>AND(#REF!,"AAAAAH9fPQA=")</f>
        <v>#REF!</v>
      </c>
      <c r="B59" t="e">
        <f>AND(#REF!,"AAAAAH9fPQE=")</f>
        <v>#REF!</v>
      </c>
      <c r="C59" t="e">
        <f>AND(#REF!,"AAAAAH9fPQI=")</f>
        <v>#REF!</v>
      </c>
      <c r="D59" t="e">
        <f>AND(#REF!,"AAAAAH9fPQM=")</f>
        <v>#REF!</v>
      </c>
      <c r="E59" t="e">
        <f>AND(#REF!,"AAAAAH9fPQQ=")</f>
        <v>#REF!</v>
      </c>
      <c r="F59" t="e">
        <f>AND(#REF!,"AAAAAH9fPQU=")</f>
        <v>#REF!</v>
      </c>
      <c r="G59" t="e">
        <f>AND(#REF!,"AAAAAH9fPQY=")</f>
        <v>#REF!</v>
      </c>
      <c r="H59" t="e">
        <f>AND(#REF!,"AAAAAH9fPQc=")</f>
        <v>#REF!</v>
      </c>
      <c r="I59" t="e">
        <f>AND(#REF!,"AAAAAH9fPQg=")</f>
        <v>#REF!</v>
      </c>
      <c r="J59" t="e">
        <f>AND(#REF!,"AAAAAH9fPQk=")</f>
        <v>#REF!</v>
      </c>
      <c r="K59" t="e">
        <f>AND(#REF!,"AAAAAH9fPQo=")</f>
        <v>#REF!</v>
      </c>
      <c r="L59" t="e">
        <f>IF(#REF!,"AAAAAH9fPQs=",0)</f>
        <v>#REF!</v>
      </c>
      <c r="M59" t="e">
        <f>AND(#REF!,"AAAAAH9fPQw=")</f>
        <v>#REF!</v>
      </c>
      <c r="N59" t="e">
        <f>AND(#REF!,"AAAAAH9fPQ0=")</f>
        <v>#REF!</v>
      </c>
      <c r="O59" t="e">
        <f>AND(#REF!,"AAAAAH9fPQ4=")</f>
        <v>#REF!</v>
      </c>
      <c r="P59" t="e">
        <f>AND(#REF!,"AAAAAH9fPQ8=")</f>
        <v>#REF!</v>
      </c>
      <c r="Q59" t="e">
        <f>AND(#REF!,"AAAAAH9fPRA=")</f>
        <v>#REF!</v>
      </c>
      <c r="R59" t="e">
        <f>AND(#REF!,"AAAAAH9fPRE=")</f>
        <v>#REF!</v>
      </c>
      <c r="S59" t="e">
        <f>AND(#REF!,"AAAAAH9fPRI=")</f>
        <v>#REF!</v>
      </c>
      <c r="T59" t="e">
        <f>AND(#REF!,"AAAAAH9fPRM=")</f>
        <v>#REF!</v>
      </c>
      <c r="U59" t="e">
        <f>AND(#REF!,"AAAAAH9fPRQ=")</f>
        <v>#REF!</v>
      </c>
      <c r="V59" t="e">
        <f>AND(#REF!,"AAAAAH9fPRU=")</f>
        <v>#REF!</v>
      </c>
      <c r="W59" t="e">
        <f>AND(#REF!,"AAAAAH9fPRY=")</f>
        <v>#REF!</v>
      </c>
      <c r="X59" t="e">
        <f>AND(#REF!,"AAAAAH9fPRc=")</f>
        <v>#REF!</v>
      </c>
      <c r="Y59" t="e">
        <f>AND(#REF!,"AAAAAH9fPRg=")</f>
        <v>#REF!</v>
      </c>
      <c r="Z59" t="e">
        <f>AND(#REF!,"AAAAAH9fPRk=")</f>
        <v>#REF!</v>
      </c>
      <c r="AA59" t="e">
        <f>AND(#REF!,"AAAAAH9fPRo=")</f>
        <v>#REF!</v>
      </c>
      <c r="AB59" t="e">
        <f>AND(#REF!,"AAAAAH9fPRs=")</f>
        <v>#REF!</v>
      </c>
      <c r="AC59" t="e">
        <f>AND(#REF!,"AAAAAH9fPRw=")</f>
        <v>#REF!</v>
      </c>
      <c r="AD59" t="e">
        <f>AND(#REF!,"AAAAAH9fPR0=")</f>
        <v>#REF!</v>
      </c>
      <c r="AE59" t="e">
        <f>AND(#REF!,"AAAAAH9fPR4=")</f>
        <v>#REF!</v>
      </c>
      <c r="AF59" t="e">
        <f>AND(#REF!,"AAAAAH9fPR8=")</f>
        <v>#REF!</v>
      </c>
      <c r="AG59" t="e">
        <f>AND(#REF!,"AAAAAH9fPSA=")</f>
        <v>#REF!</v>
      </c>
      <c r="AH59" t="e">
        <f>AND(#REF!,"AAAAAH9fPSE=")</f>
        <v>#REF!</v>
      </c>
      <c r="AI59" t="e">
        <f>IF(#REF!,"AAAAAH9fPSI=",0)</f>
        <v>#REF!</v>
      </c>
      <c r="AJ59" t="e">
        <f>IF(#REF!,"AAAAAH9fPSM=",0)</f>
        <v>#REF!</v>
      </c>
      <c r="AK59" t="e">
        <f>IF(#REF!,"AAAAAH9fPSQ=",0)</f>
        <v>#REF!</v>
      </c>
      <c r="AL59" t="e">
        <f>IF(#REF!,"AAAAAH9fPSU=",0)</f>
        <v>#REF!</v>
      </c>
      <c r="AM59" t="e">
        <f>IF(#REF!,"AAAAAH9fPSY=",0)</f>
        <v>#REF!</v>
      </c>
      <c r="AN59" t="e">
        <f>IF(#REF!,"AAAAAH9fPSc=",0)</f>
        <v>#REF!</v>
      </c>
      <c r="AO59" t="e">
        <f>IF(#REF!,"AAAAAH9fPSg=",0)</f>
        <v>#REF!</v>
      </c>
      <c r="AP59" t="e">
        <f>IF(#REF!,"AAAAAH9fPSk=",0)</f>
        <v>#REF!</v>
      </c>
      <c r="AQ59" t="e">
        <f>IF(#REF!,"AAAAAH9fPSo=",0)</f>
        <v>#REF!</v>
      </c>
      <c r="AR59" t="e">
        <f>IF(#REF!,"AAAAAH9fPSs=",0)</f>
        <v>#REF!</v>
      </c>
      <c r="AS59" t="e">
        <f>IF(#REF!,"AAAAAH9fPSw=",0)</f>
        <v>#REF!</v>
      </c>
      <c r="AT59" t="e">
        <f>IF(#REF!,"AAAAAH9fPS0=",0)</f>
        <v>#REF!</v>
      </c>
      <c r="AU59" t="e">
        <f>IF(#REF!,"AAAAAH9fPS4=",0)</f>
        <v>#REF!</v>
      </c>
      <c r="AV59" t="e">
        <f>IF(#REF!,"AAAAAH9fPS8=",0)</f>
        <v>#REF!</v>
      </c>
      <c r="AW59" t="e">
        <f>IF(#REF!,"AAAAAH9fPTA=",0)</f>
        <v>#REF!</v>
      </c>
      <c r="AX59" t="e">
        <f>IF(#REF!,"AAAAAH9fPTE=",0)</f>
        <v>#REF!</v>
      </c>
      <c r="AY59" t="e">
        <f>IF(#REF!,"AAAAAH9fPTI=",0)</f>
        <v>#REF!</v>
      </c>
      <c r="AZ59" t="e">
        <f>IF(#REF!,"AAAAAH9fPTM=",0)</f>
        <v>#REF!</v>
      </c>
      <c r="BA59" t="e">
        <f>IF(#REF!,"AAAAAH9fPTQ=",0)</f>
        <v>#REF!</v>
      </c>
      <c r="BB59" t="e">
        <f>IF(#REF!,"AAAAAH9fPTU=",0)</f>
        <v>#REF!</v>
      </c>
      <c r="BC59" t="e">
        <f>IF(#REF!,"AAAAAH9fPTY=",0)</f>
        <v>#REF!</v>
      </c>
      <c r="BD59" t="e">
        <f>IF(#REF!,"AAAAAH9fPTc=",0)</f>
        <v>#REF!</v>
      </c>
      <c r="BE59" t="e">
        <f>IF(#REF!,"AAAAAH9fPTg=",0)</f>
        <v>#REF!</v>
      </c>
      <c r="BF59" t="e">
        <f>IF(#REF!,"AAAAAH9fPTk=",0)</f>
        <v>#REF!</v>
      </c>
      <c r="BG59" t="e">
        <f>IF(#REF!,"AAAAAH9fPTo=",0)</f>
        <v>#REF!</v>
      </c>
      <c r="BH59" t="e">
        <f>IF(#REF!,"AAAAAH9fPTs=",0)</f>
        <v>#REF!</v>
      </c>
      <c r="BI59" t="e">
        <f>IF(#REF!,"AAAAAH9fPTw=",0)</f>
        <v>#REF!</v>
      </c>
      <c r="BJ59" t="e">
        <f>IF(#REF!,"AAAAAH9fPT0=",0)</f>
        <v>#REF!</v>
      </c>
      <c r="BK59" t="e">
        <f>IF(#REF!,"AAAAAH9fPT4=",0)</f>
        <v>#REF!</v>
      </c>
      <c r="BL59" t="e">
        <f>IF(#REF!,"AAAAAH9fPT8=",0)</f>
        <v>#REF!</v>
      </c>
      <c r="BM59" t="e">
        <f>IF(#REF!,"AAAAAH9fPUA=",0)</f>
        <v>#REF!</v>
      </c>
      <c r="BN59" t="e">
        <f>IF(#REF!,"AAAAAH9fPUE=",0)</f>
        <v>#REF!</v>
      </c>
      <c r="BO59" t="e">
        <f>IF(#REF!,"AAAAAH9fPUI=",0)</f>
        <v>#REF!</v>
      </c>
      <c r="BP59" t="e">
        <f>IF(#REF!,"AAAAAH9fPUM=",0)</f>
        <v>#REF!</v>
      </c>
      <c r="BQ59" t="e">
        <f>IF(#REF!,"AAAAAH9fPUQ=",0)</f>
        <v>#REF!</v>
      </c>
      <c r="BR59" t="e">
        <f>IF(#REF!,"AAAAAH9fPUU=",0)</f>
        <v>#REF!</v>
      </c>
      <c r="BS59" t="e">
        <f>IF(#REF!,"AAAAAH9fPUY=",0)</f>
        <v>#REF!</v>
      </c>
      <c r="BT59" t="e">
        <f>IF(#REF!,"AAAAAH9fPUc=",0)</f>
        <v>#REF!</v>
      </c>
      <c r="BU59" t="e">
        <f>IF(#REF!,"AAAAAH9fPUg=",0)</f>
        <v>#REF!</v>
      </c>
      <c r="BV59" t="e">
        <f>IF(#REF!,"AAAAAH9fPUk=",0)</f>
        <v>#REF!</v>
      </c>
      <c r="BW59" t="e">
        <f>IF(#REF!,"AAAAAH9fPUo=",0)</f>
        <v>#REF!</v>
      </c>
      <c r="BX59" t="e">
        <f>IF(#REF!,"AAAAAH9fPUs=",0)</f>
        <v>#REF!</v>
      </c>
      <c r="BY59" t="e">
        <f>IF(#REF!,"AAAAAH9fPUw=",0)</f>
        <v>#REF!</v>
      </c>
      <c r="BZ59" t="e">
        <f>IF(#REF!,"AAAAAH9fPU0=",0)</f>
        <v>#REF!</v>
      </c>
      <c r="CA59" t="e">
        <f>IF(#REF!,"AAAAAH9fPU4=",0)</f>
        <v>#REF!</v>
      </c>
      <c r="CB59" t="e">
        <f>IF(#REF!,"AAAAAH9fPU8=",0)</f>
        <v>#REF!</v>
      </c>
      <c r="CC59" t="e">
        <f>IF(#REF!,"AAAAAH9fPVA=",0)</f>
        <v>#REF!</v>
      </c>
      <c r="CD59" t="e">
        <f>IF(#REF!,"AAAAAH9fPVE=",0)</f>
        <v>#REF!</v>
      </c>
      <c r="CE59" t="e">
        <f>IF(#REF!,"AAAAAH9fPVI=",0)</f>
        <v>#REF!</v>
      </c>
      <c r="CF59" t="e">
        <f>IF(#REF!,"AAAAAH9fPVM=",0)</f>
        <v>#REF!</v>
      </c>
      <c r="CG59" t="e">
        <f>IF(#REF!,"AAAAAH9fPVQ=",0)</f>
        <v>#REF!</v>
      </c>
      <c r="CH59" t="e">
        <f>IF(#REF!,"AAAAAH9fPVU=",0)</f>
        <v>#REF!</v>
      </c>
      <c r="CI59" t="e">
        <f>IF(#REF!,"AAAAAH9fPVY=",0)</f>
        <v>#REF!</v>
      </c>
      <c r="CJ59" t="e">
        <f>IF(#REF!,"AAAAAH9fPVc=",0)</f>
        <v>#REF!</v>
      </c>
      <c r="CK59" t="e">
        <f>IF(#REF!,"AAAAAH9fPVg=",0)</f>
        <v>#REF!</v>
      </c>
      <c r="CL59" t="e">
        <f>IF(#REF!,"AAAAAH9fPVk=",0)</f>
        <v>#REF!</v>
      </c>
      <c r="CM59" t="e">
        <f>IF(#REF!,"AAAAAH9fPVo=",0)</f>
        <v>#REF!</v>
      </c>
      <c r="CN59" t="e">
        <f>IF(#REF!,"AAAAAH9fPVs=",0)</f>
        <v>#REF!</v>
      </c>
      <c r="CO59" t="e">
        <f>IF(#REF!,"AAAAAH9fPVw=",0)</f>
        <v>#REF!</v>
      </c>
      <c r="CP59" t="e">
        <f>IF(#REF!,"AAAAAH9fPV0=",0)</f>
        <v>#REF!</v>
      </c>
      <c r="CQ59" t="e">
        <f>IF(#REF!,"AAAAAH9fPV4=",0)</f>
        <v>#REF!</v>
      </c>
      <c r="CR59" t="e">
        <f>IF(#REF!,"AAAAAH9fPV8=",0)</f>
        <v>#REF!</v>
      </c>
      <c r="CS59" t="e">
        <f>IF(#REF!,"AAAAAH9fPWA=",0)</f>
        <v>#REF!</v>
      </c>
      <c r="CT59" t="e">
        <f>IF(#REF!,"AAAAAH9fPWE=",0)</f>
        <v>#REF!</v>
      </c>
      <c r="CU59" t="e">
        <f>IF(#REF!,"AAAAAH9fPWI=",0)</f>
        <v>#REF!</v>
      </c>
      <c r="CV59" t="e">
        <f>IF(#REF!,"AAAAAH9fPWM=",0)</f>
        <v>#REF!</v>
      </c>
      <c r="CW59" t="e">
        <f>IF(#REF!,"AAAAAH9fPWQ=",0)</f>
        <v>#REF!</v>
      </c>
      <c r="CX59" t="e">
        <f>IF(#REF!,"AAAAAH9fPWU=",0)</f>
        <v>#REF!</v>
      </c>
      <c r="CY59" t="e">
        <f>IF(#REF!,"AAAAAH9fPWY=",0)</f>
        <v>#REF!</v>
      </c>
      <c r="CZ59" t="e">
        <f>IF(#REF!,"AAAAAH9fPWc=",0)</f>
        <v>#REF!</v>
      </c>
      <c r="DA59" t="e">
        <f>IF(#REF!,"AAAAAH9fPWg=",0)</f>
        <v>#REF!</v>
      </c>
      <c r="DB59" t="e">
        <f>IF(#REF!,"AAAAAH9fPWk=",0)</f>
        <v>#REF!</v>
      </c>
      <c r="DC59" t="e">
        <f>IF(#REF!,"AAAAAH9fPWo=",0)</f>
        <v>#REF!</v>
      </c>
      <c r="DD59" t="e">
        <f>IF(#REF!,"AAAAAH9fPWs=",0)</f>
        <v>#REF!</v>
      </c>
      <c r="DE59" t="e">
        <f>IF(#REF!,"AAAAAH9fPWw=",0)</f>
        <v>#REF!</v>
      </c>
      <c r="DF59" t="e">
        <f>IF(#REF!,"AAAAAH9fPW0=",0)</f>
        <v>#REF!</v>
      </c>
      <c r="DG59" t="e">
        <f>IF(#REF!,"AAAAAH9fPW4=",0)</f>
        <v>#REF!</v>
      </c>
      <c r="DH59" t="e">
        <f>IF(#REF!,"AAAAAH9fPW8=",0)</f>
        <v>#REF!</v>
      </c>
      <c r="DI59" t="e">
        <f>IF(#REF!,"AAAAAH9fPXA=",0)</f>
        <v>#REF!</v>
      </c>
      <c r="DJ59" t="e">
        <f>IF(#REF!,"AAAAAH9fPXE=",0)</f>
        <v>#REF!</v>
      </c>
      <c r="DK59" t="e">
        <f>IF(#REF!,"AAAAAH9fPXI=",0)</f>
        <v>#REF!</v>
      </c>
      <c r="DL59" t="e">
        <f>IF(#REF!,"AAAAAH9fPXM=",0)</f>
        <v>#REF!</v>
      </c>
      <c r="DM59" t="e">
        <f>IF(#REF!,"AAAAAH9fPXQ=",0)</f>
        <v>#REF!</v>
      </c>
      <c r="DN59" t="e">
        <f>IF(#REF!,"AAAAAH9fPXU=",0)</f>
        <v>#REF!</v>
      </c>
      <c r="DO59" t="e">
        <f>IF(#REF!,"AAAAAH9fPXY=",0)</f>
        <v>#REF!</v>
      </c>
      <c r="DP59" t="e">
        <f>IF(#REF!,"AAAAAH9fPXc=",0)</f>
        <v>#REF!</v>
      </c>
      <c r="DQ59" t="e">
        <f>IF(#REF!,"AAAAAH9fPXg=",0)</f>
        <v>#REF!</v>
      </c>
      <c r="DR59" t="e">
        <f>IF(#REF!,"AAAAAH9fPXk=",0)</f>
        <v>#REF!</v>
      </c>
      <c r="DS59" t="e">
        <f>IF(#REF!,"AAAAAH9fPXo=",0)</f>
        <v>#REF!</v>
      </c>
      <c r="DT59" t="e">
        <f>IF(#REF!,"AAAAAH9fPXs=",0)</f>
        <v>#REF!</v>
      </c>
      <c r="DU59" t="e">
        <f>IF(#REF!,"AAAAAH9fPXw=",0)</f>
        <v>#REF!</v>
      </c>
      <c r="DV59" t="e">
        <f>IF(#REF!,"AAAAAH9fPX0=",0)</f>
        <v>#REF!</v>
      </c>
      <c r="DW59" t="e">
        <f>IF(#REF!,"AAAAAH9fPX4=",0)</f>
        <v>#REF!</v>
      </c>
      <c r="DX59" t="e">
        <f>IF(#REF!,"AAAAAH9fPX8=",0)</f>
        <v>#REF!</v>
      </c>
      <c r="DY59" t="e">
        <f>IF(#REF!,"AAAAAH9fPYA=",0)</f>
        <v>#REF!</v>
      </c>
      <c r="DZ59" t="e">
        <f>IF(#REF!,"AAAAAH9fPYE=",0)</f>
        <v>#REF!</v>
      </c>
      <c r="EA59" t="e">
        <f>IF(#REF!,"AAAAAH9fPYI=",0)</f>
        <v>#REF!</v>
      </c>
      <c r="EB59" t="e">
        <f>IF(#REF!,"AAAAAH9fPYM=",0)</f>
        <v>#REF!</v>
      </c>
      <c r="EC59" t="e">
        <f>IF(#REF!,"AAAAAH9fPYQ=",0)</f>
        <v>#REF!</v>
      </c>
      <c r="ED59" t="e">
        <f>IF(#REF!,"AAAAAH9fPYU=",0)</f>
        <v>#REF!</v>
      </c>
      <c r="EE59" t="e">
        <f>IF(#REF!,"AAAAAH9fPYY=",0)</f>
        <v>#REF!</v>
      </c>
      <c r="EF59" t="e">
        <f>IF(#REF!,"AAAAAH9fPYc=",0)</f>
        <v>#REF!</v>
      </c>
      <c r="EG59" t="e">
        <f>IF(#REF!,"AAAAAH9fPYg=",0)</f>
        <v>#REF!</v>
      </c>
      <c r="EH59" t="e">
        <f>IF(#REF!,"AAAAAH9fPYk=",0)</f>
        <v>#REF!</v>
      </c>
      <c r="EI59" t="e">
        <f>IF(#REF!,"AAAAAH9fPYo=",0)</f>
        <v>#REF!</v>
      </c>
      <c r="EJ59" t="e">
        <f>IF(#REF!,"AAAAAH9fPYs=",0)</f>
        <v>#REF!</v>
      </c>
      <c r="EK59" t="e">
        <f>IF(#REF!,"AAAAAH9fPYw=",0)</f>
        <v>#REF!</v>
      </c>
      <c r="EL59" t="e">
        <f>IF(#REF!,"AAAAAH9fPY0=",0)</f>
        <v>#REF!</v>
      </c>
      <c r="EM59" t="e">
        <f>IF(#REF!,"AAAAAH9fPY4=",0)</f>
        <v>#REF!</v>
      </c>
      <c r="EN59" t="e">
        <f>IF(#REF!,"AAAAAH9fPY8=",0)</f>
        <v>#REF!</v>
      </c>
      <c r="EO59" t="e">
        <f>IF(#REF!,"AAAAAH9fPZA=",0)</f>
        <v>#REF!</v>
      </c>
      <c r="EP59" t="e">
        <f>IF(#REF!,"AAAAAH9fPZE=",0)</f>
        <v>#REF!</v>
      </c>
      <c r="EQ59" t="e">
        <f>IF(#REF!,"AAAAAH9fPZI=",0)</f>
        <v>#REF!</v>
      </c>
      <c r="ER59" t="e">
        <f>IF(#REF!,"AAAAAH9fPZM=",0)</f>
        <v>#REF!</v>
      </c>
      <c r="ES59" t="e">
        <f>IF(#REF!,"AAAAAH9fPZQ=",0)</f>
        <v>#REF!</v>
      </c>
      <c r="ET59" t="e">
        <f>IF(#REF!,"AAAAAH9fPZU=",0)</f>
        <v>#REF!</v>
      </c>
      <c r="EU59" t="e">
        <f>IF(#REF!,"AAAAAH9fPZY=",0)</f>
        <v>#REF!</v>
      </c>
      <c r="EV59" t="e">
        <f>IF(#REF!,"AAAAAH9fPZc=",0)</f>
        <v>#REF!</v>
      </c>
      <c r="EW59" t="e">
        <f>IF(#REF!,"AAAAAH9fPZg=",0)</f>
        <v>#REF!</v>
      </c>
      <c r="EX59" t="e">
        <f>IF(#REF!,"AAAAAH9fPZk=",0)</f>
        <v>#REF!</v>
      </c>
      <c r="EY59" t="e">
        <f>IF(#REF!,"AAAAAH9fPZo=",0)</f>
        <v>#REF!</v>
      </c>
      <c r="EZ59" t="e">
        <f>IF(#REF!,"AAAAAH9fPZs=",0)</f>
        <v>#REF!</v>
      </c>
      <c r="FA59" t="e">
        <f>IF(#REF!,"AAAAAH9fPZw=",0)</f>
        <v>#REF!</v>
      </c>
      <c r="FB59" t="e">
        <f>IF(#REF!,"AAAAAH9fPZ0=",0)</f>
        <v>#REF!</v>
      </c>
      <c r="FC59" t="e">
        <f>IF(#REF!,"AAAAAH9fPZ4=",0)</f>
        <v>#REF!</v>
      </c>
      <c r="FD59" t="e">
        <f>IF(#REF!,"AAAAAH9fPZ8=",0)</f>
        <v>#REF!</v>
      </c>
      <c r="FE59" t="e">
        <f>IF(#REF!,"AAAAAH9fPaA=",0)</f>
        <v>#REF!</v>
      </c>
      <c r="FF59" t="e">
        <f>IF(#REF!,"AAAAAH9fPaE=",0)</f>
        <v>#REF!</v>
      </c>
      <c r="FG59" t="e">
        <f>IF(#REF!,"AAAAAH9fPaI=",0)</f>
        <v>#REF!</v>
      </c>
      <c r="FH59" t="e">
        <f>IF(#REF!,"AAAAAH9fPaM=",0)</f>
        <v>#REF!</v>
      </c>
      <c r="FI59" t="e">
        <f>IF(#REF!,"AAAAAH9fPaQ=",0)</f>
        <v>#REF!</v>
      </c>
      <c r="FJ59" t="e">
        <f>IF(#REF!,"AAAAAH9fPaU=",0)</f>
        <v>#REF!</v>
      </c>
      <c r="FK59" t="e">
        <f>IF(#REF!,"AAAAAH9fPaY=",0)</f>
        <v>#REF!</v>
      </c>
      <c r="FL59" t="e">
        <f>IF(#REF!,"AAAAAH9fPac=",0)</f>
        <v>#REF!</v>
      </c>
      <c r="FM59" t="e">
        <f>IF(#REF!,"AAAAAH9fPag=",0)</f>
        <v>#REF!</v>
      </c>
      <c r="FN59" t="e">
        <f>IF(#REF!,"AAAAAH9fPak=",0)</f>
        <v>#REF!</v>
      </c>
      <c r="FO59" t="e">
        <f>IF(#REF!,"AAAAAH9fPao=",0)</f>
        <v>#REF!</v>
      </c>
      <c r="FP59" t="e">
        <f>IF(#REF!,"AAAAAH9fPas=",0)</f>
        <v>#REF!</v>
      </c>
      <c r="FQ59" t="e">
        <f>IF(#REF!,"AAAAAH9fPaw=",0)</f>
        <v>#REF!</v>
      </c>
      <c r="FR59" t="e">
        <f>IF(#REF!,"AAAAAH9fPa0=",0)</f>
        <v>#REF!</v>
      </c>
      <c r="FS59" t="e">
        <f>IF(#REF!,"AAAAAH9fPa4=",0)</f>
        <v>#REF!</v>
      </c>
      <c r="FT59" t="e">
        <f>IF(#REF!,"AAAAAH9fPa8=",0)</f>
        <v>#REF!</v>
      </c>
      <c r="FU59" t="e">
        <f>IF(#REF!,"AAAAAH9fPbA=",0)</f>
        <v>#REF!</v>
      </c>
      <c r="FV59" t="e">
        <f>IF(#REF!,"AAAAAH9fPbE=",0)</f>
        <v>#REF!</v>
      </c>
      <c r="FW59" t="e">
        <f>IF(#REF!,"AAAAAH9fPbI=",0)</f>
        <v>#REF!</v>
      </c>
      <c r="FX59" t="e">
        <f>IF(#REF!,"AAAAAH9fPbM=",0)</f>
        <v>#REF!</v>
      </c>
      <c r="FY59" t="e">
        <f>IF(#REF!,"AAAAAH9fPbQ=",0)</f>
        <v>#REF!</v>
      </c>
      <c r="FZ59" t="e">
        <f>IF(#REF!,"AAAAAH9fPbU=",0)</f>
        <v>#REF!</v>
      </c>
      <c r="GA59" t="e">
        <f>IF(#REF!,"AAAAAH9fPbY=",0)</f>
        <v>#REF!</v>
      </c>
      <c r="GB59" t="e">
        <f>IF(#REF!,"AAAAAH9fPbc=",0)</f>
        <v>#REF!</v>
      </c>
      <c r="GC59" t="e">
        <f>IF(#REF!,"AAAAAH9fPbg=",0)</f>
        <v>#REF!</v>
      </c>
      <c r="GD59" t="e">
        <f>IF(#REF!,"AAAAAH9fPbk=",0)</f>
        <v>#REF!</v>
      </c>
      <c r="GE59" t="e">
        <f>IF(#REF!,"AAAAAH9fPbo=",0)</f>
        <v>#REF!</v>
      </c>
      <c r="GF59" t="e">
        <f>IF(#REF!,"AAAAAH9fPbs=",0)</f>
        <v>#REF!</v>
      </c>
      <c r="GG59" t="e">
        <f>IF(#REF!,"AAAAAH9fPbw=",0)</f>
        <v>#REF!</v>
      </c>
      <c r="GH59" t="e">
        <f>IF(#REF!,"AAAAAH9fPb0=",0)</f>
        <v>#REF!</v>
      </c>
      <c r="GI59" t="e">
        <f>IF(#REF!,"AAAAAH9fPb4=",0)</f>
        <v>#REF!</v>
      </c>
      <c r="GJ59" t="e">
        <f>IF(#REF!,"AAAAAH9fPb8=",0)</f>
        <v>#REF!</v>
      </c>
      <c r="GK59" t="e">
        <f>IF(#REF!,"AAAAAH9fPcA=",0)</f>
        <v>#REF!</v>
      </c>
      <c r="GL59" t="e">
        <f>IF(#REF!,"AAAAAH9fPcE=",0)</f>
        <v>#REF!</v>
      </c>
      <c r="GM59" t="e">
        <f>IF(#REF!,"AAAAAH9fPcI=",0)</f>
        <v>#REF!</v>
      </c>
      <c r="GN59" t="e">
        <f>IF(#REF!,"AAAAAH9fPcM=",0)</f>
        <v>#REF!</v>
      </c>
      <c r="GO59" t="e">
        <f>IF(#REF!,"AAAAAH9fPcQ=",0)</f>
        <v>#REF!</v>
      </c>
      <c r="GP59" t="e">
        <f>IF(#REF!,"AAAAAH9fPcU=",0)</f>
        <v>#REF!</v>
      </c>
      <c r="GQ59" t="e">
        <f>IF(#REF!,"AAAAAH9fPcY=",0)</f>
        <v>#REF!</v>
      </c>
      <c r="GR59" t="e">
        <f>IF(#REF!,"AAAAAH9fPcc=",0)</f>
        <v>#REF!</v>
      </c>
      <c r="GS59" t="e">
        <f>IF(#REF!,"AAAAAH9fPcg=",0)</f>
        <v>#REF!</v>
      </c>
      <c r="GT59" t="e">
        <f>IF(#REF!,"AAAAAH9fPck=",0)</f>
        <v>#REF!</v>
      </c>
      <c r="GU59" t="e">
        <f>IF(#REF!,"AAAAAH9fPco=",0)</f>
        <v>#REF!</v>
      </c>
      <c r="GV59" t="e">
        <f>IF(#REF!,"AAAAAH9fPcs=",0)</f>
        <v>#REF!</v>
      </c>
      <c r="GW59" t="e">
        <f>IF(#REF!,"AAAAAH9fPcw=",0)</f>
        <v>#REF!</v>
      </c>
      <c r="GX59" t="e">
        <f>IF(#REF!,"AAAAAH9fPc0=",0)</f>
        <v>#REF!</v>
      </c>
      <c r="GY59" t="e">
        <f>IF(#REF!,"AAAAAH9fPc4=",0)</f>
        <v>#REF!</v>
      </c>
      <c r="GZ59" t="e">
        <f>IF(#REF!,"AAAAAH9fPc8=",0)</f>
        <v>#REF!</v>
      </c>
      <c r="HA59" t="e">
        <f>IF(#REF!,"AAAAAH9fPdA=",0)</f>
        <v>#REF!</v>
      </c>
      <c r="HB59" t="e">
        <f>IF(#REF!,"AAAAAH9fPdE=",0)</f>
        <v>#REF!</v>
      </c>
      <c r="HC59" t="e">
        <f>IF(#REF!,"AAAAAH9fPdI=",0)</f>
        <v>#REF!</v>
      </c>
      <c r="HD59" t="e">
        <f>IF(#REF!,"AAAAAH9fPdM=",0)</f>
        <v>#REF!</v>
      </c>
      <c r="HE59" t="e">
        <f>IF(#REF!,"AAAAAH9fPdQ=",0)</f>
        <v>#REF!</v>
      </c>
      <c r="HF59" t="e">
        <f>IF(#REF!,"AAAAAH9fPdU=",0)</f>
        <v>#REF!</v>
      </c>
      <c r="HG59" t="e">
        <f>IF(#REF!,"AAAAAH9fPdY=",0)</f>
        <v>#REF!</v>
      </c>
      <c r="HH59" t="e">
        <f>IF(#REF!,"AAAAAH9fPdc=",0)</f>
        <v>#REF!</v>
      </c>
      <c r="HI59" t="e">
        <f>IF(#REF!,"AAAAAH9fPdg=",0)</f>
        <v>#REF!</v>
      </c>
      <c r="HJ59" t="e">
        <f>IF(#REF!,"AAAAAH9fPdk=",0)</f>
        <v>#REF!</v>
      </c>
      <c r="HK59" t="e">
        <f>IF(#REF!,"AAAAAH9fPdo=",0)</f>
        <v>#REF!</v>
      </c>
      <c r="HL59" t="e">
        <f>IF(#REF!,"AAAAAH9fPds=",0)</f>
        <v>#REF!</v>
      </c>
      <c r="HM59" t="e">
        <f>IF(#REF!,"AAAAAH9fPdw=",0)</f>
        <v>#REF!</v>
      </c>
      <c r="HN59" t="e">
        <f>IF(#REF!,"AAAAAH9fPd0=",0)</f>
        <v>#REF!</v>
      </c>
      <c r="HO59" t="e">
        <f>IF(#REF!,"AAAAAH9fPd4=",0)</f>
        <v>#REF!</v>
      </c>
      <c r="HP59" t="e">
        <f>IF(#REF!,"AAAAAH9fPd8=",0)</f>
        <v>#REF!</v>
      </c>
      <c r="HQ59" t="e">
        <f>IF(#REF!,"AAAAAH9fPeA=",0)</f>
        <v>#REF!</v>
      </c>
      <c r="HR59" t="e">
        <f>IF(#REF!,"AAAAAH9fPeE=",0)</f>
        <v>#REF!</v>
      </c>
      <c r="HS59" t="e">
        <f>IF(#REF!,"AAAAAH9fPeI=",0)</f>
        <v>#REF!</v>
      </c>
      <c r="HT59" t="e">
        <f>IF(#REF!,"AAAAAH9fPeM=",0)</f>
        <v>#REF!</v>
      </c>
      <c r="HU59" t="e">
        <f>IF(#REF!,"AAAAAH9fPeQ=",0)</f>
        <v>#REF!</v>
      </c>
      <c r="HV59" t="e">
        <f>IF(#REF!,"AAAAAH9fPeU=",0)</f>
        <v>#REF!</v>
      </c>
      <c r="HW59" t="e">
        <f>IF(#REF!,"AAAAAH9fPeY=",0)</f>
        <v>#REF!</v>
      </c>
      <c r="HX59" t="e">
        <f>IF(#REF!,"AAAAAH9fPec=",0)</f>
        <v>#REF!</v>
      </c>
      <c r="HY59" t="e">
        <f>IF(#REF!,"AAAAAH9fPeg=",0)</f>
        <v>#REF!</v>
      </c>
      <c r="HZ59" t="e">
        <f>IF(#REF!,"AAAAAH9fPek=",0)</f>
        <v>#REF!</v>
      </c>
      <c r="IA59" t="e">
        <f>IF(#REF!,"AAAAAH9fPeo=",0)</f>
        <v>#REF!</v>
      </c>
      <c r="IB59" t="e">
        <f>IF(#REF!,"AAAAAH9fPes=",0)</f>
        <v>#REF!</v>
      </c>
      <c r="IC59" t="e">
        <f>IF(#REF!,"AAAAAH9fPew=",0)</f>
        <v>#REF!</v>
      </c>
      <c r="ID59" t="e">
        <f>IF(#REF!,"AAAAAH9fPe0=",0)</f>
        <v>#REF!</v>
      </c>
      <c r="IE59" t="e">
        <f>IF(#REF!,"AAAAAH9fPe4=",0)</f>
        <v>#REF!</v>
      </c>
      <c r="IF59" t="e">
        <f>IF(#REF!,"AAAAAH9fPe8=",0)</f>
        <v>#REF!</v>
      </c>
      <c r="IG59" t="e">
        <f>IF(#REF!,"AAAAAH9fPfA=",0)</f>
        <v>#REF!</v>
      </c>
      <c r="IH59" t="e">
        <f>IF(#REF!,"AAAAAH9fPfE=",0)</f>
        <v>#REF!</v>
      </c>
      <c r="II59" t="e">
        <f>IF(#REF!,"AAAAAH9fPfI=",0)</f>
        <v>#REF!</v>
      </c>
      <c r="IJ59" t="e">
        <f>IF(#REF!,"AAAAAH9fPfM=",0)</f>
        <v>#REF!</v>
      </c>
      <c r="IK59" t="e">
        <f>IF(#REF!,"AAAAAH9fPfQ=",0)</f>
        <v>#REF!</v>
      </c>
      <c r="IL59" t="e">
        <f>IF(#REF!,"AAAAAH9fPfU=",0)</f>
        <v>#REF!</v>
      </c>
      <c r="IM59" t="e">
        <f>IF(#REF!,"AAAAAH9fPfY=",0)</f>
        <v>#REF!</v>
      </c>
      <c r="IN59" t="e">
        <f>IF(#REF!,"AAAAAH9fPfc=",0)</f>
        <v>#REF!</v>
      </c>
      <c r="IO59" t="e">
        <f>IF(#REF!,"AAAAAH9fPfg=",0)</f>
        <v>#REF!</v>
      </c>
      <c r="IP59" t="e">
        <f>IF(#REF!,"AAAAAH9fPfk=",0)</f>
        <v>#REF!</v>
      </c>
      <c r="IQ59" t="e">
        <f>IF(#REF!,"AAAAAH9fPfo=",0)</f>
        <v>#REF!</v>
      </c>
      <c r="IR59" t="e">
        <f>IF(#REF!,"AAAAAH9fPfs=",0)</f>
        <v>#REF!</v>
      </c>
      <c r="IS59" t="e">
        <f>IF(#REF!,"AAAAAH9fPfw=",0)</f>
        <v>#REF!</v>
      </c>
      <c r="IT59" t="e">
        <f>IF(#REF!,"AAAAAH9fPf0=",0)</f>
        <v>#REF!</v>
      </c>
      <c r="IU59" t="e">
        <f>IF(#REF!,"AAAAAH9fPf4=",0)</f>
        <v>#REF!</v>
      </c>
      <c r="IV59" t="e">
        <f>IF(#REF!,"AAAAAH9fPf8=",0)</f>
        <v>#REF!</v>
      </c>
    </row>
    <row r="60" spans="1:256" x14ac:dyDescent="0.35">
      <c r="A60" t="e">
        <f>IF(#REF!,"AAAAAH7BvwA=",0)</f>
        <v>#REF!</v>
      </c>
      <c r="B60" t="e">
        <f>IF(#REF!,"AAAAAH7BvwE=",0)</f>
        <v>#REF!</v>
      </c>
      <c r="C60" t="e">
        <f>IF(#REF!,"AAAAAH7BvwI=",0)</f>
        <v>#REF!</v>
      </c>
      <c r="D60" t="e">
        <f>IF(#REF!,"AAAAAH7BvwM=",0)</f>
        <v>#REF!</v>
      </c>
      <c r="E60" t="e">
        <f>IF(#REF!,"AAAAAH7BvwQ=",0)</f>
        <v>#REF!</v>
      </c>
      <c r="F60" t="e">
        <f>IF(#REF!,"AAAAAH7BvwU=",0)</f>
        <v>#REF!</v>
      </c>
      <c r="G60" t="e">
        <f>IF(#REF!,"AAAAAH7BvwY=",0)</f>
        <v>#REF!</v>
      </c>
      <c r="H60" t="e">
        <f>IF(#REF!,"AAAAAH7Bvwc=",0)</f>
        <v>#REF!</v>
      </c>
      <c r="I60" t="e">
        <f>IF(#REF!,"AAAAAH7Bvwg=",0)</f>
        <v>#REF!</v>
      </c>
      <c r="J60" t="e">
        <f>IF(#REF!,"AAAAAH7Bvwk=",0)</f>
        <v>#REF!</v>
      </c>
      <c r="K60" t="e">
        <f>IF(#REF!,"AAAAAH7Bvwo=",0)</f>
        <v>#REF!</v>
      </c>
      <c r="L60" t="e">
        <f>IF(#REF!,"AAAAAH7Bvws=",0)</f>
        <v>#REF!</v>
      </c>
      <c r="M60" t="e">
        <f>IF(#REF!,"AAAAAH7Bvww=",0)</f>
        <v>#REF!</v>
      </c>
      <c r="N60" t="e">
        <f>IF(#REF!,"AAAAAH7Bvw0=",0)</f>
        <v>#REF!</v>
      </c>
      <c r="O60" t="e">
        <f>IF(#REF!,"AAAAAH7Bvw4=",0)</f>
        <v>#REF!</v>
      </c>
      <c r="P60" t="e">
        <f>IF(#REF!,"AAAAAH7Bvw8=",0)</f>
        <v>#REF!</v>
      </c>
      <c r="Q60" t="e">
        <f>IF(#REF!,"AAAAAH7BvxA=",0)</f>
        <v>#REF!</v>
      </c>
      <c r="R60" t="e">
        <f>IF(#REF!,"AAAAAH7BvxE=",0)</f>
        <v>#REF!</v>
      </c>
      <c r="S60" t="e">
        <f>IF(#REF!,"AAAAAH7BvxI=",0)</f>
        <v>#REF!</v>
      </c>
      <c r="T60" t="e">
        <f>IF(#REF!,"AAAAAH7BvxM=",0)</f>
        <v>#REF!</v>
      </c>
      <c r="U60" t="e">
        <f>IF(#REF!,"AAAAAH7BvxQ=",0)</f>
        <v>#REF!</v>
      </c>
      <c r="V60" t="e">
        <f>IF(#REF!,"AAAAAH7BvxU=",0)</f>
        <v>#REF!</v>
      </c>
      <c r="W60" t="e">
        <f>IF(#REF!,"AAAAAH7BvxY=",0)</f>
        <v>#REF!</v>
      </c>
      <c r="X60" t="e">
        <f>IF(#REF!,"AAAAAH7Bvxc=",0)</f>
        <v>#REF!</v>
      </c>
      <c r="Y60" t="e">
        <f>IF(#REF!,"AAAAAH7Bvxg=",0)</f>
        <v>#REF!</v>
      </c>
      <c r="Z60" t="e">
        <f>IF(#REF!,"AAAAAH7Bvxk=",0)</f>
        <v>#REF!</v>
      </c>
      <c r="AA60" t="e">
        <f>IF(#REF!,"AAAAAH7Bvxo=",0)</f>
        <v>#REF!</v>
      </c>
      <c r="AB60" t="e">
        <f>IF(#REF!,"AAAAAH7Bvxs=",0)</f>
        <v>#REF!</v>
      </c>
      <c r="AC60" t="e">
        <f>IF(#REF!,"AAAAAH7Bvxw=",0)</f>
        <v>#REF!</v>
      </c>
      <c r="AD60" t="e">
        <f>IF(#REF!,"AAAAAH7Bvx0=",0)</f>
        <v>#REF!</v>
      </c>
      <c r="AE60" t="e">
        <f>IF(#REF!,"AAAAAH7Bvx4=",0)</f>
        <v>#REF!</v>
      </c>
      <c r="AF60" t="e">
        <f>IF(#REF!,"AAAAAH7Bvx8=",0)</f>
        <v>#REF!</v>
      </c>
      <c r="AG60" t="e">
        <f>IF(#REF!,"AAAAAH7BvyA=",0)</f>
        <v>#REF!</v>
      </c>
      <c r="AH60" t="e">
        <f>IF(#REF!,"AAAAAH7BvyE=",0)</f>
        <v>#REF!</v>
      </c>
      <c r="AI60" t="e">
        <f>IF(#REF!,"AAAAAH7BvyI=",0)</f>
        <v>#REF!</v>
      </c>
      <c r="AJ60" t="e">
        <f>IF(#REF!,"AAAAAH7BvyM=",0)</f>
        <v>#REF!</v>
      </c>
      <c r="AK60" t="e">
        <f>IF(#REF!,"AAAAAH7BvyQ=",0)</f>
        <v>#REF!</v>
      </c>
      <c r="AL60" t="e">
        <f>IF(#REF!,"AAAAAH7BvyU=",0)</f>
        <v>#REF!</v>
      </c>
      <c r="AM60" t="e">
        <f>IF(#REF!,"AAAAAH7BvyY=",0)</f>
        <v>#REF!</v>
      </c>
      <c r="AN60" t="e">
        <f>IF(#REF!,"AAAAAH7Bvyc=",0)</f>
        <v>#REF!</v>
      </c>
      <c r="AO60" t="e">
        <f>IF(#REF!,"AAAAAH7Bvyg=",0)</f>
        <v>#REF!</v>
      </c>
      <c r="AP60" t="e">
        <f>IF(#REF!,"AAAAAH7Bvyk=",0)</f>
        <v>#REF!</v>
      </c>
      <c r="AQ60" t="e">
        <f>IF(#REF!,"AAAAAH7Bvyo=",0)</f>
        <v>#REF!</v>
      </c>
      <c r="AR60" t="e">
        <f>IF(#REF!,"AAAAAH7Bvys=",0)</f>
        <v>#REF!</v>
      </c>
      <c r="AS60" t="e">
        <f>IF(#REF!,"AAAAAH7Bvyw=",0)</f>
        <v>#REF!</v>
      </c>
      <c r="AT60" t="e">
        <f>IF(#REF!,"AAAAAH7Bvy0=",0)</f>
        <v>#REF!</v>
      </c>
      <c r="AU60" t="e">
        <f>IF(#REF!,"AAAAAH7Bvy4=",0)</f>
        <v>#REF!</v>
      </c>
      <c r="AV60" t="e">
        <f>IF(#REF!,"AAAAAH7Bvy8=",0)</f>
        <v>#REF!</v>
      </c>
      <c r="AW60" t="e">
        <f>IF(#REF!,"AAAAAH7BvzA=",0)</f>
        <v>#REF!</v>
      </c>
      <c r="AX60" t="e">
        <f>IF(#REF!,"AAAAAH7BvzE=",0)</f>
        <v>#REF!</v>
      </c>
      <c r="AY60" t="e">
        <f>IF(#REF!,"AAAAAH7BvzI=",0)</f>
        <v>#REF!</v>
      </c>
      <c r="AZ60" t="e">
        <f>IF(#REF!,"AAAAAH7BvzM=",0)</f>
        <v>#REF!</v>
      </c>
      <c r="BA60" t="e">
        <f>IF(#REF!,"AAAAAH7BvzQ=",0)</f>
        <v>#REF!</v>
      </c>
      <c r="BB60" t="e">
        <f>IF(#REF!,"AAAAAH7BvzU=",0)</f>
        <v>#REF!</v>
      </c>
      <c r="BC60" t="e">
        <f>IF(#REF!,"AAAAAH7BvzY=",0)</f>
        <v>#REF!</v>
      </c>
      <c r="BD60" t="e">
        <f>IF(#REF!,"AAAAAH7Bvzc=",0)</f>
        <v>#REF!</v>
      </c>
      <c r="BE60" t="e">
        <f>IF(#REF!,"AAAAAH7Bvzg=",0)</f>
        <v>#REF!</v>
      </c>
      <c r="BF60" t="e">
        <f>IF(#REF!,"AAAAAH7Bvzk=",0)</f>
        <v>#REF!</v>
      </c>
      <c r="BG60" t="e">
        <f>IF(#REF!,"AAAAAH7Bvzo=",0)</f>
        <v>#REF!</v>
      </c>
      <c r="BH60" t="e">
        <f>IF(#REF!,"AAAAAH7Bvzs=",0)</f>
        <v>#REF!</v>
      </c>
      <c r="BI60" t="e">
        <f>IF(#REF!,"AAAAAH7Bvzw=",0)</f>
        <v>#REF!</v>
      </c>
      <c r="BJ60" t="e">
        <f>IF(#REF!,"AAAAAH7Bvz0=",0)</f>
        <v>#REF!</v>
      </c>
      <c r="BK60" t="e">
        <f>IF(#REF!,"AAAAAH7Bvz4=",0)</f>
        <v>#REF!</v>
      </c>
      <c r="BL60" t="e">
        <f>IF(#REF!,"AAAAAH7Bvz8=",0)</f>
        <v>#REF!</v>
      </c>
      <c r="BM60" t="e">
        <f>IF(#REF!,"AAAAAH7Bv0A=",0)</f>
        <v>#REF!</v>
      </c>
      <c r="BN60" t="e">
        <f>IF(#REF!,"AAAAAH7Bv0E=",0)</f>
        <v>#REF!</v>
      </c>
      <c r="BO60" t="e">
        <f>IF(#REF!,"AAAAAH7Bv0I=",0)</f>
        <v>#REF!</v>
      </c>
      <c r="BP60" t="e">
        <f>IF(#REF!,"AAAAAH7Bv0M=",0)</f>
        <v>#REF!</v>
      </c>
      <c r="BQ60" t="e">
        <f>IF(#REF!,"AAAAAH7Bv0Q=",0)</f>
        <v>#REF!</v>
      </c>
      <c r="BR60" t="e">
        <f>IF(#REF!,"AAAAAH7Bv0U=",0)</f>
        <v>#REF!</v>
      </c>
      <c r="BS60" t="e">
        <f>IF(#REF!,"AAAAAH7Bv0Y=",0)</f>
        <v>#REF!</v>
      </c>
      <c r="BT60" t="e">
        <f>IF(#REF!,"AAAAAH7Bv0c=",0)</f>
        <v>#REF!</v>
      </c>
      <c r="BU60" t="e">
        <f>IF(#REF!,"AAAAAH7Bv0g=",0)</f>
        <v>#REF!</v>
      </c>
      <c r="BV60" t="e">
        <f>IF(#REF!,"AAAAAH7Bv0k=",0)</f>
        <v>#REF!</v>
      </c>
      <c r="BW60" t="e">
        <f>IF(#REF!,"AAAAAH7Bv0o=",0)</f>
        <v>#REF!</v>
      </c>
      <c r="BX60" t="e">
        <f>IF(#REF!,"AAAAAH7Bv0s=",0)</f>
        <v>#REF!</v>
      </c>
      <c r="BY60" t="e">
        <f>IF(#REF!,"AAAAAH7Bv0w=",0)</f>
        <v>#REF!</v>
      </c>
      <c r="BZ60" t="e">
        <f>IF(#REF!,"AAAAAH7Bv00=",0)</f>
        <v>#REF!</v>
      </c>
      <c r="CA60" t="e">
        <f>IF(#REF!,"AAAAAH7Bv04=",0)</f>
        <v>#REF!</v>
      </c>
      <c r="CB60" t="e">
        <f>IF(#REF!,"AAAAAH7Bv08=",0)</f>
        <v>#REF!</v>
      </c>
      <c r="CC60" t="e">
        <f>IF(#REF!,"AAAAAH7Bv1A=",0)</f>
        <v>#REF!</v>
      </c>
      <c r="CD60" t="e">
        <f>IF(#REF!,"AAAAAH7Bv1E=",0)</f>
        <v>#REF!</v>
      </c>
      <c r="CE60" t="e">
        <f>IF(#REF!,"AAAAAH7Bv1I=",0)</f>
        <v>#REF!</v>
      </c>
      <c r="CF60" t="e">
        <f>IF(#REF!,"AAAAAH7Bv1M=",0)</f>
        <v>#REF!</v>
      </c>
      <c r="CG60" t="e">
        <f>IF(#REF!,"AAAAAH7Bv1Q=",0)</f>
        <v>#REF!</v>
      </c>
      <c r="CH60" t="e">
        <f>IF(#REF!,"AAAAAH7Bv1U=",0)</f>
        <v>#REF!</v>
      </c>
      <c r="CI60" t="e">
        <f>IF(#REF!,"AAAAAH7Bv1Y=",0)</f>
        <v>#REF!</v>
      </c>
      <c r="CJ60" t="e">
        <f>IF(#REF!,"AAAAAH7Bv1c=",0)</f>
        <v>#REF!</v>
      </c>
      <c r="CK60" t="e">
        <f>IF(#REF!,"AAAAAH7Bv1g=",0)</f>
        <v>#REF!</v>
      </c>
      <c r="CL60" t="e">
        <f>IF(#REF!,"AAAAAH7Bv1k=",0)</f>
        <v>#REF!</v>
      </c>
      <c r="CM60" t="e">
        <f>IF(#REF!,"AAAAAH7Bv1o=",0)</f>
        <v>#REF!</v>
      </c>
      <c r="CN60" t="e">
        <f>IF(#REF!,"AAAAAH7Bv1s=",0)</f>
        <v>#REF!</v>
      </c>
      <c r="CO60" t="e">
        <f>IF(#REF!,"AAAAAH7Bv1w=",0)</f>
        <v>#REF!</v>
      </c>
      <c r="CP60" t="e">
        <f>IF(#REF!,"AAAAAH7Bv10=",0)</f>
        <v>#REF!</v>
      </c>
      <c r="CQ60" t="e">
        <f>IF(#REF!,"AAAAAH7Bv14=",0)</f>
        <v>#REF!</v>
      </c>
      <c r="CR60" t="e">
        <f>IF(#REF!,"AAAAAH7Bv18=",0)</f>
        <v>#REF!</v>
      </c>
      <c r="CS60" t="e">
        <f>IF(#REF!,"AAAAAH7Bv2A=",0)</f>
        <v>#REF!</v>
      </c>
      <c r="CT60" t="e">
        <f>IF(#REF!,"AAAAAH7Bv2E=",0)</f>
        <v>#REF!</v>
      </c>
      <c r="CU60" t="e">
        <f>IF(#REF!,"AAAAAH7Bv2I=",0)</f>
        <v>#REF!</v>
      </c>
      <c r="CV60" t="e">
        <f>IF(#REF!,"AAAAAH7Bv2M=",0)</f>
        <v>#REF!</v>
      </c>
      <c r="CW60" t="e">
        <f>IF(#REF!,"AAAAAH7Bv2Q=",0)</f>
        <v>#REF!</v>
      </c>
      <c r="CX60" t="e">
        <f>IF(#REF!,"AAAAAH7Bv2U=",0)</f>
        <v>#REF!</v>
      </c>
      <c r="CY60" t="e">
        <f>IF(#REF!,"AAAAAH7Bv2Y=",0)</f>
        <v>#REF!</v>
      </c>
      <c r="CZ60" t="e">
        <f>IF(#REF!,"AAAAAH7Bv2c=",0)</f>
        <v>#REF!</v>
      </c>
      <c r="DA60" t="e">
        <f>IF(#REF!,"AAAAAH7Bv2g=",0)</f>
        <v>#REF!</v>
      </c>
      <c r="DB60" t="e">
        <f>IF(#REF!,"AAAAAH7Bv2k=",0)</f>
        <v>#REF!</v>
      </c>
      <c r="DC60" t="e">
        <f>IF(#REF!,"AAAAAH7Bv2o=",0)</f>
        <v>#REF!</v>
      </c>
      <c r="DD60" t="e">
        <f>IF(#REF!,"AAAAAH7Bv2s=",0)</f>
        <v>#REF!</v>
      </c>
      <c r="DE60" t="e">
        <f>IF(#REF!,"AAAAAH7Bv2w=",0)</f>
        <v>#REF!</v>
      </c>
      <c r="DF60" t="e">
        <f>IF(#REF!,"AAAAAH7Bv20=",0)</f>
        <v>#REF!</v>
      </c>
      <c r="DG60" t="e">
        <f>IF(#REF!,"AAAAAH7Bv24=",0)</f>
        <v>#REF!</v>
      </c>
      <c r="DH60" t="e">
        <f>IF(#REF!,"AAAAAH7Bv28=",0)</f>
        <v>#REF!</v>
      </c>
      <c r="DI60" t="e">
        <f>IF(#REF!,"AAAAAH7Bv3A=",0)</f>
        <v>#REF!</v>
      </c>
      <c r="DJ60" t="e">
        <f>IF(#REF!,"AAAAAH7Bv3E=",0)</f>
        <v>#REF!</v>
      </c>
      <c r="DK60" t="e">
        <f>IF(#REF!,"AAAAAH7Bv3I=",0)</f>
        <v>#REF!</v>
      </c>
      <c r="DL60" t="e">
        <f>IF(#REF!,"AAAAAH7Bv3M=",0)</f>
        <v>#REF!</v>
      </c>
      <c r="DM60" t="e">
        <f>IF(#REF!,"AAAAAH7Bv3Q=",0)</f>
        <v>#REF!</v>
      </c>
      <c r="DN60" t="e">
        <f>IF(#REF!,"AAAAAH7Bv3U=",0)</f>
        <v>#REF!</v>
      </c>
      <c r="DO60" t="e">
        <f>IF(#REF!,"AAAAAH7Bv3Y=",0)</f>
        <v>#REF!</v>
      </c>
      <c r="DP60" t="e">
        <f>IF(#REF!,"AAAAAH7Bv3c=",0)</f>
        <v>#REF!</v>
      </c>
      <c r="DQ60" t="e">
        <f>IF(#REF!,"AAAAAH7Bv3g=",0)</f>
        <v>#REF!</v>
      </c>
      <c r="DR60" t="e">
        <f>IF(#REF!,"AAAAAH7Bv3k=",0)</f>
        <v>#REF!</v>
      </c>
      <c r="DS60" t="e">
        <f>IF(#REF!,"AAAAAH7Bv3o=",0)</f>
        <v>#REF!</v>
      </c>
      <c r="DT60" t="e">
        <f>IF(#REF!,"AAAAAH7Bv3s=",0)</f>
        <v>#REF!</v>
      </c>
      <c r="DU60" t="e">
        <f>IF(#REF!,"AAAAAH7Bv3w=",0)</f>
        <v>#REF!</v>
      </c>
      <c r="DV60" t="e">
        <f>IF(#REF!,"AAAAAH7Bv30=",0)</f>
        <v>#REF!</v>
      </c>
      <c r="DW60" t="e">
        <f>IF(#REF!,"AAAAAH7Bv34=",0)</f>
        <v>#REF!</v>
      </c>
      <c r="DX60" t="e">
        <f>IF(#REF!,"AAAAAH7Bv38=",0)</f>
        <v>#REF!</v>
      </c>
      <c r="DY60" t="e">
        <f>IF(#REF!,"AAAAAH7Bv4A=",0)</f>
        <v>#REF!</v>
      </c>
      <c r="DZ60" t="e">
        <f>AND(#REF!,"AAAAAH7Bv4E=")</f>
        <v>#REF!</v>
      </c>
      <c r="EA60" t="e">
        <f>AND(#REF!,"AAAAAH7Bv4I=")</f>
        <v>#REF!</v>
      </c>
      <c r="EB60" t="e">
        <f>AND(#REF!,"AAAAAH7Bv4M=")</f>
        <v>#REF!</v>
      </c>
      <c r="EC60" t="e">
        <f>AND(#REF!,"AAAAAH7Bv4Q=")</f>
        <v>#REF!</v>
      </c>
      <c r="ED60" t="e">
        <f>AND(#REF!,"AAAAAH7Bv4U=")</f>
        <v>#REF!</v>
      </c>
      <c r="EE60" t="e">
        <f>AND(#REF!,"AAAAAH7Bv4Y=")</f>
        <v>#REF!</v>
      </c>
      <c r="EF60" t="e">
        <f>AND(#REF!,"AAAAAH7Bv4c=")</f>
        <v>#REF!</v>
      </c>
      <c r="EG60" t="e">
        <f>AND(#REF!,"AAAAAH7Bv4g=")</f>
        <v>#REF!</v>
      </c>
      <c r="EH60" t="e">
        <f>AND(#REF!,"AAAAAH7Bv4k=")</f>
        <v>#REF!</v>
      </c>
      <c r="EI60" t="e">
        <f>AND(#REF!,"AAAAAH7Bv4o=")</f>
        <v>#REF!</v>
      </c>
      <c r="EJ60" t="e">
        <f>AND(#REF!,"AAAAAH7Bv4s=")</f>
        <v>#REF!</v>
      </c>
      <c r="EK60" t="e">
        <f>AND(#REF!,"AAAAAH7Bv4w=")</f>
        <v>#REF!</v>
      </c>
      <c r="EL60" t="e">
        <f>AND(#REF!,"AAAAAH7Bv40=")</f>
        <v>#REF!</v>
      </c>
      <c r="EM60" t="e">
        <f>AND(#REF!,"AAAAAH7Bv44=")</f>
        <v>#REF!</v>
      </c>
      <c r="EN60" t="e">
        <f>AND(#REF!,"AAAAAH7Bv48=")</f>
        <v>#REF!</v>
      </c>
      <c r="EO60" t="e">
        <f>AND(#REF!,"AAAAAH7Bv5A=")</f>
        <v>#REF!</v>
      </c>
      <c r="EP60" t="e">
        <f>AND(#REF!,"AAAAAH7Bv5E=")</f>
        <v>#REF!</v>
      </c>
      <c r="EQ60" t="e">
        <f>AND(#REF!,"AAAAAH7Bv5I=")</f>
        <v>#REF!</v>
      </c>
      <c r="ER60" t="e">
        <f>AND(#REF!,"AAAAAH7Bv5M=")</f>
        <v>#REF!</v>
      </c>
      <c r="ES60" t="e">
        <f>AND(#REF!,"AAAAAH7Bv5Q=")</f>
        <v>#REF!</v>
      </c>
      <c r="ET60" t="e">
        <f>IF(#REF!,"AAAAAH7Bv5U=",0)</f>
        <v>#REF!</v>
      </c>
      <c r="EU60" t="e">
        <f>AND(#REF!,"AAAAAH7Bv5Y=")</f>
        <v>#REF!</v>
      </c>
      <c r="EV60" t="e">
        <f>AND(#REF!,"AAAAAH7Bv5c=")</f>
        <v>#REF!</v>
      </c>
      <c r="EW60" t="e">
        <f>AND(#REF!,"AAAAAH7Bv5g=")</f>
        <v>#REF!</v>
      </c>
      <c r="EX60" t="e">
        <f>AND(#REF!,"AAAAAH7Bv5k=")</f>
        <v>#REF!</v>
      </c>
      <c r="EY60" t="e">
        <f>AND(#REF!,"AAAAAH7Bv5o=")</f>
        <v>#REF!</v>
      </c>
      <c r="EZ60" t="e">
        <f>AND(#REF!,"AAAAAH7Bv5s=")</f>
        <v>#REF!</v>
      </c>
      <c r="FA60" t="e">
        <f>AND(#REF!,"AAAAAH7Bv5w=")</f>
        <v>#REF!</v>
      </c>
      <c r="FB60" t="e">
        <f>AND(#REF!,"AAAAAH7Bv50=")</f>
        <v>#REF!</v>
      </c>
      <c r="FC60" t="e">
        <f>AND(#REF!,"AAAAAH7Bv54=")</f>
        <v>#REF!</v>
      </c>
      <c r="FD60" t="e">
        <f>AND(#REF!,"AAAAAH7Bv58=")</f>
        <v>#REF!</v>
      </c>
      <c r="FE60" t="e">
        <f>AND(#REF!,"AAAAAH7Bv6A=")</f>
        <v>#REF!</v>
      </c>
      <c r="FF60" t="e">
        <f>AND(#REF!,"AAAAAH7Bv6E=")</f>
        <v>#REF!</v>
      </c>
      <c r="FG60" t="e">
        <f>AND(#REF!,"AAAAAH7Bv6I=")</f>
        <v>#REF!</v>
      </c>
      <c r="FH60" t="e">
        <f>AND(#REF!,"AAAAAH7Bv6M=")</f>
        <v>#REF!</v>
      </c>
      <c r="FI60" t="e">
        <f>AND(#REF!,"AAAAAH7Bv6Q=")</f>
        <v>#REF!</v>
      </c>
      <c r="FJ60" t="e">
        <f>AND(#REF!,"AAAAAH7Bv6U=")</f>
        <v>#REF!</v>
      </c>
      <c r="FK60" t="e">
        <f>AND(#REF!,"AAAAAH7Bv6Y=")</f>
        <v>#REF!</v>
      </c>
      <c r="FL60" t="e">
        <f>AND(#REF!,"AAAAAH7Bv6c=")</f>
        <v>#REF!</v>
      </c>
      <c r="FM60" t="e">
        <f>AND(#REF!,"AAAAAH7Bv6g=")</f>
        <v>#REF!</v>
      </c>
      <c r="FN60" t="e">
        <f>AND(#REF!,"AAAAAH7Bv6k=")</f>
        <v>#REF!</v>
      </c>
      <c r="FO60" t="e">
        <f>IF(#REF!,"AAAAAH7Bv6o=",0)</f>
        <v>#REF!</v>
      </c>
      <c r="FP60" t="e">
        <f>AND(#REF!,"AAAAAH7Bv6s=")</f>
        <v>#REF!</v>
      </c>
      <c r="FQ60" t="e">
        <f>AND(#REF!,"AAAAAH7Bv6w=")</f>
        <v>#REF!</v>
      </c>
      <c r="FR60" t="e">
        <f>AND(#REF!,"AAAAAH7Bv60=")</f>
        <v>#REF!</v>
      </c>
      <c r="FS60" t="e">
        <f>AND(#REF!,"AAAAAH7Bv64=")</f>
        <v>#REF!</v>
      </c>
      <c r="FT60" t="e">
        <f>AND(#REF!,"AAAAAH7Bv68=")</f>
        <v>#REF!</v>
      </c>
      <c r="FU60" t="e">
        <f>AND(#REF!,"AAAAAH7Bv7A=")</f>
        <v>#REF!</v>
      </c>
      <c r="FV60" t="e">
        <f>AND(#REF!,"AAAAAH7Bv7E=")</f>
        <v>#REF!</v>
      </c>
      <c r="FW60" t="e">
        <f>AND(#REF!,"AAAAAH7Bv7I=")</f>
        <v>#REF!</v>
      </c>
      <c r="FX60" t="e">
        <f>AND(#REF!,"AAAAAH7Bv7M=")</f>
        <v>#REF!</v>
      </c>
      <c r="FY60" t="e">
        <f>AND(#REF!,"AAAAAH7Bv7Q=")</f>
        <v>#REF!</v>
      </c>
      <c r="FZ60" t="e">
        <f>AND(#REF!,"AAAAAH7Bv7U=")</f>
        <v>#REF!</v>
      </c>
      <c r="GA60" t="e">
        <f>AND(#REF!,"AAAAAH7Bv7Y=")</f>
        <v>#REF!</v>
      </c>
      <c r="GB60" t="e">
        <f>AND(#REF!,"AAAAAH7Bv7c=")</f>
        <v>#REF!</v>
      </c>
      <c r="GC60" t="e">
        <f>AND(#REF!,"AAAAAH7Bv7g=")</f>
        <v>#REF!</v>
      </c>
      <c r="GD60" t="e">
        <f>AND(#REF!,"AAAAAH7Bv7k=")</f>
        <v>#REF!</v>
      </c>
      <c r="GE60" t="e">
        <f>AND(#REF!,"AAAAAH7Bv7o=")</f>
        <v>#REF!</v>
      </c>
      <c r="GF60" t="e">
        <f>AND(#REF!,"AAAAAH7Bv7s=")</f>
        <v>#REF!</v>
      </c>
      <c r="GG60" t="e">
        <f>AND(#REF!,"AAAAAH7Bv7w=")</f>
        <v>#REF!</v>
      </c>
      <c r="GH60" t="e">
        <f>AND(#REF!,"AAAAAH7Bv70=")</f>
        <v>#REF!</v>
      </c>
      <c r="GI60" t="e">
        <f>AND(#REF!,"AAAAAH7Bv74=")</f>
        <v>#REF!</v>
      </c>
      <c r="GJ60" t="e">
        <f>IF(#REF!,"AAAAAH7Bv78=",0)</f>
        <v>#REF!</v>
      </c>
      <c r="GK60" t="e">
        <f>AND(#REF!,"AAAAAH7Bv8A=")</f>
        <v>#REF!</v>
      </c>
      <c r="GL60" t="e">
        <f>AND(#REF!,"AAAAAH7Bv8E=")</f>
        <v>#REF!</v>
      </c>
      <c r="GM60" t="e">
        <f>AND(#REF!,"AAAAAH7Bv8I=")</f>
        <v>#REF!</v>
      </c>
      <c r="GN60" t="e">
        <f>AND(#REF!,"AAAAAH7Bv8M=")</f>
        <v>#REF!</v>
      </c>
      <c r="GO60" t="e">
        <f>AND(#REF!,"AAAAAH7Bv8Q=")</f>
        <v>#REF!</v>
      </c>
      <c r="GP60" t="e">
        <f>AND(#REF!,"AAAAAH7Bv8U=")</f>
        <v>#REF!</v>
      </c>
      <c r="GQ60" t="e">
        <f>AND(#REF!,"AAAAAH7Bv8Y=")</f>
        <v>#REF!</v>
      </c>
      <c r="GR60" t="e">
        <f>AND(#REF!,"AAAAAH7Bv8c=")</f>
        <v>#REF!</v>
      </c>
      <c r="GS60" t="e">
        <f>AND(#REF!,"AAAAAH7Bv8g=")</f>
        <v>#REF!</v>
      </c>
      <c r="GT60" t="e">
        <f>AND(#REF!,"AAAAAH7Bv8k=")</f>
        <v>#REF!</v>
      </c>
      <c r="GU60" t="e">
        <f>AND(#REF!,"AAAAAH7Bv8o=")</f>
        <v>#REF!</v>
      </c>
      <c r="GV60" t="e">
        <f>AND(#REF!,"AAAAAH7Bv8s=")</f>
        <v>#REF!</v>
      </c>
      <c r="GW60" t="e">
        <f>AND(#REF!,"AAAAAH7Bv8w=")</f>
        <v>#REF!</v>
      </c>
      <c r="GX60" t="e">
        <f>AND(#REF!,"AAAAAH7Bv80=")</f>
        <v>#REF!</v>
      </c>
      <c r="GY60" t="e">
        <f>AND(#REF!,"AAAAAH7Bv84=")</f>
        <v>#REF!</v>
      </c>
      <c r="GZ60" t="e">
        <f>AND(#REF!,"AAAAAH7Bv88=")</f>
        <v>#REF!</v>
      </c>
      <c r="HA60" t="e">
        <f>AND(#REF!,"AAAAAH7Bv9A=")</f>
        <v>#REF!</v>
      </c>
      <c r="HB60" t="e">
        <f>AND(#REF!,"AAAAAH7Bv9E=")</f>
        <v>#REF!</v>
      </c>
      <c r="HC60" t="e">
        <f>AND(#REF!,"AAAAAH7Bv9I=")</f>
        <v>#REF!</v>
      </c>
      <c r="HD60" t="e">
        <f>AND(#REF!,"AAAAAH7Bv9M=")</f>
        <v>#REF!</v>
      </c>
      <c r="HE60" t="e">
        <f>IF(#REF!,"AAAAAH7Bv9Q=",0)</f>
        <v>#REF!</v>
      </c>
      <c r="HF60" t="e">
        <f>AND(#REF!,"AAAAAH7Bv9U=")</f>
        <v>#REF!</v>
      </c>
      <c r="HG60" t="e">
        <f>AND(#REF!,"AAAAAH7Bv9Y=")</f>
        <v>#REF!</v>
      </c>
      <c r="HH60" t="e">
        <f>AND(#REF!,"AAAAAH7Bv9c=")</f>
        <v>#REF!</v>
      </c>
      <c r="HI60" t="e">
        <f>AND(#REF!,"AAAAAH7Bv9g=")</f>
        <v>#REF!</v>
      </c>
      <c r="HJ60" t="e">
        <f>AND(#REF!,"AAAAAH7Bv9k=")</f>
        <v>#REF!</v>
      </c>
      <c r="HK60" t="e">
        <f>AND(#REF!,"AAAAAH7Bv9o=")</f>
        <v>#REF!</v>
      </c>
      <c r="HL60" t="e">
        <f>AND(#REF!,"AAAAAH7Bv9s=")</f>
        <v>#REF!</v>
      </c>
      <c r="HM60" t="e">
        <f>AND(#REF!,"AAAAAH7Bv9w=")</f>
        <v>#REF!</v>
      </c>
      <c r="HN60" t="e">
        <f>AND(#REF!,"AAAAAH7Bv90=")</f>
        <v>#REF!</v>
      </c>
      <c r="HO60" t="e">
        <f>AND(#REF!,"AAAAAH7Bv94=")</f>
        <v>#REF!</v>
      </c>
      <c r="HP60" t="e">
        <f>AND(#REF!,"AAAAAH7Bv98=")</f>
        <v>#REF!</v>
      </c>
      <c r="HQ60" t="e">
        <f>AND(#REF!,"AAAAAH7Bv+A=")</f>
        <v>#REF!</v>
      </c>
      <c r="HR60" t="e">
        <f>AND(#REF!,"AAAAAH7Bv+E=")</f>
        <v>#REF!</v>
      </c>
      <c r="HS60" t="e">
        <f>AND(#REF!,"AAAAAH7Bv+I=")</f>
        <v>#REF!</v>
      </c>
      <c r="HT60" t="e">
        <f>AND(#REF!,"AAAAAH7Bv+M=")</f>
        <v>#REF!</v>
      </c>
      <c r="HU60" t="e">
        <f>AND(#REF!,"AAAAAH7Bv+Q=")</f>
        <v>#REF!</v>
      </c>
      <c r="HV60" t="e">
        <f>AND(#REF!,"AAAAAH7Bv+U=")</f>
        <v>#REF!</v>
      </c>
      <c r="HW60" t="e">
        <f>AND(#REF!,"AAAAAH7Bv+Y=")</f>
        <v>#REF!</v>
      </c>
      <c r="HX60" t="e">
        <f>AND(#REF!,"AAAAAH7Bv+c=")</f>
        <v>#REF!</v>
      </c>
      <c r="HY60" t="e">
        <f>AND(#REF!,"AAAAAH7Bv+g=")</f>
        <v>#REF!</v>
      </c>
      <c r="HZ60" t="e">
        <f>IF(#REF!,"AAAAAH7Bv+k=",0)</f>
        <v>#REF!</v>
      </c>
      <c r="IA60" t="e">
        <f>AND(#REF!,"AAAAAH7Bv+o=")</f>
        <v>#REF!</v>
      </c>
      <c r="IB60" t="e">
        <f>AND(#REF!,"AAAAAH7Bv+s=")</f>
        <v>#REF!</v>
      </c>
      <c r="IC60" t="e">
        <f>AND(#REF!,"AAAAAH7Bv+w=")</f>
        <v>#REF!</v>
      </c>
      <c r="ID60" t="e">
        <f>AND(#REF!,"AAAAAH7Bv+0=")</f>
        <v>#REF!</v>
      </c>
      <c r="IE60" t="e">
        <f>AND(#REF!,"AAAAAH7Bv+4=")</f>
        <v>#REF!</v>
      </c>
      <c r="IF60" t="e">
        <f>AND(#REF!,"AAAAAH7Bv+8=")</f>
        <v>#REF!</v>
      </c>
      <c r="IG60" t="e">
        <f>AND(#REF!,"AAAAAH7Bv/A=")</f>
        <v>#REF!</v>
      </c>
      <c r="IH60" t="e">
        <f>AND(#REF!,"AAAAAH7Bv/E=")</f>
        <v>#REF!</v>
      </c>
      <c r="II60" t="e">
        <f>AND(#REF!,"AAAAAH7Bv/I=")</f>
        <v>#REF!</v>
      </c>
      <c r="IJ60" t="e">
        <f>AND(#REF!,"AAAAAH7Bv/M=")</f>
        <v>#REF!</v>
      </c>
      <c r="IK60" t="e">
        <f>AND(#REF!,"AAAAAH7Bv/Q=")</f>
        <v>#REF!</v>
      </c>
      <c r="IL60" t="e">
        <f>AND(#REF!,"AAAAAH7Bv/U=")</f>
        <v>#REF!</v>
      </c>
      <c r="IM60" t="e">
        <f>AND(#REF!,"AAAAAH7Bv/Y=")</f>
        <v>#REF!</v>
      </c>
      <c r="IN60" t="e">
        <f>AND(#REF!,"AAAAAH7Bv/c=")</f>
        <v>#REF!</v>
      </c>
      <c r="IO60" t="e">
        <f>AND(#REF!,"AAAAAH7Bv/g=")</f>
        <v>#REF!</v>
      </c>
      <c r="IP60" t="e">
        <f>AND(#REF!,"AAAAAH7Bv/k=")</f>
        <v>#REF!</v>
      </c>
      <c r="IQ60" t="e">
        <f>AND(#REF!,"AAAAAH7Bv/o=")</f>
        <v>#REF!</v>
      </c>
      <c r="IR60" t="e">
        <f>AND(#REF!,"AAAAAH7Bv/s=")</f>
        <v>#REF!</v>
      </c>
      <c r="IS60" t="e">
        <f>AND(#REF!,"AAAAAH7Bv/w=")</f>
        <v>#REF!</v>
      </c>
      <c r="IT60" t="e">
        <f>AND(#REF!,"AAAAAH7Bv/0=")</f>
        <v>#REF!</v>
      </c>
      <c r="IU60" t="e">
        <f>IF(#REF!,"AAAAAH7Bv/4=",0)</f>
        <v>#REF!</v>
      </c>
      <c r="IV60" t="e">
        <f>AND(#REF!,"AAAAAH7Bv/8=")</f>
        <v>#REF!</v>
      </c>
    </row>
    <row r="61" spans="1:256" x14ac:dyDescent="0.35">
      <c r="A61" t="e">
        <f>AND(#REF!,"AAAAAG/38QA=")</f>
        <v>#REF!</v>
      </c>
      <c r="B61" t="e">
        <f>AND(#REF!,"AAAAAG/38QE=")</f>
        <v>#REF!</v>
      </c>
      <c r="C61" t="e">
        <f>AND(#REF!,"AAAAAG/38QI=")</f>
        <v>#REF!</v>
      </c>
      <c r="D61" t="e">
        <f>AND(#REF!,"AAAAAG/38QM=")</f>
        <v>#REF!</v>
      </c>
      <c r="E61" t="e">
        <f>AND(#REF!,"AAAAAG/38QQ=")</f>
        <v>#REF!</v>
      </c>
      <c r="F61" t="e">
        <f>AND(#REF!,"AAAAAG/38QU=")</f>
        <v>#REF!</v>
      </c>
      <c r="G61" t="e">
        <f>AND(#REF!,"AAAAAG/38QY=")</f>
        <v>#REF!</v>
      </c>
      <c r="H61" t="e">
        <f>AND(#REF!,"AAAAAG/38Qc=")</f>
        <v>#REF!</v>
      </c>
      <c r="I61" t="e">
        <f>AND(#REF!,"AAAAAG/38Qg=")</f>
        <v>#REF!</v>
      </c>
      <c r="J61" t="e">
        <f>AND(#REF!,"AAAAAG/38Qk=")</f>
        <v>#REF!</v>
      </c>
      <c r="K61" t="e">
        <f>AND(#REF!,"AAAAAG/38Qo=")</f>
        <v>#REF!</v>
      </c>
      <c r="L61" t="e">
        <f>AND(#REF!,"AAAAAG/38Qs=")</f>
        <v>#REF!</v>
      </c>
      <c r="M61" t="e">
        <f>AND(#REF!,"AAAAAG/38Qw=")</f>
        <v>#REF!</v>
      </c>
      <c r="N61" t="e">
        <f>AND(#REF!,"AAAAAG/38Q0=")</f>
        <v>#REF!</v>
      </c>
      <c r="O61" t="e">
        <f>AND(#REF!,"AAAAAG/38Q4=")</f>
        <v>#REF!</v>
      </c>
      <c r="P61" t="e">
        <f>AND(#REF!,"AAAAAG/38Q8=")</f>
        <v>#REF!</v>
      </c>
      <c r="Q61" t="e">
        <f>AND(#REF!,"AAAAAG/38RA=")</f>
        <v>#REF!</v>
      </c>
      <c r="R61" t="e">
        <f>AND(#REF!,"AAAAAG/38RE=")</f>
        <v>#REF!</v>
      </c>
      <c r="S61" t="e">
        <f>AND(#REF!,"AAAAAG/38RI=")</f>
        <v>#REF!</v>
      </c>
      <c r="T61" t="e">
        <f>IF(#REF!,"AAAAAG/38RM=",0)</f>
        <v>#REF!</v>
      </c>
      <c r="U61" t="e">
        <f>AND(#REF!,"AAAAAG/38RQ=")</f>
        <v>#REF!</v>
      </c>
      <c r="V61" t="e">
        <f>AND(#REF!,"AAAAAG/38RU=")</f>
        <v>#REF!</v>
      </c>
      <c r="W61" t="e">
        <f>AND(#REF!,"AAAAAG/38RY=")</f>
        <v>#REF!</v>
      </c>
      <c r="X61" t="e">
        <f>AND(#REF!,"AAAAAG/38Rc=")</f>
        <v>#REF!</v>
      </c>
      <c r="Y61" t="e">
        <f>AND(#REF!,"AAAAAG/38Rg=")</f>
        <v>#REF!</v>
      </c>
      <c r="Z61" t="e">
        <f>AND(#REF!,"AAAAAG/38Rk=")</f>
        <v>#REF!</v>
      </c>
      <c r="AA61" t="e">
        <f>AND(#REF!,"AAAAAG/38Ro=")</f>
        <v>#REF!</v>
      </c>
      <c r="AB61" t="e">
        <f>AND(#REF!,"AAAAAG/38Rs=")</f>
        <v>#REF!</v>
      </c>
      <c r="AC61" t="e">
        <f>AND(#REF!,"AAAAAG/38Rw=")</f>
        <v>#REF!</v>
      </c>
      <c r="AD61" t="e">
        <f>AND(#REF!,"AAAAAG/38R0=")</f>
        <v>#REF!</v>
      </c>
      <c r="AE61" t="e">
        <f>AND(#REF!,"AAAAAG/38R4=")</f>
        <v>#REF!</v>
      </c>
      <c r="AF61" t="e">
        <f>AND(#REF!,"AAAAAG/38R8=")</f>
        <v>#REF!</v>
      </c>
      <c r="AG61" t="e">
        <f>AND(#REF!,"AAAAAG/38SA=")</f>
        <v>#REF!</v>
      </c>
      <c r="AH61" t="e">
        <f>AND(#REF!,"AAAAAG/38SE=")</f>
        <v>#REF!</v>
      </c>
      <c r="AI61" t="e">
        <f>AND(#REF!,"AAAAAG/38SI=")</f>
        <v>#REF!</v>
      </c>
      <c r="AJ61" t="e">
        <f>AND(#REF!,"AAAAAG/38SM=")</f>
        <v>#REF!</v>
      </c>
      <c r="AK61" t="e">
        <f>AND(#REF!,"AAAAAG/38SQ=")</f>
        <v>#REF!</v>
      </c>
      <c r="AL61" t="e">
        <f>AND(#REF!,"AAAAAG/38SU=")</f>
        <v>#REF!</v>
      </c>
      <c r="AM61" t="e">
        <f>AND(#REF!,"AAAAAG/38SY=")</f>
        <v>#REF!</v>
      </c>
      <c r="AN61" t="e">
        <f>AND(#REF!,"AAAAAG/38Sc=")</f>
        <v>#REF!</v>
      </c>
      <c r="AO61" t="e">
        <f>IF(#REF!,"AAAAAG/38Sg=",0)</f>
        <v>#REF!</v>
      </c>
      <c r="AP61" t="e">
        <f>AND(#REF!,"AAAAAG/38Sk=")</f>
        <v>#REF!</v>
      </c>
      <c r="AQ61" t="e">
        <f>AND(#REF!,"AAAAAG/38So=")</f>
        <v>#REF!</v>
      </c>
      <c r="AR61" t="e">
        <f>AND(#REF!,"AAAAAG/38Ss=")</f>
        <v>#REF!</v>
      </c>
      <c r="AS61" t="e">
        <f>AND(#REF!,"AAAAAG/38Sw=")</f>
        <v>#REF!</v>
      </c>
      <c r="AT61" t="e">
        <f>AND(#REF!,"AAAAAG/38S0=")</f>
        <v>#REF!</v>
      </c>
      <c r="AU61" t="e">
        <f>AND(#REF!,"AAAAAG/38S4=")</f>
        <v>#REF!</v>
      </c>
      <c r="AV61" t="e">
        <f>AND(#REF!,"AAAAAG/38S8=")</f>
        <v>#REF!</v>
      </c>
      <c r="AW61" t="e">
        <f>AND(#REF!,"AAAAAG/38TA=")</f>
        <v>#REF!</v>
      </c>
      <c r="AX61" t="e">
        <f>AND(#REF!,"AAAAAG/38TE=")</f>
        <v>#REF!</v>
      </c>
      <c r="AY61" t="e">
        <f>AND(#REF!,"AAAAAG/38TI=")</f>
        <v>#REF!</v>
      </c>
      <c r="AZ61" t="e">
        <f>AND(#REF!,"AAAAAG/38TM=")</f>
        <v>#REF!</v>
      </c>
      <c r="BA61" t="e">
        <f>AND(#REF!,"AAAAAG/38TQ=")</f>
        <v>#REF!</v>
      </c>
      <c r="BB61" t="e">
        <f>AND(#REF!,"AAAAAG/38TU=")</f>
        <v>#REF!</v>
      </c>
      <c r="BC61" t="e">
        <f>AND(#REF!,"AAAAAG/38TY=")</f>
        <v>#REF!</v>
      </c>
      <c r="BD61" t="e">
        <f>AND(#REF!,"AAAAAG/38Tc=")</f>
        <v>#REF!</v>
      </c>
      <c r="BE61" t="e">
        <f>AND(#REF!,"AAAAAG/38Tg=")</f>
        <v>#REF!</v>
      </c>
      <c r="BF61" t="e">
        <f>AND(#REF!,"AAAAAG/38Tk=")</f>
        <v>#REF!</v>
      </c>
      <c r="BG61" t="e">
        <f>AND(#REF!,"AAAAAG/38To=")</f>
        <v>#REF!</v>
      </c>
      <c r="BH61" t="e">
        <f>AND(#REF!,"AAAAAG/38Ts=")</f>
        <v>#REF!</v>
      </c>
      <c r="BI61" t="e">
        <f>AND(#REF!,"AAAAAG/38Tw=")</f>
        <v>#REF!</v>
      </c>
      <c r="BJ61" t="e">
        <f>IF(#REF!,"AAAAAG/38T0=",0)</f>
        <v>#REF!</v>
      </c>
      <c r="BK61" t="e">
        <f>AND(#REF!,"AAAAAG/38T4=")</f>
        <v>#REF!</v>
      </c>
      <c r="BL61" t="e">
        <f>AND(#REF!,"AAAAAG/38T8=")</f>
        <v>#REF!</v>
      </c>
      <c r="BM61" t="e">
        <f>AND(#REF!,"AAAAAG/38UA=")</f>
        <v>#REF!</v>
      </c>
      <c r="BN61" t="e">
        <f>AND(#REF!,"AAAAAG/38UE=")</f>
        <v>#REF!</v>
      </c>
      <c r="BO61" t="e">
        <f>AND(#REF!,"AAAAAG/38UI=")</f>
        <v>#REF!</v>
      </c>
      <c r="BP61" t="e">
        <f>AND(#REF!,"AAAAAG/38UM=")</f>
        <v>#REF!</v>
      </c>
      <c r="BQ61" t="e">
        <f>AND(#REF!,"AAAAAG/38UQ=")</f>
        <v>#REF!</v>
      </c>
      <c r="BR61" t="e">
        <f>AND(#REF!,"AAAAAG/38UU=")</f>
        <v>#REF!</v>
      </c>
      <c r="BS61" t="e">
        <f>AND(#REF!,"AAAAAG/38UY=")</f>
        <v>#REF!</v>
      </c>
      <c r="BT61" t="e">
        <f>AND(#REF!,"AAAAAG/38Uc=")</f>
        <v>#REF!</v>
      </c>
      <c r="BU61" t="e">
        <f>AND(#REF!,"AAAAAG/38Ug=")</f>
        <v>#REF!</v>
      </c>
      <c r="BV61" t="e">
        <f>AND(#REF!,"AAAAAG/38Uk=")</f>
        <v>#REF!</v>
      </c>
      <c r="BW61" t="e">
        <f>AND(#REF!,"AAAAAG/38Uo=")</f>
        <v>#REF!</v>
      </c>
      <c r="BX61" t="e">
        <f>AND(#REF!,"AAAAAG/38Us=")</f>
        <v>#REF!</v>
      </c>
      <c r="BY61" t="e">
        <f>AND(#REF!,"AAAAAG/38Uw=")</f>
        <v>#REF!</v>
      </c>
      <c r="BZ61" t="e">
        <f>AND(#REF!,"AAAAAG/38U0=")</f>
        <v>#REF!</v>
      </c>
      <c r="CA61" t="e">
        <f>AND(#REF!,"AAAAAG/38U4=")</f>
        <v>#REF!</v>
      </c>
      <c r="CB61" t="e">
        <f>AND(#REF!,"AAAAAG/38U8=")</f>
        <v>#REF!</v>
      </c>
      <c r="CC61" t="e">
        <f>AND(#REF!,"AAAAAG/38VA=")</f>
        <v>#REF!</v>
      </c>
      <c r="CD61" t="e">
        <f>AND(#REF!,"AAAAAG/38VE=")</f>
        <v>#REF!</v>
      </c>
      <c r="CE61" t="e">
        <f>IF(#REF!,"AAAAAG/38VI=",0)</f>
        <v>#REF!</v>
      </c>
      <c r="CF61" t="e">
        <f>AND(#REF!,"AAAAAG/38VM=")</f>
        <v>#REF!</v>
      </c>
      <c r="CG61" t="e">
        <f>AND(#REF!,"AAAAAG/38VQ=")</f>
        <v>#REF!</v>
      </c>
      <c r="CH61" t="e">
        <f>AND(#REF!,"AAAAAG/38VU=")</f>
        <v>#REF!</v>
      </c>
      <c r="CI61" t="e">
        <f>AND(#REF!,"AAAAAG/38VY=")</f>
        <v>#REF!</v>
      </c>
      <c r="CJ61" t="e">
        <f>AND(#REF!,"AAAAAG/38Vc=")</f>
        <v>#REF!</v>
      </c>
      <c r="CK61" t="e">
        <f>AND(#REF!,"AAAAAG/38Vg=")</f>
        <v>#REF!</v>
      </c>
      <c r="CL61" t="e">
        <f>AND(#REF!,"AAAAAG/38Vk=")</f>
        <v>#REF!</v>
      </c>
      <c r="CM61" t="e">
        <f>AND(#REF!,"AAAAAG/38Vo=")</f>
        <v>#REF!</v>
      </c>
      <c r="CN61" t="e">
        <f>AND(#REF!,"AAAAAG/38Vs=")</f>
        <v>#REF!</v>
      </c>
      <c r="CO61" t="e">
        <f>AND(#REF!,"AAAAAG/38Vw=")</f>
        <v>#REF!</v>
      </c>
      <c r="CP61" t="e">
        <f>AND(#REF!,"AAAAAG/38V0=")</f>
        <v>#REF!</v>
      </c>
      <c r="CQ61" t="e">
        <f>AND(#REF!,"AAAAAG/38V4=")</f>
        <v>#REF!</v>
      </c>
      <c r="CR61" t="e">
        <f>AND(#REF!,"AAAAAG/38V8=")</f>
        <v>#REF!</v>
      </c>
      <c r="CS61" t="e">
        <f>AND(#REF!,"AAAAAG/38WA=")</f>
        <v>#REF!</v>
      </c>
      <c r="CT61" t="e">
        <f>AND(#REF!,"AAAAAG/38WE=")</f>
        <v>#REF!</v>
      </c>
      <c r="CU61" t="e">
        <f>AND(#REF!,"AAAAAG/38WI=")</f>
        <v>#REF!</v>
      </c>
      <c r="CV61" t="e">
        <f>AND(#REF!,"AAAAAG/38WM=")</f>
        <v>#REF!</v>
      </c>
      <c r="CW61" t="e">
        <f>AND(#REF!,"AAAAAG/38WQ=")</f>
        <v>#REF!</v>
      </c>
      <c r="CX61" t="e">
        <f>AND(#REF!,"AAAAAG/38WU=")</f>
        <v>#REF!</v>
      </c>
      <c r="CY61" t="e">
        <f>AND(#REF!,"AAAAAG/38WY=")</f>
        <v>#REF!</v>
      </c>
      <c r="CZ61" t="e">
        <f>IF(#REF!,"AAAAAG/38Wc=",0)</f>
        <v>#REF!</v>
      </c>
      <c r="DA61" t="e">
        <f>AND(#REF!,"AAAAAG/38Wg=")</f>
        <v>#REF!</v>
      </c>
      <c r="DB61" t="e">
        <f>AND(#REF!,"AAAAAG/38Wk=")</f>
        <v>#REF!</v>
      </c>
      <c r="DC61" t="e">
        <f>AND(#REF!,"AAAAAG/38Wo=")</f>
        <v>#REF!</v>
      </c>
      <c r="DD61" t="e">
        <f>AND(#REF!,"AAAAAG/38Ws=")</f>
        <v>#REF!</v>
      </c>
      <c r="DE61" t="e">
        <f>AND(#REF!,"AAAAAG/38Ww=")</f>
        <v>#REF!</v>
      </c>
      <c r="DF61" t="e">
        <f>AND(#REF!,"AAAAAG/38W0=")</f>
        <v>#REF!</v>
      </c>
      <c r="DG61" t="e">
        <f>AND(#REF!,"AAAAAG/38W4=")</f>
        <v>#REF!</v>
      </c>
      <c r="DH61" t="e">
        <f>AND(#REF!,"AAAAAG/38W8=")</f>
        <v>#REF!</v>
      </c>
      <c r="DI61" t="e">
        <f>AND(#REF!,"AAAAAG/38XA=")</f>
        <v>#REF!</v>
      </c>
      <c r="DJ61" t="e">
        <f>AND(#REF!,"AAAAAG/38XE=")</f>
        <v>#REF!</v>
      </c>
      <c r="DK61" t="e">
        <f>AND(#REF!,"AAAAAG/38XI=")</f>
        <v>#REF!</v>
      </c>
      <c r="DL61" t="e">
        <f>AND(#REF!,"AAAAAG/38XM=")</f>
        <v>#REF!</v>
      </c>
      <c r="DM61" t="e">
        <f>AND(#REF!,"AAAAAG/38XQ=")</f>
        <v>#REF!</v>
      </c>
      <c r="DN61" t="e">
        <f>AND(#REF!,"AAAAAG/38XU=")</f>
        <v>#REF!</v>
      </c>
      <c r="DO61" t="e">
        <f>AND(#REF!,"AAAAAG/38XY=")</f>
        <v>#REF!</v>
      </c>
      <c r="DP61" t="e">
        <f>AND(#REF!,"AAAAAG/38Xc=")</f>
        <v>#REF!</v>
      </c>
      <c r="DQ61" t="e">
        <f>AND(#REF!,"AAAAAG/38Xg=")</f>
        <v>#REF!</v>
      </c>
      <c r="DR61" t="e">
        <f>AND(#REF!,"AAAAAG/38Xk=")</f>
        <v>#REF!</v>
      </c>
      <c r="DS61" t="e">
        <f>AND(#REF!,"AAAAAG/38Xo=")</f>
        <v>#REF!</v>
      </c>
      <c r="DT61" t="e">
        <f>AND(#REF!,"AAAAAG/38Xs=")</f>
        <v>#REF!</v>
      </c>
      <c r="DU61" t="e">
        <f>IF(#REF!,"AAAAAG/38Xw=",0)</f>
        <v>#REF!</v>
      </c>
      <c r="DV61" t="e">
        <f>AND(#REF!,"AAAAAG/38X0=")</f>
        <v>#REF!</v>
      </c>
      <c r="DW61" t="e">
        <f>AND(#REF!,"AAAAAG/38X4=")</f>
        <v>#REF!</v>
      </c>
      <c r="DX61" t="e">
        <f>AND(#REF!,"AAAAAG/38X8=")</f>
        <v>#REF!</v>
      </c>
      <c r="DY61" t="e">
        <f>AND(#REF!,"AAAAAG/38YA=")</f>
        <v>#REF!</v>
      </c>
      <c r="DZ61" t="e">
        <f>AND(#REF!,"AAAAAG/38YE=")</f>
        <v>#REF!</v>
      </c>
      <c r="EA61" t="e">
        <f>AND(#REF!,"AAAAAG/38YI=")</f>
        <v>#REF!</v>
      </c>
      <c r="EB61" t="e">
        <f>AND(#REF!,"AAAAAG/38YM=")</f>
        <v>#REF!</v>
      </c>
      <c r="EC61" t="e">
        <f>AND(#REF!,"AAAAAG/38YQ=")</f>
        <v>#REF!</v>
      </c>
      <c r="ED61" t="e">
        <f>AND(#REF!,"AAAAAG/38YU=")</f>
        <v>#REF!</v>
      </c>
      <c r="EE61" t="e">
        <f>AND(#REF!,"AAAAAG/38YY=")</f>
        <v>#REF!</v>
      </c>
      <c r="EF61" t="e">
        <f>AND(#REF!,"AAAAAG/38Yc=")</f>
        <v>#REF!</v>
      </c>
      <c r="EG61" t="e">
        <f>AND(#REF!,"AAAAAG/38Yg=")</f>
        <v>#REF!</v>
      </c>
      <c r="EH61" t="e">
        <f>AND(#REF!,"AAAAAG/38Yk=")</f>
        <v>#REF!</v>
      </c>
      <c r="EI61" t="e">
        <f>AND(#REF!,"AAAAAG/38Yo=")</f>
        <v>#REF!</v>
      </c>
      <c r="EJ61" t="e">
        <f>AND(#REF!,"AAAAAG/38Ys=")</f>
        <v>#REF!</v>
      </c>
      <c r="EK61" t="e">
        <f>AND(#REF!,"AAAAAG/38Yw=")</f>
        <v>#REF!</v>
      </c>
      <c r="EL61" t="e">
        <f>AND(#REF!,"AAAAAG/38Y0=")</f>
        <v>#REF!</v>
      </c>
      <c r="EM61" t="e">
        <f>AND(#REF!,"AAAAAG/38Y4=")</f>
        <v>#REF!</v>
      </c>
      <c r="EN61" t="e">
        <f>AND(#REF!,"AAAAAG/38Y8=")</f>
        <v>#REF!</v>
      </c>
      <c r="EO61" t="e">
        <f>AND(#REF!,"AAAAAG/38ZA=")</f>
        <v>#REF!</v>
      </c>
      <c r="EP61" t="e">
        <f>IF(#REF!,"AAAAAG/38ZE=",0)</f>
        <v>#REF!</v>
      </c>
      <c r="EQ61" t="e">
        <f>AND(#REF!,"AAAAAG/38ZI=")</f>
        <v>#REF!</v>
      </c>
      <c r="ER61" t="e">
        <f>AND(#REF!,"AAAAAG/38ZM=")</f>
        <v>#REF!</v>
      </c>
      <c r="ES61" t="e">
        <f>AND(#REF!,"AAAAAG/38ZQ=")</f>
        <v>#REF!</v>
      </c>
      <c r="ET61" t="e">
        <f>AND(#REF!,"AAAAAG/38ZU=")</f>
        <v>#REF!</v>
      </c>
      <c r="EU61" t="e">
        <f>AND(#REF!,"AAAAAG/38ZY=")</f>
        <v>#REF!</v>
      </c>
      <c r="EV61" t="e">
        <f>AND(#REF!,"AAAAAG/38Zc=")</f>
        <v>#REF!</v>
      </c>
      <c r="EW61" t="e">
        <f>AND(#REF!,"AAAAAG/38Zg=")</f>
        <v>#REF!</v>
      </c>
      <c r="EX61" t="e">
        <f>AND(#REF!,"AAAAAG/38Zk=")</f>
        <v>#REF!</v>
      </c>
      <c r="EY61" t="e">
        <f>AND(#REF!,"AAAAAG/38Zo=")</f>
        <v>#REF!</v>
      </c>
      <c r="EZ61" t="e">
        <f>AND(#REF!,"AAAAAG/38Zs=")</f>
        <v>#REF!</v>
      </c>
      <c r="FA61" t="e">
        <f>AND(#REF!,"AAAAAG/38Zw=")</f>
        <v>#REF!</v>
      </c>
      <c r="FB61" t="e">
        <f>AND(#REF!,"AAAAAG/38Z0=")</f>
        <v>#REF!</v>
      </c>
      <c r="FC61" t="e">
        <f>AND(#REF!,"AAAAAG/38Z4=")</f>
        <v>#REF!</v>
      </c>
      <c r="FD61" t="e">
        <f>AND(#REF!,"AAAAAG/38Z8=")</f>
        <v>#REF!</v>
      </c>
      <c r="FE61" t="e">
        <f>AND(#REF!,"AAAAAG/38aA=")</f>
        <v>#REF!</v>
      </c>
      <c r="FF61" t="e">
        <f>AND(#REF!,"AAAAAG/38aE=")</f>
        <v>#REF!</v>
      </c>
      <c r="FG61" t="e">
        <f>AND(#REF!,"AAAAAG/38aI=")</f>
        <v>#REF!</v>
      </c>
      <c r="FH61" t="e">
        <f>AND(#REF!,"AAAAAG/38aM=")</f>
        <v>#REF!</v>
      </c>
      <c r="FI61" t="e">
        <f>AND(#REF!,"AAAAAG/38aQ=")</f>
        <v>#REF!</v>
      </c>
      <c r="FJ61" t="e">
        <f>AND(#REF!,"AAAAAG/38aU=")</f>
        <v>#REF!</v>
      </c>
      <c r="FK61" t="e">
        <f>IF(#REF!,"AAAAAG/38aY=",0)</f>
        <v>#REF!</v>
      </c>
      <c r="FL61" t="e">
        <f>AND(#REF!,"AAAAAG/38ac=")</f>
        <v>#REF!</v>
      </c>
      <c r="FM61" t="e">
        <f>AND(#REF!,"AAAAAG/38ag=")</f>
        <v>#REF!</v>
      </c>
      <c r="FN61" t="e">
        <f>AND(#REF!,"AAAAAG/38ak=")</f>
        <v>#REF!</v>
      </c>
      <c r="FO61" t="e">
        <f>AND(#REF!,"AAAAAG/38ao=")</f>
        <v>#REF!</v>
      </c>
      <c r="FP61" t="e">
        <f>AND(#REF!,"AAAAAG/38as=")</f>
        <v>#REF!</v>
      </c>
      <c r="FQ61" t="e">
        <f>AND(#REF!,"AAAAAG/38aw=")</f>
        <v>#REF!</v>
      </c>
      <c r="FR61" t="e">
        <f>AND(#REF!,"AAAAAG/38a0=")</f>
        <v>#REF!</v>
      </c>
      <c r="FS61" t="e">
        <f>AND(#REF!,"AAAAAG/38a4=")</f>
        <v>#REF!</v>
      </c>
      <c r="FT61" t="e">
        <f>AND(#REF!,"AAAAAG/38a8=")</f>
        <v>#REF!</v>
      </c>
      <c r="FU61" t="e">
        <f>AND(#REF!,"AAAAAG/38bA=")</f>
        <v>#REF!</v>
      </c>
      <c r="FV61" t="e">
        <f>AND(#REF!,"AAAAAG/38bE=")</f>
        <v>#REF!</v>
      </c>
      <c r="FW61" t="e">
        <f>AND(#REF!,"AAAAAG/38bI=")</f>
        <v>#REF!</v>
      </c>
      <c r="FX61" t="e">
        <f>AND(#REF!,"AAAAAG/38bM=")</f>
        <v>#REF!</v>
      </c>
      <c r="FY61" t="e">
        <f>AND(#REF!,"AAAAAG/38bQ=")</f>
        <v>#REF!</v>
      </c>
      <c r="FZ61" t="e">
        <f>AND(#REF!,"AAAAAG/38bU=")</f>
        <v>#REF!</v>
      </c>
      <c r="GA61" t="e">
        <f>AND(#REF!,"AAAAAG/38bY=")</f>
        <v>#REF!</v>
      </c>
      <c r="GB61" t="e">
        <f>AND(#REF!,"AAAAAG/38bc=")</f>
        <v>#REF!</v>
      </c>
      <c r="GC61" t="e">
        <f>AND(#REF!,"AAAAAG/38bg=")</f>
        <v>#REF!</v>
      </c>
      <c r="GD61" t="e">
        <f>AND(#REF!,"AAAAAG/38bk=")</f>
        <v>#REF!</v>
      </c>
      <c r="GE61" t="e">
        <f>AND(#REF!,"AAAAAG/38bo=")</f>
        <v>#REF!</v>
      </c>
      <c r="GF61" t="e">
        <f>IF(#REF!,"AAAAAG/38bs=",0)</f>
        <v>#REF!</v>
      </c>
      <c r="GG61" t="e">
        <f>AND(#REF!,"AAAAAG/38bw=")</f>
        <v>#REF!</v>
      </c>
      <c r="GH61" t="e">
        <f>AND(#REF!,"AAAAAG/38b0=")</f>
        <v>#REF!</v>
      </c>
      <c r="GI61" t="e">
        <f>AND(#REF!,"AAAAAG/38b4=")</f>
        <v>#REF!</v>
      </c>
      <c r="GJ61" t="e">
        <f>AND(#REF!,"AAAAAG/38b8=")</f>
        <v>#REF!</v>
      </c>
      <c r="GK61" t="e">
        <f>AND(#REF!,"AAAAAG/38cA=")</f>
        <v>#REF!</v>
      </c>
      <c r="GL61" t="e">
        <f>AND(#REF!,"AAAAAG/38cE=")</f>
        <v>#REF!</v>
      </c>
      <c r="GM61" t="e">
        <f>AND(#REF!,"AAAAAG/38cI=")</f>
        <v>#REF!</v>
      </c>
      <c r="GN61" t="e">
        <f>AND(#REF!,"AAAAAG/38cM=")</f>
        <v>#REF!</v>
      </c>
      <c r="GO61" t="e">
        <f>AND(#REF!,"AAAAAG/38cQ=")</f>
        <v>#REF!</v>
      </c>
      <c r="GP61" t="e">
        <f>AND(#REF!,"AAAAAG/38cU=")</f>
        <v>#REF!</v>
      </c>
      <c r="GQ61" t="e">
        <f>AND(#REF!,"AAAAAG/38cY=")</f>
        <v>#REF!</v>
      </c>
      <c r="GR61" t="e">
        <f>AND(#REF!,"AAAAAG/38cc=")</f>
        <v>#REF!</v>
      </c>
      <c r="GS61" t="e">
        <f>AND(#REF!,"AAAAAG/38cg=")</f>
        <v>#REF!</v>
      </c>
      <c r="GT61" t="e">
        <f>AND(#REF!,"AAAAAG/38ck=")</f>
        <v>#REF!</v>
      </c>
      <c r="GU61" t="e">
        <f>AND(#REF!,"AAAAAG/38co=")</f>
        <v>#REF!</v>
      </c>
      <c r="GV61" t="e">
        <f>AND(#REF!,"AAAAAG/38cs=")</f>
        <v>#REF!</v>
      </c>
      <c r="GW61" t="e">
        <f>AND(#REF!,"AAAAAG/38cw=")</f>
        <v>#REF!</v>
      </c>
      <c r="GX61" t="e">
        <f>AND(#REF!,"AAAAAG/38c0=")</f>
        <v>#REF!</v>
      </c>
      <c r="GY61" t="e">
        <f>AND(#REF!,"AAAAAG/38c4=")</f>
        <v>#REF!</v>
      </c>
      <c r="GZ61" t="e">
        <f>AND(#REF!,"AAAAAG/38c8=")</f>
        <v>#REF!</v>
      </c>
      <c r="HA61" t="e">
        <f>IF(#REF!,"AAAAAG/38dA=",0)</f>
        <v>#REF!</v>
      </c>
      <c r="HB61" t="e">
        <f>AND(#REF!,"AAAAAG/38dE=")</f>
        <v>#REF!</v>
      </c>
      <c r="HC61" t="e">
        <f>AND(#REF!,"AAAAAG/38dI=")</f>
        <v>#REF!</v>
      </c>
      <c r="HD61" t="e">
        <f>AND(#REF!,"AAAAAG/38dM=")</f>
        <v>#REF!</v>
      </c>
      <c r="HE61" t="e">
        <f>AND(#REF!,"AAAAAG/38dQ=")</f>
        <v>#REF!</v>
      </c>
      <c r="HF61" t="e">
        <f>AND(#REF!,"AAAAAG/38dU=")</f>
        <v>#REF!</v>
      </c>
      <c r="HG61" t="e">
        <f>AND(#REF!,"AAAAAG/38dY=")</f>
        <v>#REF!</v>
      </c>
      <c r="HH61" t="e">
        <f>AND(#REF!,"AAAAAG/38dc=")</f>
        <v>#REF!</v>
      </c>
      <c r="HI61" t="e">
        <f>AND(#REF!,"AAAAAG/38dg=")</f>
        <v>#REF!</v>
      </c>
      <c r="HJ61" t="e">
        <f>AND(#REF!,"AAAAAG/38dk=")</f>
        <v>#REF!</v>
      </c>
      <c r="HK61" t="e">
        <f>AND(#REF!,"AAAAAG/38do=")</f>
        <v>#REF!</v>
      </c>
      <c r="HL61" t="e">
        <f>AND(#REF!,"AAAAAG/38ds=")</f>
        <v>#REF!</v>
      </c>
      <c r="HM61" t="e">
        <f>AND(#REF!,"AAAAAG/38dw=")</f>
        <v>#REF!</v>
      </c>
      <c r="HN61" t="e">
        <f>AND(#REF!,"AAAAAG/38d0=")</f>
        <v>#REF!</v>
      </c>
      <c r="HO61" t="e">
        <f>AND(#REF!,"AAAAAG/38d4=")</f>
        <v>#REF!</v>
      </c>
      <c r="HP61" t="e">
        <f>AND(#REF!,"AAAAAG/38d8=")</f>
        <v>#REF!</v>
      </c>
      <c r="HQ61" t="e">
        <f>AND(#REF!,"AAAAAG/38eA=")</f>
        <v>#REF!</v>
      </c>
      <c r="HR61" t="e">
        <f>AND(#REF!,"AAAAAG/38eE=")</f>
        <v>#REF!</v>
      </c>
      <c r="HS61" t="e">
        <f>AND(#REF!,"AAAAAG/38eI=")</f>
        <v>#REF!</v>
      </c>
      <c r="HT61" t="e">
        <f>AND(#REF!,"AAAAAG/38eM=")</f>
        <v>#REF!</v>
      </c>
      <c r="HU61" t="e">
        <f>AND(#REF!,"AAAAAG/38eQ=")</f>
        <v>#REF!</v>
      </c>
      <c r="HV61" t="e">
        <f>IF(#REF!,"AAAAAG/38eU=",0)</f>
        <v>#REF!</v>
      </c>
      <c r="HW61" t="e">
        <f>AND(#REF!,"AAAAAG/38eY=")</f>
        <v>#REF!</v>
      </c>
      <c r="HX61" t="e">
        <f>AND(#REF!,"AAAAAG/38ec=")</f>
        <v>#REF!</v>
      </c>
      <c r="HY61" t="e">
        <f>AND(#REF!,"AAAAAG/38eg=")</f>
        <v>#REF!</v>
      </c>
      <c r="HZ61" t="e">
        <f>AND(#REF!,"AAAAAG/38ek=")</f>
        <v>#REF!</v>
      </c>
      <c r="IA61" t="e">
        <f>AND(#REF!,"AAAAAG/38eo=")</f>
        <v>#REF!</v>
      </c>
      <c r="IB61" t="e">
        <f>AND(#REF!,"AAAAAG/38es=")</f>
        <v>#REF!</v>
      </c>
      <c r="IC61" t="e">
        <f>AND(#REF!,"AAAAAG/38ew=")</f>
        <v>#REF!</v>
      </c>
      <c r="ID61" t="e">
        <f>AND(#REF!,"AAAAAG/38e0=")</f>
        <v>#REF!</v>
      </c>
      <c r="IE61" t="e">
        <f>AND(#REF!,"AAAAAG/38e4=")</f>
        <v>#REF!</v>
      </c>
      <c r="IF61" t="e">
        <f>AND(#REF!,"AAAAAG/38e8=")</f>
        <v>#REF!</v>
      </c>
      <c r="IG61" t="e">
        <f>AND(#REF!,"AAAAAG/38fA=")</f>
        <v>#REF!</v>
      </c>
      <c r="IH61" t="e">
        <f>AND(#REF!,"AAAAAG/38fE=")</f>
        <v>#REF!</v>
      </c>
      <c r="II61" t="e">
        <f>AND(#REF!,"AAAAAG/38fI=")</f>
        <v>#REF!</v>
      </c>
      <c r="IJ61" t="e">
        <f>AND(#REF!,"AAAAAG/38fM=")</f>
        <v>#REF!</v>
      </c>
      <c r="IK61" t="e">
        <f>AND(#REF!,"AAAAAG/38fQ=")</f>
        <v>#REF!</v>
      </c>
      <c r="IL61" t="e">
        <f>AND(#REF!,"AAAAAG/38fU=")</f>
        <v>#REF!</v>
      </c>
      <c r="IM61" t="e">
        <f>AND(#REF!,"AAAAAG/38fY=")</f>
        <v>#REF!</v>
      </c>
      <c r="IN61" t="e">
        <f>AND(#REF!,"AAAAAG/38fc=")</f>
        <v>#REF!</v>
      </c>
      <c r="IO61" t="e">
        <f>AND(#REF!,"AAAAAG/38fg=")</f>
        <v>#REF!</v>
      </c>
      <c r="IP61" t="e">
        <f>AND(#REF!,"AAAAAG/38fk=")</f>
        <v>#REF!</v>
      </c>
      <c r="IQ61" t="e">
        <f>IF(#REF!,"AAAAAG/38fo=",0)</f>
        <v>#REF!</v>
      </c>
      <c r="IR61" t="e">
        <f>AND(#REF!,"AAAAAG/38fs=")</f>
        <v>#REF!</v>
      </c>
      <c r="IS61" t="e">
        <f>AND(#REF!,"AAAAAG/38fw=")</f>
        <v>#REF!</v>
      </c>
      <c r="IT61" t="e">
        <f>AND(#REF!,"AAAAAG/38f0=")</f>
        <v>#REF!</v>
      </c>
      <c r="IU61" t="e">
        <f>AND(#REF!,"AAAAAG/38f4=")</f>
        <v>#REF!</v>
      </c>
      <c r="IV61" t="e">
        <f>AND(#REF!,"AAAAAG/38f8=")</f>
        <v>#REF!</v>
      </c>
    </row>
    <row r="62" spans="1:256" x14ac:dyDescent="0.35">
      <c r="A62" t="e">
        <f>AND(#REF!,"AAAAAF/7qwA=")</f>
        <v>#REF!</v>
      </c>
      <c r="B62" t="e">
        <f>AND(#REF!,"AAAAAF/7qwE=")</f>
        <v>#REF!</v>
      </c>
      <c r="C62" t="e">
        <f>AND(#REF!,"AAAAAF/7qwI=")</f>
        <v>#REF!</v>
      </c>
      <c r="D62" t="e">
        <f>AND(#REF!,"AAAAAF/7qwM=")</f>
        <v>#REF!</v>
      </c>
      <c r="E62" t="e">
        <f>AND(#REF!,"AAAAAF/7qwQ=")</f>
        <v>#REF!</v>
      </c>
      <c r="F62" t="e">
        <f>AND(#REF!,"AAAAAF/7qwU=")</f>
        <v>#REF!</v>
      </c>
      <c r="G62" t="e">
        <f>AND(#REF!,"AAAAAF/7qwY=")</f>
        <v>#REF!</v>
      </c>
      <c r="H62" t="e">
        <f>AND(#REF!,"AAAAAF/7qwc=")</f>
        <v>#REF!</v>
      </c>
      <c r="I62" t="e">
        <f>AND(#REF!,"AAAAAF/7qwg=")</f>
        <v>#REF!</v>
      </c>
      <c r="J62" t="e">
        <f>AND(#REF!,"AAAAAF/7qwk=")</f>
        <v>#REF!</v>
      </c>
      <c r="K62" t="e">
        <f>AND(#REF!,"AAAAAF/7qwo=")</f>
        <v>#REF!</v>
      </c>
      <c r="L62" t="e">
        <f>AND(#REF!,"AAAAAF/7qws=")</f>
        <v>#REF!</v>
      </c>
      <c r="M62" t="e">
        <f>AND(#REF!,"AAAAAF/7qww=")</f>
        <v>#REF!</v>
      </c>
      <c r="N62" t="e">
        <f>AND(#REF!,"AAAAAF/7qw0=")</f>
        <v>#REF!</v>
      </c>
      <c r="O62" t="e">
        <f>AND(#REF!,"AAAAAF/7qw4=")</f>
        <v>#REF!</v>
      </c>
      <c r="P62" t="e">
        <f>IF(#REF!,"AAAAAF/7qw8=",0)</f>
        <v>#REF!</v>
      </c>
      <c r="Q62" t="e">
        <f>AND(#REF!,"AAAAAF/7qxA=")</f>
        <v>#REF!</v>
      </c>
      <c r="R62" t="e">
        <f>AND(#REF!,"AAAAAF/7qxE=")</f>
        <v>#REF!</v>
      </c>
      <c r="S62" t="e">
        <f>AND(#REF!,"AAAAAF/7qxI=")</f>
        <v>#REF!</v>
      </c>
      <c r="T62" t="e">
        <f>AND(#REF!,"AAAAAF/7qxM=")</f>
        <v>#REF!</v>
      </c>
      <c r="U62" t="e">
        <f>AND(#REF!,"AAAAAF/7qxQ=")</f>
        <v>#REF!</v>
      </c>
      <c r="V62" t="e">
        <f>AND(#REF!,"AAAAAF/7qxU=")</f>
        <v>#REF!</v>
      </c>
      <c r="W62" t="e">
        <f>AND(#REF!,"AAAAAF/7qxY=")</f>
        <v>#REF!</v>
      </c>
      <c r="X62" t="e">
        <f>AND(#REF!,"AAAAAF/7qxc=")</f>
        <v>#REF!</v>
      </c>
      <c r="Y62" t="e">
        <f>AND(#REF!,"AAAAAF/7qxg=")</f>
        <v>#REF!</v>
      </c>
      <c r="Z62" t="e">
        <f>AND(#REF!,"AAAAAF/7qxk=")</f>
        <v>#REF!</v>
      </c>
      <c r="AA62" t="e">
        <f>AND(#REF!,"AAAAAF/7qxo=")</f>
        <v>#REF!</v>
      </c>
      <c r="AB62" t="e">
        <f>AND(#REF!,"AAAAAF/7qxs=")</f>
        <v>#REF!</v>
      </c>
      <c r="AC62" t="e">
        <f>AND(#REF!,"AAAAAF/7qxw=")</f>
        <v>#REF!</v>
      </c>
      <c r="AD62" t="e">
        <f>AND(#REF!,"AAAAAF/7qx0=")</f>
        <v>#REF!</v>
      </c>
      <c r="AE62" t="e">
        <f>AND(#REF!,"AAAAAF/7qx4=")</f>
        <v>#REF!</v>
      </c>
      <c r="AF62" t="e">
        <f>AND(#REF!,"AAAAAF/7qx8=")</f>
        <v>#REF!</v>
      </c>
      <c r="AG62" t="e">
        <f>AND(#REF!,"AAAAAF/7qyA=")</f>
        <v>#REF!</v>
      </c>
      <c r="AH62" t="e">
        <f>AND(#REF!,"AAAAAF/7qyE=")</f>
        <v>#REF!</v>
      </c>
      <c r="AI62" t="e">
        <f>AND(#REF!,"AAAAAF/7qyI=")</f>
        <v>#REF!</v>
      </c>
      <c r="AJ62" t="e">
        <f>AND(#REF!,"AAAAAF/7qyM=")</f>
        <v>#REF!</v>
      </c>
      <c r="AK62" t="e">
        <f>IF(#REF!,"AAAAAF/7qyQ=",0)</f>
        <v>#REF!</v>
      </c>
      <c r="AL62" t="e">
        <f>AND(#REF!,"AAAAAF/7qyU=")</f>
        <v>#REF!</v>
      </c>
      <c r="AM62" t="e">
        <f>AND(#REF!,"AAAAAF/7qyY=")</f>
        <v>#REF!</v>
      </c>
      <c r="AN62" t="e">
        <f>AND(#REF!,"AAAAAF/7qyc=")</f>
        <v>#REF!</v>
      </c>
      <c r="AO62" t="e">
        <f>AND(#REF!,"AAAAAF/7qyg=")</f>
        <v>#REF!</v>
      </c>
      <c r="AP62" t="e">
        <f>AND(#REF!,"AAAAAF/7qyk=")</f>
        <v>#REF!</v>
      </c>
      <c r="AQ62" t="e">
        <f>AND(#REF!,"AAAAAF/7qyo=")</f>
        <v>#REF!</v>
      </c>
      <c r="AR62" t="e">
        <f>AND(#REF!,"AAAAAF/7qys=")</f>
        <v>#REF!</v>
      </c>
      <c r="AS62" t="e">
        <f>AND(#REF!,"AAAAAF/7qyw=")</f>
        <v>#REF!</v>
      </c>
      <c r="AT62" t="e">
        <f>AND(#REF!,"AAAAAF/7qy0=")</f>
        <v>#REF!</v>
      </c>
      <c r="AU62" t="e">
        <f>AND(#REF!,"AAAAAF/7qy4=")</f>
        <v>#REF!</v>
      </c>
      <c r="AV62" t="e">
        <f>AND(#REF!,"AAAAAF/7qy8=")</f>
        <v>#REF!</v>
      </c>
      <c r="AW62" t="e">
        <f>AND(#REF!,"AAAAAF/7qzA=")</f>
        <v>#REF!</v>
      </c>
      <c r="AX62" t="e">
        <f>AND(#REF!,"AAAAAF/7qzE=")</f>
        <v>#REF!</v>
      </c>
      <c r="AY62" t="e">
        <f>AND(#REF!,"AAAAAF/7qzI=")</f>
        <v>#REF!</v>
      </c>
      <c r="AZ62" t="e">
        <f>AND(#REF!,"AAAAAF/7qzM=")</f>
        <v>#REF!</v>
      </c>
      <c r="BA62" t="e">
        <f>AND(#REF!,"AAAAAF/7qzQ=")</f>
        <v>#REF!</v>
      </c>
      <c r="BB62" t="e">
        <f>AND(#REF!,"AAAAAF/7qzU=")</f>
        <v>#REF!</v>
      </c>
      <c r="BC62" t="e">
        <f>AND(#REF!,"AAAAAF/7qzY=")</f>
        <v>#REF!</v>
      </c>
      <c r="BD62" t="e">
        <f>AND(#REF!,"AAAAAF/7qzc=")</f>
        <v>#REF!</v>
      </c>
      <c r="BE62" t="e">
        <f>AND(#REF!,"AAAAAF/7qzg=")</f>
        <v>#REF!</v>
      </c>
      <c r="BF62" t="e">
        <f>IF(#REF!,"AAAAAF/7qzk=",0)</f>
        <v>#REF!</v>
      </c>
      <c r="BG62" t="e">
        <f>AND(#REF!,"AAAAAF/7qzo=")</f>
        <v>#REF!</v>
      </c>
      <c r="BH62" t="e">
        <f>AND(#REF!,"AAAAAF/7qzs=")</f>
        <v>#REF!</v>
      </c>
      <c r="BI62" t="e">
        <f>AND(#REF!,"AAAAAF/7qzw=")</f>
        <v>#REF!</v>
      </c>
      <c r="BJ62" t="e">
        <f>AND(#REF!,"AAAAAF/7qz0=")</f>
        <v>#REF!</v>
      </c>
      <c r="BK62" t="e">
        <f>AND(#REF!,"AAAAAF/7qz4=")</f>
        <v>#REF!</v>
      </c>
      <c r="BL62" t="e">
        <f>AND(#REF!,"AAAAAF/7qz8=")</f>
        <v>#REF!</v>
      </c>
      <c r="BM62" t="e">
        <f>AND(#REF!,"AAAAAF/7q0A=")</f>
        <v>#REF!</v>
      </c>
      <c r="BN62" t="e">
        <f>AND(#REF!,"AAAAAF/7q0E=")</f>
        <v>#REF!</v>
      </c>
      <c r="BO62" t="e">
        <f>AND(#REF!,"AAAAAF/7q0I=")</f>
        <v>#REF!</v>
      </c>
      <c r="BP62" t="e">
        <f>AND(#REF!,"AAAAAF/7q0M=")</f>
        <v>#REF!</v>
      </c>
      <c r="BQ62" t="e">
        <f>AND(#REF!,"AAAAAF/7q0Q=")</f>
        <v>#REF!</v>
      </c>
      <c r="BR62" t="e">
        <f>AND(#REF!,"AAAAAF/7q0U=")</f>
        <v>#REF!</v>
      </c>
      <c r="BS62" t="e">
        <f>AND(#REF!,"AAAAAF/7q0Y=")</f>
        <v>#REF!</v>
      </c>
      <c r="BT62" t="e">
        <f>AND(#REF!,"AAAAAF/7q0c=")</f>
        <v>#REF!</v>
      </c>
      <c r="BU62" t="e">
        <f>AND(#REF!,"AAAAAF/7q0g=")</f>
        <v>#REF!</v>
      </c>
      <c r="BV62" t="e">
        <f>AND(#REF!,"AAAAAF/7q0k=")</f>
        <v>#REF!</v>
      </c>
      <c r="BW62" t="e">
        <f>AND(#REF!,"AAAAAF/7q0o=")</f>
        <v>#REF!</v>
      </c>
      <c r="BX62" t="e">
        <f>AND(#REF!,"AAAAAF/7q0s=")</f>
        <v>#REF!</v>
      </c>
      <c r="BY62" t="e">
        <f>AND(#REF!,"AAAAAF/7q0w=")</f>
        <v>#REF!</v>
      </c>
      <c r="BZ62" t="e">
        <f>AND(#REF!,"AAAAAF/7q00=")</f>
        <v>#REF!</v>
      </c>
      <c r="CA62" t="e">
        <f>IF(#REF!,"AAAAAF/7q04=",0)</f>
        <v>#REF!</v>
      </c>
      <c r="CB62" t="e">
        <f>AND(#REF!,"AAAAAF/7q08=")</f>
        <v>#REF!</v>
      </c>
      <c r="CC62" t="e">
        <f>AND(#REF!,"AAAAAF/7q1A=")</f>
        <v>#REF!</v>
      </c>
      <c r="CD62" t="e">
        <f>AND(#REF!,"AAAAAF/7q1E=")</f>
        <v>#REF!</v>
      </c>
      <c r="CE62" t="e">
        <f>AND(#REF!,"AAAAAF/7q1I=")</f>
        <v>#REF!</v>
      </c>
      <c r="CF62" t="e">
        <f>AND(#REF!,"AAAAAF/7q1M=")</f>
        <v>#REF!</v>
      </c>
      <c r="CG62" t="e">
        <f>AND(#REF!,"AAAAAF/7q1Q=")</f>
        <v>#REF!</v>
      </c>
      <c r="CH62" t="e">
        <f>AND(#REF!,"AAAAAF/7q1U=")</f>
        <v>#REF!</v>
      </c>
      <c r="CI62" t="e">
        <f>AND(#REF!,"AAAAAF/7q1Y=")</f>
        <v>#REF!</v>
      </c>
      <c r="CJ62" t="e">
        <f>AND(#REF!,"AAAAAF/7q1c=")</f>
        <v>#REF!</v>
      </c>
      <c r="CK62" t="e">
        <f>AND(#REF!,"AAAAAF/7q1g=")</f>
        <v>#REF!</v>
      </c>
      <c r="CL62" t="e">
        <f>AND(#REF!,"AAAAAF/7q1k=")</f>
        <v>#REF!</v>
      </c>
      <c r="CM62" t="e">
        <f>AND(#REF!,"AAAAAF/7q1o=")</f>
        <v>#REF!</v>
      </c>
      <c r="CN62" t="e">
        <f>AND(#REF!,"AAAAAF/7q1s=")</f>
        <v>#REF!</v>
      </c>
      <c r="CO62" t="e">
        <f>AND(#REF!,"AAAAAF/7q1w=")</f>
        <v>#REF!</v>
      </c>
      <c r="CP62" t="e">
        <f>AND(#REF!,"AAAAAF/7q10=")</f>
        <v>#REF!</v>
      </c>
      <c r="CQ62" t="e">
        <f>AND(#REF!,"AAAAAF/7q14=")</f>
        <v>#REF!</v>
      </c>
      <c r="CR62" t="e">
        <f>AND(#REF!,"AAAAAF/7q18=")</f>
        <v>#REF!</v>
      </c>
      <c r="CS62" t="e">
        <f>AND(#REF!,"AAAAAF/7q2A=")</f>
        <v>#REF!</v>
      </c>
      <c r="CT62" t="e">
        <f>AND(#REF!,"AAAAAF/7q2E=")</f>
        <v>#REF!</v>
      </c>
      <c r="CU62" t="e">
        <f>AND(#REF!,"AAAAAF/7q2I=")</f>
        <v>#REF!</v>
      </c>
      <c r="CV62" t="e">
        <f>IF(#REF!,"AAAAAF/7q2M=",0)</f>
        <v>#REF!</v>
      </c>
      <c r="CW62" t="e">
        <f>AND(#REF!,"AAAAAF/7q2Q=")</f>
        <v>#REF!</v>
      </c>
      <c r="CX62" t="e">
        <f>AND(#REF!,"AAAAAF/7q2U=")</f>
        <v>#REF!</v>
      </c>
      <c r="CY62" t="e">
        <f>AND(#REF!,"AAAAAF/7q2Y=")</f>
        <v>#REF!</v>
      </c>
      <c r="CZ62" t="e">
        <f>AND(#REF!,"AAAAAF/7q2c=")</f>
        <v>#REF!</v>
      </c>
      <c r="DA62" t="e">
        <f>AND(#REF!,"AAAAAF/7q2g=")</f>
        <v>#REF!</v>
      </c>
      <c r="DB62" t="e">
        <f>AND(#REF!,"AAAAAF/7q2k=")</f>
        <v>#REF!</v>
      </c>
      <c r="DC62" t="e">
        <f>AND(#REF!,"AAAAAF/7q2o=")</f>
        <v>#REF!</v>
      </c>
      <c r="DD62" t="e">
        <f>AND(#REF!,"AAAAAF/7q2s=")</f>
        <v>#REF!</v>
      </c>
      <c r="DE62" t="e">
        <f>AND(#REF!,"AAAAAF/7q2w=")</f>
        <v>#REF!</v>
      </c>
      <c r="DF62" t="e">
        <f>AND(#REF!,"AAAAAF/7q20=")</f>
        <v>#REF!</v>
      </c>
      <c r="DG62" t="e">
        <f>AND(#REF!,"AAAAAF/7q24=")</f>
        <v>#REF!</v>
      </c>
      <c r="DH62" t="e">
        <f>AND(#REF!,"AAAAAF/7q28=")</f>
        <v>#REF!</v>
      </c>
      <c r="DI62" t="e">
        <f>AND(#REF!,"AAAAAF/7q3A=")</f>
        <v>#REF!</v>
      </c>
      <c r="DJ62" t="e">
        <f>AND(#REF!,"AAAAAF/7q3E=")</f>
        <v>#REF!</v>
      </c>
      <c r="DK62" t="e">
        <f>AND(#REF!,"AAAAAF/7q3I=")</f>
        <v>#REF!</v>
      </c>
      <c r="DL62" t="e">
        <f>AND(#REF!,"AAAAAF/7q3M=")</f>
        <v>#REF!</v>
      </c>
      <c r="DM62" t="e">
        <f>AND(#REF!,"AAAAAF/7q3Q=")</f>
        <v>#REF!</v>
      </c>
      <c r="DN62" t="e">
        <f>AND(#REF!,"AAAAAF/7q3U=")</f>
        <v>#REF!</v>
      </c>
      <c r="DO62" t="e">
        <f>AND(#REF!,"AAAAAF/7q3Y=")</f>
        <v>#REF!</v>
      </c>
      <c r="DP62" t="e">
        <f>AND(#REF!,"AAAAAF/7q3c=")</f>
        <v>#REF!</v>
      </c>
      <c r="DQ62" t="e">
        <f>IF(#REF!,"AAAAAF/7q3g=",0)</f>
        <v>#REF!</v>
      </c>
      <c r="DR62" t="e">
        <f>AND(#REF!,"AAAAAF/7q3k=")</f>
        <v>#REF!</v>
      </c>
      <c r="DS62" t="e">
        <f>AND(#REF!,"AAAAAF/7q3o=")</f>
        <v>#REF!</v>
      </c>
      <c r="DT62" t="e">
        <f>AND(#REF!,"AAAAAF/7q3s=")</f>
        <v>#REF!</v>
      </c>
      <c r="DU62" t="e">
        <f>AND(#REF!,"AAAAAF/7q3w=")</f>
        <v>#REF!</v>
      </c>
      <c r="DV62" t="e">
        <f>AND(#REF!,"AAAAAF/7q30=")</f>
        <v>#REF!</v>
      </c>
      <c r="DW62" t="e">
        <f>AND(#REF!,"AAAAAF/7q34=")</f>
        <v>#REF!</v>
      </c>
      <c r="DX62" t="e">
        <f>AND(#REF!,"AAAAAF/7q38=")</f>
        <v>#REF!</v>
      </c>
      <c r="DY62" t="e">
        <f>AND(#REF!,"AAAAAF/7q4A=")</f>
        <v>#REF!</v>
      </c>
      <c r="DZ62" t="e">
        <f>AND(#REF!,"AAAAAF/7q4E=")</f>
        <v>#REF!</v>
      </c>
      <c r="EA62" t="e">
        <f>AND(#REF!,"AAAAAF/7q4I=")</f>
        <v>#REF!</v>
      </c>
      <c r="EB62" t="e">
        <f>AND(#REF!,"AAAAAF/7q4M=")</f>
        <v>#REF!</v>
      </c>
      <c r="EC62" t="e">
        <f>AND(#REF!,"AAAAAF/7q4Q=")</f>
        <v>#REF!</v>
      </c>
      <c r="ED62" t="e">
        <f>AND(#REF!,"AAAAAF/7q4U=")</f>
        <v>#REF!</v>
      </c>
      <c r="EE62" t="e">
        <f>AND(#REF!,"AAAAAF/7q4Y=")</f>
        <v>#REF!</v>
      </c>
      <c r="EF62" t="e">
        <f>AND(#REF!,"AAAAAF/7q4c=")</f>
        <v>#REF!</v>
      </c>
      <c r="EG62" t="e">
        <f>AND(#REF!,"AAAAAF/7q4g=")</f>
        <v>#REF!</v>
      </c>
      <c r="EH62" t="e">
        <f>AND(#REF!,"AAAAAF/7q4k=")</f>
        <v>#REF!</v>
      </c>
      <c r="EI62" t="e">
        <f>AND(#REF!,"AAAAAF/7q4o=")</f>
        <v>#REF!</v>
      </c>
      <c r="EJ62" t="e">
        <f>AND(#REF!,"AAAAAF/7q4s=")</f>
        <v>#REF!</v>
      </c>
      <c r="EK62" t="e">
        <f>AND(#REF!,"AAAAAF/7q4w=")</f>
        <v>#REF!</v>
      </c>
      <c r="EL62" t="e">
        <f>IF(#REF!,"AAAAAF/7q40=",0)</f>
        <v>#REF!</v>
      </c>
      <c r="EM62" t="e">
        <f>AND(#REF!,"AAAAAF/7q44=")</f>
        <v>#REF!</v>
      </c>
      <c r="EN62" t="e">
        <f>AND(#REF!,"AAAAAF/7q48=")</f>
        <v>#REF!</v>
      </c>
      <c r="EO62" t="e">
        <f>AND(#REF!,"AAAAAF/7q5A=")</f>
        <v>#REF!</v>
      </c>
      <c r="EP62" t="e">
        <f>IF(#REF!,"AAAAAF/7q5E=",0)</f>
        <v>#REF!</v>
      </c>
      <c r="EQ62" t="e">
        <f>IF(#REF!,"AAAAAF/7q5I=",0)</f>
        <v>#REF!</v>
      </c>
      <c r="ER62" t="e">
        <f>IF(#REF!,"AAAAAF/7q5M=",0)</f>
        <v>#REF!</v>
      </c>
      <c r="ES62" t="e">
        <f>IF(#REF!,"AAAAAF/7q5Q=",0)</f>
        <v>#REF!</v>
      </c>
      <c r="ET62" t="e">
        <f>IF(#REF!,"AAAAAF/7q5U=",0)</f>
        <v>#REF!</v>
      </c>
      <c r="EU62" t="e">
        <f>IF(#REF!,"AAAAAF/7q5Y=",0)</f>
        <v>#REF!</v>
      </c>
      <c r="EV62" t="e">
        <f>IF(#REF!,"AAAAAF/7q5c=",0)</f>
        <v>#REF!</v>
      </c>
      <c r="EW62" t="e">
        <f>IF(#REF!,"AAAAAF/7q5g=",0)</f>
        <v>#REF!</v>
      </c>
      <c r="EX62" t="e">
        <f>IF(#REF!,"AAAAAF/7q5k=",0)</f>
        <v>#REF!</v>
      </c>
      <c r="EY62" t="e">
        <f>IF(#REF!,"AAAAAF/7q5o=",0)</f>
        <v>#REF!</v>
      </c>
      <c r="EZ62" t="e">
        <f>IF(#REF!,"AAAAAF/7q5s=",0)</f>
        <v>#REF!</v>
      </c>
      <c r="FA62" t="e">
        <f>IF(#REF!,"AAAAAF/7q5w=",0)</f>
        <v>#REF!</v>
      </c>
      <c r="FB62" t="e">
        <f>IF(#REF!,"AAAAAF/7q50=",0)</f>
        <v>#REF!</v>
      </c>
      <c r="FC62" t="e">
        <f>IF(#REF!,"AAAAAF/7q54=",0)</f>
        <v>#REF!</v>
      </c>
      <c r="FD62" t="e">
        <f>IF(#REF!,"AAAAAF/7q58=",0)</f>
        <v>#REF!</v>
      </c>
      <c r="FE62" t="e">
        <f>IF(#REF!,"AAAAAF/7q6A=",0)</f>
        <v>#REF!</v>
      </c>
      <c r="FF62" t="e">
        <f>IF(#REF!,"AAAAAF/7q6E=",0)</f>
        <v>#REF!</v>
      </c>
      <c r="FG62" t="e">
        <f>IF(#REF!,"AAAAAF/7q6I=",0)</f>
        <v>#REF!</v>
      </c>
      <c r="FH62" t="e">
        <f>IF(#REF!,"AAAAAF/7q6M=",0)</f>
        <v>#REF!</v>
      </c>
      <c r="FI62" t="e">
        <f>IF(#REF!,"AAAAAF/7q6Q=",0)</f>
        <v>#REF!</v>
      </c>
      <c r="FJ62" t="e">
        <f>IF(#REF!,"AAAAAF/7q6U=",0)</f>
        <v>#REF!</v>
      </c>
      <c r="FK62" t="e">
        <f>AND(#REF!,"AAAAAF/7q6Y=")</f>
        <v>#REF!</v>
      </c>
      <c r="FL62" t="e">
        <f>AND(#REF!,"AAAAAF/7q6c=")</f>
        <v>#REF!</v>
      </c>
      <c r="FM62" t="e">
        <f>AND(#REF!,"AAAAAF/7q6g=")</f>
        <v>#REF!</v>
      </c>
      <c r="FN62" t="e">
        <f>AND(#REF!,"AAAAAF/7q6k=")</f>
        <v>#REF!</v>
      </c>
      <c r="FO62" t="e">
        <f>AND(#REF!,"AAAAAF/7q6o=")</f>
        <v>#REF!</v>
      </c>
      <c r="FP62" t="e">
        <f>AND(#REF!,"AAAAAF/7q6s=")</f>
        <v>#REF!</v>
      </c>
      <c r="FQ62" t="e">
        <f>AND(#REF!,"AAAAAF/7q6w=")</f>
        <v>#REF!</v>
      </c>
      <c r="FR62" t="e">
        <f>AND(#REF!,"AAAAAF/7q60=")</f>
        <v>#REF!</v>
      </c>
      <c r="FS62" t="e">
        <f>AND(#REF!,"AAAAAF/7q64=")</f>
        <v>#REF!</v>
      </c>
      <c r="FT62" t="e">
        <f>AND(#REF!,"AAAAAF/7q68=")</f>
        <v>#REF!</v>
      </c>
      <c r="FU62" t="e">
        <f>AND(#REF!,"AAAAAF/7q7A=")</f>
        <v>#REF!</v>
      </c>
      <c r="FV62" t="e">
        <f>AND(#REF!,"AAAAAF/7q7E=")</f>
        <v>#REF!</v>
      </c>
      <c r="FW62" t="e">
        <f>IF(#REF!,"AAAAAF/7q7I=",0)</f>
        <v>#REF!</v>
      </c>
      <c r="FX62" t="e">
        <f>AND(#REF!,"AAAAAF/7q7M=")</f>
        <v>#REF!</v>
      </c>
      <c r="FY62" t="e">
        <f>AND(#REF!,"AAAAAF/7q7Q=")</f>
        <v>#REF!</v>
      </c>
      <c r="FZ62" t="e">
        <f>AND(#REF!,"AAAAAF/7q7U=")</f>
        <v>#REF!</v>
      </c>
      <c r="GA62" t="e">
        <f>AND(#REF!,"AAAAAF/7q7Y=")</f>
        <v>#REF!</v>
      </c>
      <c r="GB62" t="e">
        <f>AND(#REF!,"AAAAAF/7q7c=")</f>
        <v>#REF!</v>
      </c>
      <c r="GC62" t="e">
        <f>AND(#REF!,"AAAAAF/7q7g=")</f>
        <v>#REF!</v>
      </c>
      <c r="GD62" t="e">
        <f>AND(#REF!,"AAAAAF/7q7k=")</f>
        <v>#REF!</v>
      </c>
      <c r="GE62" t="e">
        <f>AND(#REF!,"AAAAAF/7q7o=")</f>
        <v>#REF!</v>
      </c>
      <c r="GF62" t="e">
        <f>AND(#REF!,"AAAAAF/7q7s=")</f>
        <v>#REF!</v>
      </c>
      <c r="GG62" t="e">
        <f>AND(#REF!,"AAAAAF/7q7w=")</f>
        <v>#REF!</v>
      </c>
      <c r="GH62" t="e">
        <f>AND(#REF!,"AAAAAF/7q70=")</f>
        <v>#REF!</v>
      </c>
      <c r="GI62" t="e">
        <f>AND(#REF!,"AAAAAF/7q74=")</f>
        <v>#REF!</v>
      </c>
      <c r="GJ62" t="e">
        <f>IF(#REF!,"AAAAAF/7q78=",0)</f>
        <v>#REF!</v>
      </c>
      <c r="GK62" t="e">
        <f>AND(#REF!,"AAAAAF/7q8A=")</f>
        <v>#REF!</v>
      </c>
      <c r="GL62" t="e">
        <f>AND(#REF!,"AAAAAF/7q8E=")</f>
        <v>#REF!</v>
      </c>
      <c r="GM62" t="e">
        <f>AND(#REF!,"AAAAAF/7q8I=")</f>
        <v>#REF!</v>
      </c>
      <c r="GN62" t="e">
        <f>AND(#REF!,"AAAAAF/7q8M=")</f>
        <v>#REF!</v>
      </c>
      <c r="GO62" t="e">
        <f>AND(#REF!,"AAAAAF/7q8Q=")</f>
        <v>#REF!</v>
      </c>
      <c r="GP62" t="e">
        <f>AND(#REF!,"AAAAAF/7q8U=")</f>
        <v>#REF!</v>
      </c>
      <c r="GQ62" t="e">
        <f>AND(#REF!,"AAAAAF/7q8Y=")</f>
        <v>#REF!</v>
      </c>
      <c r="GR62" t="e">
        <f>AND(#REF!,"AAAAAF/7q8c=")</f>
        <v>#REF!</v>
      </c>
      <c r="GS62" t="e">
        <f>AND(#REF!,"AAAAAF/7q8g=")</f>
        <v>#REF!</v>
      </c>
      <c r="GT62" t="e">
        <f>AND(#REF!,"AAAAAF/7q8k=")</f>
        <v>#REF!</v>
      </c>
      <c r="GU62" t="e">
        <f>AND(#REF!,"AAAAAF/7q8o=")</f>
        <v>#REF!</v>
      </c>
      <c r="GV62" t="e">
        <f>AND(#REF!,"AAAAAF/7q8s=")</f>
        <v>#REF!</v>
      </c>
      <c r="GW62" t="e">
        <f>IF(#REF!,"AAAAAF/7q8w=",0)</f>
        <v>#REF!</v>
      </c>
      <c r="GX62" t="e">
        <f>AND(#REF!,"AAAAAF/7q80=")</f>
        <v>#REF!</v>
      </c>
      <c r="GY62" t="e">
        <f>AND(#REF!,"AAAAAF/7q84=")</f>
        <v>#REF!</v>
      </c>
      <c r="GZ62" t="e">
        <f>AND(#REF!,"AAAAAF/7q88=")</f>
        <v>#REF!</v>
      </c>
      <c r="HA62" t="e">
        <f>AND(#REF!,"AAAAAF/7q9A=")</f>
        <v>#REF!</v>
      </c>
      <c r="HB62" t="e">
        <f>AND(#REF!,"AAAAAF/7q9E=")</f>
        <v>#REF!</v>
      </c>
      <c r="HC62" t="e">
        <f>AND(#REF!,"AAAAAF/7q9I=")</f>
        <v>#REF!</v>
      </c>
      <c r="HD62" t="e">
        <f>AND(#REF!,"AAAAAF/7q9M=")</f>
        <v>#REF!</v>
      </c>
      <c r="HE62" t="e">
        <f>AND(#REF!,"AAAAAF/7q9Q=")</f>
        <v>#REF!</v>
      </c>
      <c r="HF62" t="e">
        <f>AND(#REF!,"AAAAAF/7q9U=")</f>
        <v>#REF!</v>
      </c>
      <c r="HG62" t="e">
        <f>AND(#REF!,"AAAAAF/7q9Y=")</f>
        <v>#REF!</v>
      </c>
      <c r="HH62" t="e">
        <f>AND(#REF!,"AAAAAF/7q9c=")</f>
        <v>#REF!</v>
      </c>
      <c r="HI62" t="e">
        <f>AND(#REF!,"AAAAAF/7q9g=")</f>
        <v>#REF!</v>
      </c>
      <c r="HJ62" t="e">
        <f>IF(#REF!,"AAAAAF/7q9k=",0)</f>
        <v>#REF!</v>
      </c>
      <c r="HK62" t="e">
        <f>AND(#REF!,"AAAAAF/7q9o=")</f>
        <v>#REF!</v>
      </c>
      <c r="HL62" t="e">
        <f>AND(#REF!,"AAAAAF/7q9s=")</f>
        <v>#REF!</v>
      </c>
      <c r="HM62" t="e">
        <f>AND(#REF!,"AAAAAF/7q9w=")</f>
        <v>#REF!</v>
      </c>
      <c r="HN62" t="e">
        <f>AND(#REF!,"AAAAAF/7q90=")</f>
        <v>#REF!</v>
      </c>
      <c r="HO62" t="e">
        <f>AND(#REF!,"AAAAAF/7q94=")</f>
        <v>#REF!</v>
      </c>
      <c r="HP62" t="e">
        <f>AND(#REF!,"AAAAAF/7q98=")</f>
        <v>#REF!</v>
      </c>
      <c r="HQ62" t="e">
        <f>AND(#REF!,"AAAAAF/7q+A=")</f>
        <v>#REF!</v>
      </c>
      <c r="HR62" t="e">
        <f>AND(#REF!,"AAAAAF/7q+E=")</f>
        <v>#REF!</v>
      </c>
      <c r="HS62" t="e">
        <f>AND(#REF!,"AAAAAF/7q+I=")</f>
        <v>#REF!</v>
      </c>
      <c r="HT62" t="e">
        <f>AND(#REF!,"AAAAAF/7q+M=")</f>
        <v>#REF!</v>
      </c>
      <c r="HU62" t="e">
        <f>AND(#REF!,"AAAAAF/7q+Q=")</f>
        <v>#REF!</v>
      </c>
      <c r="HV62" t="e">
        <f>AND(#REF!,"AAAAAF/7q+U=")</f>
        <v>#REF!</v>
      </c>
      <c r="HW62" t="e">
        <f>IF(#REF!,"AAAAAF/7q+Y=",0)</f>
        <v>#REF!</v>
      </c>
      <c r="HX62" t="e">
        <f>AND(#REF!,"AAAAAF/7q+c=")</f>
        <v>#REF!</v>
      </c>
      <c r="HY62" t="e">
        <f>AND(#REF!,"AAAAAF/7q+g=")</f>
        <v>#REF!</v>
      </c>
      <c r="HZ62" t="e">
        <f>AND(#REF!,"AAAAAF/7q+k=")</f>
        <v>#REF!</v>
      </c>
      <c r="IA62" t="e">
        <f>AND(#REF!,"AAAAAF/7q+o=")</f>
        <v>#REF!</v>
      </c>
      <c r="IB62" t="e">
        <f>AND(#REF!,"AAAAAF/7q+s=")</f>
        <v>#REF!</v>
      </c>
      <c r="IC62" t="e">
        <f>AND(#REF!,"AAAAAF/7q+w=")</f>
        <v>#REF!</v>
      </c>
      <c r="ID62" t="e">
        <f>AND(#REF!,"AAAAAF/7q+0=")</f>
        <v>#REF!</v>
      </c>
      <c r="IE62" t="e">
        <f>AND(#REF!,"AAAAAF/7q+4=")</f>
        <v>#REF!</v>
      </c>
      <c r="IF62" t="e">
        <f>AND(#REF!,"AAAAAF/7q+8=")</f>
        <v>#REF!</v>
      </c>
      <c r="IG62" t="e">
        <f>AND(#REF!,"AAAAAF/7q/A=")</f>
        <v>#REF!</v>
      </c>
      <c r="IH62" t="e">
        <f>AND(#REF!,"AAAAAF/7q/E=")</f>
        <v>#REF!</v>
      </c>
      <c r="II62" t="e">
        <f>AND(#REF!,"AAAAAF/7q/I=")</f>
        <v>#REF!</v>
      </c>
      <c r="IJ62" t="e">
        <f>IF(#REF!,"AAAAAF/7q/M=",0)</f>
        <v>#REF!</v>
      </c>
      <c r="IK62" t="e">
        <f>AND(#REF!,"AAAAAF/7q/Q=")</f>
        <v>#REF!</v>
      </c>
      <c r="IL62" t="e">
        <f>AND(#REF!,"AAAAAF/7q/U=")</f>
        <v>#REF!</v>
      </c>
      <c r="IM62" t="e">
        <f>AND(#REF!,"AAAAAF/7q/Y=")</f>
        <v>#REF!</v>
      </c>
      <c r="IN62" t="e">
        <f>AND(#REF!,"AAAAAF/7q/c=")</f>
        <v>#REF!</v>
      </c>
      <c r="IO62" t="e">
        <f>AND(#REF!,"AAAAAF/7q/g=")</f>
        <v>#REF!</v>
      </c>
      <c r="IP62" t="e">
        <f>AND(#REF!,"AAAAAF/7q/k=")</f>
        <v>#REF!</v>
      </c>
      <c r="IQ62" t="e">
        <f>AND(#REF!,"AAAAAF/7q/o=")</f>
        <v>#REF!</v>
      </c>
      <c r="IR62" t="e">
        <f>AND(#REF!,"AAAAAF/7q/s=")</f>
        <v>#REF!</v>
      </c>
      <c r="IS62" t="e">
        <f>AND(#REF!,"AAAAAF/7q/w=")</f>
        <v>#REF!</v>
      </c>
      <c r="IT62" t="e">
        <f>AND(#REF!,"AAAAAF/7q/0=")</f>
        <v>#REF!</v>
      </c>
      <c r="IU62" t="e">
        <f>AND(#REF!,"AAAAAF/7q/4=")</f>
        <v>#REF!</v>
      </c>
      <c r="IV62" t="e">
        <f>AND(#REF!,"AAAAAF/7q/8=")</f>
        <v>#REF!</v>
      </c>
    </row>
    <row r="63" spans="1:256" x14ac:dyDescent="0.35">
      <c r="A63" t="e">
        <f>IF(#REF!,"AAAAAH//7wA=",0)</f>
        <v>#REF!</v>
      </c>
      <c r="B63" t="e">
        <f>AND(#REF!,"AAAAAH//7wE=")</f>
        <v>#REF!</v>
      </c>
      <c r="C63" t="e">
        <f>AND(#REF!,"AAAAAH//7wI=")</f>
        <v>#REF!</v>
      </c>
      <c r="D63" t="e">
        <f>AND(#REF!,"AAAAAH//7wM=")</f>
        <v>#REF!</v>
      </c>
      <c r="E63" t="e">
        <f>AND(#REF!,"AAAAAH//7wQ=")</f>
        <v>#REF!</v>
      </c>
      <c r="F63" t="e">
        <f>AND(#REF!,"AAAAAH//7wU=")</f>
        <v>#REF!</v>
      </c>
      <c r="G63" t="e">
        <f>AND(#REF!,"AAAAAH//7wY=")</f>
        <v>#REF!</v>
      </c>
      <c r="H63" t="e">
        <f>AND(#REF!,"AAAAAH//7wc=")</f>
        <v>#REF!</v>
      </c>
      <c r="I63" t="e">
        <f>AND(#REF!,"AAAAAH//7wg=")</f>
        <v>#REF!</v>
      </c>
      <c r="J63" t="e">
        <f>AND(#REF!,"AAAAAH//7wk=")</f>
        <v>#REF!</v>
      </c>
      <c r="K63" t="e">
        <f>AND(#REF!,"AAAAAH//7wo=")</f>
        <v>#REF!</v>
      </c>
      <c r="L63" t="e">
        <f>AND(#REF!,"AAAAAH//7ws=")</f>
        <v>#REF!</v>
      </c>
      <c r="M63" t="e">
        <f>AND(#REF!,"AAAAAH//7ww=")</f>
        <v>#REF!</v>
      </c>
      <c r="N63" t="e">
        <f>IF(#REF!,"AAAAAH//7w0=",0)</f>
        <v>#REF!</v>
      </c>
      <c r="O63" t="e">
        <f>AND(#REF!,"AAAAAH//7w4=")</f>
        <v>#REF!</v>
      </c>
      <c r="P63" t="e">
        <f>AND(#REF!,"AAAAAH//7w8=")</f>
        <v>#REF!</v>
      </c>
      <c r="Q63" t="e">
        <f>AND(#REF!,"AAAAAH//7xA=")</f>
        <v>#REF!</v>
      </c>
      <c r="R63" t="e">
        <f>AND(#REF!,"AAAAAH//7xE=")</f>
        <v>#REF!</v>
      </c>
      <c r="S63" t="e">
        <f>AND(#REF!,"AAAAAH//7xI=")</f>
        <v>#REF!</v>
      </c>
      <c r="T63" t="e">
        <f>AND(#REF!,"AAAAAH//7xM=")</f>
        <v>#REF!</v>
      </c>
      <c r="U63" t="e">
        <f>AND(#REF!,"AAAAAH//7xQ=")</f>
        <v>#REF!</v>
      </c>
      <c r="V63" t="e">
        <f>AND(#REF!,"AAAAAH//7xU=")</f>
        <v>#REF!</v>
      </c>
      <c r="W63" t="e">
        <f>AND(#REF!,"AAAAAH//7xY=")</f>
        <v>#REF!</v>
      </c>
      <c r="X63" t="e">
        <f>AND(#REF!,"AAAAAH//7xc=")</f>
        <v>#REF!</v>
      </c>
      <c r="Y63" t="e">
        <f>AND(#REF!,"AAAAAH//7xg=")</f>
        <v>#REF!</v>
      </c>
      <c r="Z63" t="e">
        <f>AND(#REF!,"AAAAAH//7xk=")</f>
        <v>#REF!</v>
      </c>
      <c r="AA63" t="e">
        <f>IF(#REF!,"AAAAAH//7xo=",0)</f>
        <v>#REF!</v>
      </c>
      <c r="AB63" t="e">
        <f>AND(#REF!,"AAAAAH//7xs=")</f>
        <v>#REF!</v>
      </c>
      <c r="AC63" t="e">
        <f>AND(#REF!,"AAAAAH//7xw=")</f>
        <v>#REF!</v>
      </c>
      <c r="AD63" t="e">
        <f>AND(#REF!,"AAAAAH//7x0=")</f>
        <v>#REF!</v>
      </c>
      <c r="AE63" t="e">
        <f>AND(#REF!,"AAAAAH//7x4=")</f>
        <v>#REF!</v>
      </c>
      <c r="AF63" t="e">
        <f>AND(#REF!,"AAAAAH//7x8=")</f>
        <v>#REF!</v>
      </c>
      <c r="AG63" t="e">
        <f>AND(#REF!,"AAAAAH//7yA=")</f>
        <v>#REF!</v>
      </c>
      <c r="AH63" t="e">
        <f>AND(#REF!,"AAAAAH//7yE=")</f>
        <v>#REF!</v>
      </c>
      <c r="AI63" t="e">
        <f>AND(#REF!,"AAAAAH//7yI=")</f>
        <v>#REF!</v>
      </c>
      <c r="AJ63" t="e">
        <f>AND(#REF!,"AAAAAH//7yM=")</f>
        <v>#REF!</v>
      </c>
      <c r="AK63" t="e">
        <f>AND(#REF!,"AAAAAH//7yQ=")</f>
        <v>#REF!</v>
      </c>
      <c r="AL63" t="e">
        <f>AND(#REF!,"AAAAAH//7yU=")</f>
        <v>#REF!</v>
      </c>
      <c r="AM63" t="e">
        <f>AND(#REF!,"AAAAAH//7yY=")</f>
        <v>#REF!</v>
      </c>
      <c r="AN63" t="e">
        <f>IF(#REF!,"AAAAAH//7yc=",0)</f>
        <v>#REF!</v>
      </c>
      <c r="AO63" t="e">
        <f>AND(#REF!,"AAAAAH//7yg=")</f>
        <v>#REF!</v>
      </c>
      <c r="AP63" t="e">
        <f>AND(#REF!,"AAAAAH//7yk=")</f>
        <v>#REF!</v>
      </c>
      <c r="AQ63" t="e">
        <f>AND(#REF!,"AAAAAH//7yo=")</f>
        <v>#REF!</v>
      </c>
      <c r="AR63" t="e">
        <f>AND(#REF!,"AAAAAH//7ys=")</f>
        <v>#REF!</v>
      </c>
      <c r="AS63" t="e">
        <f>AND(#REF!,"AAAAAH//7yw=")</f>
        <v>#REF!</v>
      </c>
      <c r="AT63" t="e">
        <f>AND(#REF!,"AAAAAH//7y0=")</f>
        <v>#REF!</v>
      </c>
      <c r="AU63" t="e">
        <f>AND(#REF!,"AAAAAH//7y4=")</f>
        <v>#REF!</v>
      </c>
      <c r="AV63" t="e">
        <f>AND(#REF!,"AAAAAH//7y8=")</f>
        <v>#REF!</v>
      </c>
      <c r="AW63" t="e">
        <f>AND(#REF!,"AAAAAH//7zA=")</f>
        <v>#REF!</v>
      </c>
      <c r="AX63" t="e">
        <f>AND(#REF!,"AAAAAH//7zE=")</f>
        <v>#REF!</v>
      </c>
      <c r="AY63" t="e">
        <f>AND(#REF!,"AAAAAH//7zI=")</f>
        <v>#REF!</v>
      </c>
      <c r="AZ63" t="e">
        <f>AND(#REF!,"AAAAAH//7zM=")</f>
        <v>#REF!</v>
      </c>
      <c r="BA63" t="e">
        <f>IF(#REF!,"AAAAAH//7zQ=",0)</f>
        <v>#REF!</v>
      </c>
      <c r="BB63" t="e">
        <f>AND(#REF!,"AAAAAH//7zU=")</f>
        <v>#REF!</v>
      </c>
      <c r="BC63" t="e">
        <f>AND(#REF!,"AAAAAH//7zY=")</f>
        <v>#REF!</v>
      </c>
      <c r="BD63" t="e">
        <f>AND(#REF!,"AAAAAH//7zc=")</f>
        <v>#REF!</v>
      </c>
      <c r="BE63" t="e">
        <f>AND(#REF!,"AAAAAH//7zg=")</f>
        <v>#REF!</v>
      </c>
      <c r="BF63" t="e">
        <f>AND(#REF!,"AAAAAH//7zk=")</f>
        <v>#REF!</v>
      </c>
      <c r="BG63" t="e">
        <f>AND(#REF!,"AAAAAH//7zo=")</f>
        <v>#REF!</v>
      </c>
      <c r="BH63" t="e">
        <f>AND(#REF!,"AAAAAH//7zs=")</f>
        <v>#REF!</v>
      </c>
      <c r="BI63" t="e">
        <f>AND(#REF!,"AAAAAH//7zw=")</f>
        <v>#REF!</v>
      </c>
      <c r="BJ63" t="e">
        <f>AND(#REF!,"AAAAAH//7z0=")</f>
        <v>#REF!</v>
      </c>
      <c r="BK63" t="e">
        <f>AND(#REF!,"AAAAAH//7z4=")</f>
        <v>#REF!</v>
      </c>
      <c r="BL63" t="e">
        <f>AND(#REF!,"AAAAAH//7z8=")</f>
        <v>#REF!</v>
      </c>
      <c r="BM63" t="e">
        <f>AND(#REF!,"AAAAAH//70A=")</f>
        <v>#REF!</v>
      </c>
      <c r="BN63" t="e">
        <f>IF(#REF!,"AAAAAH//70E=",0)</f>
        <v>#REF!</v>
      </c>
      <c r="BO63" t="e">
        <f>AND(#REF!,"AAAAAH//70I=")</f>
        <v>#REF!</v>
      </c>
      <c r="BP63" t="e">
        <f>AND(#REF!,"AAAAAH//70M=")</f>
        <v>#REF!</v>
      </c>
      <c r="BQ63" t="e">
        <f>AND(#REF!,"AAAAAH//70Q=")</f>
        <v>#REF!</v>
      </c>
      <c r="BR63" t="e">
        <f>AND(#REF!,"AAAAAH//70U=")</f>
        <v>#REF!</v>
      </c>
      <c r="BS63" t="e">
        <f>AND(#REF!,"AAAAAH//70Y=")</f>
        <v>#REF!</v>
      </c>
      <c r="BT63" t="e">
        <f>AND(#REF!,"AAAAAH//70c=")</f>
        <v>#REF!</v>
      </c>
      <c r="BU63" t="e">
        <f>AND(#REF!,"AAAAAH//70g=")</f>
        <v>#REF!</v>
      </c>
      <c r="BV63" t="e">
        <f>AND(#REF!,"AAAAAH//70k=")</f>
        <v>#REF!</v>
      </c>
      <c r="BW63" t="e">
        <f>AND(#REF!,"AAAAAH//70o=")</f>
        <v>#REF!</v>
      </c>
      <c r="BX63" t="e">
        <f>AND(#REF!,"AAAAAH//70s=")</f>
        <v>#REF!</v>
      </c>
      <c r="BY63" t="e">
        <f>AND(#REF!,"AAAAAH//70w=")</f>
        <v>#REF!</v>
      </c>
      <c r="BZ63" t="e">
        <f>AND(#REF!,"AAAAAH//700=")</f>
        <v>#REF!</v>
      </c>
      <c r="CA63" t="e">
        <f>IF(#REF!,"AAAAAH//704=",0)</f>
        <v>#REF!</v>
      </c>
      <c r="CB63" t="e">
        <f>AND(#REF!,"AAAAAH//708=")</f>
        <v>#REF!</v>
      </c>
      <c r="CC63" t="e">
        <f>AND(#REF!,"AAAAAH//71A=")</f>
        <v>#REF!</v>
      </c>
      <c r="CD63" t="e">
        <f>AND(#REF!,"AAAAAH//71E=")</f>
        <v>#REF!</v>
      </c>
      <c r="CE63" t="e">
        <f>AND(#REF!,"AAAAAH//71I=")</f>
        <v>#REF!</v>
      </c>
      <c r="CF63" t="e">
        <f>AND(#REF!,"AAAAAH//71M=")</f>
        <v>#REF!</v>
      </c>
      <c r="CG63" t="e">
        <f>AND(#REF!,"AAAAAH//71Q=")</f>
        <v>#REF!</v>
      </c>
      <c r="CH63" t="e">
        <f>AND(#REF!,"AAAAAH//71U=")</f>
        <v>#REF!</v>
      </c>
      <c r="CI63" t="e">
        <f>AND(#REF!,"AAAAAH//71Y=")</f>
        <v>#REF!</v>
      </c>
      <c r="CJ63" t="e">
        <f>AND(#REF!,"AAAAAH//71c=")</f>
        <v>#REF!</v>
      </c>
      <c r="CK63" t="e">
        <f>AND(#REF!,"AAAAAH//71g=")</f>
        <v>#REF!</v>
      </c>
      <c r="CL63" t="e">
        <f>AND(#REF!,"AAAAAH//71k=")</f>
        <v>#REF!</v>
      </c>
      <c r="CM63" t="e">
        <f>AND(#REF!,"AAAAAH//71o=")</f>
        <v>#REF!</v>
      </c>
      <c r="CN63" t="e">
        <f>IF(#REF!,"AAAAAH//71s=",0)</f>
        <v>#REF!</v>
      </c>
      <c r="CO63" t="e">
        <f>AND(#REF!,"AAAAAH//71w=")</f>
        <v>#REF!</v>
      </c>
      <c r="CP63" t="e">
        <f>AND(#REF!,"AAAAAH//710=")</f>
        <v>#REF!</v>
      </c>
      <c r="CQ63" t="e">
        <f>AND(#REF!,"AAAAAH//714=")</f>
        <v>#REF!</v>
      </c>
      <c r="CR63" t="e">
        <f>AND(#REF!,"AAAAAH//718=")</f>
        <v>#REF!</v>
      </c>
      <c r="CS63" t="e">
        <f>AND(#REF!,"AAAAAH//72A=")</f>
        <v>#REF!</v>
      </c>
      <c r="CT63" t="e">
        <f>AND(#REF!,"AAAAAH//72E=")</f>
        <v>#REF!</v>
      </c>
      <c r="CU63" t="e">
        <f>AND(#REF!,"AAAAAH//72I=")</f>
        <v>#REF!</v>
      </c>
      <c r="CV63" t="e">
        <f>AND(#REF!,"AAAAAH//72M=")</f>
        <v>#REF!</v>
      </c>
      <c r="CW63" t="e">
        <f>AND(#REF!,"AAAAAH//72Q=")</f>
        <v>#REF!</v>
      </c>
      <c r="CX63" t="e">
        <f>AND(#REF!,"AAAAAH//72U=")</f>
        <v>#REF!</v>
      </c>
      <c r="CY63" t="e">
        <f>AND(#REF!,"AAAAAH//72Y=")</f>
        <v>#REF!</v>
      </c>
      <c r="CZ63" t="e">
        <f>AND(#REF!,"AAAAAH//72c=")</f>
        <v>#REF!</v>
      </c>
      <c r="DA63" t="e">
        <f>IF(#REF!,"AAAAAH//72g=",0)</f>
        <v>#REF!</v>
      </c>
      <c r="DB63" t="e">
        <f>AND(#REF!,"AAAAAH//72k=")</f>
        <v>#REF!</v>
      </c>
      <c r="DC63" t="e">
        <f>AND(#REF!,"AAAAAH//72o=")</f>
        <v>#REF!</v>
      </c>
      <c r="DD63" t="e">
        <f>AND(#REF!,"AAAAAH//72s=")</f>
        <v>#REF!</v>
      </c>
      <c r="DE63" t="e">
        <f>AND(#REF!,"AAAAAH//72w=")</f>
        <v>#REF!</v>
      </c>
      <c r="DF63" t="e">
        <f>AND(#REF!,"AAAAAH//720=")</f>
        <v>#REF!</v>
      </c>
      <c r="DG63" t="e">
        <f>AND(#REF!,"AAAAAH//724=")</f>
        <v>#REF!</v>
      </c>
      <c r="DH63" t="e">
        <f>AND(#REF!,"AAAAAH//728=")</f>
        <v>#REF!</v>
      </c>
      <c r="DI63" t="e">
        <f>AND(#REF!,"AAAAAH//73A=")</f>
        <v>#REF!</v>
      </c>
      <c r="DJ63" t="e">
        <f>AND(#REF!,"AAAAAH//73E=")</f>
        <v>#REF!</v>
      </c>
      <c r="DK63" t="e">
        <f>AND(#REF!,"AAAAAH//73I=")</f>
        <v>#REF!</v>
      </c>
      <c r="DL63" t="e">
        <f>AND(#REF!,"AAAAAH//73M=")</f>
        <v>#REF!</v>
      </c>
      <c r="DM63" t="e">
        <f>AND(#REF!,"AAAAAH//73Q=")</f>
        <v>#REF!</v>
      </c>
      <c r="DN63" t="e">
        <f>IF(#REF!,"AAAAAH//73U=",0)</f>
        <v>#REF!</v>
      </c>
      <c r="DO63" t="e">
        <f>AND(#REF!,"AAAAAH//73Y=")</f>
        <v>#REF!</v>
      </c>
      <c r="DP63" t="e">
        <f>AND(#REF!,"AAAAAH//73c=")</f>
        <v>#REF!</v>
      </c>
      <c r="DQ63" t="e">
        <f>AND(#REF!,"AAAAAH//73g=")</f>
        <v>#REF!</v>
      </c>
      <c r="DR63" t="e">
        <f>AND(#REF!,"AAAAAH//73k=")</f>
        <v>#REF!</v>
      </c>
      <c r="DS63" t="e">
        <f>AND(#REF!,"AAAAAH//73o=")</f>
        <v>#REF!</v>
      </c>
      <c r="DT63" t="e">
        <f>AND(#REF!,"AAAAAH//73s=")</f>
        <v>#REF!</v>
      </c>
      <c r="DU63" t="e">
        <f>AND(#REF!,"AAAAAH//73w=")</f>
        <v>#REF!</v>
      </c>
      <c r="DV63" t="e">
        <f>AND(#REF!,"AAAAAH//730=")</f>
        <v>#REF!</v>
      </c>
      <c r="DW63" t="e">
        <f>AND(#REF!,"AAAAAH//734=")</f>
        <v>#REF!</v>
      </c>
      <c r="DX63" t="e">
        <f>AND(#REF!,"AAAAAH//738=")</f>
        <v>#REF!</v>
      </c>
      <c r="DY63" t="e">
        <f>AND(#REF!,"AAAAAH//74A=")</f>
        <v>#REF!</v>
      </c>
      <c r="DZ63" t="e">
        <f>AND(#REF!,"AAAAAH//74E=")</f>
        <v>#REF!</v>
      </c>
      <c r="EA63" t="e">
        <f>IF(#REF!,"AAAAAH//74I=",0)</f>
        <v>#REF!</v>
      </c>
      <c r="EB63" t="e">
        <f>AND(#REF!,"AAAAAH//74M=")</f>
        <v>#REF!</v>
      </c>
      <c r="EC63" t="e">
        <f>AND(#REF!,"AAAAAH//74Q=")</f>
        <v>#REF!</v>
      </c>
      <c r="ED63" t="e">
        <f>AND(#REF!,"AAAAAH//74U=")</f>
        <v>#REF!</v>
      </c>
      <c r="EE63" t="e">
        <f>AND(#REF!,"AAAAAH//74Y=")</f>
        <v>#REF!</v>
      </c>
      <c r="EF63" t="e">
        <f>AND(#REF!,"AAAAAH//74c=")</f>
        <v>#REF!</v>
      </c>
      <c r="EG63" t="e">
        <f>AND(#REF!,"AAAAAH//74g=")</f>
        <v>#REF!</v>
      </c>
      <c r="EH63" t="e">
        <f>AND(#REF!,"AAAAAH//74k=")</f>
        <v>#REF!</v>
      </c>
      <c r="EI63" t="e">
        <f>AND(#REF!,"AAAAAH//74o=")</f>
        <v>#REF!</v>
      </c>
      <c r="EJ63" t="e">
        <f>AND(#REF!,"AAAAAH//74s=")</f>
        <v>#REF!</v>
      </c>
      <c r="EK63" t="e">
        <f>AND(#REF!,"AAAAAH//74w=")</f>
        <v>#REF!</v>
      </c>
      <c r="EL63" t="e">
        <f>AND(#REF!,"AAAAAH//740=")</f>
        <v>#REF!</v>
      </c>
      <c r="EM63" t="e">
        <f>AND(#REF!,"AAAAAH//744=")</f>
        <v>#REF!</v>
      </c>
      <c r="EN63" t="e">
        <f>IF(#REF!,"AAAAAH//748=",0)</f>
        <v>#REF!</v>
      </c>
      <c r="EO63" t="e">
        <f>AND(#REF!,"AAAAAH//75A=")</f>
        <v>#REF!</v>
      </c>
      <c r="EP63" t="e">
        <f>AND(#REF!,"AAAAAH//75E=")</f>
        <v>#REF!</v>
      </c>
      <c r="EQ63" t="e">
        <f>AND(#REF!,"AAAAAH//75I=")</f>
        <v>#REF!</v>
      </c>
      <c r="ER63" t="e">
        <f>AND(#REF!,"AAAAAH//75M=")</f>
        <v>#REF!</v>
      </c>
      <c r="ES63" t="e">
        <f>AND(#REF!,"AAAAAH//75Q=")</f>
        <v>#REF!</v>
      </c>
      <c r="ET63" t="e">
        <f>AND(#REF!,"AAAAAH//75U=")</f>
        <v>#REF!</v>
      </c>
      <c r="EU63" t="e">
        <f>AND(#REF!,"AAAAAH//75Y=")</f>
        <v>#REF!</v>
      </c>
      <c r="EV63" t="e">
        <f>AND(#REF!,"AAAAAH//75c=")</f>
        <v>#REF!</v>
      </c>
      <c r="EW63" t="e">
        <f>AND(#REF!,"AAAAAH//75g=")</f>
        <v>#REF!</v>
      </c>
      <c r="EX63" t="e">
        <f>AND(#REF!,"AAAAAH//75k=")</f>
        <v>#REF!</v>
      </c>
      <c r="EY63" t="e">
        <f>AND(#REF!,"AAAAAH//75o=")</f>
        <v>#REF!</v>
      </c>
      <c r="EZ63" t="e">
        <f>AND(#REF!,"AAAAAH//75s=")</f>
        <v>#REF!</v>
      </c>
      <c r="FA63" t="e">
        <f>IF(#REF!,"AAAAAH//75w=",0)</f>
        <v>#REF!</v>
      </c>
      <c r="FB63" t="e">
        <f>AND(#REF!,"AAAAAH//750=")</f>
        <v>#REF!</v>
      </c>
      <c r="FC63" t="e">
        <f>AND(#REF!,"AAAAAH//754=")</f>
        <v>#REF!</v>
      </c>
      <c r="FD63" t="e">
        <f>AND(#REF!,"AAAAAH//758=")</f>
        <v>#REF!</v>
      </c>
      <c r="FE63" t="e">
        <f>AND(#REF!,"AAAAAH//76A=")</f>
        <v>#REF!</v>
      </c>
      <c r="FF63" t="e">
        <f>AND(#REF!,"AAAAAH//76E=")</f>
        <v>#REF!</v>
      </c>
      <c r="FG63" t="e">
        <f>AND(#REF!,"AAAAAH//76I=")</f>
        <v>#REF!</v>
      </c>
      <c r="FH63" t="e">
        <f>AND(#REF!,"AAAAAH//76M=")</f>
        <v>#REF!</v>
      </c>
      <c r="FI63" t="e">
        <f>AND(#REF!,"AAAAAH//76Q=")</f>
        <v>#REF!</v>
      </c>
      <c r="FJ63" t="e">
        <f>AND(#REF!,"AAAAAH//76U=")</f>
        <v>#REF!</v>
      </c>
      <c r="FK63" t="e">
        <f>AND(#REF!,"AAAAAH//76Y=")</f>
        <v>#REF!</v>
      </c>
      <c r="FL63" t="e">
        <f>AND(#REF!,"AAAAAH//76c=")</f>
        <v>#REF!</v>
      </c>
      <c r="FM63" t="e">
        <f>AND(#REF!,"AAAAAH//76g=")</f>
        <v>#REF!</v>
      </c>
      <c r="FN63" t="e">
        <f>IF(#REF!,"AAAAAH//76k=",0)</f>
        <v>#REF!</v>
      </c>
      <c r="FO63" t="e">
        <f>AND(#REF!,"AAAAAH//76o=")</f>
        <v>#REF!</v>
      </c>
      <c r="FP63" t="e">
        <f>AND(#REF!,"AAAAAH//76s=")</f>
        <v>#REF!</v>
      </c>
      <c r="FQ63" t="e">
        <f>AND(#REF!,"AAAAAH//76w=")</f>
        <v>#REF!</v>
      </c>
      <c r="FR63" t="e">
        <f>AND(#REF!,"AAAAAH//760=")</f>
        <v>#REF!</v>
      </c>
      <c r="FS63" t="e">
        <f>AND(#REF!,"AAAAAH//764=")</f>
        <v>#REF!</v>
      </c>
      <c r="FT63" t="e">
        <f>AND(#REF!,"AAAAAH//768=")</f>
        <v>#REF!</v>
      </c>
      <c r="FU63" t="e">
        <f>AND(#REF!,"AAAAAH//77A=")</f>
        <v>#REF!</v>
      </c>
      <c r="FV63" t="e">
        <f>AND(#REF!,"AAAAAH//77E=")</f>
        <v>#REF!</v>
      </c>
      <c r="FW63" t="e">
        <f>AND(#REF!,"AAAAAH//77I=")</f>
        <v>#REF!</v>
      </c>
      <c r="FX63" t="e">
        <f>AND(#REF!,"AAAAAH//77M=")</f>
        <v>#REF!</v>
      </c>
      <c r="FY63" t="e">
        <f>AND(#REF!,"AAAAAH//77Q=")</f>
        <v>#REF!</v>
      </c>
      <c r="FZ63" t="e">
        <f>AND(#REF!,"AAAAAH//77U=")</f>
        <v>#REF!</v>
      </c>
      <c r="GA63" t="e">
        <f>IF(#REF!,"AAAAAH//77Y=",0)</f>
        <v>#REF!</v>
      </c>
      <c r="GB63" t="e">
        <f>AND(#REF!,"AAAAAH//77c=")</f>
        <v>#REF!</v>
      </c>
      <c r="GC63" t="e">
        <f>AND(#REF!,"AAAAAH//77g=")</f>
        <v>#REF!</v>
      </c>
      <c r="GD63" t="e">
        <f>AND(#REF!,"AAAAAH//77k=")</f>
        <v>#REF!</v>
      </c>
      <c r="GE63" t="e">
        <f>AND(#REF!,"AAAAAH//77o=")</f>
        <v>#REF!</v>
      </c>
      <c r="GF63" t="e">
        <f>AND(#REF!,"AAAAAH//77s=")</f>
        <v>#REF!</v>
      </c>
      <c r="GG63" t="e">
        <f>AND(#REF!,"AAAAAH//77w=")</f>
        <v>#REF!</v>
      </c>
      <c r="GH63" t="e">
        <f>AND(#REF!,"AAAAAH//770=")</f>
        <v>#REF!</v>
      </c>
      <c r="GI63" t="e">
        <f>AND(#REF!,"AAAAAH//774=")</f>
        <v>#REF!</v>
      </c>
      <c r="GJ63" t="e">
        <f>AND(#REF!,"AAAAAH//778=")</f>
        <v>#REF!</v>
      </c>
      <c r="GK63" t="e">
        <f>AND(#REF!,"AAAAAH//78A=")</f>
        <v>#REF!</v>
      </c>
      <c r="GL63" t="e">
        <f>AND(#REF!,"AAAAAH//78E=")</f>
        <v>#REF!</v>
      </c>
      <c r="GM63" t="e">
        <f>AND(#REF!,"AAAAAH//78I=")</f>
        <v>#REF!</v>
      </c>
      <c r="GN63" t="e">
        <f>IF(#REF!,"AAAAAH//78M=",0)</f>
        <v>#REF!</v>
      </c>
      <c r="GO63" t="e">
        <f>AND(#REF!,"AAAAAH//78Q=")</f>
        <v>#REF!</v>
      </c>
      <c r="GP63" t="e">
        <f>AND(#REF!,"AAAAAH//78U=")</f>
        <v>#REF!</v>
      </c>
      <c r="GQ63" t="e">
        <f>AND(#REF!,"AAAAAH//78Y=")</f>
        <v>#REF!</v>
      </c>
      <c r="GR63" t="e">
        <f>AND(#REF!,"AAAAAH//78c=")</f>
        <v>#REF!</v>
      </c>
      <c r="GS63" t="e">
        <f>AND(#REF!,"AAAAAH//78g=")</f>
        <v>#REF!</v>
      </c>
      <c r="GT63" t="e">
        <f>AND(#REF!,"AAAAAH//78k=")</f>
        <v>#REF!</v>
      </c>
      <c r="GU63" t="e">
        <f>AND(#REF!,"AAAAAH//78o=")</f>
        <v>#REF!</v>
      </c>
      <c r="GV63" t="e">
        <f>AND(#REF!,"AAAAAH//78s=")</f>
        <v>#REF!</v>
      </c>
      <c r="GW63" t="e">
        <f>AND(#REF!,"AAAAAH//78w=")</f>
        <v>#REF!</v>
      </c>
      <c r="GX63" t="e">
        <f>AND(#REF!,"AAAAAH//780=")</f>
        <v>#REF!</v>
      </c>
      <c r="GY63" t="e">
        <f>AND(#REF!,"AAAAAH//784=")</f>
        <v>#REF!</v>
      </c>
      <c r="GZ63" t="e">
        <f>AND(#REF!,"AAAAAH//788=")</f>
        <v>#REF!</v>
      </c>
      <c r="HA63" t="e">
        <f>IF(#REF!,"AAAAAH//79A=",0)</f>
        <v>#REF!</v>
      </c>
      <c r="HB63" t="e">
        <f>AND(#REF!,"AAAAAH//79E=")</f>
        <v>#REF!</v>
      </c>
      <c r="HC63" t="e">
        <f>AND(#REF!,"AAAAAH//79I=")</f>
        <v>#REF!</v>
      </c>
      <c r="HD63" t="e">
        <f>AND(#REF!,"AAAAAH//79M=")</f>
        <v>#REF!</v>
      </c>
      <c r="HE63" t="e">
        <f>AND(#REF!,"AAAAAH//79Q=")</f>
        <v>#REF!</v>
      </c>
      <c r="HF63" t="e">
        <f>AND(#REF!,"AAAAAH//79U=")</f>
        <v>#REF!</v>
      </c>
      <c r="HG63" t="e">
        <f>AND(#REF!,"AAAAAH//79Y=")</f>
        <v>#REF!</v>
      </c>
      <c r="HH63" t="e">
        <f>AND(#REF!,"AAAAAH//79c=")</f>
        <v>#REF!</v>
      </c>
      <c r="HI63" t="e">
        <f>AND(#REF!,"AAAAAH//79g=")</f>
        <v>#REF!</v>
      </c>
      <c r="HJ63" t="e">
        <f>AND(#REF!,"AAAAAH//79k=")</f>
        <v>#REF!</v>
      </c>
      <c r="HK63" t="e">
        <f>AND(#REF!,"AAAAAH//79o=")</f>
        <v>#REF!</v>
      </c>
      <c r="HL63" t="e">
        <f>AND(#REF!,"AAAAAH//79s=")</f>
        <v>#REF!</v>
      </c>
      <c r="HM63" t="e">
        <f>AND(#REF!,"AAAAAH//79w=")</f>
        <v>#REF!</v>
      </c>
      <c r="HN63" t="e">
        <f>IF(#REF!,"AAAAAH//790=",0)</f>
        <v>#REF!</v>
      </c>
      <c r="HO63" t="e">
        <f>AND(#REF!,"AAAAAH//794=")</f>
        <v>#REF!</v>
      </c>
      <c r="HP63" t="e">
        <f>AND(#REF!,"AAAAAH//798=")</f>
        <v>#REF!</v>
      </c>
      <c r="HQ63" t="e">
        <f>AND(#REF!,"AAAAAH//7+A=")</f>
        <v>#REF!</v>
      </c>
      <c r="HR63" t="e">
        <f>AND(#REF!,"AAAAAH//7+E=")</f>
        <v>#REF!</v>
      </c>
      <c r="HS63" t="e">
        <f>AND(#REF!,"AAAAAH//7+I=")</f>
        <v>#REF!</v>
      </c>
      <c r="HT63" t="e">
        <f>AND(#REF!,"AAAAAH//7+M=")</f>
        <v>#REF!</v>
      </c>
      <c r="HU63" t="e">
        <f>AND(#REF!,"AAAAAH//7+Q=")</f>
        <v>#REF!</v>
      </c>
      <c r="HV63" t="e">
        <f>AND(#REF!,"AAAAAH//7+U=")</f>
        <v>#REF!</v>
      </c>
      <c r="HW63" t="e">
        <f>AND(#REF!,"AAAAAH//7+Y=")</f>
        <v>#REF!</v>
      </c>
      <c r="HX63" t="e">
        <f>AND(#REF!,"AAAAAH//7+c=")</f>
        <v>#REF!</v>
      </c>
      <c r="HY63" t="e">
        <f>AND(#REF!,"AAAAAH//7+g=")</f>
        <v>#REF!</v>
      </c>
      <c r="HZ63" t="e">
        <f>AND(#REF!,"AAAAAH//7+k=")</f>
        <v>#REF!</v>
      </c>
      <c r="IA63" t="e">
        <f>IF(#REF!,"AAAAAH//7+o=",0)</f>
        <v>#REF!</v>
      </c>
      <c r="IB63" t="e">
        <f>AND(#REF!,"AAAAAH//7+s=")</f>
        <v>#REF!</v>
      </c>
      <c r="IC63" t="e">
        <f>AND(#REF!,"AAAAAH//7+w=")</f>
        <v>#REF!</v>
      </c>
      <c r="ID63" t="e">
        <f>AND(#REF!,"AAAAAH//7+0=")</f>
        <v>#REF!</v>
      </c>
      <c r="IE63" t="e">
        <f>AND(#REF!,"AAAAAH//7+4=")</f>
        <v>#REF!</v>
      </c>
      <c r="IF63" t="e">
        <f>AND(#REF!,"AAAAAH//7+8=")</f>
        <v>#REF!</v>
      </c>
      <c r="IG63" t="e">
        <f>AND(#REF!,"AAAAAH//7/A=")</f>
        <v>#REF!</v>
      </c>
      <c r="IH63" t="e">
        <f>AND(#REF!,"AAAAAH//7/E=")</f>
        <v>#REF!</v>
      </c>
      <c r="II63" t="e">
        <f>AND(#REF!,"AAAAAH//7/I=")</f>
        <v>#REF!</v>
      </c>
      <c r="IJ63" t="e">
        <f>AND(#REF!,"AAAAAH//7/M=")</f>
        <v>#REF!</v>
      </c>
      <c r="IK63" t="e">
        <f>AND(#REF!,"AAAAAH//7/Q=")</f>
        <v>#REF!</v>
      </c>
      <c r="IL63" t="e">
        <f>AND(#REF!,"AAAAAH//7/U=")</f>
        <v>#REF!</v>
      </c>
      <c r="IM63" t="e">
        <f>AND(#REF!,"AAAAAH//7/Y=")</f>
        <v>#REF!</v>
      </c>
      <c r="IN63" t="e">
        <f>IF(#REF!,"AAAAAH//7/c=",0)</f>
        <v>#REF!</v>
      </c>
      <c r="IO63" t="e">
        <f>AND(#REF!,"AAAAAH//7/g=")</f>
        <v>#REF!</v>
      </c>
      <c r="IP63" t="e">
        <f>AND(#REF!,"AAAAAH//7/k=")</f>
        <v>#REF!</v>
      </c>
      <c r="IQ63" t="e">
        <f>AND(#REF!,"AAAAAH//7/o=")</f>
        <v>#REF!</v>
      </c>
      <c r="IR63" t="e">
        <f>AND(#REF!,"AAAAAH//7/s=")</f>
        <v>#REF!</v>
      </c>
      <c r="IS63" t="e">
        <f>AND(#REF!,"AAAAAH//7/w=")</f>
        <v>#REF!</v>
      </c>
      <c r="IT63" t="e">
        <f>AND(#REF!,"AAAAAH//7/0=")</f>
        <v>#REF!</v>
      </c>
      <c r="IU63" t="e">
        <f>AND(#REF!,"AAAAAH//7/4=")</f>
        <v>#REF!</v>
      </c>
      <c r="IV63" t="e">
        <f>AND(#REF!,"AAAAAH//7/8=")</f>
        <v>#REF!</v>
      </c>
    </row>
    <row r="64" spans="1:256" x14ac:dyDescent="0.35">
      <c r="A64" t="e">
        <f>AND(#REF!,"AAAAAC6/PgA=")</f>
        <v>#REF!</v>
      </c>
      <c r="B64" t="e">
        <f>AND(#REF!,"AAAAAC6/PgE=")</f>
        <v>#REF!</v>
      </c>
      <c r="C64" t="e">
        <f>AND(#REF!,"AAAAAC6/PgI=")</f>
        <v>#REF!</v>
      </c>
      <c r="D64" t="e">
        <f>AND(#REF!,"AAAAAC6/PgM=")</f>
        <v>#REF!</v>
      </c>
      <c r="E64" t="e">
        <f>IF(#REF!,"AAAAAC6/PgQ=",0)</f>
        <v>#REF!</v>
      </c>
      <c r="F64" t="e">
        <f>AND(#REF!,"AAAAAC6/PgU=")</f>
        <v>#REF!</v>
      </c>
      <c r="G64" t="e">
        <f>AND(#REF!,"AAAAAC6/PgY=")</f>
        <v>#REF!</v>
      </c>
      <c r="H64" t="e">
        <f>AND(#REF!,"AAAAAC6/Pgc=")</f>
        <v>#REF!</v>
      </c>
      <c r="I64" t="e">
        <f>AND(#REF!,"AAAAAC6/Pgg=")</f>
        <v>#REF!</v>
      </c>
      <c r="J64" t="e">
        <f>AND(#REF!,"AAAAAC6/Pgk=")</f>
        <v>#REF!</v>
      </c>
      <c r="K64" t="e">
        <f>AND(#REF!,"AAAAAC6/Pgo=")</f>
        <v>#REF!</v>
      </c>
      <c r="L64" t="e">
        <f>AND(#REF!,"AAAAAC6/Pgs=")</f>
        <v>#REF!</v>
      </c>
      <c r="M64" t="e">
        <f>AND(#REF!,"AAAAAC6/Pgw=")</f>
        <v>#REF!</v>
      </c>
      <c r="N64" t="e">
        <f>AND(#REF!,"AAAAAC6/Pg0=")</f>
        <v>#REF!</v>
      </c>
      <c r="O64" t="e">
        <f>AND(#REF!,"AAAAAC6/Pg4=")</f>
        <v>#REF!</v>
      </c>
      <c r="P64" t="e">
        <f>AND(#REF!,"AAAAAC6/Pg8=")</f>
        <v>#REF!</v>
      </c>
      <c r="Q64" t="e">
        <f>AND(#REF!,"AAAAAC6/PhA=")</f>
        <v>#REF!</v>
      </c>
      <c r="R64" t="e">
        <f>IF(#REF!,"AAAAAC6/PhE=",0)</f>
        <v>#REF!</v>
      </c>
      <c r="S64" t="e">
        <f>AND(#REF!,"AAAAAC6/PhI=")</f>
        <v>#REF!</v>
      </c>
      <c r="T64" t="e">
        <f>AND(#REF!,"AAAAAC6/PhM=")</f>
        <v>#REF!</v>
      </c>
      <c r="U64" t="e">
        <f>AND(#REF!,"AAAAAC6/PhQ=")</f>
        <v>#REF!</v>
      </c>
      <c r="V64" t="e">
        <f>AND(#REF!,"AAAAAC6/PhU=")</f>
        <v>#REF!</v>
      </c>
      <c r="W64" t="e">
        <f>AND(#REF!,"AAAAAC6/PhY=")</f>
        <v>#REF!</v>
      </c>
      <c r="X64" t="e">
        <f>AND(#REF!,"AAAAAC6/Phc=")</f>
        <v>#REF!</v>
      </c>
      <c r="Y64" t="e">
        <f>AND(#REF!,"AAAAAC6/Phg=")</f>
        <v>#REF!</v>
      </c>
      <c r="Z64" t="e">
        <f>AND(#REF!,"AAAAAC6/Phk=")</f>
        <v>#REF!</v>
      </c>
      <c r="AA64" t="e">
        <f>AND(#REF!,"AAAAAC6/Pho=")</f>
        <v>#REF!</v>
      </c>
      <c r="AB64" t="e">
        <f>AND(#REF!,"AAAAAC6/Phs=")</f>
        <v>#REF!</v>
      </c>
      <c r="AC64" t="e">
        <f>AND(#REF!,"AAAAAC6/Phw=")</f>
        <v>#REF!</v>
      </c>
      <c r="AD64" t="e">
        <f>AND(#REF!,"AAAAAC6/Ph0=")</f>
        <v>#REF!</v>
      </c>
      <c r="AE64" t="e">
        <f>IF(#REF!,"AAAAAC6/Ph4=",0)</f>
        <v>#REF!</v>
      </c>
      <c r="AF64" t="e">
        <f>AND(#REF!,"AAAAAC6/Ph8=")</f>
        <v>#REF!</v>
      </c>
      <c r="AG64" t="e">
        <f>AND(#REF!,"AAAAAC6/PiA=")</f>
        <v>#REF!</v>
      </c>
      <c r="AH64" t="e">
        <f>AND(#REF!,"AAAAAC6/PiE=")</f>
        <v>#REF!</v>
      </c>
      <c r="AI64" t="e">
        <f>AND(#REF!,"AAAAAC6/PiI=")</f>
        <v>#REF!</v>
      </c>
      <c r="AJ64" t="e">
        <f>AND(#REF!,"AAAAAC6/PiM=")</f>
        <v>#REF!</v>
      </c>
      <c r="AK64" t="e">
        <f>AND(#REF!,"AAAAAC6/PiQ=")</f>
        <v>#REF!</v>
      </c>
      <c r="AL64" t="e">
        <f>AND(#REF!,"AAAAAC6/PiU=")</f>
        <v>#REF!</v>
      </c>
      <c r="AM64" t="e">
        <f>AND(#REF!,"AAAAAC6/PiY=")</f>
        <v>#REF!</v>
      </c>
      <c r="AN64" t="e">
        <f>AND(#REF!,"AAAAAC6/Pic=")</f>
        <v>#REF!</v>
      </c>
      <c r="AO64" t="e">
        <f>AND(#REF!,"AAAAAC6/Pig=")</f>
        <v>#REF!</v>
      </c>
      <c r="AP64" t="e">
        <f>AND(#REF!,"AAAAAC6/Pik=")</f>
        <v>#REF!</v>
      </c>
      <c r="AQ64" t="e">
        <f>AND(#REF!,"AAAAAC6/Pio=")</f>
        <v>#REF!</v>
      </c>
      <c r="AR64" t="e">
        <f>IF(#REF!,"AAAAAC6/Pis=",0)</f>
        <v>#REF!</v>
      </c>
      <c r="AS64" t="e">
        <f>AND(#REF!,"AAAAAC6/Piw=")</f>
        <v>#REF!</v>
      </c>
      <c r="AT64" t="e">
        <f>AND(#REF!,"AAAAAC6/Pi0=")</f>
        <v>#REF!</v>
      </c>
      <c r="AU64" t="e">
        <f>AND(#REF!,"AAAAAC6/Pi4=")</f>
        <v>#REF!</v>
      </c>
      <c r="AV64" t="e">
        <f>AND(#REF!,"AAAAAC6/Pi8=")</f>
        <v>#REF!</v>
      </c>
      <c r="AW64" t="e">
        <f>AND(#REF!,"AAAAAC6/PjA=")</f>
        <v>#REF!</v>
      </c>
      <c r="AX64" t="e">
        <f>AND(#REF!,"AAAAAC6/PjE=")</f>
        <v>#REF!</v>
      </c>
      <c r="AY64" t="e">
        <f>AND(#REF!,"AAAAAC6/PjI=")</f>
        <v>#REF!</v>
      </c>
      <c r="AZ64" t="e">
        <f>AND(#REF!,"AAAAAC6/PjM=")</f>
        <v>#REF!</v>
      </c>
      <c r="BA64" t="e">
        <f>AND(#REF!,"AAAAAC6/PjQ=")</f>
        <v>#REF!</v>
      </c>
      <c r="BB64" t="e">
        <f>AND(#REF!,"AAAAAC6/PjU=")</f>
        <v>#REF!</v>
      </c>
      <c r="BC64" t="e">
        <f>AND(#REF!,"AAAAAC6/PjY=")</f>
        <v>#REF!</v>
      </c>
      <c r="BD64" t="e">
        <f>AND(#REF!,"AAAAAC6/Pjc=")</f>
        <v>#REF!</v>
      </c>
      <c r="BE64" t="e">
        <f>IF(#REF!,"AAAAAC6/Pjg=",0)</f>
        <v>#REF!</v>
      </c>
      <c r="BF64" t="e">
        <f>AND(#REF!,"AAAAAC6/Pjk=")</f>
        <v>#REF!</v>
      </c>
      <c r="BG64" t="e">
        <f>AND(#REF!,"AAAAAC6/Pjo=")</f>
        <v>#REF!</v>
      </c>
      <c r="BH64" t="e">
        <f>AND(#REF!,"AAAAAC6/Pjs=")</f>
        <v>#REF!</v>
      </c>
      <c r="BI64" t="e">
        <f>AND(#REF!,"AAAAAC6/Pjw=")</f>
        <v>#REF!</v>
      </c>
      <c r="BJ64" t="e">
        <f>AND(#REF!,"AAAAAC6/Pj0=")</f>
        <v>#REF!</v>
      </c>
      <c r="BK64" t="e">
        <f>AND(#REF!,"AAAAAC6/Pj4=")</f>
        <v>#REF!</v>
      </c>
      <c r="BL64" t="e">
        <f>AND(#REF!,"AAAAAC6/Pj8=")</f>
        <v>#REF!</v>
      </c>
      <c r="BM64" t="e">
        <f>AND(#REF!,"AAAAAC6/PkA=")</f>
        <v>#REF!</v>
      </c>
      <c r="BN64" t="e">
        <f>AND(#REF!,"AAAAAC6/PkE=")</f>
        <v>#REF!</v>
      </c>
      <c r="BO64" t="e">
        <f>AND(#REF!,"AAAAAC6/PkI=")</f>
        <v>#REF!</v>
      </c>
      <c r="BP64" t="e">
        <f>AND(#REF!,"AAAAAC6/PkM=")</f>
        <v>#REF!</v>
      </c>
      <c r="BQ64" t="e">
        <f>AND(#REF!,"AAAAAC6/PkQ=")</f>
        <v>#REF!</v>
      </c>
      <c r="BR64" t="e">
        <f>IF(#REF!,"AAAAAC6/PkU=",0)</f>
        <v>#REF!</v>
      </c>
      <c r="BS64" t="e">
        <f>AND(#REF!,"AAAAAC6/PkY=")</f>
        <v>#REF!</v>
      </c>
      <c r="BT64" t="e">
        <f>AND(#REF!,"AAAAAC6/Pkc=")</f>
        <v>#REF!</v>
      </c>
      <c r="BU64" t="e">
        <f>AND(#REF!,"AAAAAC6/Pkg=")</f>
        <v>#REF!</v>
      </c>
      <c r="BV64" t="e">
        <f>AND(#REF!,"AAAAAC6/Pkk=")</f>
        <v>#REF!</v>
      </c>
      <c r="BW64" t="e">
        <f>AND(#REF!,"AAAAAC6/Pko=")</f>
        <v>#REF!</v>
      </c>
      <c r="BX64" t="e">
        <f>AND(#REF!,"AAAAAC6/Pks=")</f>
        <v>#REF!</v>
      </c>
      <c r="BY64" t="e">
        <f>AND(#REF!,"AAAAAC6/Pkw=")</f>
        <v>#REF!</v>
      </c>
      <c r="BZ64" t="e">
        <f>AND(#REF!,"AAAAAC6/Pk0=")</f>
        <v>#REF!</v>
      </c>
      <c r="CA64" t="e">
        <f>AND(#REF!,"AAAAAC6/Pk4=")</f>
        <v>#REF!</v>
      </c>
      <c r="CB64" t="e">
        <f>AND(#REF!,"AAAAAC6/Pk8=")</f>
        <v>#REF!</v>
      </c>
      <c r="CC64" t="e">
        <f>AND(#REF!,"AAAAAC6/PlA=")</f>
        <v>#REF!</v>
      </c>
      <c r="CD64" t="e">
        <f>AND(#REF!,"AAAAAC6/PlE=")</f>
        <v>#REF!</v>
      </c>
      <c r="CE64" t="e">
        <f>IF(#REF!,"AAAAAC6/PlI=",0)</f>
        <v>#REF!</v>
      </c>
      <c r="CF64" t="e">
        <f>AND(#REF!,"AAAAAC6/PlM=")</f>
        <v>#REF!</v>
      </c>
      <c r="CG64" t="e">
        <f>AND(#REF!,"AAAAAC6/PlQ=")</f>
        <v>#REF!</v>
      </c>
      <c r="CH64" t="e">
        <f>AND(#REF!,"AAAAAC6/PlU=")</f>
        <v>#REF!</v>
      </c>
      <c r="CI64" t="e">
        <f>AND(#REF!,"AAAAAC6/PlY=")</f>
        <v>#REF!</v>
      </c>
      <c r="CJ64" t="e">
        <f>AND(#REF!,"AAAAAC6/Plc=")</f>
        <v>#REF!</v>
      </c>
      <c r="CK64" t="e">
        <f>AND(#REF!,"AAAAAC6/Plg=")</f>
        <v>#REF!</v>
      </c>
      <c r="CL64" t="e">
        <f>AND(#REF!,"AAAAAC6/Plk=")</f>
        <v>#REF!</v>
      </c>
      <c r="CM64" t="e">
        <f>AND(#REF!,"AAAAAC6/Plo=")</f>
        <v>#REF!</v>
      </c>
      <c r="CN64" t="e">
        <f>AND(#REF!,"AAAAAC6/Pls=")</f>
        <v>#REF!</v>
      </c>
      <c r="CO64" t="e">
        <f>AND(#REF!,"AAAAAC6/Plw=")</f>
        <v>#REF!</v>
      </c>
      <c r="CP64" t="e">
        <f>AND(#REF!,"AAAAAC6/Pl0=")</f>
        <v>#REF!</v>
      </c>
      <c r="CQ64" t="e">
        <f>AND(#REF!,"AAAAAC6/Pl4=")</f>
        <v>#REF!</v>
      </c>
      <c r="CR64" t="e">
        <f>IF(#REF!,"AAAAAC6/Pl8=",0)</f>
        <v>#REF!</v>
      </c>
      <c r="CS64" t="e">
        <f>AND(#REF!,"AAAAAC6/PmA=")</f>
        <v>#REF!</v>
      </c>
      <c r="CT64" t="e">
        <f>AND(#REF!,"AAAAAC6/PmE=")</f>
        <v>#REF!</v>
      </c>
      <c r="CU64" t="e">
        <f>AND(#REF!,"AAAAAC6/PmI=")</f>
        <v>#REF!</v>
      </c>
      <c r="CV64" t="e">
        <f>AND(#REF!,"AAAAAC6/PmM=")</f>
        <v>#REF!</v>
      </c>
      <c r="CW64" t="e">
        <f>AND(#REF!,"AAAAAC6/PmQ=")</f>
        <v>#REF!</v>
      </c>
      <c r="CX64" t="e">
        <f>AND(#REF!,"AAAAAC6/PmU=")</f>
        <v>#REF!</v>
      </c>
      <c r="CY64" t="e">
        <f>AND(#REF!,"AAAAAC6/PmY=")</f>
        <v>#REF!</v>
      </c>
      <c r="CZ64" t="e">
        <f>AND(#REF!,"AAAAAC6/Pmc=")</f>
        <v>#REF!</v>
      </c>
      <c r="DA64" t="e">
        <f>AND(#REF!,"AAAAAC6/Pmg=")</f>
        <v>#REF!</v>
      </c>
      <c r="DB64" t="e">
        <f>AND(#REF!,"AAAAAC6/Pmk=")</f>
        <v>#REF!</v>
      </c>
      <c r="DC64" t="e">
        <f>AND(#REF!,"AAAAAC6/Pmo=")</f>
        <v>#REF!</v>
      </c>
      <c r="DD64" t="e">
        <f>AND(#REF!,"AAAAAC6/Pms=")</f>
        <v>#REF!</v>
      </c>
      <c r="DE64" t="e">
        <f>IF(#REF!,"AAAAAC6/Pmw=",0)</f>
        <v>#REF!</v>
      </c>
      <c r="DF64" t="e">
        <f>AND(#REF!,"AAAAAC6/Pm0=")</f>
        <v>#REF!</v>
      </c>
      <c r="DG64" t="e">
        <f>AND(#REF!,"AAAAAC6/Pm4=")</f>
        <v>#REF!</v>
      </c>
      <c r="DH64" t="e">
        <f>AND(#REF!,"AAAAAC6/Pm8=")</f>
        <v>#REF!</v>
      </c>
      <c r="DI64" t="e">
        <f>AND(#REF!,"AAAAAC6/PnA=")</f>
        <v>#REF!</v>
      </c>
      <c r="DJ64" t="e">
        <f>AND(#REF!,"AAAAAC6/PnE=")</f>
        <v>#REF!</v>
      </c>
      <c r="DK64" t="e">
        <f>AND(#REF!,"AAAAAC6/PnI=")</f>
        <v>#REF!</v>
      </c>
      <c r="DL64" t="e">
        <f>AND(#REF!,"AAAAAC6/PnM=")</f>
        <v>#REF!</v>
      </c>
      <c r="DM64" t="e">
        <f>AND(#REF!,"AAAAAC6/PnQ=")</f>
        <v>#REF!</v>
      </c>
      <c r="DN64" t="e">
        <f>AND(#REF!,"AAAAAC6/PnU=")</f>
        <v>#REF!</v>
      </c>
      <c r="DO64" t="e">
        <f>AND(#REF!,"AAAAAC6/PnY=")</f>
        <v>#REF!</v>
      </c>
      <c r="DP64" t="e">
        <f>AND(#REF!,"AAAAAC6/Pnc=")</f>
        <v>#REF!</v>
      </c>
      <c r="DQ64" t="e">
        <f>AND(#REF!,"AAAAAC6/Png=")</f>
        <v>#REF!</v>
      </c>
      <c r="DR64" t="e">
        <f>IF(#REF!,"AAAAAC6/Pnk=",0)</f>
        <v>#REF!</v>
      </c>
      <c r="DS64" t="e">
        <f>AND(#REF!,"AAAAAC6/Pno=")</f>
        <v>#REF!</v>
      </c>
      <c r="DT64" t="e">
        <f>AND(#REF!,"AAAAAC6/Pns=")</f>
        <v>#REF!</v>
      </c>
      <c r="DU64" t="e">
        <f>AND(#REF!,"AAAAAC6/Pnw=")</f>
        <v>#REF!</v>
      </c>
      <c r="DV64" t="e">
        <f>AND(#REF!,"AAAAAC6/Pn0=")</f>
        <v>#REF!</v>
      </c>
      <c r="DW64" t="e">
        <f>AND(#REF!,"AAAAAC6/Pn4=")</f>
        <v>#REF!</v>
      </c>
      <c r="DX64" t="e">
        <f>AND(#REF!,"AAAAAC6/Pn8=")</f>
        <v>#REF!</v>
      </c>
      <c r="DY64" t="e">
        <f>AND(#REF!,"AAAAAC6/PoA=")</f>
        <v>#REF!</v>
      </c>
      <c r="DZ64" t="e">
        <f>AND(#REF!,"AAAAAC6/PoE=")</f>
        <v>#REF!</v>
      </c>
      <c r="EA64" t="e">
        <f>AND(#REF!,"AAAAAC6/PoI=")</f>
        <v>#REF!</v>
      </c>
      <c r="EB64" t="e">
        <f>AND(#REF!,"AAAAAC6/PoM=")</f>
        <v>#REF!</v>
      </c>
      <c r="EC64" t="e">
        <f>AND(#REF!,"AAAAAC6/PoQ=")</f>
        <v>#REF!</v>
      </c>
      <c r="ED64" t="e">
        <f>AND(#REF!,"AAAAAC6/PoU=")</f>
        <v>#REF!</v>
      </c>
      <c r="EE64" t="e">
        <f>IF(#REF!,"AAAAAC6/PoY=",0)</f>
        <v>#REF!</v>
      </c>
      <c r="EF64" t="e">
        <f>AND(#REF!,"AAAAAC6/Poc=")</f>
        <v>#REF!</v>
      </c>
      <c r="EG64" t="e">
        <f>AND(#REF!,"AAAAAC6/Pog=")</f>
        <v>#REF!</v>
      </c>
      <c r="EH64" t="e">
        <f>AND(#REF!,"AAAAAC6/Pok=")</f>
        <v>#REF!</v>
      </c>
      <c r="EI64" t="e">
        <f>AND(#REF!,"AAAAAC6/Poo=")</f>
        <v>#REF!</v>
      </c>
      <c r="EJ64" t="e">
        <f>AND(#REF!,"AAAAAC6/Pos=")</f>
        <v>#REF!</v>
      </c>
      <c r="EK64" t="e">
        <f>AND(#REF!,"AAAAAC6/Pow=")</f>
        <v>#REF!</v>
      </c>
      <c r="EL64" t="e">
        <f>AND(#REF!,"AAAAAC6/Po0=")</f>
        <v>#REF!</v>
      </c>
      <c r="EM64" t="e">
        <f>AND(#REF!,"AAAAAC6/Po4=")</f>
        <v>#REF!</v>
      </c>
      <c r="EN64" t="e">
        <f>AND(#REF!,"AAAAAC6/Po8=")</f>
        <v>#REF!</v>
      </c>
      <c r="EO64" t="e">
        <f>AND(#REF!,"AAAAAC6/PpA=")</f>
        <v>#REF!</v>
      </c>
      <c r="EP64" t="e">
        <f>AND(#REF!,"AAAAAC6/PpE=")</f>
        <v>#REF!</v>
      </c>
      <c r="EQ64" t="e">
        <f>AND(#REF!,"AAAAAC6/PpI=")</f>
        <v>#REF!</v>
      </c>
      <c r="ER64" t="e">
        <f>IF(#REF!,"AAAAAC6/PpM=",0)</f>
        <v>#REF!</v>
      </c>
      <c r="ES64" t="e">
        <f>AND(#REF!,"AAAAAC6/PpQ=")</f>
        <v>#REF!</v>
      </c>
      <c r="ET64" t="e">
        <f>AND(#REF!,"AAAAAC6/PpU=")</f>
        <v>#REF!</v>
      </c>
      <c r="EU64" t="e">
        <f>AND(#REF!,"AAAAAC6/PpY=")</f>
        <v>#REF!</v>
      </c>
      <c r="EV64" t="e">
        <f>AND(#REF!,"AAAAAC6/Ppc=")</f>
        <v>#REF!</v>
      </c>
      <c r="EW64" t="e">
        <f>AND(#REF!,"AAAAAC6/Ppg=")</f>
        <v>#REF!</v>
      </c>
      <c r="EX64" t="e">
        <f>AND(#REF!,"AAAAAC6/Ppk=")</f>
        <v>#REF!</v>
      </c>
      <c r="EY64" t="e">
        <f>AND(#REF!,"AAAAAC6/Ppo=")</f>
        <v>#REF!</v>
      </c>
      <c r="EZ64" t="e">
        <f>AND(#REF!,"AAAAAC6/Pps=")</f>
        <v>#REF!</v>
      </c>
      <c r="FA64" t="e">
        <f>AND(#REF!,"AAAAAC6/Ppw=")</f>
        <v>#REF!</v>
      </c>
      <c r="FB64" t="e">
        <f>AND(#REF!,"AAAAAC6/Pp0=")</f>
        <v>#REF!</v>
      </c>
      <c r="FC64" t="e">
        <f>AND(#REF!,"AAAAAC6/Pp4=")</f>
        <v>#REF!</v>
      </c>
      <c r="FD64" t="e">
        <f>AND(#REF!,"AAAAAC6/Pp8=")</f>
        <v>#REF!</v>
      </c>
      <c r="FE64" t="e">
        <f>IF(#REF!,"AAAAAC6/PqA=",0)</f>
        <v>#REF!</v>
      </c>
      <c r="FF64" t="e">
        <f>AND(#REF!,"AAAAAC6/PqE=")</f>
        <v>#REF!</v>
      </c>
      <c r="FG64" t="e">
        <f>AND(#REF!,"AAAAAC6/PqI=")</f>
        <v>#REF!</v>
      </c>
      <c r="FH64" t="e">
        <f>AND(#REF!,"AAAAAC6/PqM=")</f>
        <v>#REF!</v>
      </c>
      <c r="FI64" t="e">
        <f>AND(#REF!,"AAAAAC6/PqQ=")</f>
        <v>#REF!</v>
      </c>
      <c r="FJ64" t="e">
        <f>AND(#REF!,"AAAAAC6/PqU=")</f>
        <v>#REF!</v>
      </c>
      <c r="FK64" t="e">
        <f>AND(#REF!,"AAAAAC6/PqY=")</f>
        <v>#REF!</v>
      </c>
      <c r="FL64" t="e">
        <f>AND(#REF!,"AAAAAC6/Pqc=")</f>
        <v>#REF!</v>
      </c>
      <c r="FM64" t="e">
        <f>AND(#REF!,"AAAAAC6/Pqg=")</f>
        <v>#REF!</v>
      </c>
      <c r="FN64" t="e">
        <f>AND(#REF!,"AAAAAC6/Pqk=")</f>
        <v>#REF!</v>
      </c>
      <c r="FO64" t="e">
        <f>AND(#REF!,"AAAAAC6/Pqo=")</f>
        <v>#REF!</v>
      </c>
      <c r="FP64" t="e">
        <f>AND(#REF!,"AAAAAC6/Pqs=")</f>
        <v>#REF!</v>
      </c>
      <c r="FQ64" t="e">
        <f>AND(#REF!,"AAAAAC6/Pqw=")</f>
        <v>#REF!</v>
      </c>
      <c r="FR64" t="e">
        <f>IF(#REF!,"AAAAAC6/Pq0=",0)</f>
        <v>#REF!</v>
      </c>
      <c r="FS64" t="e">
        <f>AND(#REF!,"AAAAAC6/Pq4=")</f>
        <v>#REF!</v>
      </c>
      <c r="FT64" t="e">
        <f>AND(#REF!,"AAAAAC6/Pq8=")</f>
        <v>#REF!</v>
      </c>
      <c r="FU64" t="e">
        <f>AND(#REF!,"AAAAAC6/PrA=")</f>
        <v>#REF!</v>
      </c>
      <c r="FV64" t="e">
        <f>AND(#REF!,"AAAAAC6/PrE=")</f>
        <v>#REF!</v>
      </c>
      <c r="FW64" t="e">
        <f>AND(#REF!,"AAAAAC6/PrI=")</f>
        <v>#REF!</v>
      </c>
      <c r="FX64" t="e">
        <f>AND(#REF!,"AAAAAC6/PrM=")</f>
        <v>#REF!</v>
      </c>
      <c r="FY64" t="e">
        <f>AND(#REF!,"AAAAAC6/PrQ=")</f>
        <v>#REF!</v>
      </c>
      <c r="FZ64" t="e">
        <f>AND(#REF!,"AAAAAC6/PrU=")</f>
        <v>#REF!</v>
      </c>
      <c r="GA64" t="e">
        <f>AND(#REF!,"AAAAAC6/PrY=")</f>
        <v>#REF!</v>
      </c>
      <c r="GB64" t="e">
        <f>AND(#REF!,"AAAAAC6/Prc=")</f>
        <v>#REF!</v>
      </c>
      <c r="GC64" t="e">
        <f>AND(#REF!,"AAAAAC6/Prg=")</f>
        <v>#REF!</v>
      </c>
      <c r="GD64" t="e">
        <f>AND(#REF!,"AAAAAC6/Prk=")</f>
        <v>#REF!</v>
      </c>
      <c r="GE64" t="e">
        <f>IF(#REF!,"AAAAAC6/Pro=",0)</f>
        <v>#REF!</v>
      </c>
      <c r="GF64" t="e">
        <f>AND(#REF!,"AAAAAC6/Prs=")</f>
        <v>#REF!</v>
      </c>
      <c r="GG64" t="e">
        <f>AND(#REF!,"AAAAAC6/Prw=")</f>
        <v>#REF!</v>
      </c>
      <c r="GH64" t="e">
        <f>AND(#REF!,"AAAAAC6/Pr0=")</f>
        <v>#REF!</v>
      </c>
      <c r="GI64" t="e">
        <f>AND(#REF!,"AAAAAC6/Pr4=")</f>
        <v>#REF!</v>
      </c>
      <c r="GJ64" t="e">
        <f>AND(#REF!,"AAAAAC6/Pr8=")</f>
        <v>#REF!</v>
      </c>
      <c r="GK64" t="e">
        <f>AND(#REF!,"AAAAAC6/PsA=")</f>
        <v>#REF!</v>
      </c>
      <c r="GL64" t="e">
        <f>AND(#REF!,"AAAAAC6/PsE=")</f>
        <v>#REF!</v>
      </c>
      <c r="GM64" t="e">
        <f>AND(#REF!,"AAAAAC6/PsI=")</f>
        <v>#REF!</v>
      </c>
      <c r="GN64" t="e">
        <f>AND(#REF!,"AAAAAC6/PsM=")</f>
        <v>#REF!</v>
      </c>
      <c r="GO64" t="e">
        <f>AND(#REF!,"AAAAAC6/PsQ=")</f>
        <v>#REF!</v>
      </c>
      <c r="GP64" t="e">
        <f>AND(#REF!,"AAAAAC6/PsU=")</f>
        <v>#REF!</v>
      </c>
      <c r="GQ64" t="e">
        <f>AND(#REF!,"AAAAAC6/PsY=")</f>
        <v>#REF!</v>
      </c>
      <c r="GR64" t="e">
        <f>IF(#REF!,"AAAAAC6/Psc=",0)</f>
        <v>#REF!</v>
      </c>
      <c r="GS64" t="e">
        <f>AND(#REF!,"AAAAAC6/Psg=")</f>
        <v>#REF!</v>
      </c>
      <c r="GT64" t="e">
        <f>AND(#REF!,"AAAAAC6/Psk=")</f>
        <v>#REF!</v>
      </c>
      <c r="GU64" t="e">
        <f>AND(#REF!,"AAAAAC6/Pso=")</f>
        <v>#REF!</v>
      </c>
      <c r="GV64" t="e">
        <f>AND(#REF!,"AAAAAC6/Pss=")</f>
        <v>#REF!</v>
      </c>
      <c r="GW64" t="e">
        <f>AND(#REF!,"AAAAAC6/Psw=")</f>
        <v>#REF!</v>
      </c>
      <c r="GX64" t="e">
        <f>AND(#REF!,"AAAAAC6/Ps0=")</f>
        <v>#REF!</v>
      </c>
      <c r="GY64" t="e">
        <f>AND(#REF!,"AAAAAC6/Ps4=")</f>
        <v>#REF!</v>
      </c>
      <c r="GZ64" t="e">
        <f>AND(#REF!,"AAAAAC6/Ps8=")</f>
        <v>#REF!</v>
      </c>
      <c r="HA64" t="e">
        <f>AND(#REF!,"AAAAAC6/PtA=")</f>
        <v>#REF!</v>
      </c>
      <c r="HB64" t="e">
        <f>AND(#REF!,"AAAAAC6/PtE=")</f>
        <v>#REF!</v>
      </c>
      <c r="HC64" t="e">
        <f>AND(#REF!,"AAAAAC6/PtI=")</f>
        <v>#REF!</v>
      </c>
      <c r="HD64" t="e">
        <f>AND(#REF!,"AAAAAC6/PtM=")</f>
        <v>#REF!</v>
      </c>
      <c r="HE64" t="e">
        <f>IF(#REF!,"AAAAAC6/PtQ=",0)</f>
        <v>#REF!</v>
      </c>
      <c r="HF64" t="e">
        <f>AND(#REF!,"AAAAAC6/PtU=")</f>
        <v>#REF!</v>
      </c>
      <c r="HG64" t="e">
        <f>AND(#REF!,"AAAAAC6/PtY=")</f>
        <v>#REF!</v>
      </c>
      <c r="HH64" t="e">
        <f>AND(#REF!,"AAAAAC6/Ptc=")</f>
        <v>#REF!</v>
      </c>
      <c r="HI64" t="e">
        <f>AND(#REF!,"AAAAAC6/Ptg=")</f>
        <v>#REF!</v>
      </c>
      <c r="HJ64" t="e">
        <f>AND(#REF!,"AAAAAC6/Ptk=")</f>
        <v>#REF!</v>
      </c>
      <c r="HK64" t="e">
        <f>AND(#REF!,"AAAAAC6/Pto=")</f>
        <v>#REF!</v>
      </c>
      <c r="HL64" t="e">
        <f>AND(#REF!,"AAAAAC6/Pts=")</f>
        <v>#REF!</v>
      </c>
      <c r="HM64" t="e">
        <f>AND(#REF!,"AAAAAC6/Ptw=")</f>
        <v>#REF!</v>
      </c>
      <c r="HN64" t="e">
        <f>AND(#REF!,"AAAAAC6/Pt0=")</f>
        <v>#REF!</v>
      </c>
      <c r="HO64" t="e">
        <f>AND(#REF!,"AAAAAC6/Pt4=")</f>
        <v>#REF!</v>
      </c>
      <c r="HP64" t="e">
        <f>AND(#REF!,"AAAAAC6/Pt8=")</f>
        <v>#REF!</v>
      </c>
      <c r="HQ64" t="e">
        <f>AND(#REF!,"AAAAAC6/PuA=")</f>
        <v>#REF!</v>
      </c>
      <c r="HR64" t="e">
        <f>IF(#REF!,"AAAAAC6/PuE=",0)</f>
        <v>#REF!</v>
      </c>
      <c r="HS64" t="e">
        <f>AND(#REF!,"AAAAAC6/PuI=")</f>
        <v>#REF!</v>
      </c>
      <c r="HT64" t="e">
        <f>AND(#REF!,"AAAAAC6/PuM=")</f>
        <v>#REF!</v>
      </c>
      <c r="HU64" t="e">
        <f>AND(#REF!,"AAAAAC6/PuQ=")</f>
        <v>#REF!</v>
      </c>
      <c r="HV64" t="e">
        <f>AND(#REF!,"AAAAAC6/PuU=")</f>
        <v>#REF!</v>
      </c>
      <c r="HW64" t="e">
        <f>AND(#REF!,"AAAAAC6/PuY=")</f>
        <v>#REF!</v>
      </c>
      <c r="HX64" t="e">
        <f>AND(#REF!,"AAAAAC6/Puc=")</f>
        <v>#REF!</v>
      </c>
      <c r="HY64" t="e">
        <f>AND(#REF!,"AAAAAC6/Pug=")</f>
        <v>#REF!</v>
      </c>
      <c r="HZ64" t="e">
        <f>AND(#REF!,"AAAAAC6/Puk=")</f>
        <v>#REF!</v>
      </c>
      <c r="IA64" t="e">
        <f>AND(#REF!,"AAAAAC6/Puo=")</f>
        <v>#REF!</v>
      </c>
      <c r="IB64" t="e">
        <f>AND(#REF!,"AAAAAC6/Pus=")</f>
        <v>#REF!</v>
      </c>
      <c r="IC64" t="e">
        <f>AND(#REF!,"AAAAAC6/Puw=")</f>
        <v>#REF!</v>
      </c>
      <c r="ID64" t="e">
        <f>AND(#REF!,"AAAAAC6/Pu0=")</f>
        <v>#REF!</v>
      </c>
      <c r="IE64" t="e">
        <f>IF(#REF!,"AAAAAC6/Pu4=",0)</f>
        <v>#REF!</v>
      </c>
      <c r="IF64" t="e">
        <f>AND(#REF!,"AAAAAC6/Pu8=")</f>
        <v>#REF!</v>
      </c>
      <c r="IG64" t="e">
        <f>AND(#REF!,"AAAAAC6/PvA=")</f>
        <v>#REF!</v>
      </c>
      <c r="IH64" t="e">
        <f>AND(#REF!,"AAAAAC6/PvE=")</f>
        <v>#REF!</v>
      </c>
      <c r="II64" t="e">
        <f>AND(#REF!,"AAAAAC6/PvI=")</f>
        <v>#REF!</v>
      </c>
      <c r="IJ64" t="e">
        <f>AND(#REF!,"AAAAAC6/PvM=")</f>
        <v>#REF!</v>
      </c>
      <c r="IK64" t="e">
        <f>AND(#REF!,"AAAAAC6/PvQ=")</f>
        <v>#REF!</v>
      </c>
      <c r="IL64" t="e">
        <f>AND(#REF!,"AAAAAC6/PvU=")</f>
        <v>#REF!</v>
      </c>
      <c r="IM64" t="e">
        <f>AND(#REF!,"AAAAAC6/PvY=")</f>
        <v>#REF!</v>
      </c>
      <c r="IN64" t="e">
        <f>AND(#REF!,"AAAAAC6/Pvc=")</f>
        <v>#REF!</v>
      </c>
      <c r="IO64" t="e">
        <f>AND(#REF!,"AAAAAC6/Pvg=")</f>
        <v>#REF!</v>
      </c>
      <c r="IP64" t="e">
        <f>AND(#REF!,"AAAAAC6/Pvk=")</f>
        <v>#REF!</v>
      </c>
      <c r="IQ64" t="e">
        <f>AND(#REF!,"AAAAAC6/Pvo=")</f>
        <v>#REF!</v>
      </c>
      <c r="IR64" t="e">
        <f>IF(#REF!,"AAAAAC6/Pvs=",0)</f>
        <v>#REF!</v>
      </c>
      <c r="IS64" t="e">
        <f>AND(#REF!,"AAAAAC6/Pvw=")</f>
        <v>#REF!</v>
      </c>
      <c r="IT64" t="e">
        <f>AND(#REF!,"AAAAAC6/Pv0=")</f>
        <v>#REF!</v>
      </c>
      <c r="IU64" t="e">
        <f>AND(#REF!,"AAAAAC6/Pv4=")</f>
        <v>#REF!</v>
      </c>
      <c r="IV64" t="e">
        <f>AND(#REF!,"AAAAAC6/Pv8=")</f>
        <v>#REF!</v>
      </c>
    </row>
    <row r="65" spans="1:256" x14ac:dyDescent="0.35">
      <c r="A65" t="e">
        <f>AND(#REF!,"AAAAAHef9AA=")</f>
        <v>#REF!</v>
      </c>
      <c r="B65" t="e">
        <f>AND(#REF!,"AAAAAHef9AE=")</f>
        <v>#REF!</v>
      </c>
      <c r="C65" t="e">
        <f>AND(#REF!,"AAAAAHef9AI=")</f>
        <v>#REF!</v>
      </c>
      <c r="D65" t="e">
        <f>AND(#REF!,"AAAAAHef9AM=")</f>
        <v>#REF!</v>
      </c>
      <c r="E65" t="e">
        <f>AND(#REF!,"AAAAAHef9AQ=")</f>
        <v>#REF!</v>
      </c>
      <c r="F65" t="e">
        <f>AND(#REF!,"AAAAAHef9AU=")</f>
        <v>#REF!</v>
      </c>
      <c r="G65" t="e">
        <f>AND(#REF!,"AAAAAHef9AY=")</f>
        <v>#REF!</v>
      </c>
      <c r="H65" t="e">
        <f>AND(#REF!,"AAAAAHef9Ac=")</f>
        <v>#REF!</v>
      </c>
      <c r="I65" t="e">
        <f>IF(#REF!,"AAAAAHef9Ag=",0)</f>
        <v>#REF!</v>
      </c>
      <c r="J65" t="e">
        <f>AND(#REF!,"AAAAAHef9Ak=")</f>
        <v>#REF!</v>
      </c>
      <c r="K65" t="e">
        <f>AND(#REF!,"AAAAAHef9Ao=")</f>
        <v>#REF!</v>
      </c>
      <c r="L65" t="e">
        <f>AND(#REF!,"AAAAAHef9As=")</f>
        <v>#REF!</v>
      </c>
      <c r="M65" t="e">
        <f>AND(#REF!,"AAAAAHef9Aw=")</f>
        <v>#REF!</v>
      </c>
      <c r="N65" t="e">
        <f>AND(#REF!,"AAAAAHef9A0=")</f>
        <v>#REF!</v>
      </c>
      <c r="O65" t="e">
        <f>AND(#REF!,"AAAAAHef9A4=")</f>
        <v>#REF!</v>
      </c>
      <c r="P65" t="e">
        <f>AND(#REF!,"AAAAAHef9A8=")</f>
        <v>#REF!</v>
      </c>
      <c r="Q65" t="e">
        <f>AND(#REF!,"AAAAAHef9BA=")</f>
        <v>#REF!</v>
      </c>
      <c r="R65" t="e">
        <f>AND(#REF!,"AAAAAHef9BE=")</f>
        <v>#REF!</v>
      </c>
      <c r="S65" t="e">
        <f>AND(#REF!,"AAAAAHef9BI=")</f>
        <v>#REF!</v>
      </c>
      <c r="T65" t="e">
        <f>AND(#REF!,"AAAAAHef9BM=")</f>
        <v>#REF!</v>
      </c>
      <c r="U65" t="e">
        <f>AND(#REF!,"AAAAAHef9BQ=")</f>
        <v>#REF!</v>
      </c>
      <c r="V65" t="e">
        <f>IF(#REF!,"AAAAAHef9BU=",0)</f>
        <v>#REF!</v>
      </c>
      <c r="W65" t="e">
        <f>AND(#REF!,"AAAAAHef9BY=")</f>
        <v>#REF!</v>
      </c>
      <c r="X65" t="e">
        <f>AND(#REF!,"AAAAAHef9Bc=")</f>
        <v>#REF!</v>
      </c>
      <c r="Y65" t="e">
        <f>AND(#REF!,"AAAAAHef9Bg=")</f>
        <v>#REF!</v>
      </c>
      <c r="Z65" t="e">
        <f>AND(#REF!,"AAAAAHef9Bk=")</f>
        <v>#REF!</v>
      </c>
      <c r="AA65" t="e">
        <f>AND(#REF!,"AAAAAHef9Bo=")</f>
        <v>#REF!</v>
      </c>
      <c r="AB65" t="e">
        <f>AND(#REF!,"AAAAAHef9Bs=")</f>
        <v>#REF!</v>
      </c>
      <c r="AC65" t="e">
        <f>AND(#REF!,"AAAAAHef9Bw=")</f>
        <v>#REF!</v>
      </c>
      <c r="AD65" t="e">
        <f>AND(#REF!,"AAAAAHef9B0=")</f>
        <v>#REF!</v>
      </c>
      <c r="AE65" t="e">
        <f>AND(#REF!,"AAAAAHef9B4=")</f>
        <v>#REF!</v>
      </c>
      <c r="AF65" t="e">
        <f>AND(#REF!,"AAAAAHef9B8=")</f>
        <v>#REF!</v>
      </c>
      <c r="AG65" t="e">
        <f>AND(#REF!,"AAAAAHef9CA=")</f>
        <v>#REF!</v>
      </c>
      <c r="AH65" t="e">
        <f>AND(#REF!,"AAAAAHef9CE=")</f>
        <v>#REF!</v>
      </c>
      <c r="AI65" t="e">
        <f>IF(#REF!,"AAAAAHef9CI=",0)</f>
        <v>#REF!</v>
      </c>
      <c r="AJ65" t="e">
        <f>AND(#REF!,"AAAAAHef9CM=")</f>
        <v>#REF!</v>
      </c>
      <c r="AK65" t="e">
        <f>AND(#REF!,"AAAAAHef9CQ=")</f>
        <v>#REF!</v>
      </c>
      <c r="AL65" t="e">
        <f>AND(#REF!,"AAAAAHef9CU=")</f>
        <v>#REF!</v>
      </c>
      <c r="AM65" t="e">
        <f>AND(#REF!,"AAAAAHef9CY=")</f>
        <v>#REF!</v>
      </c>
      <c r="AN65" t="e">
        <f>AND(#REF!,"AAAAAHef9Cc=")</f>
        <v>#REF!</v>
      </c>
      <c r="AO65" t="e">
        <f>AND(#REF!,"AAAAAHef9Cg=")</f>
        <v>#REF!</v>
      </c>
      <c r="AP65" t="e">
        <f>AND(#REF!,"AAAAAHef9Ck=")</f>
        <v>#REF!</v>
      </c>
      <c r="AQ65" t="e">
        <f>AND(#REF!,"AAAAAHef9Co=")</f>
        <v>#REF!</v>
      </c>
      <c r="AR65" t="e">
        <f>AND(#REF!,"AAAAAHef9Cs=")</f>
        <v>#REF!</v>
      </c>
      <c r="AS65" t="e">
        <f>AND(#REF!,"AAAAAHef9Cw=")</f>
        <v>#REF!</v>
      </c>
      <c r="AT65" t="e">
        <f>AND(#REF!,"AAAAAHef9C0=")</f>
        <v>#REF!</v>
      </c>
      <c r="AU65" t="e">
        <f>AND(#REF!,"AAAAAHef9C4=")</f>
        <v>#REF!</v>
      </c>
      <c r="AV65" t="e">
        <f>IF(#REF!,"AAAAAHef9C8=",0)</f>
        <v>#REF!</v>
      </c>
      <c r="AW65" t="e">
        <f>AND(#REF!,"AAAAAHef9DA=")</f>
        <v>#REF!</v>
      </c>
      <c r="AX65" t="e">
        <f>AND(#REF!,"AAAAAHef9DE=")</f>
        <v>#REF!</v>
      </c>
      <c r="AY65" t="e">
        <f>AND(#REF!,"AAAAAHef9DI=")</f>
        <v>#REF!</v>
      </c>
      <c r="AZ65" t="e">
        <f>AND(#REF!,"AAAAAHef9DM=")</f>
        <v>#REF!</v>
      </c>
      <c r="BA65" t="e">
        <f>AND(#REF!,"AAAAAHef9DQ=")</f>
        <v>#REF!</v>
      </c>
      <c r="BB65" t="e">
        <f>AND(#REF!,"AAAAAHef9DU=")</f>
        <v>#REF!</v>
      </c>
      <c r="BC65" t="e">
        <f>AND(#REF!,"AAAAAHef9DY=")</f>
        <v>#REF!</v>
      </c>
      <c r="BD65" t="e">
        <f>AND(#REF!,"AAAAAHef9Dc=")</f>
        <v>#REF!</v>
      </c>
      <c r="BE65" t="e">
        <f>AND(#REF!,"AAAAAHef9Dg=")</f>
        <v>#REF!</v>
      </c>
      <c r="BF65" t="e">
        <f>AND(#REF!,"AAAAAHef9Dk=")</f>
        <v>#REF!</v>
      </c>
      <c r="BG65" t="e">
        <f>AND(#REF!,"AAAAAHef9Do=")</f>
        <v>#REF!</v>
      </c>
      <c r="BH65" t="e">
        <f>AND(#REF!,"AAAAAHef9Ds=")</f>
        <v>#REF!</v>
      </c>
      <c r="BI65" t="e">
        <f>IF(#REF!,"AAAAAHef9Dw=",0)</f>
        <v>#REF!</v>
      </c>
      <c r="BJ65" t="e">
        <f>AND(#REF!,"AAAAAHef9D0=")</f>
        <v>#REF!</v>
      </c>
      <c r="BK65" t="e">
        <f>AND(#REF!,"AAAAAHef9D4=")</f>
        <v>#REF!</v>
      </c>
      <c r="BL65" t="e">
        <f>AND(#REF!,"AAAAAHef9D8=")</f>
        <v>#REF!</v>
      </c>
      <c r="BM65" t="e">
        <f>AND(#REF!,"AAAAAHef9EA=")</f>
        <v>#REF!</v>
      </c>
      <c r="BN65" t="e">
        <f>AND(#REF!,"AAAAAHef9EE=")</f>
        <v>#REF!</v>
      </c>
      <c r="BO65" t="e">
        <f>AND(#REF!,"AAAAAHef9EI=")</f>
        <v>#REF!</v>
      </c>
      <c r="BP65" t="e">
        <f>AND(#REF!,"AAAAAHef9EM=")</f>
        <v>#REF!</v>
      </c>
      <c r="BQ65" t="e">
        <f>AND(#REF!,"AAAAAHef9EQ=")</f>
        <v>#REF!</v>
      </c>
      <c r="BR65" t="e">
        <f>AND(#REF!,"AAAAAHef9EU=")</f>
        <v>#REF!</v>
      </c>
      <c r="BS65" t="e">
        <f>AND(#REF!,"AAAAAHef9EY=")</f>
        <v>#REF!</v>
      </c>
      <c r="BT65" t="e">
        <f>AND(#REF!,"AAAAAHef9Ec=")</f>
        <v>#REF!</v>
      </c>
      <c r="BU65" t="e">
        <f>AND(#REF!,"AAAAAHef9Eg=")</f>
        <v>#REF!</v>
      </c>
      <c r="BV65" t="e">
        <f>IF(#REF!,"AAAAAHef9Ek=",0)</f>
        <v>#REF!</v>
      </c>
      <c r="BW65" t="e">
        <f>AND(#REF!,"AAAAAHef9Eo=")</f>
        <v>#REF!</v>
      </c>
      <c r="BX65" t="e">
        <f>AND(#REF!,"AAAAAHef9Es=")</f>
        <v>#REF!</v>
      </c>
      <c r="BY65" t="e">
        <f>AND(#REF!,"AAAAAHef9Ew=")</f>
        <v>#REF!</v>
      </c>
      <c r="BZ65" t="e">
        <f>AND(#REF!,"AAAAAHef9E0=")</f>
        <v>#REF!</v>
      </c>
      <c r="CA65" t="e">
        <f>AND(#REF!,"AAAAAHef9E4=")</f>
        <v>#REF!</v>
      </c>
      <c r="CB65" t="e">
        <f>AND(#REF!,"AAAAAHef9E8=")</f>
        <v>#REF!</v>
      </c>
      <c r="CC65" t="e">
        <f>AND(#REF!,"AAAAAHef9FA=")</f>
        <v>#REF!</v>
      </c>
      <c r="CD65" t="e">
        <f>AND(#REF!,"AAAAAHef9FE=")</f>
        <v>#REF!</v>
      </c>
      <c r="CE65" t="e">
        <f>AND(#REF!,"AAAAAHef9FI=")</f>
        <v>#REF!</v>
      </c>
      <c r="CF65" t="e">
        <f>AND(#REF!,"AAAAAHef9FM=")</f>
        <v>#REF!</v>
      </c>
      <c r="CG65" t="e">
        <f>AND(#REF!,"AAAAAHef9FQ=")</f>
        <v>#REF!</v>
      </c>
      <c r="CH65" t="e">
        <f>AND(#REF!,"AAAAAHef9FU=")</f>
        <v>#REF!</v>
      </c>
      <c r="CI65" t="e">
        <f>IF(#REF!,"AAAAAHef9FY=",0)</f>
        <v>#REF!</v>
      </c>
      <c r="CJ65" t="e">
        <f>AND(#REF!,"AAAAAHef9Fc=")</f>
        <v>#REF!</v>
      </c>
      <c r="CK65" t="e">
        <f>AND(#REF!,"AAAAAHef9Fg=")</f>
        <v>#REF!</v>
      </c>
      <c r="CL65" t="e">
        <f>AND(#REF!,"AAAAAHef9Fk=")</f>
        <v>#REF!</v>
      </c>
      <c r="CM65" t="e">
        <f>AND(#REF!,"AAAAAHef9Fo=")</f>
        <v>#REF!</v>
      </c>
      <c r="CN65" t="e">
        <f>AND(#REF!,"AAAAAHef9Fs=")</f>
        <v>#REF!</v>
      </c>
      <c r="CO65" t="e">
        <f>AND(#REF!,"AAAAAHef9Fw=")</f>
        <v>#REF!</v>
      </c>
      <c r="CP65" t="e">
        <f>AND(#REF!,"AAAAAHef9F0=")</f>
        <v>#REF!</v>
      </c>
      <c r="CQ65" t="e">
        <f>AND(#REF!,"AAAAAHef9F4=")</f>
        <v>#REF!</v>
      </c>
      <c r="CR65" t="e">
        <f>AND(#REF!,"AAAAAHef9F8=")</f>
        <v>#REF!</v>
      </c>
      <c r="CS65" t="e">
        <f>AND(#REF!,"AAAAAHef9GA=")</f>
        <v>#REF!</v>
      </c>
      <c r="CT65" t="e">
        <f>AND(#REF!,"AAAAAHef9GE=")</f>
        <v>#REF!</v>
      </c>
      <c r="CU65" t="e">
        <f>AND(#REF!,"AAAAAHef9GI=")</f>
        <v>#REF!</v>
      </c>
      <c r="CV65" t="e">
        <f>IF(#REF!,"AAAAAHef9GM=",0)</f>
        <v>#REF!</v>
      </c>
      <c r="CW65" t="e">
        <f>AND(#REF!,"AAAAAHef9GQ=")</f>
        <v>#REF!</v>
      </c>
      <c r="CX65" t="e">
        <f>AND(#REF!,"AAAAAHef9GU=")</f>
        <v>#REF!</v>
      </c>
      <c r="CY65" t="e">
        <f>AND(#REF!,"AAAAAHef9GY=")</f>
        <v>#REF!</v>
      </c>
      <c r="CZ65" t="e">
        <f>AND(#REF!,"AAAAAHef9Gc=")</f>
        <v>#REF!</v>
      </c>
      <c r="DA65" t="e">
        <f>AND(#REF!,"AAAAAHef9Gg=")</f>
        <v>#REF!</v>
      </c>
      <c r="DB65" t="e">
        <f>AND(#REF!,"AAAAAHef9Gk=")</f>
        <v>#REF!</v>
      </c>
      <c r="DC65" t="e">
        <f>AND(#REF!,"AAAAAHef9Go=")</f>
        <v>#REF!</v>
      </c>
      <c r="DD65" t="e">
        <f>AND(#REF!,"AAAAAHef9Gs=")</f>
        <v>#REF!</v>
      </c>
      <c r="DE65" t="e">
        <f>AND(#REF!,"AAAAAHef9Gw=")</f>
        <v>#REF!</v>
      </c>
      <c r="DF65" t="e">
        <f>AND(#REF!,"AAAAAHef9G0=")</f>
        <v>#REF!</v>
      </c>
      <c r="DG65" t="e">
        <f>AND(#REF!,"AAAAAHef9G4=")</f>
        <v>#REF!</v>
      </c>
      <c r="DH65" t="e">
        <f>AND(#REF!,"AAAAAHef9G8=")</f>
        <v>#REF!</v>
      </c>
      <c r="DI65" t="e">
        <f>IF(#REF!,"AAAAAHef9HA=",0)</f>
        <v>#REF!</v>
      </c>
      <c r="DJ65" t="e">
        <f>AND(#REF!,"AAAAAHef9HE=")</f>
        <v>#REF!</v>
      </c>
      <c r="DK65" t="e">
        <f>AND(#REF!,"AAAAAHef9HI=")</f>
        <v>#REF!</v>
      </c>
      <c r="DL65" t="e">
        <f>AND(#REF!,"AAAAAHef9HM=")</f>
        <v>#REF!</v>
      </c>
      <c r="DM65" t="e">
        <f>AND(#REF!,"AAAAAHef9HQ=")</f>
        <v>#REF!</v>
      </c>
      <c r="DN65" t="e">
        <f>AND(#REF!,"AAAAAHef9HU=")</f>
        <v>#REF!</v>
      </c>
      <c r="DO65" t="e">
        <f>AND(#REF!,"AAAAAHef9HY=")</f>
        <v>#REF!</v>
      </c>
      <c r="DP65" t="e">
        <f>AND(#REF!,"AAAAAHef9Hc=")</f>
        <v>#REF!</v>
      </c>
      <c r="DQ65" t="e">
        <f>AND(#REF!,"AAAAAHef9Hg=")</f>
        <v>#REF!</v>
      </c>
      <c r="DR65" t="e">
        <f>AND(#REF!,"AAAAAHef9Hk=")</f>
        <v>#REF!</v>
      </c>
      <c r="DS65" t="e">
        <f>AND(#REF!,"AAAAAHef9Ho=")</f>
        <v>#REF!</v>
      </c>
      <c r="DT65" t="e">
        <f>AND(#REF!,"AAAAAHef9Hs=")</f>
        <v>#REF!</v>
      </c>
      <c r="DU65" t="e">
        <f>AND(#REF!,"AAAAAHef9Hw=")</f>
        <v>#REF!</v>
      </c>
      <c r="DV65" t="e">
        <f>IF(#REF!,"AAAAAHef9H0=",0)</f>
        <v>#REF!</v>
      </c>
      <c r="DW65" t="e">
        <f>AND(#REF!,"AAAAAHef9H4=")</f>
        <v>#REF!</v>
      </c>
      <c r="DX65" t="e">
        <f>AND(#REF!,"AAAAAHef9H8=")</f>
        <v>#REF!</v>
      </c>
      <c r="DY65" t="e">
        <f>AND(#REF!,"AAAAAHef9IA=")</f>
        <v>#REF!</v>
      </c>
      <c r="DZ65" t="e">
        <f>AND(#REF!,"AAAAAHef9IE=")</f>
        <v>#REF!</v>
      </c>
      <c r="EA65" t="e">
        <f>AND(#REF!,"AAAAAHef9II=")</f>
        <v>#REF!</v>
      </c>
      <c r="EB65" t="e">
        <f>AND(#REF!,"AAAAAHef9IM=")</f>
        <v>#REF!</v>
      </c>
      <c r="EC65" t="e">
        <f>AND(#REF!,"AAAAAHef9IQ=")</f>
        <v>#REF!</v>
      </c>
      <c r="ED65" t="e">
        <f>AND(#REF!,"AAAAAHef9IU=")</f>
        <v>#REF!</v>
      </c>
      <c r="EE65" t="e">
        <f>AND(#REF!,"AAAAAHef9IY=")</f>
        <v>#REF!</v>
      </c>
      <c r="EF65" t="e">
        <f>AND(#REF!,"AAAAAHef9Ic=")</f>
        <v>#REF!</v>
      </c>
      <c r="EG65" t="e">
        <f>AND(#REF!,"AAAAAHef9Ig=")</f>
        <v>#REF!</v>
      </c>
      <c r="EH65" t="e">
        <f>AND(#REF!,"AAAAAHef9Ik=")</f>
        <v>#REF!</v>
      </c>
      <c r="EI65" t="e">
        <f>IF(#REF!,"AAAAAHef9Io=",0)</f>
        <v>#REF!</v>
      </c>
      <c r="EJ65" t="e">
        <f>AND(#REF!,"AAAAAHef9Is=")</f>
        <v>#REF!</v>
      </c>
      <c r="EK65" t="e">
        <f>AND(#REF!,"AAAAAHef9Iw=")</f>
        <v>#REF!</v>
      </c>
      <c r="EL65" t="e">
        <f>AND(#REF!,"AAAAAHef9I0=")</f>
        <v>#REF!</v>
      </c>
      <c r="EM65" t="e">
        <f>AND(#REF!,"AAAAAHef9I4=")</f>
        <v>#REF!</v>
      </c>
      <c r="EN65" t="e">
        <f>AND(#REF!,"AAAAAHef9I8=")</f>
        <v>#REF!</v>
      </c>
      <c r="EO65" t="e">
        <f>AND(#REF!,"AAAAAHef9JA=")</f>
        <v>#REF!</v>
      </c>
      <c r="EP65" t="e">
        <f>AND(#REF!,"AAAAAHef9JE=")</f>
        <v>#REF!</v>
      </c>
      <c r="EQ65" t="e">
        <f>AND(#REF!,"AAAAAHef9JI=")</f>
        <v>#REF!</v>
      </c>
      <c r="ER65" t="e">
        <f>AND(#REF!,"AAAAAHef9JM=")</f>
        <v>#REF!</v>
      </c>
      <c r="ES65" t="e">
        <f>AND(#REF!,"AAAAAHef9JQ=")</f>
        <v>#REF!</v>
      </c>
      <c r="ET65" t="e">
        <f>AND(#REF!,"AAAAAHef9JU=")</f>
        <v>#REF!</v>
      </c>
      <c r="EU65" t="e">
        <f>AND(#REF!,"AAAAAHef9JY=")</f>
        <v>#REF!</v>
      </c>
      <c r="EV65" t="e">
        <f>IF(#REF!,"AAAAAHef9Jc=",0)</f>
        <v>#REF!</v>
      </c>
      <c r="EW65" t="e">
        <f>AND(#REF!,"AAAAAHef9Jg=")</f>
        <v>#REF!</v>
      </c>
      <c r="EX65" t="e">
        <f>AND(#REF!,"AAAAAHef9Jk=")</f>
        <v>#REF!</v>
      </c>
      <c r="EY65" t="e">
        <f>AND(#REF!,"AAAAAHef9Jo=")</f>
        <v>#REF!</v>
      </c>
      <c r="EZ65" t="e">
        <f>AND(#REF!,"AAAAAHef9Js=")</f>
        <v>#REF!</v>
      </c>
      <c r="FA65" t="e">
        <f>AND(#REF!,"AAAAAHef9Jw=")</f>
        <v>#REF!</v>
      </c>
      <c r="FB65" t="e">
        <f>AND(#REF!,"AAAAAHef9J0=")</f>
        <v>#REF!</v>
      </c>
      <c r="FC65" t="e">
        <f>AND(#REF!,"AAAAAHef9J4=")</f>
        <v>#REF!</v>
      </c>
      <c r="FD65" t="e">
        <f>AND(#REF!,"AAAAAHef9J8=")</f>
        <v>#REF!</v>
      </c>
      <c r="FE65" t="e">
        <f>AND(#REF!,"AAAAAHef9KA=")</f>
        <v>#REF!</v>
      </c>
      <c r="FF65" t="e">
        <f>AND(#REF!,"AAAAAHef9KE=")</f>
        <v>#REF!</v>
      </c>
      <c r="FG65" t="e">
        <f>AND(#REF!,"AAAAAHef9KI=")</f>
        <v>#REF!</v>
      </c>
      <c r="FH65" t="e">
        <f>AND(#REF!,"AAAAAHef9KM=")</f>
        <v>#REF!</v>
      </c>
      <c r="FI65" t="e">
        <f>IF(#REF!,"AAAAAHef9KQ=",0)</f>
        <v>#REF!</v>
      </c>
      <c r="FJ65" t="e">
        <f>AND(#REF!,"AAAAAHef9KU=")</f>
        <v>#REF!</v>
      </c>
      <c r="FK65" t="e">
        <f>AND(#REF!,"AAAAAHef9KY=")</f>
        <v>#REF!</v>
      </c>
      <c r="FL65" t="e">
        <f>AND(#REF!,"AAAAAHef9Kc=")</f>
        <v>#REF!</v>
      </c>
      <c r="FM65" t="e">
        <f>AND(#REF!,"AAAAAHef9Kg=")</f>
        <v>#REF!</v>
      </c>
      <c r="FN65" t="e">
        <f>AND(#REF!,"AAAAAHef9Kk=")</f>
        <v>#REF!</v>
      </c>
      <c r="FO65" t="e">
        <f>AND(#REF!,"AAAAAHef9Ko=")</f>
        <v>#REF!</v>
      </c>
      <c r="FP65" t="e">
        <f>AND(#REF!,"AAAAAHef9Ks=")</f>
        <v>#REF!</v>
      </c>
      <c r="FQ65" t="e">
        <f>AND(#REF!,"AAAAAHef9Kw=")</f>
        <v>#REF!</v>
      </c>
      <c r="FR65" t="e">
        <f>AND(#REF!,"AAAAAHef9K0=")</f>
        <v>#REF!</v>
      </c>
      <c r="FS65" t="e">
        <f>AND(#REF!,"AAAAAHef9K4=")</f>
        <v>#REF!</v>
      </c>
      <c r="FT65" t="e">
        <f>AND(#REF!,"AAAAAHef9K8=")</f>
        <v>#REF!</v>
      </c>
      <c r="FU65" t="e">
        <f>AND(#REF!,"AAAAAHef9LA=")</f>
        <v>#REF!</v>
      </c>
      <c r="FV65" t="e">
        <f>IF(#REF!,"AAAAAHef9LE=",0)</f>
        <v>#REF!</v>
      </c>
      <c r="FW65" t="e">
        <f>AND(#REF!,"AAAAAHef9LI=")</f>
        <v>#REF!</v>
      </c>
      <c r="FX65" t="e">
        <f>AND(#REF!,"AAAAAHef9LM=")</f>
        <v>#REF!</v>
      </c>
      <c r="FY65" t="e">
        <f>AND(#REF!,"AAAAAHef9LQ=")</f>
        <v>#REF!</v>
      </c>
      <c r="FZ65" t="e">
        <f>AND(#REF!,"AAAAAHef9LU=")</f>
        <v>#REF!</v>
      </c>
      <c r="GA65" t="e">
        <f>AND(#REF!,"AAAAAHef9LY=")</f>
        <v>#REF!</v>
      </c>
      <c r="GB65" t="e">
        <f>AND(#REF!,"AAAAAHef9Lc=")</f>
        <v>#REF!</v>
      </c>
      <c r="GC65" t="e">
        <f>AND(#REF!,"AAAAAHef9Lg=")</f>
        <v>#REF!</v>
      </c>
      <c r="GD65" t="e">
        <f>AND(#REF!,"AAAAAHef9Lk=")</f>
        <v>#REF!</v>
      </c>
      <c r="GE65" t="e">
        <f>AND(#REF!,"AAAAAHef9Lo=")</f>
        <v>#REF!</v>
      </c>
      <c r="GF65" t="e">
        <f>AND(#REF!,"AAAAAHef9Ls=")</f>
        <v>#REF!</v>
      </c>
      <c r="GG65" t="e">
        <f>AND(#REF!,"AAAAAHef9Lw=")</f>
        <v>#REF!</v>
      </c>
      <c r="GH65" t="e">
        <f>AND(#REF!,"AAAAAHef9L0=")</f>
        <v>#REF!</v>
      </c>
      <c r="GI65" t="e">
        <f>IF(#REF!,"AAAAAHef9L4=",0)</f>
        <v>#REF!</v>
      </c>
      <c r="GJ65" t="e">
        <f>AND(#REF!,"AAAAAHef9L8=")</f>
        <v>#REF!</v>
      </c>
      <c r="GK65" t="e">
        <f>AND(#REF!,"AAAAAHef9MA=")</f>
        <v>#REF!</v>
      </c>
      <c r="GL65" t="e">
        <f>AND(#REF!,"AAAAAHef9ME=")</f>
        <v>#REF!</v>
      </c>
      <c r="GM65" t="e">
        <f>AND(#REF!,"AAAAAHef9MI=")</f>
        <v>#REF!</v>
      </c>
      <c r="GN65" t="e">
        <f>AND(#REF!,"AAAAAHef9MM=")</f>
        <v>#REF!</v>
      </c>
      <c r="GO65" t="e">
        <f>AND(#REF!,"AAAAAHef9MQ=")</f>
        <v>#REF!</v>
      </c>
      <c r="GP65" t="e">
        <f>AND(#REF!,"AAAAAHef9MU=")</f>
        <v>#REF!</v>
      </c>
      <c r="GQ65" t="e">
        <f>AND(#REF!,"AAAAAHef9MY=")</f>
        <v>#REF!</v>
      </c>
      <c r="GR65" t="e">
        <f>AND(#REF!,"AAAAAHef9Mc=")</f>
        <v>#REF!</v>
      </c>
      <c r="GS65" t="e">
        <f>AND(#REF!,"AAAAAHef9Mg=")</f>
        <v>#REF!</v>
      </c>
      <c r="GT65" t="e">
        <f>AND(#REF!,"AAAAAHef9Mk=")</f>
        <v>#REF!</v>
      </c>
      <c r="GU65" t="e">
        <f>AND(#REF!,"AAAAAHef9Mo=")</f>
        <v>#REF!</v>
      </c>
      <c r="GV65" t="e">
        <f>IF(#REF!,"AAAAAHef9Ms=",0)</f>
        <v>#REF!</v>
      </c>
      <c r="GW65" t="e">
        <f>AND(#REF!,"AAAAAHef9Mw=")</f>
        <v>#REF!</v>
      </c>
      <c r="GX65" t="e">
        <f>AND(#REF!,"AAAAAHef9M0=")</f>
        <v>#REF!</v>
      </c>
      <c r="GY65" t="e">
        <f>AND(#REF!,"AAAAAHef9M4=")</f>
        <v>#REF!</v>
      </c>
      <c r="GZ65" t="e">
        <f>AND(#REF!,"AAAAAHef9M8=")</f>
        <v>#REF!</v>
      </c>
      <c r="HA65" t="e">
        <f>AND(#REF!,"AAAAAHef9NA=")</f>
        <v>#REF!</v>
      </c>
      <c r="HB65" t="e">
        <f>AND(#REF!,"AAAAAHef9NE=")</f>
        <v>#REF!</v>
      </c>
      <c r="HC65" t="e">
        <f>AND(#REF!,"AAAAAHef9NI=")</f>
        <v>#REF!</v>
      </c>
      <c r="HD65" t="e">
        <f>AND(#REF!,"AAAAAHef9NM=")</f>
        <v>#REF!</v>
      </c>
      <c r="HE65" t="e">
        <f>AND(#REF!,"AAAAAHef9NQ=")</f>
        <v>#REF!</v>
      </c>
      <c r="HF65" t="e">
        <f>AND(#REF!,"AAAAAHef9NU=")</f>
        <v>#REF!</v>
      </c>
      <c r="HG65" t="e">
        <f>AND(#REF!,"AAAAAHef9NY=")</f>
        <v>#REF!</v>
      </c>
      <c r="HH65" t="e">
        <f>AND(#REF!,"AAAAAHef9Nc=")</f>
        <v>#REF!</v>
      </c>
      <c r="HI65" t="e">
        <f>IF(#REF!,"AAAAAHef9Ng=",0)</f>
        <v>#REF!</v>
      </c>
      <c r="HJ65" t="e">
        <f>AND(#REF!,"AAAAAHef9Nk=")</f>
        <v>#REF!</v>
      </c>
      <c r="HK65" t="e">
        <f>AND(#REF!,"AAAAAHef9No=")</f>
        <v>#REF!</v>
      </c>
      <c r="HL65" t="e">
        <f>AND(#REF!,"AAAAAHef9Ns=")</f>
        <v>#REF!</v>
      </c>
      <c r="HM65" t="e">
        <f>AND(#REF!,"AAAAAHef9Nw=")</f>
        <v>#REF!</v>
      </c>
      <c r="HN65" t="e">
        <f>AND(#REF!,"AAAAAHef9N0=")</f>
        <v>#REF!</v>
      </c>
      <c r="HO65" t="e">
        <f>AND(#REF!,"AAAAAHef9N4=")</f>
        <v>#REF!</v>
      </c>
      <c r="HP65" t="e">
        <f>AND(#REF!,"AAAAAHef9N8=")</f>
        <v>#REF!</v>
      </c>
      <c r="HQ65" t="e">
        <f>AND(#REF!,"AAAAAHef9OA=")</f>
        <v>#REF!</v>
      </c>
      <c r="HR65" t="e">
        <f>AND(#REF!,"AAAAAHef9OE=")</f>
        <v>#REF!</v>
      </c>
      <c r="HS65" t="e">
        <f>AND(#REF!,"AAAAAHef9OI=")</f>
        <v>#REF!</v>
      </c>
      <c r="HT65" t="e">
        <f>AND(#REF!,"AAAAAHef9OM=")</f>
        <v>#REF!</v>
      </c>
      <c r="HU65" t="e">
        <f>AND(#REF!,"AAAAAHef9OQ=")</f>
        <v>#REF!</v>
      </c>
      <c r="HV65" t="e">
        <f>IF(#REF!,"AAAAAHef9OU=",0)</f>
        <v>#REF!</v>
      </c>
      <c r="HW65" t="e">
        <f>AND(#REF!,"AAAAAHef9OY=")</f>
        <v>#REF!</v>
      </c>
      <c r="HX65" t="e">
        <f>AND(#REF!,"AAAAAHef9Oc=")</f>
        <v>#REF!</v>
      </c>
      <c r="HY65" t="e">
        <f>AND(#REF!,"AAAAAHef9Og=")</f>
        <v>#REF!</v>
      </c>
      <c r="HZ65" t="e">
        <f>AND(#REF!,"AAAAAHef9Ok=")</f>
        <v>#REF!</v>
      </c>
      <c r="IA65" t="e">
        <f>AND(#REF!,"AAAAAHef9Oo=")</f>
        <v>#REF!</v>
      </c>
      <c r="IB65" t="e">
        <f>AND(#REF!,"AAAAAHef9Os=")</f>
        <v>#REF!</v>
      </c>
      <c r="IC65" t="e">
        <f>AND(#REF!,"AAAAAHef9Ow=")</f>
        <v>#REF!</v>
      </c>
      <c r="ID65" t="e">
        <f>AND(#REF!,"AAAAAHef9O0=")</f>
        <v>#REF!</v>
      </c>
      <c r="IE65" t="e">
        <f>AND(#REF!,"AAAAAHef9O4=")</f>
        <v>#REF!</v>
      </c>
      <c r="IF65" t="e">
        <f>AND(#REF!,"AAAAAHef9O8=")</f>
        <v>#REF!</v>
      </c>
      <c r="IG65" t="e">
        <f>AND(#REF!,"AAAAAHef9PA=")</f>
        <v>#REF!</v>
      </c>
      <c r="IH65" t="e">
        <f>AND(#REF!,"AAAAAHef9PE=")</f>
        <v>#REF!</v>
      </c>
      <c r="II65" t="e">
        <f>IF(#REF!,"AAAAAHef9PI=",0)</f>
        <v>#REF!</v>
      </c>
      <c r="IJ65" t="e">
        <f>AND(#REF!,"AAAAAHef9PM=")</f>
        <v>#REF!</v>
      </c>
      <c r="IK65" t="e">
        <f>AND(#REF!,"AAAAAHef9PQ=")</f>
        <v>#REF!</v>
      </c>
      <c r="IL65" t="e">
        <f>AND(#REF!,"AAAAAHef9PU=")</f>
        <v>#REF!</v>
      </c>
      <c r="IM65" t="e">
        <f>AND(#REF!,"AAAAAHef9PY=")</f>
        <v>#REF!</v>
      </c>
      <c r="IN65" t="e">
        <f>AND(#REF!,"AAAAAHef9Pc=")</f>
        <v>#REF!</v>
      </c>
      <c r="IO65" t="e">
        <f>AND(#REF!,"AAAAAHef9Pg=")</f>
        <v>#REF!</v>
      </c>
      <c r="IP65" t="e">
        <f>AND(#REF!,"AAAAAHef9Pk=")</f>
        <v>#REF!</v>
      </c>
      <c r="IQ65" t="e">
        <f>AND(#REF!,"AAAAAHef9Po=")</f>
        <v>#REF!</v>
      </c>
      <c r="IR65" t="e">
        <f>AND(#REF!,"AAAAAHef9Ps=")</f>
        <v>#REF!</v>
      </c>
      <c r="IS65" t="e">
        <f>AND(#REF!,"AAAAAHef9Pw=")</f>
        <v>#REF!</v>
      </c>
      <c r="IT65" t="e">
        <f>AND(#REF!,"AAAAAHef9P0=")</f>
        <v>#REF!</v>
      </c>
      <c r="IU65" t="e">
        <f>AND(#REF!,"AAAAAHef9P4=")</f>
        <v>#REF!</v>
      </c>
      <c r="IV65" t="e">
        <f>IF(#REF!,"AAAAAHef9P8=",0)</f>
        <v>#REF!</v>
      </c>
    </row>
    <row r="66" spans="1:256" x14ac:dyDescent="0.35">
      <c r="A66" t="e">
        <f>AND(#REF!,"AAAAADuL4gA=")</f>
        <v>#REF!</v>
      </c>
      <c r="B66" t="e">
        <f>AND(#REF!,"AAAAADuL4gE=")</f>
        <v>#REF!</v>
      </c>
      <c r="C66" t="e">
        <f>AND(#REF!,"AAAAADuL4gI=")</f>
        <v>#REF!</v>
      </c>
      <c r="D66" t="e">
        <f>AND(#REF!,"AAAAADuL4gM=")</f>
        <v>#REF!</v>
      </c>
      <c r="E66" t="e">
        <f>AND(#REF!,"AAAAADuL4gQ=")</f>
        <v>#REF!</v>
      </c>
      <c r="F66" t="e">
        <f>AND(#REF!,"AAAAADuL4gU=")</f>
        <v>#REF!</v>
      </c>
      <c r="G66" t="e">
        <f>AND(#REF!,"AAAAADuL4gY=")</f>
        <v>#REF!</v>
      </c>
      <c r="H66" t="e">
        <f>AND(#REF!,"AAAAADuL4gc=")</f>
        <v>#REF!</v>
      </c>
      <c r="I66" t="e">
        <f>AND(#REF!,"AAAAADuL4gg=")</f>
        <v>#REF!</v>
      </c>
      <c r="J66" t="e">
        <f>AND(#REF!,"AAAAADuL4gk=")</f>
        <v>#REF!</v>
      </c>
      <c r="K66" t="e">
        <f>AND(#REF!,"AAAAADuL4go=")</f>
        <v>#REF!</v>
      </c>
      <c r="L66" t="e">
        <f>AND(#REF!,"AAAAADuL4gs=")</f>
        <v>#REF!</v>
      </c>
      <c r="M66" t="e">
        <f>IF(#REF!,"AAAAADuL4gw=",0)</f>
        <v>#REF!</v>
      </c>
      <c r="N66" t="e">
        <f>AND(#REF!,"AAAAADuL4g0=")</f>
        <v>#REF!</v>
      </c>
      <c r="O66" t="e">
        <f>AND(#REF!,"AAAAADuL4g4=")</f>
        <v>#REF!</v>
      </c>
      <c r="P66" t="e">
        <f>AND(#REF!,"AAAAADuL4g8=")</f>
        <v>#REF!</v>
      </c>
      <c r="Q66" t="e">
        <f>AND(#REF!,"AAAAADuL4hA=")</f>
        <v>#REF!</v>
      </c>
      <c r="R66" t="e">
        <f>AND(#REF!,"AAAAADuL4hE=")</f>
        <v>#REF!</v>
      </c>
      <c r="S66" t="e">
        <f>AND(#REF!,"AAAAADuL4hI=")</f>
        <v>#REF!</v>
      </c>
      <c r="T66" t="e">
        <f>AND(#REF!,"AAAAADuL4hM=")</f>
        <v>#REF!</v>
      </c>
      <c r="U66" t="e">
        <f>AND(#REF!,"AAAAADuL4hQ=")</f>
        <v>#REF!</v>
      </c>
      <c r="V66" t="e">
        <f>AND(#REF!,"AAAAADuL4hU=")</f>
        <v>#REF!</v>
      </c>
      <c r="W66" t="e">
        <f>AND(#REF!,"AAAAADuL4hY=")</f>
        <v>#REF!</v>
      </c>
      <c r="X66" t="e">
        <f>AND(#REF!,"AAAAADuL4hc=")</f>
        <v>#REF!</v>
      </c>
      <c r="Y66" t="e">
        <f>AND(#REF!,"AAAAADuL4hg=")</f>
        <v>#REF!</v>
      </c>
      <c r="Z66" t="e">
        <f>IF(#REF!,"AAAAADuL4hk=",0)</f>
        <v>#REF!</v>
      </c>
      <c r="AA66" t="e">
        <f>AND(#REF!,"AAAAADuL4ho=")</f>
        <v>#REF!</v>
      </c>
      <c r="AB66" t="e">
        <f>AND(#REF!,"AAAAADuL4hs=")</f>
        <v>#REF!</v>
      </c>
      <c r="AC66" t="e">
        <f>AND(#REF!,"AAAAADuL4hw=")</f>
        <v>#REF!</v>
      </c>
      <c r="AD66" t="e">
        <f>AND(#REF!,"AAAAADuL4h0=")</f>
        <v>#REF!</v>
      </c>
      <c r="AE66" t="e">
        <f>AND(#REF!,"AAAAADuL4h4=")</f>
        <v>#REF!</v>
      </c>
      <c r="AF66" t="e">
        <f>AND(#REF!,"AAAAADuL4h8=")</f>
        <v>#REF!</v>
      </c>
      <c r="AG66" t="e">
        <f>AND(#REF!,"AAAAADuL4iA=")</f>
        <v>#REF!</v>
      </c>
      <c r="AH66" t="e">
        <f>AND(#REF!,"AAAAADuL4iE=")</f>
        <v>#REF!</v>
      </c>
      <c r="AI66" t="e">
        <f>AND(#REF!,"AAAAADuL4iI=")</f>
        <v>#REF!</v>
      </c>
      <c r="AJ66" t="e">
        <f>AND(#REF!,"AAAAADuL4iM=")</f>
        <v>#REF!</v>
      </c>
      <c r="AK66" t="e">
        <f>AND(#REF!,"AAAAADuL4iQ=")</f>
        <v>#REF!</v>
      </c>
      <c r="AL66" t="e">
        <f>AND(#REF!,"AAAAADuL4iU=")</f>
        <v>#REF!</v>
      </c>
      <c r="AM66" t="e">
        <f>IF(#REF!,"AAAAADuL4iY=",0)</f>
        <v>#REF!</v>
      </c>
      <c r="AN66" t="e">
        <f>AND(#REF!,"AAAAADuL4ic=")</f>
        <v>#REF!</v>
      </c>
      <c r="AO66" t="e">
        <f>AND(#REF!,"AAAAADuL4ig=")</f>
        <v>#REF!</v>
      </c>
      <c r="AP66" t="e">
        <f>AND(#REF!,"AAAAADuL4ik=")</f>
        <v>#REF!</v>
      </c>
      <c r="AQ66" t="e">
        <f>AND(#REF!,"AAAAADuL4io=")</f>
        <v>#REF!</v>
      </c>
      <c r="AR66" t="e">
        <f>AND(#REF!,"AAAAADuL4is=")</f>
        <v>#REF!</v>
      </c>
      <c r="AS66" t="e">
        <f>AND(#REF!,"AAAAADuL4iw=")</f>
        <v>#REF!</v>
      </c>
      <c r="AT66" t="e">
        <f>AND(#REF!,"AAAAADuL4i0=")</f>
        <v>#REF!</v>
      </c>
      <c r="AU66" t="e">
        <f>AND(#REF!,"AAAAADuL4i4=")</f>
        <v>#REF!</v>
      </c>
      <c r="AV66" t="e">
        <f>AND(#REF!,"AAAAADuL4i8=")</f>
        <v>#REF!</v>
      </c>
      <c r="AW66" t="e">
        <f>AND(#REF!,"AAAAADuL4jA=")</f>
        <v>#REF!</v>
      </c>
      <c r="AX66" t="e">
        <f>AND(#REF!,"AAAAADuL4jE=")</f>
        <v>#REF!</v>
      </c>
      <c r="AY66" t="e">
        <f>AND(#REF!,"AAAAADuL4jI=")</f>
        <v>#REF!</v>
      </c>
      <c r="AZ66" t="e">
        <f>IF(#REF!,"AAAAADuL4jM=",0)</f>
        <v>#REF!</v>
      </c>
      <c r="BA66" t="e">
        <f>AND(#REF!,"AAAAADuL4jQ=")</f>
        <v>#REF!</v>
      </c>
      <c r="BB66" t="e">
        <f>AND(#REF!,"AAAAADuL4jU=")</f>
        <v>#REF!</v>
      </c>
      <c r="BC66" t="e">
        <f>AND(#REF!,"AAAAADuL4jY=")</f>
        <v>#REF!</v>
      </c>
      <c r="BD66" t="e">
        <f>AND(#REF!,"AAAAADuL4jc=")</f>
        <v>#REF!</v>
      </c>
      <c r="BE66" t="e">
        <f>AND(#REF!,"AAAAADuL4jg=")</f>
        <v>#REF!</v>
      </c>
      <c r="BF66" t="e">
        <f>AND(#REF!,"AAAAADuL4jk=")</f>
        <v>#REF!</v>
      </c>
      <c r="BG66" t="e">
        <f>AND(#REF!,"AAAAADuL4jo=")</f>
        <v>#REF!</v>
      </c>
      <c r="BH66" t="e">
        <f>AND(#REF!,"AAAAADuL4js=")</f>
        <v>#REF!</v>
      </c>
      <c r="BI66" t="e">
        <f>AND(#REF!,"AAAAADuL4jw=")</f>
        <v>#REF!</v>
      </c>
      <c r="BJ66" t="e">
        <f>AND(#REF!,"AAAAADuL4j0=")</f>
        <v>#REF!</v>
      </c>
      <c r="BK66" t="e">
        <f>AND(#REF!,"AAAAADuL4j4=")</f>
        <v>#REF!</v>
      </c>
      <c r="BL66" t="e">
        <f>AND(#REF!,"AAAAADuL4j8=")</f>
        <v>#REF!</v>
      </c>
      <c r="BM66" t="e">
        <f>IF(#REF!,"AAAAADuL4kA=",0)</f>
        <v>#REF!</v>
      </c>
      <c r="BN66" t="e">
        <f>AND(#REF!,"AAAAADuL4kE=")</f>
        <v>#REF!</v>
      </c>
      <c r="BO66" t="e">
        <f>AND(#REF!,"AAAAADuL4kI=")</f>
        <v>#REF!</v>
      </c>
      <c r="BP66" t="e">
        <f>AND(#REF!,"AAAAADuL4kM=")</f>
        <v>#REF!</v>
      </c>
      <c r="BQ66" t="e">
        <f>AND(#REF!,"AAAAADuL4kQ=")</f>
        <v>#REF!</v>
      </c>
      <c r="BR66" t="e">
        <f>AND(#REF!,"AAAAADuL4kU=")</f>
        <v>#REF!</v>
      </c>
      <c r="BS66" t="e">
        <f>AND(#REF!,"AAAAADuL4kY=")</f>
        <v>#REF!</v>
      </c>
      <c r="BT66" t="e">
        <f>AND(#REF!,"AAAAADuL4kc=")</f>
        <v>#REF!</v>
      </c>
      <c r="BU66" t="e">
        <f>AND(#REF!,"AAAAADuL4kg=")</f>
        <v>#REF!</v>
      </c>
      <c r="BV66" t="e">
        <f>AND(#REF!,"AAAAADuL4kk=")</f>
        <v>#REF!</v>
      </c>
      <c r="BW66" t="e">
        <f>AND(#REF!,"AAAAADuL4ko=")</f>
        <v>#REF!</v>
      </c>
      <c r="BX66" t="e">
        <f>AND(#REF!,"AAAAADuL4ks=")</f>
        <v>#REF!</v>
      </c>
      <c r="BY66" t="e">
        <f>AND(#REF!,"AAAAADuL4kw=")</f>
        <v>#REF!</v>
      </c>
      <c r="BZ66" t="e">
        <f>IF(#REF!,"AAAAADuL4k0=",0)</f>
        <v>#REF!</v>
      </c>
      <c r="CA66" t="e">
        <f>AND(#REF!,"AAAAADuL4k4=")</f>
        <v>#REF!</v>
      </c>
      <c r="CB66" t="e">
        <f>AND(#REF!,"AAAAADuL4k8=")</f>
        <v>#REF!</v>
      </c>
      <c r="CC66" t="e">
        <f>AND(#REF!,"AAAAADuL4lA=")</f>
        <v>#REF!</v>
      </c>
      <c r="CD66" t="e">
        <f>AND(#REF!,"AAAAADuL4lE=")</f>
        <v>#REF!</v>
      </c>
      <c r="CE66" t="e">
        <f>AND(#REF!,"AAAAADuL4lI=")</f>
        <v>#REF!</v>
      </c>
      <c r="CF66" t="e">
        <f>AND(#REF!,"AAAAADuL4lM=")</f>
        <v>#REF!</v>
      </c>
      <c r="CG66" t="e">
        <f>AND(#REF!,"AAAAADuL4lQ=")</f>
        <v>#REF!</v>
      </c>
      <c r="CH66" t="e">
        <f>AND(#REF!,"AAAAADuL4lU=")</f>
        <v>#REF!</v>
      </c>
      <c r="CI66" t="e">
        <f>AND(#REF!,"AAAAADuL4lY=")</f>
        <v>#REF!</v>
      </c>
      <c r="CJ66" t="e">
        <f>AND(#REF!,"AAAAADuL4lc=")</f>
        <v>#REF!</v>
      </c>
      <c r="CK66" t="e">
        <f>AND(#REF!,"AAAAADuL4lg=")</f>
        <v>#REF!</v>
      </c>
      <c r="CL66" t="e">
        <f>AND(#REF!,"AAAAADuL4lk=")</f>
        <v>#REF!</v>
      </c>
      <c r="CM66" t="e">
        <f>IF(#REF!,"AAAAADuL4lo=",0)</f>
        <v>#REF!</v>
      </c>
      <c r="CN66" t="e">
        <f>AND(#REF!,"AAAAADuL4ls=")</f>
        <v>#REF!</v>
      </c>
      <c r="CO66" t="e">
        <f>AND(#REF!,"AAAAADuL4lw=")</f>
        <v>#REF!</v>
      </c>
      <c r="CP66" t="e">
        <f>AND(#REF!,"AAAAADuL4l0=")</f>
        <v>#REF!</v>
      </c>
      <c r="CQ66" t="e">
        <f>AND(#REF!,"AAAAADuL4l4=")</f>
        <v>#REF!</v>
      </c>
      <c r="CR66" t="e">
        <f>AND(#REF!,"AAAAADuL4l8=")</f>
        <v>#REF!</v>
      </c>
      <c r="CS66" t="e">
        <f>AND(#REF!,"AAAAADuL4mA=")</f>
        <v>#REF!</v>
      </c>
      <c r="CT66" t="e">
        <f>AND(#REF!,"AAAAADuL4mE=")</f>
        <v>#REF!</v>
      </c>
      <c r="CU66" t="e">
        <f>AND(#REF!,"AAAAADuL4mI=")</f>
        <v>#REF!</v>
      </c>
      <c r="CV66" t="e">
        <f>AND(#REF!,"AAAAADuL4mM=")</f>
        <v>#REF!</v>
      </c>
      <c r="CW66" t="e">
        <f>AND(#REF!,"AAAAADuL4mQ=")</f>
        <v>#REF!</v>
      </c>
      <c r="CX66" t="e">
        <f>AND(#REF!,"AAAAADuL4mU=")</f>
        <v>#REF!</v>
      </c>
      <c r="CY66" t="e">
        <f>AND(#REF!,"AAAAADuL4mY=")</f>
        <v>#REF!</v>
      </c>
      <c r="CZ66" t="e">
        <f>IF(#REF!,"AAAAADuL4mc=",0)</f>
        <v>#REF!</v>
      </c>
      <c r="DA66" t="e">
        <f>AND(#REF!,"AAAAADuL4mg=")</f>
        <v>#REF!</v>
      </c>
      <c r="DB66" t="e">
        <f>AND(#REF!,"AAAAADuL4mk=")</f>
        <v>#REF!</v>
      </c>
      <c r="DC66" t="e">
        <f>AND(#REF!,"AAAAADuL4mo=")</f>
        <v>#REF!</v>
      </c>
      <c r="DD66" t="e">
        <f>AND(#REF!,"AAAAADuL4ms=")</f>
        <v>#REF!</v>
      </c>
      <c r="DE66" t="e">
        <f>AND(#REF!,"AAAAADuL4mw=")</f>
        <v>#REF!</v>
      </c>
      <c r="DF66" t="e">
        <f>AND(#REF!,"AAAAADuL4m0=")</f>
        <v>#REF!</v>
      </c>
      <c r="DG66" t="e">
        <f>AND(#REF!,"AAAAADuL4m4=")</f>
        <v>#REF!</v>
      </c>
      <c r="DH66" t="e">
        <f>AND(#REF!,"AAAAADuL4m8=")</f>
        <v>#REF!</v>
      </c>
      <c r="DI66" t="e">
        <f>AND(#REF!,"AAAAADuL4nA=")</f>
        <v>#REF!</v>
      </c>
      <c r="DJ66" t="e">
        <f>AND(#REF!,"AAAAADuL4nE=")</f>
        <v>#REF!</v>
      </c>
      <c r="DK66" t="e">
        <f>AND(#REF!,"AAAAADuL4nI=")</f>
        <v>#REF!</v>
      </c>
      <c r="DL66" t="e">
        <f>AND(#REF!,"AAAAADuL4nM=")</f>
        <v>#REF!</v>
      </c>
      <c r="DM66" t="e">
        <f>IF(#REF!,"AAAAADuL4nQ=",0)</f>
        <v>#REF!</v>
      </c>
      <c r="DN66" t="e">
        <f>AND(#REF!,"AAAAADuL4nU=")</f>
        <v>#REF!</v>
      </c>
      <c r="DO66" t="e">
        <f>AND(#REF!,"AAAAADuL4nY=")</f>
        <v>#REF!</v>
      </c>
      <c r="DP66" t="e">
        <f>AND(#REF!,"AAAAADuL4nc=")</f>
        <v>#REF!</v>
      </c>
      <c r="DQ66" t="e">
        <f>AND(#REF!,"AAAAADuL4ng=")</f>
        <v>#REF!</v>
      </c>
      <c r="DR66" t="e">
        <f>AND(#REF!,"AAAAADuL4nk=")</f>
        <v>#REF!</v>
      </c>
      <c r="DS66" t="e">
        <f>AND(#REF!,"AAAAADuL4no=")</f>
        <v>#REF!</v>
      </c>
      <c r="DT66" t="e">
        <f>AND(#REF!,"AAAAADuL4ns=")</f>
        <v>#REF!</v>
      </c>
      <c r="DU66" t="e">
        <f>AND(#REF!,"AAAAADuL4nw=")</f>
        <v>#REF!</v>
      </c>
      <c r="DV66" t="e">
        <f>AND(#REF!,"AAAAADuL4n0=")</f>
        <v>#REF!</v>
      </c>
      <c r="DW66" t="e">
        <f>AND(#REF!,"AAAAADuL4n4=")</f>
        <v>#REF!</v>
      </c>
      <c r="DX66" t="e">
        <f>AND(#REF!,"AAAAADuL4n8=")</f>
        <v>#REF!</v>
      </c>
      <c r="DY66" t="e">
        <f>AND(#REF!,"AAAAADuL4oA=")</f>
        <v>#REF!</v>
      </c>
      <c r="DZ66" t="e">
        <f>IF(#REF!,"AAAAADuL4oE=",0)</f>
        <v>#REF!</v>
      </c>
      <c r="EA66" t="e">
        <f>AND(#REF!,"AAAAADuL4oI=")</f>
        <v>#REF!</v>
      </c>
      <c r="EB66" t="e">
        <f>AND(#REF!,"AAAAADuL4oM=")</f>
        <v>#REF!</v>
      </c>
      <c r="EC66" t="e">
        <f>AND(#REF!,"AAAAADuL4oQ=")</f>
        <v>#REF!</v>
      </c>
      <c r="ED66" t="e">
        <f>AND(#REF!,"AAAAADuL4oU=")</f>
        <v>#REF!</v>
      </c>
      <c r="EE66" t="e">
        <f>AND(#REF!,"AAAAADuL4oY=")</f>
        <v>#REF!</v>
      </c>
      <c r="EF66" t="e">
        <f>AND(#REF!,"AAAAADuL4oc=")</f>
        <v>#REF!</v>
      </c>
      <c r="EG66" t="e">
        <f>AND(#REF!,"AAAAADuL4og=")</f>
        <v>#REF!</v>
      </c>
      <c r="EH66" t="e">
        <f>AND(#REF!,"AAAAADuL4ok=")</f>
        <v>#REF!</v>
      </c>
      <c r="EI66" t="e">
        <f>AND(#REF!,"AAAAADuL4oo=")</f>
        <v>#REF!</v>
      </c>
      <c r="EJ66" t="e">
        <f>AND(#REF!,"AAAAADuL4os=")</f>
        <v>#REF!</v>
      </c>
      <c r="EK66" t="e">
        <f>AND(#REF!,"AAAAADuL4ow=")</f>
        <v>#REF!</v>
      </c>
      <c r="EL66" t="e">
        <f>AND(#REF!,"AAAAADuL4o0=")</f>
        <v>#REF!</v>
      </c>
      <c r="EM66" t="e">
        <f>IF(#REF!,"AAAAADuL4o4=",0)</f>
        <v>#REF!</v>
      </c>
      <c r="EN66" t="e">
        <f>AND(#REF!,"AAAAADuL4o8=")</f>
        <v>#REF!</v>
      </c>
      <c r="EO66" t="e">
        <f>AND(#REF!,"AAAAADuL4pA=")</f>
        <v>#REF!</v>
      </c>
      <c r="EP66" t="e">
        <f>AND(#REF!,"AAAAADuL4pE=")</f>
        <v>#REF!</v>
      </c>
      <c r="EQ66" t="e">
        <f>AND(#REF!,"AAAAADuL4pI=")</f>
        <v>#REF!</v>
      </c>
      <c r="ER66" t="e">
        <f>AND(#REF!,"AAAAADuL4pM=")</f>
        <v>#REF!</v>
      </c>
      <c r="ES66" t="e">
        <f>AND(#REF!,"AAAAADuL4pQ=")</f>
        <v>#REF!</v>
      </c>
      <c r="ET66" t="e">
        <f>AND(#REF!,"AAAAADuL4pU=")</f>
        <v>#REF!</v>
      </c>
      <c r="EU66" t="e">
        <f>AND(#REF!,"AAAAADuL4pY=")</f>
        <v>#REF!</v>
      </c>
      <c r="EV66" t="e">
        <f>AND(#REF!,"AAAAADuL4pc=")</f>
        <v>#REF!</v>
      </c>
      <c r="EW66" t="e">
        <f>AND(#REF!,"AAAAADuL4pg=")</f>
        <v>#REF!</v>
      </c>
      <c r="EX66" t="e">
        <f>AND(#REF!,"AAAAADuL4pk=")</f>
        <v>#REF!</v>
      </c>
      <c r="EY66" t="e">
        <f>AND(#REF!,"AAAAADuL4po=")</f>
        <v>#REF!</v>
      </c>
      <c r="EZ66" t="e">
        <f>IF(#REF!,"AAAAADuL4ps=",0)</f>
        <v>#REF!</v>
      </c>
      <c r="FA66" t="e">
        <f>AND(#REF!,"AAAAADuL4pw=")</f>
        <v>#REF!</v>
      </c>
      <c r="FB66" t="e">
        <f>AND(#REF!,"AAAAADuL4p0=")</f>
        <v>#REF!</v>
      </c>
      <c r="FC66" t="e">
        <f>AND(#REF!,"AAAAADuL4p4=")</f>
        <v>#REF!</v>
      </c>
      <c r="FD66" t="e">
        <f>AND(#REF!,"AAAAADuL4p8=")</f>
        <v>#REF!</v>
      </c>
      <c r="FE66" t="e">
        <f>AND(#REF!,"AAAAADuL4qA=")</f>
        <v>#REF!</v>
      </c>
      <c r="FF66" t="e">
        <f>AND(#REF!,"AAAAADuL4qE=")</f>
        <v>#REF!</v>
      </c>
      <c r="FG66" t="e">
        <f>AND(#REF!,"AAAAADuL4qI=")</f>
        <v>#REF!</v>
      </c>
      <c r="FH66" t="e">
        <f>AND(#REF!,"AAAAADuL4qM=")</f>
        <v>#REF!</v>
      </c>
      <c r="FI66" t="e">
        <f>AND(#REF!,"AAAAADuL4qQ=")</f>
        <v>#REF!</v>
      </c>
      <c r="FJ66" t="e">
        <f>AND(#REF!,"AAAAADuL4qU=")</f>
        <v>#REF!</v>
      </c>
      <c r="FK66" t="e">
        <f>AND(#REF!,"AAAAADuL4qY=")</f>
        <v>#REF!</v>
      </c>
      <c r="FL66" t="e">
        <f>AND(#REF!,"AAAAADuL4qc=")</f>
        <v>#REF!</v>
      </c>
      <c r="FM66" t="e">
        <f>IF(#REF!,"AAAAADuL4qg=",0)</f>
        <v>#REF!</v>
      </c>
      <c r="FN66" t="e">
        <f>AND(#REF!,"AAAAADuL4qk=")</f>
        <v>#REF!</v>
      </c>
      <c r="FO66" t="e">
        <f>AND(#REF!,"AAAAADuL4qo=")</f>
        <v>#REF!</v>
      </c>
      <c r="FP66" t="e">
        <f>AND(#REF!,"AAAAADuL4qs=")</f>
        <v>#REF!</v>
      </c>
      <c r="FQ66" t="e">
        <f>AND(#REF!,"AAAAADuL4qw=")</f>
        <v>#REF!</v>
      </c>
      <c r="FR66" t="e">
        <f>AND(#REF!,"AAAAADuL4q0=")</f>
        <v>#REF!</v>
      </c>
      <c r="FS66" t="e">
        <f>AND(#REF!,"AAAAADuL4q4=")</f>
        <v>#REF!</v>
      </c>
      <c r="FT66" t="e">
        <f>AND(#REF!,"AAAAADuL4q8=")</f>
        <v>#REF!</v>
      </c>
      <c r="FU66" t="e">
        <f>AND(#REF!,"AAAAADuL4rA=")</f>
        <v>#REF!</v>
      </c>
      <c r="FV66" t="e">
        <f>AND(#REF!,"AAAAADuL4rE=")</f>
        <v>#REF!</v>
      </c>
      <c r="FW66" t="e">
        <f>AND(#REF!,"AAAAADuL4rI=")</f>
        <v>#REF!</v>
      </c>
      <c r="FX66" t="e">
        <f>AND(#REF!,"AAAAADuL4rM=")</f>
        <v>#REF!</v>
      </c>
      <c r="FY66" t="e">
        <f>AND(#REF!,"AAAAADuL4rQ=")</f>
        <v>#REF!</v>
      </c>
      <c r="FZ66" t="e">
        <f>IF(#REF!,"AAAAADuL4rU=",0)</f>
        <v>#REF!</v>
      </c>
      <c r="GA66" t="e">
        <f>AND(#REF!,"AAAAADuL4rY=")</f>
        <v>#REF!</v>
      </c>
      <c r="GB66" t="e">
        <f>AND(#REF!,"AAAAADuL4rc=")</f>
        <v>#REF!</v>
      </c>
      <c r="GC66" t="e">
        <f>AND(#REF!,"AAAAADuL4rg=")</f>
        <v>#REF!</v>
      </c>
      <c r="GD66" t="e">
        <f>AND(#REF!,"AAAAADuL4rk=")</f>
        <v>#REF!</v>
      </c>
      <c r="GE66" t="e">
        <f>AND(#REF!,"AAAAADuL4ro=")</f>
        <v>#REF!</v>
      </c>
      <c r="GF66" t="e">
        <f>AND(#REF!,"AAAAADuL4rs=")</f>
        <v>#REF!</v>
      </c>
      <c r="GG66" t="e">
        <f>AND(#REF!,"AAAAADuL4rw=")</f>
        <v>#REF!</v>
      </c>
      <c r="GH66" t="e">
        <f>AND(#REF!,"AAAAADuL4r0=")</f>
        <v>#REF!</v>
      </c>
      <c r="GI66" t="e">
        <f>AND(#REF!,"AAAAADuL4r4=")</f>
        <v>#REF!</v>
      </c>
      <c r="GJ66" t="e">
        <f>AND(#REF!,"AAAAADuL4r8=")</f>
        <v>#REF!</v>
      </c>
      <c r="GK66" t="e">
        <f>AND(#REF!,"AAAAADuL4sA=")</f>
        <v>#REF!</v>
      </c>
      <c r="GL66" t="e">
        <f>AND(#REF!,"AAAAADuL4sE=")</f>
        <v>#REF!</v>
      </c>
      <c r="GM66" t="e">
        <f>IF(#REF!,"AAAAADuL4sI=",0)</f>
        <v>#REF!</v>
      </c>
      <c r="GN66" t="e">
        <f>AND(#REF!,"AAAAADuL4sM=")</f>
        <v>#REF!</v>
      </c>
      <c r="GO66" t="e">
        <f>AND(#REF!,"AAAAADuL4sQ=")</f>
        <v>#REF!</v>
      </c>
      <c r="GP66" t="e">
        <f>AND(#REF!,"AAAAADuL4sU=")</f>
        <v>#REF!</v>
      </c>
      <c r="GQ66" t="e">
        <f>AND(#REF!,"AAAAADuL4sY=")</f>
        <v>#REF!</v>
      </c>
      <c r="GR66" t="e">
        <f>AND(#REF!,"AAAAADuL4sc=")</f>
        <v>#REF!</v>
      </c>
      <c r="GS66" t="e">
        <f>AND(#REF!,"AAAAADuL4sg=")</f>
        <v>#REF!</v>
      </c>
      <c r="GT66" t="e">
        <f>AND(#REF!,"AAAAADuL4sk=")</f>
        <v>#REF!</v>
      </c>
      <c r="GU66" t="e">
        <f>AND(#REF!,"AAAAADuL4so=")</f>
        <v>#REF!</v>
      </c>
      <c r="GV66" t="e">
        <f>AND(#REF!,"AAAAADuL4ss=")</f>
        <v>#REF!</v>
      </c>
      <c r="GW66" t="e">
        <f>AND(#REF!,"AAAAADuL4sw=")</f>
        <v>#REF!</v>
      </c>
      <c r="GX66" t="e">
        <f>AND(#REF!,"AAAAADuL4s0=")</f>
        <v>#REF!</v>
      </c>
      <c r="GY66" t="e">
        <f>AND(#REF!,"AAAAADuL4s4=")</f>
        <v>#REF!</v>
      </c>
      <c r="GZ66" t="e">
        <f>IF(#REF!,"AAAAADuL4s8=",0)</f>
        <v>#REF!</v>
      </c>
      <c r="HA66" t="e">
        <f>AND(#REF!,"AAAAADuL4tA=")</f>
        <v>#REF!</v>
      </c>
      <c r="HB66" t="e">
        <f>AND(#REF!,"AAAAADuL4tE=")</f>
        <v>#REF!</v>
      </c>
      <c r="HC66" t="e">
        <f>AND(#REF!,"AAAAADuL4tI=")</f>
        <v>#REF!</v>
      </c>
      <c r="HD66" t="e">
        <f>AND(#REF!,"AAAAADuL4tM=")</f>
        <v>#REF!</v>
      </c>
      <c r="HE66" t="e">
        <f>AND(#REF!,"AAAAADuL4tQ=")</f>
        <v>#REF!</v>
      </c>
      <c r="HF66" t="e">
        <f>AND(#REF!,"AAAAADuL4tU=")</f>
        <v>#REF!</v>
      </c>
      <c r="HG66" t="e">
        <f>AND(#REF!,"AAAAADuL4tY=")</f>
        <v>#REF!</v>
      </c>
      <c r="HH66" t="e">
        <f>AND(#REF!,"AAAAADuL4tc=")</f>
        <v>#REF!</v>
      </c>
      <c r="HI66" t="e">
        <f>AND(#REF!,"AAAAADuL4tg=")</f>
        <v>#REF!</v>
      </c>
      <c r="HJ66" t="e">
        <f>AND(#REF!,"AAAAADuL4tk=")</f>
        <v>#REF!</v>
      </c>
      <c r="HK66" t="e">
        <f>AND(#REF!,"AAAAADuL4to=")</f>
        <v>#REF!</v>
      </c>
      <c r="HL66" t="e">
        <f>AND(#REF!,"AAAAADuL4ts=")</f>
        <v>#REF!</v>
      </c>
      <c r="HM66" t="e">
        <f>IF(#REF!,"AAAAADuL4tw=",0)</f>
        <v>#REF!</v>
      </c>
      <c r="HN66" t="e">
        <f>AND(#REF!,"AAAAADuL4t0=")</f>
        <v>#REF!</v>
      </c>
      <c r="HO66" t="e">
        <f>AND(#REF!,"AAAAADuL4t4=")</f>
        <v>#REF!</v>
      </c>
      <c r="HP66" t="e">
        <f>AND(#REF!,"AAAAADuL4t8=")</f>
        <v>#REF!</v>
      </c>
      <c r="HQ66" t="e">
        <f>AND(#REF!,"AAAAADuL4uA=")</f>
        <v>#REF!</v>
      </c>
      <c r="HR66" t="e">
        <f>AND(#REF!,"AAAAADuL4uE=")</f>
        <v>#REF!</v>
      </c>
      <c r="HS66" t="e">
        <f>AND(#REF!,"AAAAADuL4uI=")</f>
        <v>#REF!</v>
      </c>
      <c r="HT66" t="e">
        <f>AND(#REF!,"AAAAADuL4uM=")</f>
        <v>#REF!</v>
      </c>
      <c r="HU66" t="e">
        <f>AND(#REF!,"AAAAADuL4uQ=")</f>
        <v>#REF!</v>
      </c>
      <c r="HV66" t="e">
        <f>AND(#REF!,"AAAAADuL4uU=")</f>
        <v>#REF!</v>
      </c>
      <c r="HW66" t="e">
        <f>AND(#REF!,"AAAAADuL4uY=")</f>
        <v>#REF!</v>
      </c>
      <c r="HX66" t="e">
        <f>AND(#REF!,"AAAAADuL4uc=")</f>
        <v>#REF!</v>
      </c>
      <c r="HY66" t="e">
        <f>AND(#REF!,"AAAAADuL4ug=")</f>
        <v>#REF!</v>
      </c>
      <c r="HZ66" t="e">
        <f>IF(#REF!,"AAAAADuL4uk=",0)</f>
        <v>#REF!</v>
      </c>
      <c r="IA66" t="e">
        <f>AND(#REF!,"AAAAADuL4uo=")</f>
        <v>#REF!</v>
      </c>
      <c r="IB66" t="e">
        <f>AND(#REF!,"AAAAADuL4us=")</f>
        <v>#REF!</v>
      </c>
      <c r="IC66" t="e">
        <f>AND(#REF!,"AAAAADuL4uw=")</f>
        <v>#REF!</v>
      </c>
      <c r="ID66" t="e">
        <f>AND(#REF!,"AAAAADuL4u0=")</f>
        <v>#REF!</v>
      </c>
      <c r="IE66" t="e">
        <f>AND(#REF!,"AAAAADuL4u4=")</f>
        <v>#REF!</v>
      </c>
      <c r="IF66" t="e">
        <f>AND(#REF!,"AAAAADuL4u8=")</f>
        <v>#REF!</v>
      </c>
      <c r="IG66" t="e">
        <f>AND(#REF!,"AAAAADuL4vA=")</f>
        <v>#REF!</v>
      </c>
      <c r="IH66" t="e">
        <f>AND(#REF!,"AAAAADuL4vE=")</f>
        <v>#REF!</v>
      </c>
      <c r="II66" t="e">
        <f>AND(#REF!,"AAAAADuL4vI=")</f>
        <v>#REF!</v>
      </c>
      <c r="IJ66" t="e">
        <f>AND(#REF!,"AAAAADuL4vM=")</f>
        <v>#REF!</v>
      </c>
      <c r="IK66" t="e">
        <f>AND(#REF!,"AAAAADuL4vQ=")</f>
        <v>#REF!</v>
      </c>
      <c r="IL66" t="e">
        <f>AND(#REF!,"AAAAADuL4vU=")</f>
        <v>#REF!</v>
      </c>
      <c r="IM66" t="e">
        <f>IF(#REF!,"AAAAADuL4vY=",0)</f>
        <v>#REF!</v>
      </c>
      <c r="IN66" t="e">
        <f>AND(#REF!,"AAAAADuL4vc=")</f>
        <v>#REF!</v>
      </c>
      <c r="IO66" t="e">
        <f>AND(#REF!,"AAAAADuL4vg=")</f>
        <v>#REF!</v>
      </c>
      <c r="IP66" t="e">
        <f>AND(#REF!,"AAAAADuL4vk=")</f>
        <v>#REF!</v>
      </c>
      <c r="IQ66" t="e">
        <f>AND(#REF!,"AAAAADuL4vo=")</f>
        <v>#REF!</v>
      </c>
      <c r="IR66" t="e">
        <f>AND(#REF!,"AAAAADuL4vs=")</f>
        <v>#REF!</v>
      </c>
      <c r="IS66" t="e">
        <f>AND(#REF!,"AAAAADuL4vw=")</f>
        <v>#REF!</v>
      </c>
      <c r="IT66" t="e">
        <f>AND(#REF!,"AAAAADuL4v0=")</f>
        <v>#REF!</v>
      </c>
      <c r="IU66" t="e">
        <f>AND(#REF!,"AAAAADuL4v4=")</f>
        <v>#REF!</v>
      </c>
      <c r="IV66" t="e">
        <f>AND(#REF!,"AAAAADuL4v8=")</f>
        <v>#REF!</v>
      </c>
    </row>
    <row r="67" spans="1:256" x14ac:dyDescent="0.35">
      <c r="A67" t="e">
        <f>AND(#REF!,"AAAAAHV1OgA=")</f>
        <v>#REF!</v>
      </c>
      <c r="B67" t="e">
        <f>AND(#REF!,"AAAAAHV1OgE=")</f>
        <v>#REF!</v>
      </c>
      <c r="C67" t="e">
        <f>AND(#REF!,"AAAAAHV1OgI=")</f>
        <v>#REF!</v>
      </c>
      <c r="D67" t="e">
        <f>IF(#REF!,"AAAAAHV1OgM=",0)</f>
        <v>#REF!</v>
      </c>
      <c r="E67" t="e">
        <f>AND(#REF!,"AAAAAHV1OgQ=")</f>
        <v>#REF!</v>
      </c>
      <c r="F67" t="e">
        <f>AND(#REF!,"AAAAAHV1OgU=")</f>
        <v>#REF!</v>
      </c>
      <c r="G67" t="e">
        <f>AND(#REF!,"AAAAAHV1OgY=")</f>
        <v>#REF!</v>
      </c>
      <c r="H67" t="e">
        <f>AND(#REF!,"AAAAAHV1Ogc=")</f>
        <v>#REF!</v>
      </c>
      <c r="I67" t="e">
        <f>AND(#REF!,"AAAAAHV1Ogg=")</f>
        <v>#REF!</v>
      </c>
      <c r="J67" t="e">
        <f>AND(#REF!,"AAAAAHV1Ogk=")</f>
        <v>#REF!</v>
      </c>
      <c r="K67" t="e">
        <f>AND(#REF!,"AAAAAHV1Ogo=")</f>
        <v>#REF!</v>
      </c>
      <c r="L67" t="e">
        <f>AND(#REF!,"AAAAAHV1Ogs=")</f>
        <v>#REF!</v>
      </c>
      <c r="M67" t="e">
        <f>AND(#REF!,"AAAAAHV1Ogw=")</f>
        <v>#REF!</v>
      </c>
      <c r="N67" t="e">
        <f>AND(#REF!,"AAAAAHV1Og0=")</f>
        <v>#REF!</v>
      </c>
      <c r="O67" t="e">
        <f>AND(#REF!,"AAAAAHV1Og4=")</f>
        <v>#REF!</v>
      </c>
      <c r="P67" t="e">
        <f>AND(#REF!,"AAAAAHV1Og8=")</f>
        <v>#REF!</v>
      </c>
      <c r="Q67" t="e">
        <f>IF(#REF!,"AAAAAHV1OhA=",0)</f>
        <v>#REF!</v>
      </c>
      <c r="R67" t="e">
        <f>AND(#REF!,"AAAAAHV1OhE=")</f>
        <v>#REF!</v>
      </c>
      <c r="S67" t="e">
        <f>AND(#REF!,"AAAAAHV1OhI=")</f>
        <v>#REF!</v>
      </c>
      <c r="T67" t="e">
        <f>AND(#REF!,"AAAAAHV1OhM=")</f>
        <v>#REF!</v>
      </c>
      <c r="U67" t="e">
        <f>AND(#REF!,"AAAAAHV1OhQ=")</f>
        <v>#REF!</v>
      </c>
      <c r="V67" t="e">
        <f>AND(#REF!,"AAAAAHV1OhU=")</f>
        <v>#REF!</v>
      </c>
      <c r="W67" t="e">
        <f>AND(#REF!,"AAAAAHV1OhY=")</f>
        <v>#REF!</v>
      </c>
      <c r="X67" t="e">
        <f>AND(#REF!,"AAAAAHV1Ohc=")</f>
        <v>#REF!</v>
      </c>
      <c r="Y67" t="e">
        <f>AND(#REF!,"AAAAAHV1Ohg=")</f>
        <v>#REF!</v>
      </c>
      <c r="Z67" t="e">
        <f>AND(#REF!,"AAAAAHV1Ohk=")</f>
        <v>#REF!</v>
      </c>
      <c r="AA67" t="e">
        <f>AND(#REF!,"AAAAAHV1Oho=")</f>
        <v>#REF!</v>
      </c>
      <c r="AB67" t="e">
        <f>AND(#REF!,"AAAAAHV1Ohs=")</f>
        <v>#REF!</v>
      </c>
      <c r="AC67" t="e">
        <f>AND(#REF!,"AAAAAHV1Ohw=")</f>
        <v>#REF!</v>
      </c>
      <c r="AD67" t="e">
        <f>IF(#REF!,"AAAAAHV1Oh0=",0)</f>
        <v>#REF!</v>
      </c>
      <c r="AE67" t="e">
        <f>AND(#REF!,"AAAAAHV1Oh4=")</f>
        <v>#REF!</v>
      </c>
      <c r="AF67" t="e">
        <f>AND(#REF!,"AAAAAHV1Oh8=")</f>
        <v>#REF!</v>
      </c>
      <c r="AG67" t="e">
        <f>AND(#REF!,"AAAAAHV1OiA=")</f>
        <v>#REF!</v>
      </c>
      <c r="AH67" t="e">
        <f>AND(#REF!,"AAAAAHV1OiE=")</f>
        <v>#REF!</v>
      </c>
      <c r="AI67" t="e">
        <f>AND(#REF!,"AAAAAHV1OiI=")</f>
        <v>#REF!</v>
      </c>
      <c r="AJ67" t="e">
        <f>AND(#REF!,"AAAAAHV1OiM=")</f>
        <v>#REF!</v>
      </c>
      <c r="AK67" t="e">
        <f>AND(#REF!,"AAAAAHV1OiQ=")</f>
        <v>#REF!</v>
      </c>
      <c r="AL67" t="e">
        <f>AND(#REF!,"AAAAAHV1OiU=")</f>
        <v>#REF!</v>
      </c>
      <c r="AM67" t="e">
        <f>AND(#REF!,"AAAAAHV1OiY=")</f>
        <v>#REF!</v>
      </c>
      <c r="AN67" t="e">
        <f>AND(#REF!,"AAAAAHV1Oic=")</f>
        <v>#REF!</v>
      </c>
      <c r="AO67" t="e">
        <f>AND(#REF!,"AAAAAHV1Oig=")</f>
        <v>#REF!</v>
      </c>
      <c r="AP67" t="e">
        <f>AND(#REF!,"AAAAAHV1Oik=")</f>
        <v>#REF!</v>
      </c>
      <c r="AQ67" t="e">
        <f>IF(#REF!,"AAAAAHV1Oio=",0)</f>
        <v>#REF!</v>
      </c>
      <c r="AR67" t="e">
        <f>AND(#REF!,"AAAAAHV1Ois=")</f>
        <v>#REF!</v>
      </c>
      <c r="AS67" t="e">
        <f>AND(#REF!,"AAAAAHV1Oiw=")</f>
        <v>#REF!</v>
      </c>
      <c r="AT67" t="e">
        <f>AND(#REF!,"AAAAAHV1Oi0=")</f>
        <v>#REF!</v>
      </c>
      <c r="AU67" t="e">
        <f>AND(#REF!,"AAAAAHV1Oi4=")</f>
        <v>#REF!</v>
      </c>
      <c r="AV67" t="e">
        <f>AND(#REF!,"AAAAAHV1Oi8=")</f>
        <v>#REF!</v>
      </c>
      <c r="AW67" t="e">
        <f>AND(#REF!,"AAAAAHV1OjA=")</f>
        <v>#REF!</v>
      </c>
      <c r="AX67" t="e">
        <f>AND(#REF!,"AAAAAHV1OjE=")</f>
        <v>#REF!</v>
      </c>
      <c r="AY67" t="e">
        <f>AND(#REF!,"AAAAAHV1OjI=")</f>
        <v>#REF!</v>
      </c>
      <c r="AZ67" t="e">
        <f>AND(#REF!,"AAAAAHV1OjM=")</f>
        <v>#REF!</v>
      </c>
      <c r="BA67" t="e">
        <f>AND(#REF!,"AAAAAHV1OjQ=")</f>
        <v>#REF!</v>
      </c>
      <c r="BB67" t="e">
        <f>AND(#REF!,"AAAAAHV1OjU=")</f>
        <v>#REF!</v>
      </c>
      <c r="BC67" t="e">
        <f>AND(#REF!,"AAAAAHV1OjY=")</f>
        <v>#REF!</v>
      </c>
      <c r="BD67" t="e">
        <f>IF(#REF!,"AAAAAHV1Ojc=",0)</f>
        <v>#REF!</v>
      </c>
      <c r="BE67" t="e">
        <f>AND(#REF!,"AAAAAHV1Ojg=")</f>
        <v>#REF!</v>
      </c>
      <c r="BF67" t="e">
        <f>AND(#REF!,"AAAAAHV1Ojk=")</f>
        <v>#REF!</v>
      </c>
      <c r="BG67" t="e">
        <f>AND(#REF!,"AAAAAHV1Ojo=")</f>
        <v>#REF!</v>
      </c>
      <c r="BH67" t="e">
        <f>AND(#REF!,"AAAAAHV1Ojs=")</f>
        <v>#REF!</v>
      </c>
      <c r="BI67" t="e">
        <f>AND(#REF!,"AAAAAHV1Ojw=")</f>
        <v>#REF!</v>
      </c>
      <c r="BJ67" t="e">
        <f>AND(#REF!,"AAAAAHV1Oj0=")</f>
        <v>#REF!</v>
      </c>
      <c r="BK67" t="e">
        <f>AND(#REF!,"AAAAAHV1Oj4=")</f>
        <v>#REF!</v>
      </c>
      <c r="BL67" t="e">
        <f>AND(#REF!,"AAAAAHV1Oj8=")</f>
        <v>#REF!</v>
      </c>
      <c r="BM67" t="e">
        <f>AND(#REF!,"AAAAAHV1OkA=")</f>
        <v>#REF!</v>
      </c>
      <c r="BN67" t="e">
        <f>AND(#REF!,"AAAAAHV1OkE=")</f>
        <v>#REF!</v>
      </c>
      <c r="BO67" t="e">
        <f>AND(#REF!,"AAAAAHV1OkI=")</f>
        <v>#REF!</v>
      </c>
      <c r="BP67" t="e">
        <f>AND(#REF!,"AAAAAHV1OkM=")</f>
        <v>#REF!</v>
      </c>
      <c r="BQ67" t="e">
        <f>IF(#REF!,"AAAAAHV1OkQ=",0)</f>
        <v>#REF!</v>
      </c>
      <c r="BR67" t="e">
        <f>AND(#REF!,"AAAAAHV1OkU=")</f>
        <v>#REF!</v>
      </c>
      <c r="BS67" t="e">
        <f>AND(#REF!,"AAAAAHV1OkY=")</f>
        <v>#REF!</v>
      </c>
      <c r="BT67" t="e">
        <f>AND(#REF!,"AAAAAHV1Okc=")</f>
        <v>#REF!</v>
      </c>
      <c r="BU67" t="e">
        <f>AND(#REF!,"AAAAAHV1Okg=")</f>
        <v>#REF!</v>
      </c>
      <c r="BV67" t="e">
        <f>AND(#REF!,"AAAAAHV1Okk=")</f>
        <v>#REF!</v>
      </c>
      <c r="BW67" t="e">
        <f>AND(#REF!,"AAAAAHV1Oko=")</f>
        <v>#REF!</v>
      </c>
      <c r="BX67" t="e">
        <f>AND(#REF!,"AAAAAHV1Oks=")</f>
        <v>#REF!</v>
      </c>
      <c r="BY67" t="e">
        <f>AND(#REF!,"AAAAAHV1Okw=")</f>
        <v>#REF!</v>
      </c>
      <c r="BZ67" t="e">
        <f>AND(#REF!,"AAAAAHV1Ok0=")</f>
        <v>#REF!</v>
      </c>
      <c r="CA67" t="e">
        <f>AND(#REF!,"AAAAAHV1Ok4=")</f>
        <v>#REF!</v>
      </c>
      <c r="CB67" t="e">
        <f>AND(#REF!,"AAAAAHV1Ok8=")</f>
        <v>#REF!</v>
      </c>
      <c r="CC67" t="e">
        <f>AND(#REF!,"AAAAAHV1OlA=")</f>
        <v>#REF!</v>
      </c>
      <c r="CD67" t="e">
        <f>IF(#REF!,"AAAAAHV1OlE=",0)</f>
        <v>#REF!</v>
      </c>
      <c r="CE67" t="e">
        <f>AND(#REF!,"AAAAAHV1OlI=")</f>
        <v>#REF!</v>
      </c>
      <c r="CF67" t="e">
        <f>AND(#REF!,"AAAAAHV1OlM=")</f>
        <v>#REF!</v>
      </c>
      <c r="CG67" t="e">
        <f>AND(#REF!,"AAAAAHV1OlQ=")</f>
        <v>#REF!</v>
      </c>
      <c r="CH67" t="e">
        <f>AND(#REF!,"AAAAAHV1OlU=")</f>
        <v>#REF!</v>
      </c>
      <c r="CI67" t="e">
        <f>AND(#REF!,"AAAAAHV1OlY=")</f>
        <v>#REF!</v>
      </c>
      <c r="CJ67" t="e">
        <f>AND(#REF!,"AAAAAHV1Olc=")</f>
        <v>#REF!</v>
      </c>
      <c r="CK67" t="e">
        <f>AND(#REF!,"AAAAAHV1Olg=")</f>
        <v>#REF!</v>
      </c>
      <c r="CL67" t="e">
        <f>AND(#REF!,"AAAAAHV1Olk=")</f>
        <v>#REF!</v>
      </c>
      <c r="CM67" t="e">
        <f>AND(#REF!,"AAAAAHV1Olo=")</f>
        <v>#REF!</v>
      </c>
      <c r="CN67" t="e">
        <f>AND(#REF!,"AAAAAHV1Ols=")</f>
        <v>#REF!</v>
      </c>
      <c r="CO67" t="e">
        <f>AND(#REF!,"AAAAAHV1Olw=")</f>
        <v>#REF!</v>
      </c>
      <c r="CP67" t="e">
        <f>AND(#REF!,"AAAAAHV1Ol0=")</f>
        <v>#REF!</v>
      </c>
      <c r="CQ67" t="e">
        <f>IF(#REF!,"AAAAAHV1Ol4=",0)</f>
        <v>#REF!</v>
      </c>
      <c r="CR67" t="e">
        <f>AND(#REF!,"AAAAAHV1Ol8=")</f>
        <v>#REF!</v>
      </c>
      <c r="CS67" t="e">
        <f>AND(#REF!,"AAAAAHV1OmA=")</f>
        <v>#REF!</v>
      </c>
      <c r="CT67" t="e">
        <f>AND(#REF!,"AAAAAHV1OmE=")</f>
        <v>#REF!</v>
      </c>
      <c r="CU67" t="e">
        <f>AND(#REF!,"AAAAAHV1OmI=")</f>
        <v>#REF!</v>
      </c>
      <c r="CV67" t="e">
        <f>AND(#REF!,"AAAAAHV1OmM=")</f>
        <v>#REF!</v>
      </c>
      <c r="CW67" t="e">
        <f>AND(#REF!,"AAAAAHV1OmQ=")</f>
        <v>#REF!</v>
      </c>
      <c r="CX67" t="e">
        <f>AND(#REF!,"AAAAAHV1OmU=")</f>
        <v>#REF!</v>
      </c>
      <c r="CY67" t="e">
        <f>AND(#REF!,"AAAAAHV1OmY=")</f>
        <v>#REF!</v>
      </c>
      <c r="CZ67" t="e">
        <f>AND(#REF!,"AAAAAHV1Omc=")</f>
        <v>#REF!</v>
      </c>
      <c r="DA67" t="e">
        <f>AND(#REF!,"AAAAAHV1Omg=")</f>
        <v>#REF!</v>
      </c>
      <c r="DB67" t="e">
        <f>AND(#REF!,"AAAAAHV1Omk=")</f>
        <v>#REF!</v>
      </c>
      <c r="DC67" t="e">
        <f>AND(#REF!,"AAAAAHV1Omo=")</f>
        <v>#REF!</v>
      </c>
      <c r="DD67" t="e">
        <f>IF(#REF!,"AAAAAHV1Oms=",0)</f>
        <v>#REF!</v>
      </c>
      <c r="DE67" t="e">
        <f>AND(#REF!,"AAAAAHV1Omw=")</f>
        <v>#REF!</v>
      </c>
      <c r="DF67" t="e">
        <f>AND(#REF!,"AAAAAHV1Om0=")</f>
        <v>#REF!</v>
      </c>
      <c r="DG67" t="e">
        <f>AND(#REF!,"AAAAAHV1Om4=")</f>
        <v>#REF!</v>
      </c>
      <c r="DH67" t="e">
        <f>AND(#REF!,"AAAAAHV1Om8=")</f>
        <v>#REF!</v>
      </c>
      <c r="DI67" t="e">
        <f>AND(#REF!,"AAAAAHV1OnA=")</f>
        <v>#REF!</v>
      </c>
      <c r="DJ67" t="e">
        <f>AND(#REF!,"AAAAAHV1OnE=")</f>
        <v>#REF!</v>
      </c>
      <c r="DK67" t="e">
        <f>AND(#REF!,"AAAAAHV1OnI=")</f>
        <v>#REF!</v>
      </c>
      <c r="DL67" t="e">
        <f>AND(#REF!,"AAAAAHV1OnM=")</f>
        <v>#REF!</v>
      </c>
      <c r="DM67" t="e">
        <f>AND(#REF!,"AAAAAHV1OnQ=")</f>
        <v>#REF!</v>
      </c>
      <c r="DN67" t="e">
        <f>AND(#REF!,"AAAAAHV1OnU=")</f>
        <v>#REF!</v>
      </c>
      <c r="DO67" t="e">
        <f>AND(#REF!,"AAAAAHV1OnY=")</f>
        <v>#REF!</v>
      </c>
      <c r="DP67" t="e">
        <f>AND(#REF!,"AAAAAHV1Onc=")</f>
        <v>#REF!</v>
      </c>
      <c r="DQ67" t="e">
        <f>IF(#REF!,"AAAAAHV1Ong=",0)</f>
        <v>#REF!</v>
      </c>
      <c r="DR67" t="e">
        <f>AND(#REF!,"AAAAAHV1Onk=")</f>
        <v>#REF!</v>
      </c>
      <c r="DS67" t="e">
        <f>AND(#REF!,"AAAAAHV1Ono=")</f>
        <v>#REF!</v>
      </c>
      <c r="DT67" t="e">
        <f>AND(#REF!,"AAAAAHV1Ons=")</f>
        <v>#REF!</v>
      </c>
      <c r="DU67" t="e">
        <f>AND(#REF!,"AAAAAHV1Onw=")</f>
        <v>#REF!</v>
      </c>
      <c r="DV67" t="e">
        <f>AND(#REF!,"AAAAAHV1On0=")</f>
        <v>#REF!</v>
      </c>
      <c r="DW67" t="e">
        <f>AND(#REF!,"AAAAAHV1On4=")</f>
        <v>#REF!</v>
      </c>
      <c r="DX67" t="e">
        <f>AND(#REF!,"AAAAAHV1On8=")</f>
        <v>#REF!</v>
      </c>
      <c r="DY67" t="e">
        <f>AND(#REF!,"AAAAAHV1OoA=")</f>
        <v>#REF!</v>
      </c>
      <c r="DZ67" t="e">
        <f>AND(#REF!,"AAAAAHV1OoE=")</f>
        <v>#REF!</v>
      </c>
      <c r="EA67" t="e">
        <f>AND(#REF!,"AAAAAHV1OoI=")</f>
        <v>#REF!</v>
      </c>
      <c r="EB67" t="e">
        <f>AND(#REF!,"AAAAAHV1OoM=")</f>
        <v>#REF!</v>
      </c>
      <c r="EC67" t="e">
        <f>AND(#REF!,"AAAAAHV1OoQ=")</f>
        <v>#REF!</v>
      </c>
      <c r="ED67" t="e">
        <f>IF(#REF!,"AAAAAHV1OoU=",0)</f>
        <v>#REF!</v>
      </c>
      <c r="EE67" t="e">
        <f>AND(#REF!,"AAAAAHV1OoY=")</f>
        <v>#REF!</v>
      </c>
      <c r="EF67" t="e">
        <f>AND(#REF!,"AAAAAHV1Ooc=")</f>
        <v>#REF!</v>
      </c>
      <c r="EG67" t="e">
        <f>AND(#REF!,"AAAAAHV1Oog=")</f>
        <v>#REF!</v>
      </c>
      <c r="EH67" t="e">
        <f>AND(#REF!,"AAAAAHV1Ook=")</f>
        <v>#REF!</v>
      </c>
      <c r="EI67" t="e">
        <f>AND(#REF!,"AAAAAHV1Ooo=")</f>
        <v>#REF!</v>
      </c>
      <c r="EJ67" t="e">
        <f>AND(#REF!,"AAAAAHV1Oos=")</f>
        <v>#REF!</v>
      </c>
      <c r="EK67" t="e">
        <f>AND(#REF!,"AAAAAHV1Oow=")</f>
        <v>#REF!</v>
      </c>
      <c r="EL67" t="e">
        <f>AND(#REF!,"AAAAAHV1Oo0=")</f>
        <v>#REF!</v>
      </c>
      <c r="EM67" t="e">
        <f>AND(#REF!,"AAAAAHV1Oo4=")</f>
        <v>#REF!</v>
      </c>
      <c r="EN67" t="e">
        <f>AND(#REF!,"AAAAAHV1Oo8=")</f>
        <v>#REF!</v>
      </c>
      <c r="EO67" t="e">
        <f>AND(#REF!,"AAAAAHV1OpA=")</f>
        <v>#REF!</v>
      </c>
      <c r="EP67" t="e">
        <f>AND(#REF!,"AAAAAHV1OpE=")</f>
        <v>#REF!</v>
      </c>
      <c r="EQ67" t="e">
        <f>IF(#REF!,"AAAAAHV1OpI=",0)</f>
        <v>#REF!</v>
      </c>
      <c r="ER67" t="e">
        <f>AND(#REF!,"AAAAAHV1OpM=")</f>
        <v>#REF!</v>
      </c>
      <c r="ES67" t="e">
        <f>AND(#REF!,"AAAAAHV1OpQ=")</f>
        <v>#REF!</v>
      </c>
      <c r="ET67" t="e">
        <f>AND(#REF!,"AAAAAHV1OpU=")</f>
        <v>#REF!</v>
      </c>
      <c r="EU67" t="e">
        <f>AND(#REF!,"AAAAAHV1OpY=")</f>
        <v>#REF!</v>
      </c>
      <c r="EV67" t="e">
        <f>AND(#REF!,"AAAAAHV1Opc=")</f>
        <v>#REF!</v>
      </c>
      <c r="EW67" t="e">
        <f>AND(#REF!,"AAAAAHV1Opg=")</f>
        <v>#REF!</v>
      </c>
      <c r="EX67" t="e">
        <f>AND(#REF!,"AAAAAHV1Opk=")</f>
        <v>#REF!</v>
      </c>
      <c r="EY67" t="e">
        <f>AND(#REF!,"AAAAAHV1Opo=")</f>
        <v>#REF!</v>
      </c>
      <c r="EZ67" t="e">
        <f>AND(#REF!,"AAAAAHV1Ops=")</f>
        <v>#REF!</v>
      </c>
      <c r="FA67" t="e">
        <f>AND(#REF!,"AAAAAHV1Opw=")</f>
        <v>#REF!</v>
      </c>
      <c r="FB67" t="e">
        <f>AND(#REF!,"AAAAAHV1Op0=")</f>
        <v>#REF!</v>
      </c>
      <c r="FC67" t="e">
        <f>AND(#REF!,"AAAAAHV1Op4=")</f>
        <v>#REF!</v>
      </c>
      <c r="FD67" t="e">
        <f>IF(#REF!,"AAAAAHV1Op8=",0)</f>
        <v>#REF!</v>
      </c>
      <c r="FE67" t="e">
        <f>AND(#REF!,"AAAAAHV1OqA=")</f>
        <v>#REF!</v>
      </c>
      <c r="FF67" t="e">
        <f>AND(#REF!,"AAAAAHV1OqE=")</f>
        <v>#REF!</v>
      </c>
      <c r="FG67" t="e">
        <f>AND(#REF!,"AAAAAHV1OqI=")</f>
        <v>#REF!</v>
      </c>
      <c r="FH67" t="e">
        <f>AND(#REF!,"AAAAAHV1OqM=")</f>
        <v>#REF!</v>
      </c>
      <c r="FI67" t="e">
        <f>AND(#REF!,"AAAAAHV1OqQ=")</f>
        <v>#REF!</v>
      </c>
      <c r="FJ67" t="e">
        <f>AND(#REF!,"AAAAAHV1OqU=")</f>
        <v>#REF!</v>
      </c>
      <c r="FK67" t="e">
        <f>AND(#REF!,"AAAAAHV1OqY=")</f>
        <v>#REF!</v>
      </c>
      <c r="FL67" t="e">
        <f>AND(#REF!,"AAAAAHV1Oqc=")</f>
        <v>#REF!</v>
      </c>
      <c r="FM67" t="e">
        <f>AND(#REF!,"AAAAAHV1Oqg=")</f>
        <v>#REF!</v>
      </c>
      <c r="FN67" t="e">
        <f>AND(#REF!,"AAAAAHV1Oqk=")</f>
        <v>#REF!</v>
      </c>
      <c r="FO67" t="e">
        <f>AND(#REF!,"AAAAAHV1Oqo=")</f>
        <v>#REF!</v>
      </c>
      <c r="FP67" t="e">
        <f>AND(#REF!,"AAAAAHV1Oqs=")</f>
        <v>#REF!</v>
      </c>
      <c r="FQ67" t="e">
        <f>IF(#REF!,"AAAAAHV1Oqw=",0)</f>
        <v>#REF!</v>
      </c>
      <c r="FR67" t="e">
        <f>AND(#REF!,"AAAAAHV1Oq0=")</f>
        <v>#REF!</v>
      </c>
      <c r="FS67" t="e">
        <f>AND(#REF!,"AAAAAHV1Oq4=")</f>
        <v>#REF!</v>
      </c>
      <c r="FT67" t="e">
        <f>AND(#REF!,"AAAAAHV1Oq8=")</f>
        <v>#REF!</v>
      </c>
      <c r="FU67" t="e">
        <f>AND(#REF!,"AAAAAHV1OrA=")</f>
        <v>#REF!</v>
      </c>
      <c r="FV67" t="e">
        <f>AND(#REF!,"AAAAAHV1OrE=")</f>
        <v>#REF!</v>
      </c>
      <c r="FW67" t="e">
        <f>AND(#REF!,"AAAAAHV1OrI=")</f>
        <v>#REF!</v>
      </c>
      <c r="FX67" t="e">
        <f>AND(#REF!,"AAAAAHV1OrM=")</f>
        <v>#REF!</v>
      </c>
      <c r="FY67" t="e">
        <f>AND(#REF!,"AAAAAHV1OrQ=")</f>
        <v>#REF!</v>
      </c>
      <c r="FZ67" t="e">
        <f>AND(#REF!,"AAAAAHV1OrU=")</f>
        <v>#REF!</v>
      </c>
      <c r="GA67" t="e">
        <f>AND(#REF!,"AAAAAHV1OrY=")</f>
        <v>#REF!</v>
      </c>
      <c r="GB67" t="e">
        <f>AND(#REF!,"AAAAAHV1Orc=")</f>
        <v>#REF!</v>
      </c>
      <c r="GC67" t="e">
        <f>AND(#REF!,"AAAAAHV1Org=")</f>
        <v>#REF!</v>
      </c>
      <c r="GD67" t="e">
        <f>IF(#REF!,"AAAAAHV1Ork=",0)</f>
        <v>#REF!</v>
      </c>
      <c r="GE67" t="e">
        <f>AND(#REF!,"AAAAAHV1Oro=")</f>
        <v>#REF!</v>
      </c>
      <c r="GF67" t="e">
        <f>AND(#REF!,"AAAAAHV1Ors=")</f>
        <v>#REF!</v>
      </c>
      <c r="GG67" t="e">
        <f>AND(#REF!,"AAAAAHV1Orw=")</f>
        <v>#REF!</v>
      </c>
      <c r="GH67" t="e">
        <f>AND(#REF!,"AAAAAHV1Or0=")</f>
        <v>#REF!</v>
      </c>
      <c r="GI67" t="e">
        <f>AND(#REF!,"AAAAAHV1Or4=")</f>
        <v>#REF!</v>
      </c>
      <c r="GJ67" t="e">
        <f>AND(#REF!,"AAAAAHV1Or8=")</f>
        <v>#REF!</v>
      </c>
      <c r="GK67" t="e">
        <f>AND(#REF!,"AAAAAHV1OsA=")</f>
        <v>#REF!</v>
      </c>
      <c r="GL67" t="e">
        <f>AND(#REF!,"AAAAAHV1OsE=")</f>
        <v>#REF!</v>
      </c>
      <c r="GM67" t="e">
        <f>AND(#REF!,"AAAAAHV1OsI=")</f>
        <v>#REF!</v>
      </c>
      <c r="GN67" t="e">
        <f>AND(#REF!,"AAAAAHV1OsM=")</f>
        <v>#REF!</v>
      </c>
      <c r="GO67" t="e">
        <f>AND(#REF!,"AAAAAHV1OsQ=")</f>
        <v>#REF!</v>
      </c>
      <c r="GP67" t="e">
        <f>AND(#REF!,"AAAAAHV1OsU=")</f>
        <v>#REF!</v>
      </c>
      <c r="GQ67" t="e">
        <f>IF(#REF!,"AAAAAHV1OsY=",0)</f>
        <v>#REF!</v>
      </c>
      <c r="GR67" t="e">
        <f>AND(#REF!,"AAAAAHV1Osc=")</f>
        <v>#REF!</v>
      </c>
      <c r="GS67" t="e">
        <f>AND(#REF!,"AAAAAHV1Osg=")</f>
        <v>#REF!</v>
      </c>
      <c r="GT67" t="e">
        <f>AND(#REF!,"AAAAAHV1Osk=")</f>
        <v>#REF!</v>
      </c>
      <c r="GU67" t="e">
        <f>AND(#REF!,"AAAAAHV1Oso=")</f>
        <v>#REF!</v>
      </c>
      <c r="GV67" t="e">
        <f>AND(#REF!,"AAAAAHV1Oss=")</f>
        <v>#REF!</v>
      </c>
      <c r="GW67" t="e">
        <f>AND(#REF!,"AAAAAHV1Osw=")</f>
        <v>#REF!</v>
      </c>
      <c r="GX67" t="e">
        <f>AND(#REF!,"AAAAAHV1Os0=")</f>
        <v>#REF!</v>
      </c>
      <c r="GY67" t="e">
        <f>AND(#REF!,"AAAAAHV1Os4=")</f>
        <v>#REF!</v>
      </c>
      <c r="GZ67" t="e">
        <f>AND(#REF!,"AAAAAHV1Os8=")</f>
        <v>#REF!</v>
      </c>
      <c r="HA67" t="e">
        <f>AND(#REF!,"AAAAAHV1OtA=")</f>
        <v>#REF!</v>
      </c>
      <c r="HB67" t="e">
        <f>AND(#REF!,"AAAAAHV1OtE=")</f>
        <v>#REF!</v>
      </c>
      <c r="HC67" t="e">
        <f>AND(#REF!,"AAAAAHV1OtI=")</f>
        <v>#REF!</v>
      </c>
      <c r="HD67" t="e">
        <f>IF(#REF!,"AAAAAHV1OtM=",0)</f>
        <v>#REF!</v>
      </c>
      <c r="HE67" t="e">
        <f>AND(#REF!,"AAAAAHV1OtQ=")</f>
        <v>#REF!</v>
      </c>
      <c r="HF67" t="e">
        <f>AND(#REF!,"AAAAAHV1OtU=")</f>
        <v>#REF!</v>
      </c>
      <c r="HG67" t="e">
        <f>AND(#REF!,"AAAAAHV1OtY=")</f>
        <v>#REF!</v>
      </c>
      <c r="HH67" t="e">
        <f>AND(#REF!,"AAAAAHV1Otc=")</f>
        <v>#REF!</v>
      </c>
      <c r="HI67" t="e">
        <f>AND(#REF!,"AAAAAHV1Otg=")</f>
        <v>#REF!</v>
      </c>
      <c r="HJ67" t="e">
        <f>AND(#REF!,"AAAAAHV1Otk=")</f>
        <v>#REF!</v>
      </c>
      <c r="HK67" t="e">
        <f>AND(#REF!,"AAAAAHV1Oto=")</f>
        <v>#REF!</v>
      </c>
      <c r="HL67" t="e">
        <f>AND(#REF!,"AAAAAHV1Ots=")</f>
        <v>#REF!</v>
      </c>
      <c r="HM67" t="e">
        <f>AND(#REF!,"AAAAAHV1Otw=")</f>
        <v>#REF!</v>
      </c>
      <c r="HN67" t="e">
        <f>AND(#REF!,"AAAAAHV1Ot0=")</f>
        <v>#REF!</v>
      </c>
      <c r="HO67" t="e">
        <f>AND(#REF!,"AAAAAHV1Ot4=")</f>
        <v>#REF!</v>
      </c>
      <c r="HP67" t="e">
        <f>AND(#REF!,"AAAAAHV1Ot8=")</f>
        <v>#REF!</v>
      </c>
      <c r="HQ67" t="e">
        <f>IF(#REF!,"AAAAAHV1OuA=",0)</f>
        <v>#REF!</v>
      </c>
      <c r="HR67" t="e">
        <f>AND(#REF!,"AAAAAHV1OuE=")</f>
        <v>#REF!</v>
      </c>
      <c r="HS67" t="e">
        <f>AND(#REF!,"AAAAAHV1OuI=")</f>
        <v>#REF!</v>
      </c>
      <c r="HT67" t="e">
        <f>AND(#REF!,"AAAAAHV1OuM=")</f>
        <v>#REF!</v>
      </c>
      <c r="HU67" t="e">
        <f>AND(#REF!,"AAAAAHV1OuQ=")</f>
        <v>#REF!</v>
      </c>
      <c r="HV67" t="e">
        <f>AND(#REF!,"AAAAAHV1OuU=")</f>
        <v>#REF!</v>
      </c>
      <c r="HW67" t="e">
        <f>AND(#REF!,"AAAAAHV1OuY=")</f>
        <v>#REF!</v>
      </c>
      <c r="HX67" t="e">
        <f>AND(#REF!,"AAAAAHV1Ouc=")</f>
        <v>#REF!</v>
      </c>
      <c r="HY67" t="e">
        <f>AND(#REF!,"AAAAAHV1Oug=")</f>
        <v>#REF!</v>
      </c>
      <c r="HZ67" t="e">
        <f>AND(#REF!,"AAAAAHV1Ouk=")</f>
        <v>#REF!</v>
      </c>
      <c r="IA67" t="e">
        <f>AND(#REF!,"AAAAAHV1Ouo=")</f>
        <v>#REF!</v>
      </c>
      <c r="IB67" t="e">
        <f>AND(#REF!,"AAAAAHV1Ous=")</f>
        <v>#REF!</v>
      </c>
      <c r="IC67" t="e">
        <f>AND(#REF!,"AAAAAHV1Ouw=")</f>
        <v>#REF!</v>
      </c>
      <c r="ID67" t="e">
        <f>IF(#REF!,"AAAAAHV1Ou0=",0)</f>
        <v>#REF!</v>
      </c>
      <c r="IE67" t="e">
        <f>AND(#REF!,"AAAAAHV1Ou4=")</f>
        <v>#REF!</v>
      </c>
      <c r="IF67" t="e">
        <f>AND(#REF!,"AAAAAHV1Ou8=")</f>
        <v>#REF!</v>
      </c>
      <c r="IG67" t="e">
        <f>AND(#REF!,"AAAAAHV1OvA=")</f>
        <v>#REF!</v>
      </c>
      <c r="IH67" t="e">
        <f>AND(#REF!,"AAAAAHV1OvE=")</f>
        <v>#REF!</v>
      </c>
      <c r="II67" t="e">
        <f>AND(#REF!,"AAAAAHV1OvI=")</f>
        <v>#REF!</v>
      </c>
      <c r="IJ67" t="e">
        <f>AND(#REF!,"AAAAAHV1OvM=")</f>
        <v>#REF!</v>
      </c>
      <c r="IK67" t="e">
        <f>AND(#REF!,"AAAAAHV1OvQ=")</f>
        <v>#REF!</v>
      </c>
      <c r="IL67" t="e">
        <f>AND(#REF!,"AAAAAHV1OvU=")</f>
        <v>#REF!</v>
      </c>
      <c r="IM67" t="e">
        <f>AND(#REF!,"AAAAAHV1OvY=")</f>
        <v>#REF!</v>
      </c>
      <c r="IN67" t="e">
        <f>AND(#REF!,"AAAAAHV1Ovc=")</f>
        <v>#REF!</v>
      </c>
      <c r="IO67" t="e">
        <f>AND(#REF!,"AAAAAHV1Ovg=")</f>
        <v>#REF!</v>
      </c>
      <c r="IP67" t="e">
        <f>AND(#REF!,"AAAAAHV1Ovk=")</f>
        <v>#REF!</v>
      </c>
      <c r="IQ67" t="e">
        <f>IF(#REF!,"AAAAAHV1Ovo=",0)</f>
        <v>#REF!</v>
      </c>
      <c r="IR67" t="e">
        <f>AND(#REF!,"AAAAAHV1Ovs=")</f>
        <v>#REF!</v>
      </c>
      <c r="IS67" t="e">
        <f>AND(#REF!,"AAAAAHV1Ovw=")</f>
        <v>#REF!</v>
      </c>
      <c r="IT67" t="e">
        <f>AND(#REF!,"AAAAAHV1Ov0=")</f>
        <v>#REF!</v>
      </c>
      <c r="IU67" t="e">
        <f>AND(#REF!,"AAAAAHV1Ov4=")</f>
        <v>#REF!</v>
      </c>
      <c r="IV67" t="e">
        <f>AND(#REF!,"AAAAAHV1Ov8=")</f>
        <v>#REF!</v>
      </c>
    </row>
    <row r="68" spans="1:256" x14ac:dyDescent="0.35">
      <c r="A68" t="e">
        <f>AND(#REF!,"AAAAAG9X3wA=")</f>
        <v>#REF!</v>
      </c>
      <c r="B68" t="e">
        <f>AND(#REF!,"AAAAAG9X3wE=")</f>
        <v>#REF!</v>
      </c>
      <c r="C68" t="e">
        <f>AND(#REF!,"AAAAAG9X3wI=")</f>
        <v>#REF!</v>
      </c>
      <c r="D68" t="e">
        <f>AND(#REF!,"AAAAAG9X3wM=")</f>
        <v>#REF!</v>
      </c>
      <c r="E68" t="e">
        <f>AND(#REF!,"AAAAAG9X3wQ=")</f>
        <v>#REF!</v>
      </c>
      <c r="F68" t="e">
        <f>AND(#REF!,"AAAAAG9X3wU=")</f>
        <v>#REF!</v>
      </c>
      <c r="G68" t="e">
        <f>AND(#REF!,"AAAAAG9X3wY=")</f>
        <v>#REF!</v>
      </c>
      <c r="H68" t="e">
        <f>IF(#REF!,"AAAAAG9X3wc=",0)</f>
        <v>#REF!</v>
      </c>
      <c r="I68" t="e">
        <f>AND(#REF!,"AAAAAG9X3wg=")</f>
        <v>#REF!</v>
      </c>
      <c r="J68" t="e">
        <f>AND(#REF!,"AAAAAG9X3wk=")</f>
        <v>#REF!</v>
      </c>
      <c r="K68" t="e">
        <f>AND(#REF!,"AAAAAG9X3wo=")</f>
        <v>#REF!</v>
      </c>
      <c r="L68" t="e">
        <f>AND(#REF!,"AAAAAG9X3ws=")</f>
        <v>#REF!</v>
      </c>
      <c r="M68" t="e">
        <f>AND(#REF!,"AAAAAG9X3ww=")</f>
        <v>#REF!</v>
      </c>
      <c r="N68" t="e">
        <f>AND(#REF!,"AAAAAG9X3w0=")</f>
        <v>#REF!</v>
      </c>
      <c r="O68" t="e">
        <f>AND(#REF!,"AAAAAG9X3w4=")</f>
        <v>#REF!</v>
      </c>
      <c r="P68" t="e">
        <f>AND(#REF!,"AAAAAG9X3w8=")</f>
        <v>#REF!</v>
      </c>
      <c r="Q68" t="e">
        <f>AND(#REF!,"AAAAAG9X3xA=")</f>
        <v>#REF!</v>
      </c>
      <c r="R68" t="e">
        <f>AND(#REF!,"AAAAAG9X3xE=")</f>
        <v>#REF!</v>
      </c>
      <c r="S68" t="e">
        <f>AND(#REF!,"AAAAAG9X3xI=")</f>
        <v>#REF!</v>
      </c>
      <c r="T68" t="e">
        <f>AND(#REF!,"AAAAAG9X3xM=")</f>
        <v>#REF!</v>
      </c>
      <c r="U68" t="e">
        <f>IF(#REF!,"AAAAAG9X3xQ=",0)</f>
        <v>#REF!</v>
      </c>
      <c r="V68" t="e">
        <f>AND(#REF!,"AAAAAG9X3xU=")</f>
        <v>#REF!</v>
      </c>
      <c r="W68" t="e">
        <f>AND(#REF!,"AAAAAG9X3xY=")</f>
        <v>#REF!</v>
      </c>
      <c r="X68" t="e">
        <f>AND(#REF!,"AAAAAG9X3xc=")</f>
        <v>#REF!</v>
      </c>
      <c r="Y68" t="e">
        <f>AND(#REF!,"AAAAAG9X3xg=")</f>
        <v>#REF!</v>
      </c>
      <c r="Z68" t="e">
        <f>AND(#REF!,"AAAAAG9X3xk=")</f>
        <v>#REF!</v>
      </c>
      <c r="AA68" t="e">
        <f>AND(#REF!,"AAAAAG9X3xo=")</f>
        <v>#REF!</v>
      </c>
      <c r="AB68" t="e">
        <f>AND(#REF!,"AAAAAG9X3xs=")</f>
        <v>#REF!</v>
      </c>
      <c r="AC68" t="e">
        <f>AND(#REF!,"AAAAAG9X3xw=")</f>
        <v>#REF!</v>
      </c>
      <c r="AD68" t="e">
        <f>AND(#REF!,"AAAAAG9X3x0=")</f>
        <v>#REF!</v>
      </c>
      <c r="AE68" t="e">
        <f>AND(#REF!,"AAAAAG9X3x4=")</f>
        <v>#REF!</v>
      </c>
      <c r="AF68" t="e">
        <f>AND(#REF!,"AAAAAG9X3x8=")</f>
        <v>#REF!</v>
      </c>
      <c r="AG68" t="e">
        <f>AND(#REF!,"AAAAAG9X3yA=")</f>
        <v>#REF!</v>
      </c>
      <c r="AH68" t="e">
        <f>IF(#REF!,"AAAAAG9X3yE=",0)</f>
        <v>#REF!</v>
      </c>
      <c r="AI68" t="e">
        <f>AND(#REF!,"AAAAAG9X3yI=")</f>
        <v>#REF!</v>
      </c>
      <c r="AJ68" t="e">
        <f>AND(#REF!,"AAAAAG9X3yM=")</f>
        <v>#REF!</v>
      </c>
      <c r="AK68" t="e">
        <f>AND(#REF!,"AAAAAG9X3yQ=")</f>
        <v>#REF!</v>
      </c>
      <c r="AL68" t="e">
        <f>AND(#REF!,"AAAAAG9X3yU=")</f>
        <v>#REF!</v>
      </c>
      <c r="AM68" t="e">
        <f>AND(#REF!,"AAAAAG9X3yY=")</f>
        <v>#REF!</v>
      </c>
      <c r="AN68" t="e">
        <f>AND(#REF!,"AAAAAG9X3yc=")</f>
        <v>#REF!</v>
      </c>
      <c r="AO68" t="e">
        <f>AND(#REF!,"AAAAAG9X3yg=")</f>
        <v>#REF!</v>
      </c>
      <c r="AP68" t="e">
        <f>AND(#REF!,"AAAAAG9X3yk=")</f>
        <v>#REF!</v>
      </c>
      <c r="AQ68" t="e">
        <f>AND(#REF!,"AAAAAG9X3yo=")</f>
        <v>#REF!</v>
      </c>
      <c r="AR68" t="e">
        <f>AND(#REF!,"AAAAAG9X3ys=")</f>
        <v>#REF!</v>
      </c>
      <c r="AS68" t="e">
        <f>AND(#REF!,"AAAAAG9X3yw=")</f>
        <v>#REF!</v>
      </c>
      <c r="AT68" t="e">
        <f>AND(#REF!,"AAAAAG9X3y0=")</f>
        <v>#REF!</v>
      </c>
      <c r="AU68" t="e">
        <f>IF(#REF!,"AAAAAG9X3y4=",0)</f>
        <v>#REF!</v>
      </c>
      <c r="AV68" t="e">
        <f>AND(#REF!,"AAAAAG9X3y8=")</f>
        <v>#REF!</v>
      </c>
      <c r="AW68" t="e">
        <f>AND(#REF!,"AAAAAG9X3zA=")</f>
        <v>#REF!</v>
      </c>
      <c r="AX68" t="e">
        <f>AND(#REF!,"AAAAAG9X3zE=")</f>
        <v>#REF!</v>
      </c>
      <c r="AY68" t="e">
        <f>AND(#REF!,"AAAAAG9X3zI=")</f>
        <v>#REF!</v>
      </c>
      <c r="AZ68" t="e">
        <f>AND(#REF!,"AAAAAG9X3zM=")</f>
        <v>#REF!</v>
      </c>
      <c r="BA68" t="e">
        <f>AND(#REF!,"AAAAAG9X3zQ=")</f>
        <v>#REF!</v>
      </c>
      <c r="BB68" t="e">
        <f>AND(#REF!,"AAAAAG9X3zU=")</f>
        <v>#REF!</v>
      </c>
      <c r="BC68" t="e">
        <f>AND(#REF!,"AAAAAG9X3zY=")</f>
        <v>#REF!</v>
      </c>
      <c r="BD68" t="e">
        <f>AND(#REF!,"AAAAAG9X3zc=")</f>
        <v>#REF!</v>
      </c>
      <c r="BE68" t="e">
        <f>AND(#REF!,"AAAAAG9X3zg=")</f>
        <v>#REF!</v>
      </c>
      <c r="BF68" t="e">
        <f>AND(#REF!,"AAAAAG9X3zk=")</f>
        <v>#REF!</v>
      </c>
      <c r="BG68" t="e">
        <f>AND(#REF!,"AAAAAG9X3zo=")</f>
        <v>#REF!</v>
      </c>
      <c r="BH68" t="e">
        <f>IF(#REF!,"AAAAAG9X3zs=",0)</f>
        <v>#REF!</v>
      </c>
      <c r="BI68" t="e">
        <f>AND(#REF!,"AAAAAG9X3zw=")</f>
        <v>#REF!</v>
      </c>
      <c r="BJ68" t="e">
        <f>AND(#REF!,"AAAAAG9X3z0=")</f>
        <v>#REF!</v>
      </c>
      <c r="BK68" t="e">
        <f>AND(#REF!,"AAAAAG9X3z4=")</f>
        <v>#REF!</v>
      </c>
      <c r="BL68" t="e">
        <f>AND(#REF!,"AAAAAG9X3z8=")</f>
        <v>#REF!</v>
      </c>
      <c r="BM68" t="e">
        <f>AND(#REF!,"AAAAAG9X30A=")</f>
        <v>#REF!</v>
      </c>
      <c r="BN68" t="e">
        <f>AND(#REF!,"AAAAAG9X30E=")</f>
        <v>#REF!</v>
      </c>
      <c r="BO68" t="e">
        <f>AND(#REF!,"AAAAAG9X30I=")</f>
        <v>#REF!</v>
      </c>
      <c r="BP68" t="e">
        <f>AND(#REF!,"AAAAAG9X30M=")</f>
        <v>#REF!</v>
      </c>
      <c r="BQ68" t="e">
        <f>AND(#REF!,"AAAAAG9X30Q=")</f>
        <v>#REF!</v>
      </c>
      <c r="BR68" t="e">
        <f>AND(#REF!,"AAAAAG9X30U=")</f>
        <v>#REF!</v>
      </c>
      <c r="BS68" t="e">
        <f>AND(#REF!,"AAAAAG9X30Y=")</f>
        <v>#REF!</v>
      </c>
      <c r="BT68" t="e">
        <f>AND(#REF!,"AAAAAG9X30c=")</f>
        <v>#REF!</v>
      </c>
      <c r="BU68" t="e">
        <f>IF(#REF!,"AAAAAG9X30g=",0)</f>
        <v>#REF!</v>
      </c>
      <c r="BV68" t="e">
        <f>AND(#REF!,"AAAAAG9X30k=")</f>
        <v>#REF!</v>
      </c>
      <c r="BW68" t="e">
        <f>AND(#REF!,"AAAAAG9X30o=")</f>
        <v>#REF!</v>
      </c>
      <c r="BX68" t="e">
        <f>AND(#REF!,"AAAAAG9X30s=")</f>
        <v>#REF!</v>
      </c>
      <c r="BY68" t="e">
        <f>AND(#REF!,"AAAAAG9X30w=")</f>
        <v>#REF!</v>
      </c>
      <c r="BZ68" t="e">
        <f>AND(#REF!,"AAAAAG9X300=")</f>
        <v>#REF!</v>
      </c>
      <c r="CA68" t="e">
        <f>AND(#REF!,"AAAAAG9X304=")</f>
        <v>#REF!</v>
      </c>
      <c r="CB68" t="e">
        <f>AND(#REF!,"AAAAAG9X308=")</f>
        <v>#REF!</v>
      </c>
      <c r="CC68" t="e">
        <f>AND(#REF!,"AAAAAG9X31A=")</f>
        <v>#REF!</v>
      </c>
      <c r="CD68" t="e">
        <f>AND(#REF!,"AAAAAG9X31E=")</f>
        <v>#REF!</v>
      </c>
      <c r="CE68" t="e">
        <f>AND(#REF!,"AAAAAG9X31I=")</f>
        <v>#REF!</v>
      </c>
      <c r="CF68" t="e">
        <f>AND(#REF!,"AAAAAG9X31M=")</f>
        <v>#REF!</v>
      </c>
      <c r="CG68" t="e">
        <f>AND(#REF!,"AAAAAG9X31Q=")</f>
        <v>#REF!</v>
      </c>
      <c r="CH68" t="e">
        <f>IF(#REF!,"AAAAAG9X31U=",0)</f>
        <v>#REF!</v>
      </c>
      <c r="CI68" t="e">
        <f>AND(#REF!,"AAAAAG9X31Y=")</f>
        <v>#REF!</v>
      </c>
      <c r="CJ68" t="e">
        <f>AND(#REF!,"AAAAAG9X31c=")</f>
        <v>#REF!</v>
      </c>
      <c r="CK68" t="e">
        <f>AND(#REF!,"AAAAAG9X31g=")</f>
        <v>#REF!</v>
      </c>
      <c r="CL68" t="e">
        <f>AND(#REF!,"AAAAAG9X31k=")</f>
        <v>#REF!</v>
      </c>
      <c r="CM68" t="e">
        <f>AND(#REF!,"AAAAAG9X31o=")</f>
        <v>#REF!</v>
      </c>
      <c r="CN68" t="e">
        <f>AND(#REF!,"AAAAAG9X31s=")</f>
        <v>#REF!</v>
      </c>
      <c r="CO68" t="e">
        <f>AND(#REF!,"AAAAAG9X31w=")</f>
        <v>#REF!</v>
      </c>
      <c r="CP68" t="e">
        <f>AND(#REF!,"AAAAAG9X310=")</f>
        <v>#REF!</v>
      </c>
      <c r="CQ68" t="e">
        <f>AND(#REF!,"AAAAAG9X314=")</f>
        <v>#REF!</v>
      </c>
      <c r="CR68" t="e">
        <f>AND(#REF!,"AAAAAG9X318=")</f>
        <v>#REF!</v>
      </c>
      <c r="CS68" t="e">
        <f>AND(#REF!,"AAAAAG9X32A=")</f>
        <v>#REF!</v>
      </c>
      <c r="CT68" t="e">
        <f>AND(#REF!,"AAAAAG9X32E=")</f>
        <v>#REF!</v>
      </c>
      <c r="CU68" t="e">
        <f>IF(#REF!,"AAAAAG9X32I=",0)</f>
        <v>#REF!</v>
      </c>
      <c r="CV68" t="e">
        <f>AND(#REF!,"AAAAAG9X32M=")</f>
        <v>#REF!</v>
      </c>
      <c r="CW68" t="e">
        <f>AND(#REF!,"AAAAAG9X32Q=")</f>
        <v>#REF!</v>
      </c>
      <c r="CX68" t="e">
        <f>AND(#REF!,"AAAAAG9X32U=")</f>
        <v>#REF!</v>
      </c>
      <c r="CY68" t="e">
        <f>AND(#REF!,"AAAAAG9X32Y=")</f>
        <v>#REF!</v>
      </c>
      <c r="CZ68" t="e">
        <f>AND(#REF!,"AAAAAG9X32c=")</f>
        <v>#REF!</v>
      </c>
      <c r="DA68" t="e">
        <f>AND(#REF!,"AAAAAG9X32g=")</f>
        <v>#REF!</v>
      </c>
      <c r="DB68" t="e">
        <f>AND(#REF!,"AAAAAG9X32k=")</f>
        <v>#REF!</v>
      </c>
      <c r="DC68" t="e">
        <f>AND(#REF!,"AAAAAG9X32o=")</f>
        <v>#REF!</v>
      </c>
      <c r="DD68" t="e">
        <f>AND(#REF!,"AAAAAG9X32s=")</f>
        <v>#REF!</v>
      </c>
      <c r="DE68" t="e">
        <f>AND(#REF!,"AAAAAG9X32w=")</f>
        <v>#REF!</v>
      </c>
      <c r="DF68" t="e">
        <f>AND(#REF!,"AAAAAG9X320=")</f>
        <v>#REF!</v>
      </c>
      <c r="DG68" t="e">
        <f>AND(#REF!,"AAAAAG9X324=")</f>
        <v>#REF!</v>
      </c>
      <c r="DH68" t="e">
        <f>IF(#REF!,"AAAAAG9X328=",0)</f>
        <v>#REF!</v>
      </c>
      <c r="DI68" t="e">
        <f>AND(#REF!,"AAAAAG9X33A=")</f>
        <v>#REF!</v>
      </c>
      <c r="DJ68" t="e">
        <f>AND(#REF!,"AAAAAG9X33E=")</f>
        <v>#REF!</v>
      </c>
      <c r="DK68" t="e">
        <f>AND(#REF!,"AAAAAG9X33I=")</f>
        <v>#REF!</v>
      </c>
      <c r="DL68" t="e">
        <f>AND(#REF!,"AAAAAG9X33M=")</f>
        <v>#REF!</v>
      </c>
      <c r="DM68" t="e">
        <f>AND(#REF!,"AAAAAG9X33Q=")</f>
        <v>#REF!</v>
      </c>
      <c r="DN68" t="e">
        <f>AND(#REF!,"AAAAAG9X33U=")</f>
        <v>#REF!</v>
      </c>
      <c r="DO68" t="e">
        <f>AND(#REF!,"AAAAAG9X33Y=")</f>
        <v>#REF!</v>
      </c>
      <c r="DP68" t="e">
        <f>AND(#REF!,"AAAAAG9X33c=")</f>
        <v>#REF!</v>
      </c>
      <c r="DQ68" t="e">
        <f>AND(#REF!,"AAAAAG9X33g=")</f>
        <v>#REF!</v>
      </c>
      <c r="DR68" t="e">
        <f>AND(#REF!,"AAAAAG9X33k=")</f>
        <v>#REF!</v>
      </c>
      <c r="DS68" t="e">
        <f>AND(#REF!,"AAAAAG9X33o=")</f>
        <v>#REF!</v>
      </c>
      <c r="DT68" t="e">
        <f>AND(#REF!,"AAAAAG9X33s=")</f>
        <v>#REF!</v>
      </c>
      <c r="DU68" t="e">
        <f>IF(#REF!,"AAAAAG9X33w=",0)</f>
        <v>#REF!</v>
      </c>
      <c r="DV68" t="e">
        <f>AND(#REF!,"AAAAAG9X330=")</f>
        <v>#REF!</v>
      </c>
      <c r="DW68" t="e">
        <f>AND(#REF!,"AAAAAG9X334=")</f>
        <v>#REF!</v>
      </c>
      <c r="DX68" t="e">
        <f>AND(#REF!,"AAAAAG9X338=")</f>
        <v>#REF!</v>
      </c>
      <c r="DY68" t="e">
        <f>AND(#REF!,"AAAAAG9X34A=")</f>
        <v>#REF!</v>
      </c>
      <c r="DZ68" t="e">
        <f>AND(#REF!,"AAAAAG9X34E=")</f>
        <v>#REF!</v>
      </c>
      <c r="EA68" t="e">
        <f>AND(#REF!,"AAAAAG9X34I=")</f>
        <v>#REF!</v>
      </c>
      <c r="EB68" t="e">
        <f>AND(#REF!,"AAAAAG9X34M=")</f>
        <v>#REF!</v>
      </c>
      <c r="EC68" t="e">
        <f>AND(#REF!,"AAAAAG9X34Q=")</f>
        <v>#REF!</v>
      </c>
      <c r="ED68" t="e">
        <f>AND(#REF!,"AAAAAG9X34U=")</f>
        <v>#REF!</v>
      </c>
      <c r="EE68" t="e">
        <f>AND(#REF!,"AAAAAG9X34Y=")</f>
        <v>#REF!</v>
      </c>
      <c r="EF68" t="e">
        <f>AND(#REF!,"AAAAAG9X34c=")</f>
        <v>#REF!</v>
      </c>
      <c r="EG68" t="e">
        <f>AND(#REF!,"AAAAAG9X34g=")</f>
        <v>#REF!</v>
      </c>
      <c r="EH68" t="e">
        <f>IF(#REF!,"AAAAAG9X34k=",0)</f>
        <v>#REF!</v>
      </c>
      <c r="EI68" t="e">
        <f>AND(#REF!,"AAAAAG9X34o=")</f>
        <v>#REF!</v>
      </c>
      <c r="EJ68" t="e">
        <f>AND(#REF!,"AAAAAG9X34s=")</f>
        <v>#REF!</v>
      </c>
      <c r="EK68" t="e">
        <f>AND(#REF!,"AAAAAG9X34w=")</f>
        <v>#REF!</v>
      </c>
      <c r="EL68" t="e">
        <f>AND(#REF!,"AAAAAG9X340=")</f>
        <v>#REF!</v>
      </c>
      <c r="EM68" t="e">
        <f>AND(#REF!,"AAAAAG9X344=")</f>
        <v>#REF!</v>
      </c>
      <c r="EN68" t="e">
        <f>AND(#REF!,"AAAAAG9X348=")</f>
        <v>#REF!</v>
      </c>
      <c r="EO68" t="e">
        <f>AND(#REF!,"AAAAAG9X35A=")</f>
        <v>#REF!</v>
      </c>
      <c r="EP68" t="e">
        <f>AND(#REF!,"AAAAAG9X35E=")</f>
        <v>#REF!</v>
      </c>
      <c r="EQ68" t="e">
        <f>AND(#REF!,"AAAAAG9X35I=")</f>
        <v>#REF!</v>
      </c>
      <c r="ER68" t="e">
        <f>AND(#REF!,"AAAAAG9X35M=")</f>
        <v>#REF!</v>
      </c>
      <c r="ES68" t="e">
        <f>AND(#REF!,"AAAAAG9X35Q=")</f>
        <v>#REF!</v>
      </c>
      <c r="ET68" t="e">
        <f>AND(#REF!,"AAAAAG9X35U=")</f>
        <v>#REF!</v>
      </c>
      <c r="EU68" t="e">
        <f>IF(#REF!,"AAAAAG9X35Y=",0)</f>
        <v>#REF!</v>
      </c>
      <c r="EV68" t="e">
        <f>AND(#REF!,"AAAAAG9X35c=")</f>
        <v>#REF!</v>
      </c>
      <c r="EW68" t="e">
        <f>AND(#REF!,"AAAAAG9X35g=")</f>
        <v>#REF!</v>
      </c>
      <c r="EX68" t="e">
        <f>AND(#REF!,"AAAAAG9X35k=")</f>
        <v>#REF!</v>
      </c>
      <c r="EY68" t="e">
        <f>AND(#REF!,"AAAAAG9X35o=")</f>
        <v>#REF!</v>
      </c>
      <c r="EZ68" t="e">
        <f>AND(#REF!,"AAAAAG9X35s=")</f>
        <v>#REF!</v>
      </c>
      <c r="FA68" t="e">
        <f>AND(#REF!,"AAAAAG9X35w=")</f>
        <v>#REF!</v>
      </c>
      <c r="FB68" t="e">
        <f>AND(#REF!,"AAAAAG9X350=")</f>
        <v>#REF!</v>
      </c>
      <c r="FC68" t="e">
        <f>AND(#REF!,"AAAAAG9X354=")</f>
        <v>#REF!</v>
      </c>
      <c r="FD68" t="e">
        <f>AND(#REF!,"AAAAAG9X358=")</f>
        <v>#REF!</v>
      </c>
      <c r="FE68" t="e">
        <f>AND(#REF!,"AAAAAG9X36A=")</f>
        <v>#REF!</v>
      </c>
      <c r="FF68" t="e">
        <f>AND(#REF!,"AAAAAG9X36E=")</f>
        <v>#REF!</v>
      </c>
      <c r="FG68" t="e">
        <f>AND(#REF!,"AAAAAG9X36I=")</f>
        <v>#REF!</v>
      </c>
      <c r="FH68" t="e">
        <f>IF(#REF!,"AAAAAG9X36M=",0)</f>
        <v>#REF!</v>
      </c>
      <c r="FI68" t="e">
        <f>AND(#REF!,"AAAAAG9X36Q=")</f>
        <v>#REF!</v>
      </c>
      <c r="FJ68" t="e">
        <f>AND(#REF!,"AAAAAG9X36U=")</f>
        <v>#REF!</v>
      </c>
      <c r="FK68" t="e">
        <f>AND(#REF!,"AAAAAG9X36Y=")</f>
        <v>#REF!</v>
      </c>
      <c r="FL68" t="e">
        <f>AND(#REF!,"AAAAAG9X36c=")</f>
        <v>#REF!</v>
      </c>
      <c r="FM68" t="e">
        <f>AND(#REF!,"AAAAAG9X36g=")</f>
        <v>#REF!</v>
      </c>
      <c r="FN68" t="e">
        <f>AND(#REF!,"AAAAAG9X36k=")</f>
        <v>#REF!</v>
      </c>
      <c r="FO68" t="e">
        <f>AND(#REF!,"AAAAAG9X36o=")</f>
        <v>#REF!</v>
      </c>
      <c r="FP68" t="e">
        <f>AND(#REF!,"AAAAAG9X36s=")</f>
        <v>#REF!</v>
      </c>
      <c r="FQ68" t="e">
        <f>AND(#REF!,"AAAAAG9X36w=")</f>
        <v>#REF!</v>
      </c>
      <c r="FR68" t="e">
        <f>AND(#REF!,"AAAAAG9X360=")</f>
        <v>#REF!</v>
      </c>
      <c r="FS68" t="e">
        <f>AND(#REF!,"AAAAAG9X364=")</f>
        <v>#REF!</v>
      </c>
      <c r="FT68" t="e">
        <f>AND(#REF!,"AAAAAG9X368=")</f>
        <v>#REF!</v>
      </c>
      <c r="FU68" t="e">
        <f>IF(#REF!,"AAAAAG9X37A=",0)</f>
        <v>#REF!</v>
      </c>
      <c r="FV68" t="e">
        <f>AND(#REF!,"AAAAAG9X37E=")</f>
        <v>#REF!</v>
      </c>
      <c r="FW68" t="e">
        <f>AND(#REF!,"AAAAAG9X37I=")</f>
        <v>#REF!</v>
      </c>
      <c r="FX68" t="e">
        <f>AND(#REF!,"AAAAAG9X37M=")</f>
        <v>#REF!</v>
      </c>
      <c r="FY68" t="e">
        <f>AND(#REF!,"AAAAAG9X37Q=")</f>
        <v>#REF!</v>
      </c>
      <c r="FZ68" t="e">
        <f>AND(#REF!,"AAAAAG9X37U=")</f>
        <v>#REF!</v>
      </c>
      <c r="GA68" t="e">
        <f>AND(#REF!,"AAAAAG9X37Y=")</f>
        <v>#REF!</v>
      </c>
      <c r="GB68" t="e">
        <f>AND(#REF!,"AAAAAG9X37c=")</f>
        <v>#REF!</v>
      </c>
      <c r="GC68" t="e">
        <f>AND(#REF!,"AAAAAG9X37g=")</f>
        <v>#REF!</v>
      </c>
      <c r="GD68" t="e">
        <f>AND(#REF!,"AAAAAG9X37k=")</f>
        <v>#REF!</v>
      </c>
      <c r="GE68" t="e">
        <f>AND(#REF!,"AAAAAG9X37o=")</f>
        <v>#REF!</v>
      </c>
      <c r="GF68" t="e">
        <f>AND(#REF!,"AAAAAG9X37s=")</f>
        <v>#REF!</v>
      </c>
      <c r="GG68" t="e">
        <f>AND(#REF!,"AAAAAG9X37w=")</f>
        <v>#REF!</v>
      </c>
      <c r="GH68" t="e">
        <f>IF(#REF!,"AAAAAG9X370=",0)</f>
        <v>#REF!</v>
      </c>
      <c r="GI68" t="e">
        <f>AND(#REF!,"AAAAAG9X374=")</f>
        <v>#REF!</v>
      </c>
      <c r="GJ68" t="e">
        <f>AND(#REF!,"AAAAAG9X378=")</f>
        <v>#REF!</v>
      </c>
      <c r="GK68" t="e">
        <f>AND(#REF!,"AAAAAG9X38A=")</f>
        <v>#REF!</v>
      </c>
      <c r="GL68" t="e">
        <f>AND(#REF!,"AAAAAG9X38E=")</f>
        <v>#REF!</v>
      </c>
      <c r="GM68" t="e">
        <f>AND(#REF!,"AAAAAG9X38I=")</f>
        <v>#REF!</v>
      </c>
      <c r="GN68" t="e">
        <f>AND(#REF!,"AAAAAG9X38M=")</f>
        <v>#REF!</v>
      </c>
      <c r="GO68" t="e">
        <f>AND(#REF!,"AAAAAG9X38Q=")</f>
        <v>#REF!</v>
      </c>
      <c r="GP68" t="e">
        <f>AND(#REF!,"AAAAAG9X38U=")</f>
        <v>#REF!</v>
      </c>
      <c r="GQ68" t="e">
        <f>AND(#REF!,"AAAAAG9X38Y=")</f>
        <v>#REF!</v>
      </c>
      <c r="GR68" t="e">
        <f>AND(#REF!,"AAAAAG9X38c=")</f>
        <v>#REF!</v>
      </c>
      <c r="GS68" t="e">
        <f>AND(#REF!,"AAAAAG9X38g=")</f>
        <v>#REF!</v>
      </c>
      <c r="GT68" t="e">
        <f>AND(#REF!,"AAAAAG9X38k=")</f>
        <v>#REF!</v>
      </c>
      <c r="GU68" t="e">
        <f>IF(#REF!,"AAAAAG9X38o=",0)</f>
        <v>#REF!</v>
      </c>
      <c r="GV68" t="e">
        <f>AND(#REF!,"AAAAAG9X38s=")</f>
        <v>#REF!</v>
      </c>
      <c r="GW68" t="e">
        <f>AND(#REF!,"AAAAAG9X38w=")</f>
        <v>#REF!</v>
      </c>
      <c r="GX68" t="e">
        <f>AND(#REF!,"AAAAAG9X380=")</f>
        <v>#REF!</v>
      </c>
      <c r="GY68" t="e">
        <f>AND(#REF!,"AAAAAG9X384=")</f>
        <v>#REF!</v>
      </c>
      <c r="GZ68" t="e">
        <f>AND(#REF!,"AAAAAG9X388=")</f>
        <v>#REF!</v>
      </c>
      <c r="HA68" t="e">
        <f>AND(#REF!,"AAAAAG9X39A=")</f>
        <v>#REF!</v>
      </c>
      <c r="HB68" t="e">
        <f>AND(#REF!,"AAAAAG9X39E=")</f>
        <v>#REF!</v>
      </c>
      <c r="HC68" t="e">
        <f>AND(#REF!,"AAAAAG9X39I=")</f>
        <v>#REF!</v>
      </c>
      <c r="HD68" t="e">
        <f>AND(#REF!,"AAAAAG9X39M=")</f>
        <v>#REF!</v>
      </c>
      <c r="HE68" t="e">
        <f>AND(#REF!,"AAAAAG9X39Q=")</f>
        <v>#REF!</v>
      </c>
      <c r="HF68" t="e">
        <f>AND(#REF!,"AAAAAG9X39U=")</f>
        <v>#REF!</v>
      </c>
      <c r="HG68" t="e">
        <f>AND(#REF!,"AAAAAG9X39Y=")</f>
        <v>#REF!</v>
      </c>
      <c r="HH68" t="e">
        <f>IF(#REF!,"AAAAAG9X39c=",0)</f>
        <v>#REF!</v>
      </c>
      <c r="HI68" t="e">
        <f>AND(#REF!,"AAAAAG9X39g=")</f>
        <v>#REF!</v>
      </c>
      <c r="HJ68" t="e">
        <f>AND(#REF!,"AAAAAG9X39k=")</f>
        <v>#REF!</v>
      </c>
      <c r="HK68" t="e">
        <f>AND(#REF!,"AAAAAG9X39o=")</f>
        <v>#REF!</v>
      </c>
      <c r="HL68" t="e">
        <f>AND(#REF!,"AAAAAG9X39s=")</f>
        <v>#REF!</v>
      </c>
      <c r="HM68" t="e">
        <f>AND(#REF!,"AAAAAG9X39w=")</f>
        <v>#REF!</v>
      </c>
      <c r="HN68" t="e">
        <f>AND(#REF!,"AAAAAG9X390=")</f>
        <v>#REF!</v>
      </c>
      <c r="HO68" t="e">
        <f>AND(#REF!,"AAAAAG9X394=")</f>
        <v>#REF!</v>
      </c>
      <c r="HP68" t="e">
        <f>AND(#REF!,"AAAAAG9X398=")</f>
        <v>#REF!</v>
      </c>
      <c r="HQ68" t="e">
        <f>AND(#REF!,"AAAAAG9X3+A=")</f>
        <v>#REF!</v>
      </c>
      <c r="HR68" t="e">
        <f>AND(#REF!,"AAAAAG9X3+E=")</f>
        <v>#REF!</v>
      </c>
      <c r="HS68" t="e">
        <f>AND(#REF!,"AAAAAG9X3+I=")</f>
        <v>#REF!</v>
      </c>
      <c r="HT68" t="e">
        <f>AND(#REF!,"AAAAAG9X3+M=")</f>
        <v>#REF!</v>
      </c>
      <c r="HU68" t="e">
        <f>IF(#REF!,"AAAAAG9X3+Q=",0)</f>
        <v>#REF!</v>
      </c>
      <c r="HV68" t="e">
        <f>AND(#REF!,"AAAAAG9X3+U=")</f>
        <v>#REF!</v>
      </c>
      <c r="HW68" t="e">
        <f>AND(#REF!,"AAAAAG9X3+Y=")</f>
        <v>#REF!</v>
      </c>
      <c r="HX68" t="e">
        <f>AND(#REF!,"AAAAAG9X3+c=")</f>
        <v>#REF!</v>
      </c>
      <c r="HY68" t="e">
        <f>AND(#REF!,"AAAAAG9X3+g=")</f>
        <v>#REF!</v>
      </c>
      <c r="HZ68" t="e">
        <f>AND(#REF!,"AAAAAG9X3+k=")</f>
        <v>#REF!</v>
      </c>
      <c r="IA68" t="e">
        <f>AND(#REF!,"AAAAAG9X3+o=")</f>
        <v>#REF!</v>
      </c>
      <c r="IB68" t="e">
        <f>AND(#REF!,"AAAAAG9X3+s=")</f>
        <v>#REF!</v>
      </c>
      <c r="IC68" t="e">
        <f>AND(#REF!,"AAAAAG9X3+w=")</f>
        <v>#REF!</v>
      </c>
      <c r="ID68" t="e">
        <f>AND(#REF!,"AAAAAG9X3+0=")</f>
        <v>#REF!</v>
      </c>
      <c r="IE68" t="e">
        <f>AND(#REF!,"AAAAAG9X3+4=")</f>
        <v>#REF!</v>
      </c>
      <c r="IF68" t="e">
        <f>AND(#REF!,"AAAAAG9X3+8=")</f>
        <v>#REF!</v>
      </c>
      <c r="IG68" t="e">
        <f>AND(#REF!,"AAAAAG9X3/A=")</f>
        <v>#REF!</v>
      </c>
      <c r="IH68" t="e">
        <f>IF(#REF!,"AAAAAG9X3/E=",0)</f>
        <v>#REF!</v>
      </c>
      <c r="II68" t="e">
        <f>AND(#REF!,"AAAAAG9X3/I=")</f>
        <v>#REF!</v>
      </c>
      <c r="IJ68" t="e">
        <f>AND(#REF!,"AAAAAG9X3/M=")</f>
        <v>#REF!</v>
      </c>
      <c r="IK68" t="e">
        <f>AND(#REF!,"AAAAAG9X3/Q=")</f>
        <v>#REF!</v>
      </c>
      <c r="IL68" t="e">
        <f>AND(#REF!,"AAAAAG9X3/U=")</f>
        <v>#REF!</v>
      </c>
      <c r="IM68" t="e">
        <f>AND(#REF!,"AAAAAG9X3/Y=")</f>
        <v>#REF!</v>
      </c>
      <c r="IN68" t="e">
        <f>AND(#REF!,"AAAAAG9X3/c=")</f>
        <v>#REF!</v>
      </c>
      <c r="IO68" t="e">
        <f>AND(#REF!,"AAAAAG9X3/g=")</f>
        <v>#REF!</v>
      </c>
      <c r="IP68" t="e">
        <f>AND(#REF!,"AAAAAG9X3/k=")</f>
        <v>#REF!</v>
      </c>
      <c r="IQ68" t="e">
        <f>AND(#REF!,"AAAAAG9X3/o=")</f>
        <v>#REF!</v>
      </c>
      <c r="IR68" t="e">
        <f>AND(#REF!,"AAAAAG9X3/s=")</f>
        <v>#REF!</v>
      </c>
      <c r="IS68" t="e">
        <f>AND(#REF!,"AAAAAG9X3/w=")</f>
        <v>#REF!</v>
      </c>
      <c r="IT68" t="e">
        <f>AND(#REF!,"AAAAAG9X3/0=")</f>
        <v>#REF!</v>
      </c>
      <c r="IU68" t="e">
        <f>IF(#REF!,"AAAAAG9X3/4=",0)</f>
        <v>#REF!</v>
      </c>
      <c r="IV68" t="e">
        <f>AND(#REF!,"AAAAAG9X3/8=")</f>
        <v>#REF!</v>
      </c>
    </row>
    <row r="69" spans="1:256" x14ac:dyDescent="0.35">
      <c r="A69" t="e">
        <f>AND(#REF!,"AAAAAH+u/wA=")</f>
        <v>#REF!</v>
      </c>
      <c r="B69" t="e">
        <f>AND(#REF!,"AAAAAH+u/wE=")</f>
        <v>#REF!</v>
      </c>
      <c r="C69" t="e">
        <f>AND(#REF!,"AAAAAH+u/wI=")</f>
        <v>#REF!</v>
      </c>
      <c r="D69" t="e">
        <f>AND(#REF!,"AAAAAH+u/wM=")</f>
        <v>#REF!</v>
      </c>
      <c r="E69" t="e">
        <f>AND(#REF!,"AAAAAH+u/wQ=")</f>
        <v>#REF!</v>
      </c>
      <c r="F69" t="e">
        <f>AND(#REF!,"AAAAAH+u/wU=")</f>
        <v>#REF!</v>
      </c>
      <c r="G69" t="e">
        <f>AND(#REF!,"AAAAAH+u/wY=")</f>
        <v>#REF!</v>
      </c>
      <c r="H69" t="e">
        <f>AND(#REF!,"AAAAAH+u/wc=")</f>
        <v>#REF!</v>
      </c>
      <c r="I69" t="e">
        <f>AND(#REF!,"AAAAAH+u/wg=")</f>
        <v>#REF!</v>
      </c>
      <c r="J69" t="e">
        <f>AND(#REF!,"AAAAAH+u/wk=")</f>
        <v>#REF!</v>
      </c>
      <c r="K69" t="e">
        <f>AND(#REF!,"AAAAAH+u/wo=")</f>
        <v>#REF!</v>
      </c>
      <c r="L69" t="e">
        <f>IF(#REF!,"AAAAAH+u/ws=",0)</f>
        <v>#REF!</v>
      </c>
      <c r="M69" t="e">
        <f>AND(#REF!,"AAAAAH+u/ww=")</f>
        <v>#REF!</v>
      </c>
      <c r="N69" t="e">
        <f>AND(#REF!,"AAAAAH+u/w0=")</f>
        <v>#REF!</v>
      </c>
      <c r="O69" t="e">
        <f>AND(#REF!,"AAAAAH+u/w4=")</f>
        <v>#REF!</v>
      </c>
      <c r="P69" t="e">
        <f>AND(#REF!,"AAAAAH+u/w8=")</f>
        <v>#REF!</v>
      </c>
      <c r="Q69" t="e">
        <f>AND(#REF!,"AAAAAH+u/xA=")</f>
        <v>#REF!</v>
      </c>
      <c r="R69" t="e">
        <f>AND(#REF!,"AAAAAH+u/xE=")</f>
        <v>#REF!</v>
      </c>
      <c r="S69" t="e">
        <f>AND(#REF!,"AAAAAH+u/xI=")</f>
        <v>#REF!</v>
      </c>
      <c r="T69" t="e">
        <f>AND(#REF!,"AAAAAH+u/xM=")</f>
        <v>#REF!</v>
      </c>
      <c r="U69" t="e">
        <f>AND(#REF!,"AAAAAH+u/xQ=")</f>
        <v>#REF!</v>
      </c>
      <c r="V69" t="e">
        <f>AND(#REF!,"AAAAAH+u/xU=")</f>
        <v>#REF!</v>
      </c>
      <c r="W69" t="e">
        <f>AND(#REF!,"AAAAAH+u/xY=")</f>
        <v>#REF!</v>
      </c>
      <c r="X69" t="e">
        <f>AND(#REF!,"AAAAAH+u/xc=")</f>
        <v>#REF!</v>
      </c>
      <c r="Y69" t="e">
        <f>IF(#REF!,"AAAAAH+u/xg=",0)</f>
        <v>#REF!</v>
      </c>
      <c r="Z69" t="e">
        <f>AND(#REF!,"AAAAAH+u/xk=")</f>
        <v>#REF!</v>
      </c>
      <c r="AA69" t="e">
        <f>AND(#REF!,"AAAAAH+u/xo=")</f>
        <v>#REF!</v>
      </c>
      <c r="AB69" t="e">
        <f>AND(#REF!,"AAAAAH+u/xs=")</f>
        <v>#REF!</v>
      </c>
      <c r="AC69" t="e">
        <f>AND(#REF!,"AAAAAH+u/xw=")</f>
        <v>#REF!</v>
      </c>
      <c r="AD69" t="e">
        <f>AND(#REF!,"AAAAAH+u/x0=")</f>
        <v>#REF!</v>
      </c>
      <c r="AE69" t="e">
        <f>AND(#REF!,"AAAAAH+u/x4=")</f>
        <v>#REF!</v>
      </c>
      <c r="AF69" t="e">
        <f>AND(#REF!,"AAAAAH+u/x8=")</f>
        <v>#REF!</v>
      </c>
      <c r="AG69" t="e">
        <f>AND(#REF!,"AAAAAH+u/yA=")</f>
        <v>#REF!</v>
      </c>
      <c r="AH69" t="e">
        <f>AND(#REF!,"AAAAAH+u/yE=")</f>
        <v>#REF!</v>
      </c>
      <c r="AI69" t="e">
        <f>AND(#REF!,"AAAAAH+u/yI=")</f>
        <v>#REF!</v>
      </c>
      <c r="AJ69" t="e">
        <f>AND(#REF!,"AAAAAH+u/yM=")</f>
        <v>#REF!</v>
      </c>
      <c r="AK69" t="e">
        <f>AND(#REF!,"AAAAAH+u/yQ=")</f>
        <v>#REF!</v>
      </c>
      <c r="AL69" t="e">
        <f>IF(#REF!,"AAAAAH+u/yU=",0)</f>
        <v>#REF!</v>
      </c>
      <c r="AM69" t="e">
        <f>AND(#REF!,"AAAAAH+u/yY=")</f>
        <v>#REF!</v>
      </c>
      <c r="AN69" t="e">
        <f>AND(#REF!,"AAAAAH+u/yc=")</f>
        <v>#REF!</v>
      </c>
      <c r="AO69" t="e">
        <f>AND(#REF!,"AAAAAH+u/yg=")</f>
        <v>#REF!</v>
      </c>
      <c r="AP69" t="e">
        <f>AND(#REF!,"AAAAAH+u/yk=")</f>
        <v>#REF!</v>
      </c>
      <c r="AQ69" t="e">
        <f>AND(#REF!,"AAAAAH+u/yo=")</f>
        <v>#REF!</v>
      </c>
      <c r="AR69" t="e">
        <f>AND(#REF!,"AAAAAH+u/ys=")</f>
        <v>#REF!</v>
      </c>
      <c r="AS69" t="e">
        <f>AND(#REF!,"AAAAAH+u/yw=")</f>
        <v>#REF!</v>
      </c>
      <c r="AT69" t="e">
        <f>AND(#REF!,"AAAAAH+u/y0=")</f>
        <v>#REF!</v>
      </c>
      <c r="AU69" t="e">
        <f>AND(#REF!,"AAAAAH+u/y4=")</f>
        <v>#REF!</v>
      </c>
      <c r="AV69" t="e">
        <f>AND(#REF!,"AAAAAH+u/y8=")</f>
        <v>#REF!</v>
      </c>
      <c r="AW69" t="e">
        <f>AND(#REF!,"AAAAAH+u/zA=")</f>
        <v>#REF!</v>
      </c>
      <c r="AX69" t="e">
        <f>AND(#REF!,"AAAAAH+u/zE=")</f>
        <v>#REF!</v>
      </c>
      <c r="AY69" t="e">
        <f>IF(#REF!,"AAAAAH+u/zI=",0)</f>
        <v>#REF!</v>
      </c>
      <c r="AZ69" t="e">
        <f>AND(#REF!,"AAAAAH+u/zM=")</f>
        <v>#REF!</v>
      </c>
      <c r="BA69" t="e">
        <f>AND(#REF!,"AAAAAH+u/zQ=")</f>
        <v>#REF!</v>
      </c>
      <c r="BB69" t="e">
        <f>AND(#REF!,"AAAAAH+u/zU=")</f>
        <v>#REF!</v>
      </c>
      <c r="BC69" t="e">
        <f>AND(#REF!,"AAAAAH+u/zY=")</f>
        <v>#REF!</v>
      </c>
      <c r="BD69" t="e">
        <f>AND(#REF!,"AAAAAH+u/zc=")</f>
        <v>#REF!</v>
      </c>
      <c r="BE69" t="e">
        <f>AND(#REF!,"AAAAAH+u/zg=")</f>
        <v>#REF!</v>
      </c>
      <c r="BF69" t="e">
        <f>AND(#REF!,"AAAAAH+u/zk=")</f>
        <v>#REF!</v>
      </c>
      <c r="BG69" t="e">
        <f>AND(#REF!,"AAAAAH+u/zo=")</f>
        <v>#REF!</v>
      </c>
      <c r="BH69" t="e">
        <f>AND(#REF!,"AAAAAH+u/zs=")</f>
        <v>#REF!</v>
      </c>
      <c r="BI69" t="e">
        <f>AND(#REF!,"AAAAAH+u/zw=")</f>
        <v>#REF!</v>
      </c>
      <c r="BJ69" t="e">
        <f>AND(#REF!,"AAAAAH+u/z0=")</f>
        <v>#REF!</v>
      </c>
      <c r="BK69" t="e">
        <f>AND(#REF!,"AAAAAH+u/z4=")</f>
        <v>#REF!</v>
      </c>
      <c r="BL69" t="e">
        <f>IF(#REF!,"AAAAAH+u/z8=",0)</f>
        <v>#REF!</v>
      </c>
      <c r="BM69" t="e">
        <f>AND(#REF!,"AAAAAH+u/0A=")</f>
        <v>#REF!</v>
      </c>
      <c r="BN69" t="e">
        <f>AND(#REF!,"AAAAAH+u/0E=")</f>
        <v>#REF!</v>
      </c>
      <c r="BO69" t="e">
        <f>AND(#REF!,"AAAAAH+u/0I=")</f>
        <v>#REF!</v>
      </c>
      <c r="BP69" t="e">
        <f>AND(#REF!,"AAAAAH+u/0M=")</f>
        <v>#REF!</v>
      </c>
      <c r="BQ69" t="e">
        <f>AND(#REF!,"AAAAAH+u/0Q=")</f>
        <v>#REF!</v>
      </c>
      <c r="BR69" t="e">
        <f>AND(#REF!,"AAAAAH+u/0U=")</f>
        <v>#REF!</v>
      </c>
      <c r="BS69" t="e">
        <f>AND(#REF!,"AAAAAH+u/0Y=")</f>
        <v>#REF!</v>
      </c>
      <c r="BT69" t="e">
        <f>AND(#REF!,"AAAAAH+u/0c=")</f>
        <v>#REF!</v>
      </c>
      <c r="BU69" t="e">
        <f>AND(#REF!,"AAAAAH+u/0g=")</f>
        <v>#REF!</v>
      </c>
      <c r="BV69" t="e">
        <f>AND(#REF!,"AAAAAH+u/0k=")</f>
        <v>#REF!</v>
      </c>
      <c r="BW69" t="e">
        <f>AND(#REF!,"AAAAAH+u/0o=")</f>
        <v>#REF!</v>
      </c>
      <c r="BX69" t="e">
        <f>AND(#REF!,"AAAAAH+u/0s=")</f>
        <v>#REF!</v>
      </c>
      <c r="BY69" t="e">
        <f>IF(#REF!,"AAAAAH+u/0w=",0)</f>
        <v>#REF!</v>
      </c>
      <c r="BZ69" t="e">
        <f>AND(#REF!,"AAAAAH+u/00=")</f>
        <v>#REF!</v>
      </c>
      <c r="CA69" t="e">
        <f>AND(#REF!,"AAAAAH+u/04=")</f>
        <v>#REF!</v>
      </c>
      <c r="CB69" t="e">
        <f>AND(#REF!,"AAAAAH+u/08=")</f>
        <v>#REF!</v>
      </c>
      <c r="CC69" t="e">
        <f>AND(#REF!,"AAAAAH+u/1A=")</f>
        <v>#REF!</v>
      </c>
      <c r="CD69" t="e">
        <f>AND(#REF!,"AAAAAH+u/1E=")</f>
        <v>#REF!</v>
      </c>
      <c r="CE69" t="e">
        <f>AND(#REF!,"AAAAAH+u/1I=")</f>
        <v>#REF!</v>
      </c>
      <c r="CF69" t="e">
        <f>AND(#REF!,"AAAAAH+u/1M=")</f>
        <v>#REF!</v>
      </c>
      <c r="CG69" t="e">
        <f>AND(#REF!,"AAAAAH+u/1Q=")</f>
        <v>#REF!</v>
      </c>
      <c r="CH69" t="e">
        <f>AND(#REF!,"AAAAAH+u/1U=")</f>
        <v>#REF!</v>
      </c>
      <c r="CI69" t="e">
        <f>AND(#REF!,"AAAAAH+u/1Y=")</f>
        <v>#REF!</v>
      </c>
      <c r="CJ69" t="e">
        <f>AND(#REF!,"AAAAAH+u/1c=")</f>
        <v>#REF!</v>
      </c>
      <c r="CK69" t="e">
        <f>AND(#REF!,"AAAAAH+u/1g=")</f>
        <v>#REF!</v>
      </c>
      <c r="CL69" t="e">
        <f>IF(#REF!,"AAAAAH+u/1k=",0)</f>
        <v>#REF!</v>
      </c>
      <c r="CM69" t="e">
        <f>AND(#REF!,"AAAAAH+u/1o=")</f>
        <v>#REF!</v>
      </c>
      <c r="CN69" t="e">
        <f>AND(#REF!,"AAAAAH+u/1s=")</f>
        <v>#REF!</v>
      </c>
      <c r="CO69" t="e">
        <f>AND(#REF!,"AAAAAH+u/1w=")</f>
        <v>#REF!</v>
      </c>
      <c r="CP69" t="e">
        <f>AND(#REF!,"AAAAAH+u/10=")</f>
        <v>#REF!</v>
      </c>
      <c r="CQ69" t="e">
        <f>AND(#REF!,"AAAAAH+u/14=")</f>
        <v>#REF!</v>
      </c>
      <c r="CR69" t="e">
        <f>AND(#REF!,"AAAAAH+u/18=")</f>
        <v>#REF!</v>
      </c>
      <c r="CS69" t="e">
        <f>AND(#REF!,"AAAAAH+u/2A=")</f>
        <v>#REF!</v>
      </c>
      <c r="CT69" t="e">
        <f>AND(#REF!,"AAAAAH+u/2E=")</f>
        <v>#REF!</v>
      </c>
      <c r="CU69" t="e">
        <f>AND(#REF!,"AAAAAH+u/2I=")</f>
        <v>#REF!</v>
      </c>
      <c r="CV69" t="e">
        <f>AND(#REF!,"AAAAAH+u/2M=")</f>
        <v>#REF!</v>
      </c>
      <c r="CW69" t="e">
        <f>AND(#REF!,"AAAAAH+u/2Q=")</f>
        <v>#REF!</v>
      </c>
      <c r="CX69" t="e">
        <f>AND(#REF!,"AAAAAH+u/2U=")</f>
        <v>#REF!</v>
      </c>
      <c r="CY69" t="e">
        <f>IF(#REF!,"AAAAAH+u/2Y=",0)</f>
        <v>#REF!</v>
      </c>
      <c r="CZ69" t="e">
        <f>AND(#REF!,"AAAAAH+u/2c=")</f>
        <v>#REF!</v>
      </c>
      <c r="DA69" t="e">
        <f>AND(#REF!,"AAAAAH+u/2g=")</f>
        <v>#REF!</v>
      </c>
      <c r="DB69" t="e">
        <f>AND(#REF!,"AAAAAH+u/2k=")</f>
        <v>#REF!</v>
      </c>
      <c r="DC69" t="e">
        <f>AND(#REF!,"AAAAAH+u/2o=")</f>
        <v>#REF!</v>
      </c>
      <c r="DD69" t="e">
        <f>AND(#REF!,"AAAAAH+u/2s=")</f>
        <v>#REF!</v>
      </c>
      <c r="DE69" t="e">
        <f>AND(#REF!,"AAAAAH+u/2w=")</f>
        <v>#REF!</v>
      </c>
      <c r="DF69" t="e">
        <f>AND(#REF!,"AAAAAH+u/20=")</f>
        <v>#REF!</v>
      </c>
      <c r="DG69" t="e">
        <f>AND(#REF!,"AAAAAH+u/24=")</f>
        <v>#REF!</v>
      </c>
      <c r="DH69" t="e">
        <f>AND(#REF!,"AAAAAH+u/28=")</f>
        <v>#REF!</v>
      </c>
      <c r="DI69" t="e">
        <f>AND(#REF!,"AAAAAH+u/3A=")</f>
        <v>#REF!</v>
      </c>
      <c r="DJ69" t="e">
        <f>AND(#REF!,"AAAAAH+u/3E=")</f>
        <v>#REF!</v>
      </c>
      <c r="DK69" t="e">
        <f>AND(#REF!,"AAAAAH+u/3I=")</f>
        <v>#REF!</v>
      </c>
      <c r="DL69" t="e">
        <f>IF(#REF!,"AAAAAH+u/3M=",0)</f>
        <v>#REF!</v>
      </c>
      <c r="DM69" t="e">
        <f>AND(#REF!,"AAAAAH+u/3Q=")</f>
        <v>#REF!</v>
      </c>
      <c r="DN69" t="e">
        <f>AND(#REF!,"AAAAAH+u/3U=")</f>
        <v>#REF!</v>
      </c>
      <c r="DO69" t="e">
        <f>AND(#REF!,"AAAAAH+u/3Y=")</f>
        <v>#REF!</v>
      </c>
      <c r="DP69" t="e">
        <f>AND(#REF!,"AAAAAH+u/3c=")</f>
        <v>#REF!</v>
      </c>
      <c r="DQ69" t="e">
        <f>AND(#REF!,"AAAAAH+u/3g=")</f>
        <v>#REF!</v>
      </c>
      <c r="DR69" t="e">
        <f>AND(#REF!,"AAAAAH+u/3k=")</f>
        <v>#REF!</v>
      </c>
      <c r="DS69" t="e">
        <f>AND(#REF!,"AAAAAH+u/3o=")</f>
        <v>#REF!</v>
      </c>
      <c r="DT69" t="e">
        <f>AND(#REF!,"AAAAAH+u/3s=")</f>
        <v>#REF!</v>
      </c>
      <c r="DU69" t="e">
        <f>AND(#REF!,"AAAAAH+u/3w=")</f>
        <v>#REF!</v>
      </c>
      <c r="DV69" t="e">
        <f>AND(#REF!,"AAAAAH+u/30=")</f>
        <v>#REF!</v>
      </c>
      <c r="DW69" t="e">
        <f>AND(#REF!,"AAAAAH+u/34=")</f>
        <v>#REF!</v>
      </c>
      <c r="DX69" t="e">
        <f>AND(#REF!,"AAAAAH+u/38=")</f>
        <v>#REF!</v>
      </c>
      <c r="DY69" t="e">
        <f>IF(#REF!,"AAAAAH+u/4A=",0)</f>
        <v>#REF!</v>
      </c>
      <c r="DZ69" t="e">
        <f>AND(#REF!,"AAAAAH+u/4E=")</f>
        <v>#REF!</v>
      </c>
      <c r="EA69" t="e">
        <f>AND(#REF!,"AAAAAH+u/4I=")</f>
        <v>#REF!</v>
      </c>
      <c r="EB69" t="e">
        <f>AND(#REF!,"AAAAAH+u/4M=")</f>
        <v>#REF!</v>
      </c>
      <c r="EC69" t="e">
        <f>AND(#REF!,"AAAAAH+u/4Q=")</f>
        <v>#REF!</v>
      </c>
      <c r="ED69" t="e">
        <f>AND(#REF!,"AAAAAH+u/4U=")</f>
        <v>#REF!</v>
      </c>
      <c r="EE69" t="e">
        <f>AND(#REF!,"AAAAAH+u/4Y=")</f>
        <v>#REF!</v>
      </c>
      <c r="EF69" t="e">
        <f>AND(#REF!,"AAAAAH+u/4c=")</f>
        <v>#REF!</v>
      </c>
      <c r="EG69" t="e">
        <f>AND(#REF!,"AAAAAH+u/4g=")</f>
        <v>#REF!</v>
      </c>
      <c r="EH69" t="e">
        <f>AND(#REF!,"AAAAAH+u/4k=")</f>
        <v>#REF!</v>
      </c>
      <c r="EI69" t="e">
        <f>AND(#REF!,"AAAAAH+u/4o=")</f>
        <v>#REF!</v>
      </c>
      <c r="EJ69" t="e">
        <f>AND(#REF!,"AAAAAH+u/4s=")</f>
        <v>#REF!</v>
      </c>
      <c r="EK69" t="e">
        <f>AND(#REF!,"AAAAAH+u/4w=")</f>
        <v>#REF!</v>
      </c>
      <c r="EL69" t="e">
        <f>IF(#REF!,"AAAAAH+u/40=",0)</f>
        <v>#REF!</v>
      </c>
      <c r="EM69" t="e">
        <f>AND(#REF!,"AAAAAH+u/44=")</f>
        <v>#REF!</v>
      </c>
      <c r="EN69" t="e">
        <f>AND(#REF!,"AAAAAH+u/48=")</f>
        <v>#REF!</v>
      </c>
      <c r="EO69" t="e">
        <f>AND(#REF!,"AAAAAH+u/5A=")</f>
        <v>#REF!</v>
      </c>
      <c r="EP69" t="e">
        <f>AND(#REF!,"AAAAAH+u/5E=")</f>
        <v>#REF!</v>
      </c>
      <c r="EQ69" t="e">
        <f>AND(#REF!,"AAAAAH+u/5I=")</f>
        <v>#REF!</v>
      </c>
      <c r="ER69" t="e">
        <f>AND(#REF!,"AAAAAH+u/5M=")</f>
        <v>#REF!</v>
      </c>
      <c r="ES69" t="e">
        <f>AND(#REF!,"AAAAAH+u/5Q=")</f>
        <v>#REF!</v>
      </c>
      <c r="ET69" t="e">
        <f>AND(#REF!,"AAAAAH+u/5U=")</f>
        <v>#REF!</v>
      </c>
      <c r="EU69" t="e">
        <f>AND(#REF!,"AAAAAH+u/5Y=")</f>
        <v>#REF!</v>
      </c>
      <c r="EV69" t="e">
        <f>AND(#REF!,"AAAAAH+u/5c=")</f>
        <v>#REF!</v>
      </c>
      <c r="EW69" t="e">
        <f>AND(#REF!,"AAAAAH+u/5g=")</f>
        <v>#REF!</v>
      </c>
      <c r="EX69" t="e">
        <f>AND(#REF!,"AAAAAH+u/5k=")</f>
        <v>#REF!</v>
      </c>
      <c r="EY69" t="e">
        <f>IF(#REF!,"AAAAAH+u/5o=",0)</f>
        <v>#REF!</v>
      </c>
      <c r="EZ69" t="e">
        <f>AND(#REF!,"AAAAAH+u/5s=")</f>
        <v>#REF!</v>
      </c>
      <c r="FA69" t="e">
        <f>AND(#REF!,"AAAAAH+u/5w=")</f>
        <v>#REF!</v>
      </c>
      <c r="FB69" t="e">
        <f>AND(#REF!,"AAAAAH+u/50=")</f>
        <v>#REF!</v>
      </c>
      <c r="FC69" t="e">
        <f>AND(#REF!,"AAAAAH+u/54=")</f>
        <v>#REF!</v>
      </c>
      <c r="FD69" t="e">
        <f>AND(#REF!,"AAAAAH+u/58=")</f>
        <v>#REF!</v>
      </c>
      <c r="FE69" t="e">
        <f>AND(#REF!,"AAAAAH+u/6A=")</f>
        <v>#REF!</v>
      </c>
      <c r="FF69" t="e">
        <f>AND(#REF!,"AAAAAH+u/6E=")</f>
        <v>#REF!</v>
      </c>
      <c r="FG69" t="e">
        <f>AND(#REF!,"AAAAAH+u/6I=")</f>
        <v>#REF!</v>
      </c>
      <c r="FH69" t="e">
        <f>AND(#REF!,"AAAAAH+u/6M=")</f>
        <v>#REF!</v>
      </c>
      <c r="FI69" t="e">
        <f>AND(#REF!,"AAAAAH+u/6Q=")</f>
        <v>#REF!</v>
      </c>
      <c r="FJ69" t="e">
        <f>AND(#REF!,"AAAAAH+u/6U=")</f>
        <v>#REF!</v>
      </c>
      <c r="FK69" t="e">
        <f>AND(#REF!,"AAAAAH+u/6Y=")</f>
        <v>#REF!</v>
      </c>
      <c r="FL69" t="e">
        <f>IF(#REF!,"AAAAAH+u/6c=",0)</f>
        <v>#REF!</v>
      </c>
      <c r="FM69" t="e">
        <f>AND(#REF!,"AAAAAH+u/6g=")</f>
        <v>#REF!</v>
      </c>
      <c r="FN69" t="e">
        <f>AND(#REF!,"AAAAAH+u/6k=")</f>
        <v>#REF!</v>
      </c>
      <c r="FO69" t="e">
        <f>AND(#REF!,"AAAAAH+u/6o=")</f>
        <v>#REF!</v>
      </c>
      <c r="FP69" t="e">
        <f>AND(#REF!,"AAAAAH+u/6s=")</f>
        <v>#REF!</v>
      </c>
      <c r="FQ69" t="e">
        <f>AND(#REF!,"AAAAAH+u/6w=")</f>
        <v>#REF!</v>
      </c>
      <c r="FR69" t="e">
        <f>AND(#REF!,"AAAAAH+u/60=")</f>
        <v>#REF!</v>
      </c>
      <c r="FS69" t="e">
        <f>AND(#REF!,"AAAAAH+u/64=")</f>
        <v>#REF!</v>
      </c>
      <c r="FT69" t="e">
        <f>AND(#REF!,"AAAAAH+u/68=")</f>
        <v>#REF!</v>
      </c>
      <c r="FU69" t="e">
        <f>AND(#REF!,"AAAAAH+u/7A=")</f>
        <v>#REF!</v>
      </c>
      <c r="FV69" t="e">
        <f>AND(#REF!,"AAAAAH+u/7E=")</f>
        <v>#REF!</v>
      </c>
      <c r="FW69" t="e">
        <f>AND(#REF!,"AAAAAH+u/7I=")</f>
        <v>#REF!</v>
      </c>
      <c r="FX69" t="e">
        <f>AND(#REF!,"AAAAAH+u/7M=")</f>
        <v>#REF!</v>
      </c>
      <c r="FY69" t="e">
        <f>IF(#REF!,"AAAAAH+u/7Q=",0)</f>
        <v>#REF!</v>
      </c>
      <c r="FZ69" t="e">
        <f>AND(#REF!,"AAAAAH+u/7U=")</f>
        <v>#REF!</v>
      </c>
      <c r="GA69" t="e">
        <f>AND(#REF!,"AAAAAH+u/7Y=")</f>
        <v>#REF!</v>
      </c>
      <c r="GB69" t="e">
        <f>AND(#REF!,"AAAAAH+u/7c=")</f>
        <v>#REF!</v>
      </c>
      <c r="GC69" t="e">
        <f>AND(#REF!,"AAAAAH+u/7g=")</f>
        <v>#REF!</v>
      </c>
      <c r="GD69" t="e">
        <f>AND(#REF!,"AAAAAH+u/7k=")</f>
        <v>#REF!</v>
      </c>
      <c r="GE69" t="e">
        <f>AND(#REF!,"AAAAAH+u/7o=")</f>
        <v>#REF!</v>
      </c>
      <c r="GF69" t="e">
        <f>AND(#REF!,"AAAAAH+u/7s=")</f>
        <v>#REF!</v>
      </c>
      <c r="GG69" t="e">
        <f>AND(#REF!,"AAAAAH+u/7w=")</f>
        <v>#REF!</v>
      </c>
      <c r="GH69" t="e">
        <f>AND(#REF!,"AAAAAH+u/70=")</f>
        <v>#REF!</v>
      </c>
      <c r="GI69" t="e">
        <f>AND(#REF!,"AAAAAH+u/74=")</f>
        <v>#REF!</v>
      </c>
      <c r="GJ69" t="e">
        <f>AND(#REF!,"AAAAAH+u/78=")</f>
        <v>#REF!</v>
      </c>
      <c r="GK69" t="e">
        <f>AND(#REF!,"AAAAAH+u/8A=")</f>
        <v>#REF!</v>
      </c>
      <c r="GL69" t="e">
        <f>IF(#REF!,"AAAAAH+u/8E=",0)</f>
        <v>#REF!</v>
      </c>
      <c r="GM69" t="e">
        <f>AND(#REF!,"AAAAAH+u/8I=")</f>
        <v>#REF!</v>
      </c>
      <c r="GN69" t="e">
        <f>AND(#REF!,"AAAAAH+u/8M=")</f>
        <v>#REF!</v>
      </c>
      <c r="GO69" t="e">
        <f>AND(#REF!,"AAAAAH+u/8Q=")</f>
        <v>#REF!</v>
      </c>
      <c r="GP69" t="e">
        <f>AND(#REF!,"AAAAAH+u/8U=")</f>
        <v>#REF!</v>
      </c>
      <c r="GQ69" t="e">
        <f>AND(#REF!,"AAAAAH+u/8Y=")</f>
        <v>#REF!</v>
      </c>
      <c r="GR69" t="e">
        <f>AND(#REF!,"AAAAAH+u/8c=")</f>
        <v>#REF!</v>
      </c>
      <c r="GS69" t="e">
        <f>AND(#REF!,"AAAAAH+u/8g=")</f>
        <v>#REF!</v>
      </c>
      <c r="GT69" t="e">
        <f>AND(#REF!,"AAAAAH+u/8k=")</f>
        <v>#REF!</v>
      </c>
      <c r="GU69" t="e">
        <f>AND(#REF!,"AAAAAH+u/8o=")</f>
        <v>#REF!</v>
      </c>
      <c r="GV69" t="e">
        <f>AND(#REF!,"AAAAAH+u/8s=")</f>
        <v>#REF!</v>
      </c>
      <c r="GW69" t="e">
        <f>AND(#REF!,"AAAAAH+u/8w=")</f>
        <v>#REF!</v>
      </c>
      <c r="GX69" t="e">
        <f>AND(#REF!,"AAAAAH+u/80=")</f>
        <v>#REF!</v>
      </c>
      <c r="GY69" t="e">
        <f>IF(#REF!,"AAAAAH+u/84=",0)</f>
        <v>#REF!</v>
      </c>
      <c r="GZ69" t="e">
        <f>AND(#REF!,"AAAAAH+u/88=")</f>
        <v>#REF!</v>
      </c>
      <c r="HA69" t="e">
        <f>AND(#REF!,"AAAAAH+u/9A=")</f>
        <v>#REF!</v>
      </c>
      <c r="HB69" t="e">
        <f>AND(#REF!,"AAAAAH+u/9E=")</f>
        <v>#REF!</v>
      </c>
      <c r="HC69" t="e">
        <f>AND(#REF!,"AAAAAH+u/9I=")</f>
        <v>#REF!</v>
      </c>
      <c r="HD69" t="e">
        <f>AND(#REF!,"AAAAAH+u/9M=")</f>
        <v>#REF!</v>
      </c>
      <c r="HE69" t="e">
        <f>AND(#REF!,"AAAAAH+u/9Q=")</f>
        <v>#REF!</v>
      </c>
      <c r="HF69" t="e">
        <f>AND(#REF!,"AAAAAH+u/9U=")</f>
        <v>#REF!</v>
      </c>
      <c r="HG69" t="e">
        <f>AND(#REF!,"AAAAAH+u/9Y=")</f>
        <v>#REF!</v>
      </c>
      <c r="HH69" t="e">
        <f>AND(#REF!,"AAAAAH+u/9c=")</f>
        <v>#REF!</v>
      </c>
      <c r="HI69" t="e">
        <f>AND(#REF!,"AAAAAH+u/9g=")</f>
        <v>#REF!</v>
      </c>
      <c r="HJ69" t="e">
        <f>AND(#REF!,"AAAAAH+u/9k=")</f>
        <v>#REF!</v>
      </c>
      <c r="HK69" t="e">
        <f>AND(#REF!,"AAAAAH+u/9o=")</f>
        <v>#REF!</v>
      </c>
      <c r="HL69" t="e">
        <f>IF(#REF!,"AAAAAH+u/9s=",0)</f>
        <v>#REF!</v>
      </c>
      <c r="HM69" t="e">
        <f>AND(#REF!,"AAAAAH+u/9w=")</f>
        <v>#REF!</v>
      </c>
      <c r="HN69" t="e">
        <f>AND(#REF!,"AAAAAH+u/90=")</f>
        <v>#REF!</v>
      </c>
      <c r="HO69" t="e">
        <f>AND(#REF!,"AAAAAH+u/94=")</f>
        <v>#REF!</v>
      </c>
      <c r="HP69" t="e">
        <f>AND(#REF!,"AAAAAH+u/98=")</f>
        <v>#REF!</v>
      </c>
      <c r="HQ69" t="e">
        <f>AND(#REF!,"AAAAAH+u/+A=")</f>
        <v>#REF!</v>
      </c>
      <c r="HR69" t="e">
        <f>AND(#REF!,"AAAAAH+u/+E=")</f>
        <v>#REF!</v>
      </c>
      <c r="HS69" t="e">
        <f>AND(#REF!,"AAAAAH+u/+I=")</f>
        <v>#REF!</v>
      </c>
      <c r="HT69" t="e">
        <f>AND(#REF!,"AAAAAH+u/+M=")</f>
        <v>#REF!</v>
      </c>
      <c r="HU69" t="e">
        <f>AND(#REF!,"AAAAAH+u/+Q=")</f>
        <v>#REF!</v>
      </c>
      <c r="HV69" t="e">
        <f>AND(#REF!,"AAAAAH+u/+U=")</f>
        <v>#REF!</v>
      </c>
      <c r="HW69" t="e">
        <f>AND(#REF!,"AAAAAH+u/+Y=")</f>
        <v>#REF!</v>
      </c>
      <c r="HX69" t="e">
        <f>AND(#REF!,"AAAAAH+u/+c=")</f>
        <v>#REF!</v>
      </c>
      <c r="HY69" t="e">
        <f>IF(#REF!,"AAAAAH+u/+g=",0)</f>
        <v>#REF!</v>
      </c>
      <c r="HZ69" t="e">
        <f>AND(#REF!,"AAAAAH+u/+k=")</f>
        <v>#REF!</v>
      </c>
      <c r="IA69" t="e">
        <f>AND(#REF!,"AAAAAH+u/+o=")</f>
        <v>#REF!</v>
      </c>
      <c r="IB69" t="e">
        <f>AND(#REF!,"AAAAAH+u/+s=")</f>
        <v>#REF!</v>
      </c>
      <c r="IC69" t="e">
        <f>AND(#REF!,"AAAAAH+u/+w=")</f>
        <v>#REF!</v>
      </c>
      <c r="ID69" t="e">
        <f>AND(#REF!,"AAAAAH+u/+0=")</f>
        <v>#REF!</v>
      </c>
      <c r="IE69" t="e">
        <f>AND(#REF!,"AAAAAH+u/+4=")</f>
        <v>#REF!</v>
      </c>
      <c r="IF69" t="e">
        <f>AND(#REF!,"AAAAAH+u/+8=")</f>
        <v>#REF!</v>
      </c>
      <c r="IG69" t="e">
        <f>AND(#REF!,"AAAAAH+u//A=")</f>
        <v>#REF!</v>
      </c>
      <c r="IH69" t="e">
        <f>AND(#REF!,"AAAAAH+u//E=")</f>
        <v>#REF!</v>
      </c>
      <c r="II69" t="e">
        <f>AND(#REF!,"AAAAAH+u//I=")</f>
        <v>#REF!</v>
      </c>
      <c r="IJ69" t="e">
        <f>AND(#REF!,"AAAAAH+u//M=")</f>
        <v>#REF!</v>
      </c>
      <c r="IK69" t="e">
        <f>AND(#REF!,"AAAAAH+u//Q=")</f>
        <v>#REF!</v>
      </c>
      <c r="IL69" t="e">
        <f>IF(#REF!,"AAAAAH+u//U=",0)</f>
        <v>#REF!</v>
      </c>
      <c r="IM69" t="e">
        <f>AND(#REF!,"AAAAAH+u//Y=")</f>
        <v>#REF!</v>
      </c>
      <c r="IN69" t="e">
        <f>AND(#REF!,"AAAAAH+u//c=")</f>
        <v>#REF!</v>
      </c>
      <c r="IO69" t="e">
        <f>AND(#REF!,"AAAAAH+u//g=")</f>
        <v>#REF!</v>
      </c>
      <c r="IP69" t="e">
        <f>AND(#REF!,"AAAAAH+u//k=")</f>
        <v>#REF!</v>
      </c>
      <c r="IQ69" t="e">
        <f>AND(#REF!,"AAAAAH+u//o=")</f>
        <v>#REF!</v>
      </c>
      <c r="IR69" t="e">
        <f>AND(#REF!,"AAAAAH+u//s=")</f>
        <v>#REF!</v>
      </c>
      <c r="IS69" t="e">
        <f>AND(#REF!,"AAAAAH+u//w=")</f>
        <v>#REF!</v>
      </c>
      <c r="IT69" t="e">
        <f>AND(#REF!,"AAAAAH+u//0=")</f>
        <v>#REF!</v>
      </c>
      <c r="IU69" t="e">
        <f>AND(#REF!,"AAAAAH+u//4=")</f>
        <v>#REF!</v>
      </c>
      <c r="IV69" t="e">
        <f>AND(#REF!,"AAAAAH+u//8=")</f>
        <v>#REF!</v>
      </c>
    </row>
    <row r="70" spans="1:256" x14ac:dyDescent="0.35">
      <c r="A70" t="e">
        <f>AND(#REF!,"AAAAACc33wA=")</f>
        <v>#REF!</v>
      </c>
      <c r="B70" t="e">
        <f>AND(#REF!,"AAAAACc33wE=")</f>
        <v>#REF!</v>
      </c>
      <c r="C70" t="e">
        <f>IF(#REF!,"AAAAACc33wI=",0)</f>
        <v>#REF!</v>
      </c>
      <c r="D70" t="e">
        <f>AND(#REF!,"AAAAACc33wM=")</f>
        <v>#REF!</v>
      </c>
      <c r="E70" t="e">
        <f>AND(#REF!,"AAAAACc33wQ=")</f>
        <v>#REF!</v>
      </c>
      <c r="F70" t="e">
        <f>AND(#REF!,"AAAAACc33wU=")</f>
        <v>#REF!</v>
      </c>
      <c r="G70" t="e">
        <f>AND(#REF!,"AAAAACc33wY=")</f>
        <v>#REF!</v>
      </c>
      <c r="H70" t="e">
        <f>AND(#REF!,"AAAAACc33wc=")</f>
        <v>#REF!</v>
      </c>
      <c r="I70" t="e">
        <f>AND(#REF!,"AAAAACc33wg=")</f>
        <v>#REF!</v>
      </c>
      <c r="J70" t="e">
        <f>AND(#REF!,"AAAAACc33wk=")</f>
        <v>#REF!</v>
      </c>
      <c r="K70" t="e">
        <f>AND(#REF!,"AAAAACc33wo=")</f>
        <v>#REF!</v>
      </c>
      <c r="L70" t="e">
        <f>AND(#REF!,"AAAAACc33ws=")</f>
        <v>#REF!</v>
      </c>
      <c r="M70" t="e">
        <f>AND(#REF!,"AAAAACc33ww=")</f>
        <v>#REF!</v>
      </c>
      <c r="N70" t="e">
        <f>AND(#REF!,"AAAAACc33w0=")</f>
        <v>#REF!</v>
      </c>
      <c r="O70" t="e">
        <f>AND(#REF!,"AAAAACc33w4=")</f>
        <v>#REF!</v>
      </c>
      <c r="P70" t="e">
        <f>IF(#REF!,"AAAAACc33w8=",0)</f>
        <v>#REF!</v>
      </c>
      <c r="Q70" t="e">
        <f>AND(#REF!,"AAAAACc33xA=")</f>
        <v>#REF!</v>
      </c>
      <c r="R70" t="e">
        <f>AND(#REF!,"AAAAACc33xE=")</f>
        <v>#REF!</v>
      </c>
      <c r="S70" t="e">
        <f>AND(#REF!,"AAAAACc33xI=")</f>
        <v>#REF!</v>
      </c>
      <c r="T70" t="e">
        <f>AND(#REF!,"AAAAACc33xM=")</f>
        <v>#REF!</v>
      </c>
      <c r="U70" t="e">
        <f>AND(#REF!,"AAAAACc33xQ=")</f>
        <v>#REF!</v>
      </c>
      <c r="V70" t="e">
        <f>AND(#REF!,"AAAAACc33xU=")</f>
        <v>#REF!</v>
      </c>
      <c r="W70" t="e">
        <f>AND(#REF!,"AAAAACc33xY=")</f>
        <v>#REF!</v>
      </c>
      <c r="X70" t="e">
        <f>AND(#REF!,"AAAAACc33xc=")</f>
        <v>#REF!</v>
      </c>
      <c r="Y70" t="e">
        <f>AND(#REF!,"AAAAACc33xg=")</f>
        <v>#REF!</v>
      </c>
      <c r="Z70" t="e">
        <f>AND(#REF!,"AAAAACc33xk=")</f>
        <v>#REF!</v>
      </c>
      <c r="AA70" t="e">
        <f>AND(#REF!,"AAAAACc33xo=")</f>
        <v>#REF!</v>
      </c>
      <c r="AB70" t="e">
        <f>AND(#REF!,"AAAAACc33xs=")</f>
        <v>#REF!</v>
      </c>
      <c r="AC70" t="e">
        <f>IF(#REF!,"AAAAACc33xw=",0)</f>
        <v>#REF!</v>
      </c>
      <c r="AD70" t="e">
        <f>AND(#REF!,"AAAAACc33x0=")</f>
        <v>#REF!</v>
      </c>
      <c r="AE70" t="e">
        <f>AND(#REF!,"AAAAACc33x4=")</f>
        <v>#REF!</v>
      </c>
      <c r="AF70" t="e">
        <f>AND(#REF!,"AAAAACc33x8=")</f>
        <v>#REF!</v>
      </c>
      <c r="AG70" t="e">
        <f>AND(#REF!,"AAAAACc33yA=")</f>
        <v>#REF!</v>
      </c>
      <c r="AH70" t="e">
        <f>AND(#REF!,"AAAAACc33yE=")</f>
        <v>#REF!</v>
      </c>
      <c r="AI70" t="e">
        <f>AND(#REF!,"AAAAACc33yI=")</f>
        <v>#REF!</v>
      </c>
      <c r="AJ70" t="e">
        <f>AND(#REF!,"AAAAACc33yM=")</f>
        <v>#REF!</v>
      </c>
      <c r="AK70" t="e">
        <f>AND(#REF!,"AAAAACc33yQ=")</f>
        <v>#REF!</v>
      </c>
      <c r="AL70" t="e">
        <f>AND(#REF!,"AAAAACc33yU=")</f>
        <v>#REF!</v>
      </c>
      <c r="AM70" t="e">
        <f>AND(#REF!,"AAAAACc33yY=")</f>
        <v>#REF!</v>
      </c>
      <c r="AN70" t="e">
        <f>AND(#REF!,"AAAAACc33yc=")</f>
        <v>#REF!</v>
      </c>
      <c r="AO70" t="e">
        <f>AND(#REF!,"AAAAACc33yg=")</f>
        <v>#REF!</v>
      </c>
      <c r="AP70" t="e">
        <f>IF(#REF!,"AAAAACc33yk=",0)</f>
        <v>#REF!</v>
      </c>
      <c r="AQ70" t="e">
        <f>AND(#REF!,"AAAAACc33yo=")</f>
        <v>#REF!</v>
      </c>
      <c r="AR70" t="e">
        <f>AND(#REF!,"AAAAACc33ys=")</f>
        <v>#REF!</v>
      </c>
      <c r="AS70" t="e">
        <f>AND(#REF!,"AAAAACc33yw=")</f>
        <v>#REF!</v>
      </c>
      <c r="AT70" t="e">
        <f>AND(#REF!,"AAAAACc33y0=")</f>
        <v>#REF!</v>
      </c>
      <c r="AU70" t="e">
        <f>AND(#REF!,"AAAAACc33y4=")</f>
        <v>#REF!</v>
      </c>
      <c r="AV70" t="e">
        <f>AND(#REF!,"AAAAACc33y8=")</f>
        <v>#REF!</v>
      </c>
      <c r="AW70" t="e">
        <f>AND(#REF!,"AAAAACc33zA=")</f>
        <v>#REF!</v>
      </c>
      <c r="AX70" t="e">
        <f>AND(#REF!,"AAAAACc33zE=")</f>
        <v>#REF!</v>
      </c>
      <c r="AY70" t="e">
        <f>AND(#REF!,"AAAAACc33zI=")</f>
        <v>#REF!</v>
      </c>
      <c r="AZ70" t="e">
        <f>AND(#REF!,"AAAAACc33zM=")</f>
        <v>#REF!</v>
      </c>
      <c r="BA70" t="e">
        <f>AND(#REF!,"AAAAACc33zQ=")</f>
        <v>#REF!</v>
      </c>
      <c r="BB70" t="e">
        <f>AND(#REF!,"AAAAACc33zU=")</f>
        <v>#REF!</v>
      </c>
      <c r="BC70" t="e">
        <f>IF(#REF!,"AAAAACc33zY=",0)</f>
        <v>#REF!</v>
      </c>
      <c r="BD70" t="e">
        <f>AND(#REF!,"AAAAACc33zc=")</f>
        <v>#REF!</v>
      </c>
      <c r="BE70" t="e">
        <f>AND(#REF!,"AAAAACc33zg=")</f>
        <v>#REF!</v>
      </c>
      <c r="BF70" t="e">
        <f>AND(#REF!,"AAAAACc33zk=")</f>
        <v>#REF!</v>
      </c>
      <c r="BG70" t="e">
        <f>AND(#REF!,"AAAAACc33zo=")</f>
        <v>#REF!</v>
      </c>
      <c r="BH70" t="e">
        <f>AND(#REF!,"AAAAACc33zs=")</f>
        <v>#REF!</v>
      </c>
      <c r="BI70" t="e">
        <f>AND(#REF!,"AAAAACc33zw=")</f>
        <v>#REF!</v>
      </c>
      <c r="BJ70" t="e">
        <f>AND(#REF!,"AAAAACc33z0=")</f>
        <v>#REF!</v>
      </c>
      <c r="BK70" t="e">
        <f>AND(#REF!,"AAAAACc33z4=")</f>
        <v>#REF!</v>
      </c>
      <c r="BL70" t="e">
        <f>AND(#REF!,"AAAAACc33z8=")</f>
        <v>#REF!</v>
      </c>
      <c r="BM70" t="e">
        <f>AND(#REF!,"AAAAACc330A=")</f>
        <v>#REF!</v>
      </c>
      <c r="BN70" t="e">
        <f>AND(#REF!,"AAAAACc330E=")</f>
        <v>#REF!</v>
      </c>
      <c r="BO70" t="e">
        <f>AND(#REF!,"AAAAACc330I=")</f>
        <v>#REF!</v>
      </c>
      <c r="BP70" t="e">
        <f>IF(#REF!,"AAAAACc330M=",0)</f>
        <v>#REF!</v>
      </c>
      <c r="BQ70" t="e">
        <f>AND(#REF!,"AAAAACc330Q=")</f>
        <v>#REF!</v>
      </c>
      <c r="BR70" t="e">
        <f>AND(#REF!,"AAAAACc330U=")</f>
        <v>#REF!</v>
      </c>
      <c r="BS70" t="e">
        <f>AND(#REF!,"AAAAACc330Y=")</f>
        <v>#REF!</v>
      </c>
      <c r="BT70" t="e">
        <f>AND(#REF!,"AAAAACc330c=")</f>
        <v>#REF!</v>
      </c>
      <c r="BU70" t="e">
        <f>AND(#REF!,"AAAAACc330g=")</f>
        <v>#REF!</v>
      </c>
      <c r="BV70" t="e">
        <f>AND(#REF!,"AAAAACc330k=")</f>
        <v>#REF!</v>
      </c>
      <c r="BW70" t="e">
        <f>AND(#REF!,"AAAAACc330o=")</f>
        <v>#REF!</v>
      </c>
      <c r="BX70" t="e">
        <f>AND(#REF!,"AAAAACc330s=")</f>
        <v>#REF!</v>
      </c>
      <c r="BY70" t="e">
        <f>AND(#REF!,"AAAAACc330w=")</f>
        <v>#REF!</v>
      </c>
      <c r="BZ70" t="e">
        <f>AND(#REF!,"AAAAACc3300=")</f>
        <v>#REF!</v>
      </c>
      <c r="CA70" t="e">
        <f>AND(#REF!,"AAAAACc3304=")</f>
        <v>#REF!</v>
      </c>
      <c r="CB70" t="e">
        <f>AND(#REF!,"AAAAACc3308=")</f>
        <v>#REF!</v>
      </c>
      <c r="CC70" t="e">
        <f>IF(#REF!,"AAAAACc331A=",0)</f>
        <v>#REF!</v>
      </c>
      <c r="CD70" t="e">
        <f>AND(#REF!,"AAAAACc331E=")</f>
        <v>#REF!</v>
      </c>
      <c r="CE70" t="e">
        <f>AND(#REF!,"AAAAACc331I=")</f>
        <v>#REF!</v>
      </c>
      <c r="CF70" t="e">
        <f>AND(#REF!,"AAAAACc331M=")</f>
        <v>#REF!</v>
      </c>
      <c r="CG70" t="e">
        <f>AND(#REF!,"AAAAACc331Q=")</f>
        <v>#REF!</v>
      </c>
      <c r="CH70" t="e">
        <f>AND(#REF!,"AAAAACc331U=")</f>
        <v>#REF!</v>
      </c>
      <c r="CI70" t="e">
        <f>AND(#REF!,"AAAAACc331Y=")</f>
        <v>#REF!</v>
      </c>
      <c r="CJ70" t="e">
        <f>AND(#REF!,"AAAAACc331c=")</f>
        <v>#REF!</v>
      </c>
      <c r="CK70" t="e">
        <f>AND(#REF!,"AAAAACc331g=")</f>
        <v>#REF!</v>
      </c>
      <c r="CL70" t="e">
        <f>AND(#REF!,"AAAAACc331k=")</f>
        <v>#REF!</v>
      </c>
      <c r="CM70" t="e">
        <f>AND(#REF!,"AAAAACc331o=")</f>
        <v>#REF!</v>
      </c>
      <c r="CN70" t="e">
        <f>AND(#REF!,"AAAAACc331s=")</f>
        <v>#REF!</v>
      </c>
      <c r="CO70" t="e">
        <f>AND(#REF!,"AAAAACc331w=")</f>
        <v>#REF!</v>
      </c>
      <c r="CP70" t="e">
        <f>IF(#REF!,"AAAAACc3310=",0)</f>
        <v>#REF!</v>
      </c>
      <c r="CQ70" t="e">
        <f>AND(#REF!,"AAAAACc3314=")</f>
        <v>#REF!</v>
      </c>
      <c r="CR70" t="e">
        <f>AND(#REF!,"AAAAACc3318=")</f>
        <v>#REF!</v>
      </c>
      <c r="CS70" t="e">
        <f>AND(#REF!,"AAAAACc332A=")</f>
        <v>#REF!</v>
      </c>
      <c r="CT70" t="e">
        <f>AND(#REF!,"AAAAACc332E=")</f>
        <v>#REF!</v>
      </c>
      <c r="CU70" t="e">
        <f>AND(#REF!,"AAAAACc332I=")</f>
        <v>#REF!</v>
      </c>
      <c r="CV70" t="e">
        <f>AND(#REF!,"AAAAACc332M=")</f>
        <v>#REF!</v>
      </c>
      <c r="CW70" t="e">
        <f>AND(#REF!,"AAAAACc332Q=")</f>
        <v>#REF!</v>
      </c>
      <c r="CX70" t="e">
        <f>AND(#REF!,"AAAAACc332U=")</f>
        <v>#REF!</v>
      </c>
      <c r="CY70" t="e">
        <f>AND(#REF!,"AAAAACc332Y=")</f>
        <v>#REF!</v>
      </c>
      <c r="CZ70" t="e">
        <f>AND(#REF!,"AAAAACc332c=")</f>
        <v>#REF!</v>
      </c>
      <c r="DA70" t="e">
        <f>AND(#REF!,"AAAAACc332g=")</f>
        <v>#REF!</v>
      </c>
      <c r="DB70" t="e">
        <f>AND(#REF!,"AAAAACc332k=")</f>
        <v>#REF!</v>
      </c>
      <c r="DC70" t="e">
        <f>IF(#REF!,"AAAAACc332o=",0)</f>
        <v>#REF!</v>
      </c>
      <c r="DD70" t="e">
        <f>AND(#REF!,"AAAAACc332s=")</f>
        <v>#REF!</v>
      </c>
      <c r="DE70" t="e">
        <f>AND(#REF!,"AAAAACc332w=")</f>
        <v>#REF!</v>
      </c>
      <c r="DF70" t="e">
        <f>AND(#REF!,"AAAAACc3320=")</f>
        <v>#REF!</v>
      </c>
      <c r="DG70" t="e">
        <f>AND(#REF!,"AAAAACc3324=")</f>
        <v>#REF!</v>
      </c>
      <c r="DH70" t="e">
        <f>AND(#REF!,"AAAAACc3328=")</f>
        <v>#REF!</v>
      </c>
      <c r="DI70" t="e">
        <f>AND(#REF!,"AAAAACc333A=")</f>
        <v>#REF!</v>
      </c>
      <c r="DJ70" t="e">
        <f>AND(#REF!,"AAAAACc333E=")</f>
        <v>#REF!</v>
      </c>
      <c r="DK70" t="e">
        <f>AND(#REF!,"AAAAACc333I=")</f>
        <v>#REF!</v>
      </c>
      <c r="DL70" t="e">
        <f>AND(#REF!,"AAAAACc333M=")</f>
        <v>#REF!</v>
      </c>
      <c r="DM70" t="e">
        <f>AND(#REF!,"AAAAACc333Q=")</f>
        <v>#REF!</v>
      </c>
      <c r="DN70" t="e">
        <f>AND(#REF!,"AAAAACc333U=")</f>
        <v>#REF!</v>
      </c>
      <c r="DO70" t="e">
        <f>AND(#REF!,"AAAAACc333Y=")</f>
        <v>#REF!</v>
      </c>
      <c r="DP70" t="e">
        <f>IF(#REF!,"AAAAACc333c=",0)</f>
        <v>#REF!</v>
      </c>
      <c r="DQ70" t="e">
        <f>AND(#REF!,"AAAAACc333g=")</f>
        <v>#REF!</v>
      </c>
      <c r="DR70" t="e">
        <f>AND(#REF!,"AAAAACc333k=")</f>
        <v>#REF!</v>
      </c>
      <c r="DS70" t="e">
        <f>AND(#REF!,"AAAAACc333o=")</f>
        <v>#REF!</v>
      </c>
      <c r="DT70" t="e">
        <f>AND(#REF!,"AAAAACc333s=")</f>
        <v>#REF!</v>
      </c>
      <c r="DU70" t="e">
        <f>AND(#REF!,"AAAAACc333w=")</f>
        <v>#REF!</v>
      </c>
      <c r="DV70" t="e">
        <f>AND(#REF!,"AAAAACc3330=")</f>
        <v>#REF!</v>
      </c>
      <c r="DW70" t="e">
        <f>AND(#REF!,"AAAAACc3334=")</f>
        <v>#REF!</v>
      </c>
      <c r="DX70" t="e">
        <f>AND(#REF!,"AAAAACc3338=")</f>
        <v>#REF!</v>
      </c>
      <c r="DY70" t="e">
        <f>AND(#REF!,"AAAAACc334A=")</f>
        <v>#REF!</v>
      </c>
      <c r="DZ70" t="e">
        <f>AND(#REF!,"AAAAACc334E=")</f>
        <v>#REF!</v>
      </c>
      <c r="EA70" t="e">
        <f>AND(#REF!,"AAAAACc334I=")</f>
        <v>#REF!</v>
      </c>
      <c r="EB70" t="e">
        <f>AND(#REF!,"AAAAACc334M=")</f>
        <v>#REF!</v>
      </c>
      <c r="EC70" t="e">
        <f>IF(#REF!,"AAAAACc334Q=",0)</f>
        <v>#REF!</v>
      </c>
      <c r="ED70" t="e">
        <f>AND(#REF!,"AAAAACc334U=")</f>
        <v>#REF!</v>
      </c>
      <c r="EE70" t="e">
        <f>AND(#REF!,"AAAAACc334Y=")</f>
        <v>#REF!</v>
      </c>
      <c r="EF70" t="e">
        <f>AND(#REF!,"AAAAACc334c=")</f>
        <v>#REF!</v>
      </c>
      <c r="EG70" t="e">
        <f>AND(#REF!,"AAAAACc334g=")</f>
        <v>#REF!</v>
      </c>
      <c r="EH70" t="e">
        <f>AND(#REF!,"AAAAACc334k=")</f>
        <v>#REF!</v>
      </c>
      <c r="EI70" t="e">
        <f>AND(#REF!,"AAAAACc334o=")</f>
        <v>#REF!</v>
      </c>
      <c r="EJ70" t="e">
        <f>AND(#REF!,"AAAAACc334s=")</f>
        <v>#REF!</v>
      </c>
      <c r="EK70" t="e">
        <f>AND(#REF!,"AAAAACc334w=")</f>
        <v>#REF!</v>
      </c>
      <c r="EL70" t="e">
        <f>AND(#REF!,"AAAAACc3340=")</f>
        <v>#REF!</v>
      </c>
      <c r="EM70" t="e">
        <f>AND(#REF!,"AAAAACc3344=")</f>
        <v>#REF!</v>
      </c>
      <c r="EN70" t="e">
        <f>AND(#REF!,"AAAAACc3348=")</f>
        <v>#REF!</v>
      </c>
      <c r="EO70" t="e">
        <f>AND(#REF!,"AAAAACc335A=")</f>
        <v>#REF!</v>
      </c>
      <c r="EP70" t="e">
        <f>IF(#REF!,"AAAAACc335E=",0)</f>
        <v>#REF!</v>
      </c>
      <c r="EQ70" t="e">
        <f>AND(#REF!,"AAAAACc335I=")</f>
        <v>#REF!</v>
      </c>
      <c r="ER70" t="e">
        <f>AND(#REF!,"AAAAACc335M=")</f>
        <v>#REF!</v>
      </c>
      <c r="ES70" t="e">
        <f>AND(#REF!,"AAAAACc335Q=")</f>
        <v>#REF!</v>
      </c>
      <c r="ET70" t="e">
        <f>AND(#REF!,"AAAAACc335U=")</f>
        <v>#REF!</v>
      </c>
      <c r="EU70" t="e">
        <f>AND(#REF!,"AAAAACc335Y=")</f>
        <v>#REF!</v>
      </c>
      <c r="EV70" t="e">
        <f>AND(#REF!,"AAAAACc335c=")</f>
        <v>#REF!</v>
      </c>
      <c r="EW70" t="e">
        <f>AND(#REF!,"AAAAACc335g=")</f>
        <v>#REF!</v>
      </c>
      <c r="EX70" t="e">
        <f>AND(#REF!,"AAAAACc335k=")</f>
        <v>#REF!</v>
      </c>
      <c r="EY70" t="e">
        <f>AND(#REF!,"AAAAACc335o=")</f>
        <v>#REF!</v>
      </c>
      <c r="EZ70" t="e">
        <f>AND(#REF!,"AAAAACc335s=")</f>
        <v>#REF!</v>
      </c>
      <c r="FA70" t="e">
        <f>AND(#REF!,"AAAAACc335w=")</f>
        <v>#REF!</v>
      </c>
      <c r="FB70" t="e">
        <f>AND(#REF!,"AAAAACc3350=")</f>
        <v>#REF!</v>
      </c>
      <c r="FC70" t="e">
        <f>IF(#REF!,"AAAAACc3354=",0)</f>
        <v>#REF!</v>
      </c>
      <c r="FD70" t="e">
        <f>AND(#REF!,"AAAAACc3358=")</f>
        <v>#REF!</v>
      </c>
      <c r="FE70" t="e">
        <f>AND(#REF!,"AAAAACc336A=")</f>
        <v>#REF!</v>
      </c>
      <c r="FF70" t="e">
        <f>AND(#REF!,"AAAAACc336E=")</f>
        <v>#REF!</v>
      </c>
      <c r="FG70" t="e">
        <f>AND(#REF!,"AAAAACc336I=")</f>
        <v>#REF!</v>
      </c>
      <c r="FH70" t="e">
        <f>AND(#REF!,"AAAAACc336M=")</f>
        <v>#REF!</v>
      </c>
      <c r="FI70" t="e">
        <f>AND(#REF!,"AAAAACc336Q=")</f>
        <v>#REF!</v>
      </c>
      <c r="FJ70" t="e">
        <f>AND(#REF!,"AAAAACc336U=")</f>
        <v>#REF!</v>
      </c>
      <c r="FK70" t="e">
        <f>AND(#REF!,"AAAAACc336Y=")</f>
        <v>#REF!</v>
      </c>
      <c r="FL70" t="e">
        <f>AND(#REF!,"AAAAACc336c=")</f>
        <v>#REF!</v>
      </c>
      <c r="FM70" t="e">
        <f>AND(#REF!,"AAAAACc336g=")</f>
        <v>#REF!</v>
      </c>
      <c r="FN70" t="e">
        <f>AND(#REF!,"AAAAACc336k=")</f>
        <v>#REF!</v>
      </c>
      <c r="FO70" t="e">
        <f>AND(#REF!,"AAAAACc336o=")</f>
        <v>#REF!</v>
      </c>
      <c r="FP70" t="e">
        <f>IF(#REF!,"AAAAACc336s=",0)</f>
        <v>#REF!</v>
      </c>
      <c r="FQ70" t="e">
        <f>AND(#REF!,"AAAAACc336w=")</f>
        <v>#REF!</v>
      </c>
      <c r="FR70" t="e">
        <f>AND(#REF!,"AAAAACc3360=")</f>
        <v>#REF!</v>
      </c>
      <c r="FS70" t="e">
        <f>AND(#REF!,"AAAAACc3364=")</f>
        <v>#REF!</v>
      </c>
      <c r="FT70" t="e">
        <f>AND(#REF!,"AAAAACc3368=")</f>
        <v>#REF!</v>
      </c>
      <c r="FU70" t="e">
        <f>AND(#REF!,"AAAAACc337A=")</f>
        <v>#REF!</v>
      </c>
      <c r="FV70" t="e">
        <f>AND(#REF!,"AAAAACc337E=")</f>
        <v>#REF!</v>
      </c>
      <c r="FW70" t="e">
        <f>AND(#REF!,"AAAAACc337I=")</f>
        <v>#REF!</v>
      </c>
      <c r="FX70" t="e">
        <f>AND(#REF!,"AAAAACc337M=")</f>
        <v>#REF!</v>
      </c>
      <c r="FY70" t="e">
        <f>AND(#REF!,"AAAAACc337Q=")</f>
        <v>#REF!</v>
      </c>
      <c r="FZ70" t="e">
        <f>AND(#REF!,"AAAAACc337U=")</f>
        <v>#REF!</v>
      </c>
      <c r="GA70" t="e">
        <f>AND(#REF!,"AAAAACc337Y=")</f>
        <v>#REF!</v>
      </c>
      <c r="GB70" t="e">
        <f>AND(#REF!,"AAAAACc337c=")</f>
        <v>#REF!</v>
      </c>
      <c r="GC70" t="e">
        <f>IF(#REF!,"AAAAACc337g=",0)</f>
        <v>#REF!</v>
      </c>
      <c r="GD70" t="e">
        <f>AND(#REF!,"AAAAACc337k=")</f>
        <v>#REF!</v>
      </c>
      <c r="GE70" t="e">
        <f>AND(#REF!,"AAAAACc337o=")</f>
        <v>#REF!</v>
      </c>
      <c r="GF70" t="e">
        <f>AND(#REF!,"AAAAACc337s=")</f>
        <v>#REF!</v>
      </c>
      <c r="GG70" t="e">
        <f>AND(#REF!,"AAAAACc337w=")</f>
        <v>#REF!</v>
      </c>
      <c r="GH70" t="e">
        <f>AND(#REF!,"AAAAACc3370=")</f>
        <v>#REF!</v>
      </c>
      <c r="GI70" t="e">
        <f>AND(#REF!,"AAAAACc3374=")</f>
        <v>#REF!</v>
      </c>
      <c r="GJ70" t="e">
        <f>AND(#REF!,"AAAAACc3378=")</f>
        <v>#REF!</v>
      </c>
      <c r="GK70" t="e">
        <f>AND(#REF!,"AAAAACc338A=")</f>
        <v>#REF!</v>
      </c>
      <c r="GL70" t="e">
        <f>AND(#REF!,"AAAAACc338E=")</f>
        <v>#REF!</v>
      </c>
      <c r="GM70" t="e">
        <f>AND(#REF!,"AAAAACc338I=")</f>
        <v>#REF!</v>
      </c>
      <c r="GN70" t="e">
        <f>AND(#REF!,"AAAAACc338M=")</f>
        <v>#REF!</v>
      </c>
      <c r="GO70" t="e">
        <f>AND(#REF!,"AAAAACc338Q=")</f>
        <v>#REF!</v>
      </c>
      <c r="GP70" t="e">
        <f>IF(#REF!,"AAAAACc338U=",0)</f>
        <v>#REF!</v>
      </c>
      <c r="GQ70" t="e">
        <f>AND(#REF!,"AAAAACc338Y=")</f>
        <v>#REF!</v>
      </c>
      <c r="GR70" t="e">
        <f>AND(#REF!,"AAAAACc338c=")</f>
        <v>#REF!</v>
      </c>
      <c r="GS70" t="e">
        <f>AND(#REF!,"AAAAACc338g=")</f>
        <v>#REF!</v>
      </c>
      <c r="GT70" t="e">
        <f>AND(#REF!,"AAAAACc338k=")</f>
        <v>#REF!</v>
      </c>
      <c r="GU70" t="e">
        <f>AND(#REF!,"AAAAACc338o=")</f>
        <v>#REF!</v>
      </c>
      <c r="GV70" t="e">
        <f>AND(#REF!,"AAAAACc338s=")</f>
        <v>#REF!</v>
      </c>
      <c r="GW70" t="e">
        <f>AND(#REF!,"AAAAACc338w=")</f>
        <v>#REF!</v>
      </c>
      <c r="GX70" t="e">
        <f>AND(#REF!,"AAAAACc3380=")</f>
        <v>#REF!</v>
      </c>
      <c r="GY70" t="e">
        <f>AND(#REF!,"AAAAACc3384=")</f>
        <v>#REF!</v>
      </c>
      <c r="GZ70" t="e">
        <f>AND(#REF!,"AAAAACc3388=")</f>
        <v>#REF!</v>
      </c>
      <c r="HA70" t="e">
        <f>AND(#REF!,"AAAAACc339A=")</f>
        <v>#REF!</v>
      </c>
      <c r="HB70" t="e">
        <f>AND(#REF!,"AAAAACc339E=")</f>
        <v>#REF!</v>
      </c>
      <c r="HC70" t="e">
        <f>IF(#REF!,"AAAAACc339I=",0)</f>
        <v>#REF!</v>
      </c>
      <c r="HD70" t="e">
        <f>AND(#REF!,"AAAAACc339M=")</f>
        <v>#REF!</v>
      </c>
      <c r="HE70" t="e">
        <f>AND(#REF!,"AAAAACc339Q=")</f>
        <v>#REF!</v>
      </c>
      <c r="HF70" t="e">
        <f>AND(#REF!,"AAAAACc339U=")</f>
        <v>#REF!</v>
      </c>
      <c r="HG70" t="e">
        <f>AND(#REF!,"AAAAACc339Y=")</f>
        <v>#REF!</v>
      </c>
      <c r="HH70" t="e">
        <f>AND(#REF!,"AAAAACc339c=")</f>
        <v>#REF!</v>
      </c>
      <c r="HI70" t="e">
        <f>AND(#REF!,"AAAAACc339g=")</f>
        <v>#REF!</v>
      </c>
      <c r="HJ70" t="e">
        <f>AND(#REF!,"AAAAACc339k=")</f>
        <v>#REF!</v>
      </c>
      <c r="HK70" t="e">
        <f>AND(#REF!,"AAAAACc339o=")</f>
        <v>#REF!</v>
      </c>
      <c r="HL70" t="e">
        <f>AND(#REF!,"AAAAACc339s=")</f>
        <v>#REF!</v>
      </c>
      <c r="HM70" t="e">
        <f>AND(#REF!,"AAAAACc339w=")</f>
        <v>#REF!</v>
      </c>
      <c r="HN70" t="e">
        <f>AND(#REF!,"AAAAACc3390=")</f>
        <v>#REF!</v>
      </c>
      <c r="HO70" t="e">
        <f>AND(#REF!,"AAAAACc3394=")</f>
        <v>#REF!</v>
      </c>
      <c r="HP70" t="e">
        <f>IF(#REF!,"AAAAACc3398=",0)</f>
        <v>#REF!</v>
      </c>
      <c r="HQ70" t="e">
        <f>AND(#REF!,"AAAAACc33+A=")</f>
        <v>#REF!</v>
      </c>
      <c r="HR70" t="e">
        <f>AND(#REF!,"AAAAACc33+E=")</f>
        <v>#REF!</v>
      </c>
      <c r="HS70" t="e">
        <f>AND(#REF!,"AAAAACc33+I=")</f>
        <v>#REF!</v>
      </c>
      <c r="HT70" t="e">
        <f>AND(#REF!,"AAAAACc33+M=")</f>
        <v>#REF!</v>
      </c>
      <c r="HU70" t="e">
        <f>AND(#REF!,"AAAAACc33+Q=")</f>
        <v>#REF!</v>
      </c>
      <c r="HV70" t="e">
        <f>AND(#REF!,"AAAAACc33+U=")</f>
        <v>#REF!</v>
      </c>
      <c r="HW70" t="e">
        <f>AND(#REF!,"AAAAACc33+Y=")</f>
        <v>#REF!</v>
      </c>
      <c r="HX70" t="e">
        <f>AND(#REF!,"AAAAACc33+c=")</f>
        <v>#REF!</v>
      </c>
      <c r="HY70" t="e">
        <f>AND(#REF!,"AAAAACc33+g=")</f>
        <v>#REF!</v>
      </c>
      <c r="HZ70" t="e">
        <f>AND(#REF!,"AAAAACc33+k=")</f>
        <v>#REF!</v>
      </c>
      <c r="IA70" t="e">
        <f>AND(#REF!,"AAAAACc33+o=")</f>
        <v>#REF!</v>
      </c>
      <c r="IB70" t="e">
        <f>AND(#REF!,"AAAAACc33+s=")</f>
        <v>#REF!</v>
      </c>
      <c r="IC70" t="e">
        <f>IF(#REF!,"AAAAACc33+w=",0)</f>
        <v>#REF!</v>
      </c>
      <c r="ID70" t="e">
        <f>AND(#REF!,"AAAAACc33+0=")</f>
        <v>#REF!</v>
      </c>
      <c r="IE70" t="e">
        <f>AND(#REF!,"AAAAACc33+4=")</f>
        <v>#REF!</v>
      </c>
      <c r="IF70" t="e">
        <f>AND(#REF!,"AAAAACc33+8=")</f>
        <v>#REF!</v>
      </c>
      <c r="IG70" t="e">
        <f>AND(#REF!,"AAAAACc33/A=")</f>
        <v>#REF!</v>
      </c>
      <c r="IH70" t="e">
        <f>AND(#REF!,"AAAAACc33/E=")</f>
        <v>#REF!</v>
      </c>
      <c r="II70" t="e">
        <f>AND(#REF!,"AAAAACc33/I=")</f>
        <v>#REF!</v>
      </c>
      <c r="IJ70" t="e">
        <f>AND(#REF!,"AAAAACc33/M=")</f>
        <v>#REF!</v>
      </c>
      <c r="IK70" t="e">
        <f>AND(#REF!,"AAAAACc33/Q=")</f>
        <v>#REF!</v>
      </c>
      <c r="IL70" t="e">
        <f>AND(#REF!,"AAAAACc33/U=")</f>
        <v>#REF!</v>
      </c>
      <c r="IM70" t="e">
        <f>AND(#REF!,"AAAAACc33/Y=")</f>
        <v>#REF!</v>
      </c>
      <c r="IN70" t="e">
        <f>AND(#REF!,"AAAAACc33/c=")</f>
        <v>#REF!</v>
      </c>
      <c r="IO70" t="e">
        <f>AND(#REF!,"AAAAACc33/g=")</f>
        <v>#REF!</v>
      </c>
      <c r="IP70" t="e">
        <f>IF(#REF!,"AAAAACc33/k=",0)</f>
        <v>#REF!</v>
      </c>
      <c r="IQ70" t="e">
        <f>AND(#REF!,"AAAAACc33/o=")</f>
        <v>#REF!</v>
      </c>
      <c r="IR70" t="e">
        <f>AND(#REF!,"AAAAACc33/s=")</f>
        <v>#REF!</v>
      </c>
      <c r="IS70" t="e">
        <f>AND(#REF!,"AAAAACc33/w=")</f>
        <v>#REF!</v>
      </c>
      <c r="IT70" t="e">
        <f>AND(#REF!,"AAAAACc33/0=")</f>
        <v>#REF!</v>
      </c>
      <c r="IU70" t="e">
        <f>AND(#REF!,"AAAAACc33/4=")</f>
        <v>#REF!</v>
      </c>
      <c r="IV70" t="e">
        <f>AND(#REF!,"AAAAACc33/8=")</f>
        <v>#REF!</v>
      </c>
    </row>
    <row r="71" spans="1:256" x14ac:dyDescent="0.35">
      <c r="A71" t="e">
        <f>AND(#REF!,"AAAAABW//gA=")</f>
        <v>#REF!</v>
      </c>
      <c r="B71" t="e">
        <f>AND(#REF!,"AAAAABW//gE=")</f>
        <v>#REF!</v>
      </c>
      <c r="C71" t="e">
        <f>AND(#REF!,"AAAAABW//gI=")</f>
        <v>#REF!</v>
      </c>
      <c r="D71" t="e">
        <f>AND(#REF!,"AAAAABW//gM=")</f>
        <v>#REF!</v>
      </c>
      <c r="E71" t="e">
        <f>AND(#REF!,"AAAAABW//gQ=")</f>
        <v>#REF!</v>
      </c>
      <c r="F71" t="e">
        <f>AND(#REF!,"AAAAABW//gU=")</f>
        <v>#REF!</v>
      </c>
      <c r="G71" t="e">
        <f>IF(#REF!,"AAAAABW//gY=",0)</f>
        <v>#REF!</v>
      </c>
      <c r="H71" t="e">
        <f>AND(#REF!,"AAAAABW//gc=")</f>
        <v>#REF!</v>
      </c>
      <c r="I71" t="e">
        <f>AND(#REF!,"AAAAABW//gg=")</f>
        <v>#REF!</v>
      </c>
      <c r="J71" t="e">
        <f>AND(#REF!,"AAAAABW//gk=")</f>
        <v>#REF!</v>
      </c>
      <c r="K71" t="e">
        <f>AND(#REF!,"AAAAABW//go=")</f>
        <v>#REF!</v>
      </c>
      <c r="L71" t="e">
        <f>AND(#REF!,"AAAAABW//gs=")</f>
        <v>#REF!</v>
      </c>
      <c r="M71" t="e">
        <f>AND(#REF!,"AAAAABW//gw=")</f>
        <v>#REF!</v>
      </c>
      <c r="N71" t="e">
        <f>AND(#REF!,"AAAAABW//g0=")</f>
        <v>#REF!</v>
      </c>
      <c r="O71" t="e">
        <f>AND(#REF!,"AAAAABW//g4=")</f>
        <v>#REF!</v>
      </c>
      <c r="P71" t="e">
        <f>AND(#REF!,"AAAAABW//g8=")</f>
        <v>#REF!</v>
      </c>
      <c r="Q71" t="e">
        <f>AND(#REF!,"AAAAABW//hA=")</f>
        <v>#REF!</v>
      </c>
      <c r="R71" t="e">
        <f>AND(#REF!,"AAAAABW//hE=")</f>
        <v>#REF!</v>
      </c>
      <c r="S71" t="e">
        <f>AND(#REF!,"AAAAABW//hI=")</f>
        <v>#REF!</v>
      </c>
      <c r="T71" t="e">
        <f>IF(#REF!,"AAAAABW//hM=",0)</f>
        <v>#REF!</v>
      </c>
      <c r="U71" t="e">
        <f>AND(#REF!,"AAAAABW//hQ=")</f>
        <v>#REF!</v>
      </c>
      <c r="V71" t="e">
        <f>AND(#REF!,"AAAAABW//hU=")</f>
        <v>#REF!</v>
      </c>
      <c r="W71" t="e">
        <f>AND(#REF!,"AAAAABW//hY=")</f>
        <v>#REF!</v>
      </c>
      <c r="X71" t="e">
        <f>AND(#REF!,"AAAAABW//hc=")</f>
        <v>#REF!</v>
      </c>
      <c r="Y71" t="e">
        <f>AND(#REF!,"AAAAABW//hg=")</f>
        <v>#REF!</v>
      </c>
      <c r="Z71" t="e">
        <f>AND(#REF!,"AAAAABW//hk=")</f>
        <v>#REF!</v>
      </c>
      <c r="AA71" t="e">
        <f>AND(#REF!,"AAAAABW//ho=")</f>
        <v>#REF!</v>
      </c>
      <c r="AB71" t="e">
        <f>AND(#REF!,"AAAAABW//hs=")</f>
        <v>#REF!</v>
      </c>
      <c r="AC71" t="e">
        <f>AND(#REF!,"AAAAABW//hw=")</f>
        <v>#REF!</v>
      </c>
      <c r="AD71" t="e">
        <f>AND(#REF!,"AAAAABW//h0=")</f>
        <v>#REF!</v>
      </c>
      <c r="AE71" t="e">
        <f>AND(#REF!,"AAAAABW//h4=")</f>
        <v>#REF!</v>
      </c>
      <c r="AF71" t="e">
        <f>AND(#REF!,"AAAAABW//h8=")</f>
        <v>#REF!</v>
      </c>
      <c r="AG71" t="e">
        <f>IF(#REF!,"AAAAABW//iA=",0)</f>
        <v>#REF!</v>
      </c>
      <c r="AH71" t="e">
        <f>AND(#REF!,"AAAAABW//iE=")</f>
        <v>#REF!</v>
      </c>
      <c r="AI71" t="e">
        <f>AND(#REF!,"AAAAABW//iI=")</f>
        <v>#REF!</v>
      </c>
      <c r="AJ71" t="e">
        <f>AND(#REF!,"AAAAABW//iM=")</f>
        <v>#REF!</v>
      </c>
      <c r="AK71" t="e">
        <f>AND(#REF!,"AAAAABW//iQ=")</f>
        <v>#REF!</v>
      </c>
      <c r="AL71" t="e">
        <f>AND(#REF!,"AAAAABW//iU=")</f>
        <v>#REF!</v>
      </c>
      <c r="AM71" t="e">
        <f>AND(#REF!,"AAAAABW//iY=")</f>
        <v>#REF!</v>
      </c>
      <c r="AN71" t="e">
        <f>AND(#REF!,"AAAAABW//ic=")</f>
        <v>#REF!</v>
      </c>
      <c r="AO71" t="e">
        <f>AND(#REF!,"AAAAABW//ig=")</f>
        <v>#REF!</v>
      </c>
      <c r="AP71" t="e">
        <f>AND(#REF!,"AAAAABW//ik=")</f>
        <v>#REF!</v>
      </c>
      <c r="AQ71" t="e">
        <f>AND(#REF!,"AAAAABW//io=")</f>
        <v>#REF!</v>
      </c>
      <c r="AR71" t="e">
        <f>AND(#REF!,"AAAAABW//is=")</f>
        <v>#REF!</v>
      </c>
      <c r="AS71" t="e">
        <f>AND(#REF!,"AAAAABW//iw=")</f>
        <v>#REF!</v>
      </c>
      <c r="AT71" t="e">
        <f>IF(#REF!,"AAAAABW//i0=",0)</f>
        <v>#REF!</v>
      </c>
      <c r="AU71" t="e">
        <f>AND(#REF!,"AAAAABW//i4=")</f>
        <v>#REF!</v>
      </c>
      <c r="AV71" t="e">
        <f>AND(#REF!,"AAAAABW//i8=")</f>
        <v>#REF!</v>
      </c>
      <c r="AW71" t="e">
        <f>AND(#REF!,"AAAAABW//jA=")</f>
        <v>#REF!</v>
      </c>
      <c r="AX71" t="e">
        <f>AND(#REF!,"AAAAABW//jE=")</f>
        <v>#REF!</v>
      </c>
      <c r="AY71" t="e">
        <f>AND(#REF!,"AAAAABW//jI=")</f>
        <v>#REF!</v>
      </c>
      <c r="AZ71" t="e">
        <f>AND(#REF!,"AAAAABW//jM=")</f>
        <v>#REF!</v>
      </c>
      <c r="BA71" t="e">
        <f>AND(#REF!,"AAAAABW//jQ=")</f>
        <v>#REF!</v>
      </c>
      <c r="BB71" t="e">
        <f>AND(#REF!,"AAAAABW//jU=")</f>
        <v>#REF!</v>
      </c>
      <c r="BC71" t="e">
        <f>AND(#REF!,"AAAAABW//jY=")</f>
        <v>#REF!</v>
      </c>
      <c r="BD71" t="e">
        <f>AND(#REF!,"AAAAABW//jc=")</f>
        <v>#REF!</v>
      </c>
      <c r="BE71" t="e">
        <f>AND(#REF!,"AAAAABW//jg=")</f>
        <v>#REF!</v>
      </c>
      <c r="BF71" t="e">
        <f>AND(#REF!,"AAAAABW//jk=")</f>
        <v>#REF!</v>
      </c>
      <c r="BG71" t="e">
        <f>IF(#REF!,"AAAAABW//jo=",0)</f>
        <v>#REF!</v>
      </c>
      <c r="BH71" t="e">
        <f>AND(#REF!,"AAAAABW//js=")</f>
        <v>#REF!</v>
      </c>
      <c r="BI71" t="e">
        <f>AND(#REF!,"AAAAABW//jw=")</f>
        <v>#REF!</v>
      </c>
      <c r="BJ71" t="e">
        <f>AND(#REF!,"AAAAABW//j0=")</f>
        <v>#REF!</v>
      </c>
      <c r="BK71" t="e">
        <f>AND(#REF!,"AAAAABW//j4=")</f>
        <v>#REF!</v>
      </c>
      <c r="BL71" t="e">
        <f>AND(#REF!,"AAAAABW//j8=")</f>
        <v>#REF!</v>
      </c>
      <c r="BM71" t="e">
        <f>AND(#REF!,"AAAAABW//kA=")</f>
        <v>#REF!</v>
      </c>
      <c r="BN71" t="e">
        <f>AND(#REF!,"AAAAABW//kE=")</f>
        <v>#REF!</v>
      </c>
      <c r="BO71" t="e">
        <f>AND(#REF!,"AAAAABW//kI=")</f>
        <v>#REF!</v>
      </c>
      <c r="BP71" t="e">
        <f>AND(#REF!,"AAAAABW//kM=")</f>
        <v>#REF!</v>
      </c>
      <c r="BQ71" t="e">
        <f>AND(#REF!,"AAAAABW//kQ=")</f>
        <v>#REF!</v>
      </c>
      <c r="BR71" t="e">
        <f>AND(#REF!,"AAAAABW//kU=")</f>
        <v>#REF!</v>
      </c>
      <c r="BS71" t="e">
        <f>AND(#REF!,"AAAAABW//kY=")</f>
        <v>#REF!</v>
      </c>
      <c r="BT71" t="e">
        <f>IF(#REF!,"AAAAABW//kc=",0)</f>
        <v>#REF!</v>
      </c>
      <c r="BU71" t="e">
        <f>AND(#REF!,"AAAAABW//kg=")</f>
        <v>#REF!</v>
      </c>
      <c r="BV71" t="e">
        <f>AND(#REF!,"AAAAABW//kk=")</f>
        <v>#REF!</v>
      </c>
      <c r="BW71" t="e">
        <f>AND(#REF!,"AAAAABW//ko=")</f>
        <v>#REF!</v>
      </c>
      <c r="BX71" t="e">
        <f>AND(#REF!,"AAAAABW//ks=")</f>
        <v>#REF!</v>
      </c>
      <c r="BY71" t="e">
        <f>AND(#REF!,"AAAAABW//kw=")</f>
        <v>#REF!</v>
      </c>
      <c r="BZ71" t="e">
        <f>AND(#REF!,"AAAAABW//k0=")</f>
        <v>#REF!</v>
      </c>
      <c r="CA71" t="e">
        <f>AND(#REF!,"AAAAABW//k4=")</f>
        <v>#REF!</v>
      </c>
      <c r="CB71" t="e">
        <f>AND(#REF!,"AAAAABW//k8=")</f>
        <v>#REF!</v>
      </c>
      <c r="CC71" t="e">
        <f>AND(#REF!,"AAAAABW//lA=")</f>
        <v>#REF!</v>
      </c>
      <c r="CD71" t="e">
        <f>AND(#REF!,"AAAAABW//lE=")</f>
        <v>#REF!</v>
      </c>
      <c r="CE71" t="e">
        <f>AND(#REF!,"AAAAABW//lI=")</f>
        <v>#REF!</v>
      </c>
      <c r="CF71" t="e">
        <f>AND(#REF!,"AAAAABW//lM=")</f>
        <v>#REF!</v>
      </c>
      <c r="CG71" t="e">
        <f>IF(#REF!,"AAAAABW//lQ=",0)</f>
        <v>#REF!</v>
      </c>
      <c r="CH71" t="e">
        <f>AND(#REF!,"AAAAABW//lU=")</f>
        <v>#REF!</v>
      </c>
      <c r="CI71" t="e">
        <f>AND(#REF!,"AAAAABW//lY=")</f>
        <v>#REF!</v>
      </c>
      <c r="CJ71" t="e">
        <f>AND(#REF!,"AAAAABW//lc=")</f>
        <v>#REF!</v>
      </c>
      <c r="CK71" t="e">
        <f>AND(#REF!,"AAAAABW//lg=")</f>
        <v>#REF!</v>
      </c>
      <c r="CL71" t="e">
        <f>AND(#REF!,"AAAAABW//lk=")</f>
        <v>#REF!</v>
      </c>
      <c r="CM71" t="e">
        <f>AND(#REF!,"AAAAABW//lo=")</f>
        <v>#REF!</v>
      </c>
      <c r="CN71" t="e">
        <f>AND(#REF!,"AAAAABW//ls=")</f>
        <v>#REF!</v>
      </c>
      <c r="CO71" t="e">
        <f>AND(#REF!,"AAAAABW//lw=")</f>
        <v>#REF!</v>
      </c>
      <c r="CP71" t="e">
        <f>AND(#REF!,"AAAAABW//l0=")</f>
        <v>#REF!</v>
      </c>
      <c r="CQ71" t="e">
        <f>AND(#REF!,"AAAAABW//l4=")</f>
        <v>#REF!</v>
      </c>
      <c r="CR71" t="e">
        <f>AND(#REF!,"AAAAABW//l8=")</f>
        <v>#REF!</v>
      </c>
      <c r="CS71" t="e">
        <f>AND(#REF!,"AAAAABW//mA=")</f>
        <v>#REF!</v>
      </c>
      <c r="CT71" t="e">
        <f>IF(#REF!,"AAAAABW//mE=",0)</f>
        <v>#REF!</v>
      </c>
      <c r="CU71" t="e">
        <f>AND(#REF!,"AAAAABW//mI=")</f>
        <v>#REF!</v>
      </c>
      <c r="CV71" t="e">
        <f>AND(#REF!,"AAAAABW//mM=")</f>
        <v>#REF!</v>
      </c>
      <c r="CW71" t="e">
        <f>AND(#REF!,"AAAAABW//mQ=")</f>
        <v>#REF!</v>
      </c>
      <c r="CX71" t="e">
        <f>AND(#REF!,"AAAAABW//mU=")</f>
        <v>#REF!</v>
      </c>
      <c r="CY71" t="e">
        <f>AND(#REF!,"AAAAABW//mY=")</f>
        <v>#REF!</v>
      </c>
      <c r="CZ71" t="e">
        <f>AND(#REF!,"AAAAABW//mc=")</f>
        <v>#REF!</v>
      </c>
      <c r="DA71" t="e">
        <f>AND(#REF!,"AAAAABW//mg=")</f>
        <v>#REF!</v>
      </c>
      <c r="DB71" t="e">
        <f>AND(#REF!,"AAAAABW//mk=")</f>
        <v>#REF!</v>
      </c>
      <c r="DC71" t="e">
        <f>AND(#REF!,"AAAAABW//mo=")</f>
        <v>#REF!</v>
      </c>
      <c r="DD71" t="e">
        <f>AND(#REF!,"AAAAABW//ms=")</f>
        <v>#REF!</v>
      </c>
      <c r="DE71" t="e">
        <f>AND(#REF!,"AAAAABW//mw=")</f>
        <v>#REF!</v>
      </c>
      <c r="DF71" t="e">
        <f>AND(#REF!,"AAAAABW//m0=")</f>
        <v>#REF!</v>
      </c>
      <c r="DG71" t="e">
        <f>IF(#REF!,"AAAAABW//m4=",0)</f>
        <v>#REF!</v>
      </c>
      <c r="DH71" t="e">
        <f>AND(#REF!,"AAAAABW//m8=")</f>
        <v>#REF!</v>
      </c>
      <c r="DI71" t="e">
        <f>AND(#REF!,"AAAAABW//nA=")</f>
        <v>#REF!</v>
      </c>
      <c r="DJ71" t="e">
        <f>AND(#REF!,"AAAAABW//nE=")</f>
        <v>#REF!</v>
      </c>
      <c r="DK71" t="e">
        <f>AND(#REF!,"AAAAABW//nI=")</f>
        <v>#REF!</v>
      </c>
      <c r="DL71" t="e">
        <f>AND(#REF!,"AAAAABW//nM=")</f>
        <v>#REF!</v>
      </c>
      <c r="DM71" t="e">
        <f>AND(#REF!,"AAAAABW//nQ=")</f>
        <v>#REF!</v>
      </c>
      <c r="DN71" t="e">
        <f>AND(#REF!,"AAAAABW//nU=")</f>
        <v>#REF!</v>
      </c>
      <c r="DO71" t="e">
        <f>AND(#REF!,"AAAAABW//nY=")</f>
        <v>#REF!</v>
      </c>
      <c r="DP71" t="e">
        <f>AND(#REF!,"AAAAABW//nc=")</f>
        <v>#REF!</v>
      </c>
      <c r="DQ71" t="e">
        <f>AND(#REF!,"AAAAABW//ng=")</f>
        <v>#REF!</v>
      </c>
      <c r="DR71" t="e">
        <f>AND(#REF!,"AAAAABW//nk=")</f>
        <v>#REF!</v>
      </c>
      <c r="DS71" t="e">
        <f>AND(#REF!,"AAAAABW//no=")</f>
        <v>#REF!</v>
      </c>
      <c r="DT71" t="e">
        <f>IF(#REF!,"AAAAABW//ns=",0)</f>
        <v>#REF!</v>
      </c>
      <c r="DU71" t="e">
        <f>AND(#REF!,"AAAAABW//nw=")</f>
        <v>#REF!</v>
      </c>
      <c r="DV71" t="e">
        <f>AND(#REF!,"AAAAABW//n0=")</f>
        <v>#REF!</v>
      </c>
      <c r="DW71" t="e">
        <f>AND(#REF!,"AAAAABW//n4=")</f>
        <v>#REF!</v>
      </c>
      <c r="DX71" t="e">
        <f>AND(#REF!,"AAAAABW//n8=")</f>
        <v>#REF!</v>
      </c>
      <c r="DY71" t="e">
        <f>AND(#REF!,"AAAAABW//oA=")</f>
        <v>#REF!</v>
      </c>
      <c r="DZ71" t="e">
        <f>AND(#REF!,"AAAAABW//oE=")</f>
        <v>#REF!</v>
      </c>
      <c r="EA71" t="e">
        <f>AND(#REF!,"AAAAABW//oI=")</f>
        <v>#REF!</v>
      </c>
      <c r="EB71" t="e">
        <f>AND(#REF!,"AAAAABW//oM=")</f>
        <v>#REF!</v>
      </c>
      <c r="EC71" t="e">
        <f>AND(#REF!,"AAAAABW//oQ=")</f>
        <v>#REF!</v>
      </c>
      <c r="ED71" t="e">
        <f>AND(#REF!,"AAAAABW//oU=")</f>
        <v>#REF!</v>
      </c>
      <c r="EE71" t="e">
        <f>AND(#REF!,"AAAAABW//oY=")</f>
        <v>#REF!</v>
      </c>
      <c r="EF71" t="e">
        <f>AND(#REF!,"AAAAABW//oc=")</f>
        <v>#REF!</v>
      </c>
      <c r="EG71" t="e">
        <f>IF(#REF!,"AAAAABW//og=",0)</f>
        <v>#REF!</v>
      </c>
      <c r="EH71" t="e">
        <f>AND(#REF!,"AAAAABW//ok=")</f>
        <v>#REF!</v>
      </c>
      <c r="EI71" t="e">
        <f>AND(#REF!,"AAAAABW//oo=")</f>
        <v>#REF!</v>
      </c>
      <c r="EJ71" t="e">
        <f>AND(#REF!,"AAAAABW//os=")</f>
        <v>#REF!</v>
      </c>
      <c r="EK71" t="e">
        <f>AND(#REF!,"AAAAABW//ow=")</f>
        <v>#REF!</v>
      </c>
      <c r="EL71" t="e">
        <f>AND(#REF!,"AAAAABW//o0=")</f>
        <v>#REF!</v>
      </c>
      <c r="EM71" t="e">
        <f>AND(#REF!,"AAAAABW//o4=")</f>
        <v>#REF!</v>
      </c>
      <c r="EN71" t="e">
        <f>AND(#REF!,"AAAAABW//o8=")</f>
        <v>#REF!</v>
      </c>
      <c r="EO71" t="e">
        <f>AND(#REF!,"AAAAABW//pA=")</f>
        <v>#REF!</v>
      </c>
      <c r="EP71" t="e">
        <f>AND(#REF!,"AAAAABW//pE=")</f>
        <v>#REF!</v>
      </c>
      <c r="EQ71" t="e">
        <f>AND(#REF!,"AAAAABW//pI=")</f>
        <v>#REF!</v>
      </c>
      <c r="ER71" t="e">
        <f>AND(#REF!,"AAAAABW//pM=")</f>
        <v>#REF!</v>
      </c>
      <c r="ES71" t="e">
        <f>AND(#REF!,"AAAAABW//pQ=")</f>
        <v>#REF!</v>
      </c>
      <c r="ET71" t="e">
        <f>IF(#REF!,"AAAAABW//pU=",0)</f>
        <v>#REF!</v>
      </c>
      <c r="EU71" t="e">
        <f>AND(#REF!,"AAAAABW//pY=")</f>
        <v>#REF!</v>
      </c>
      <c r="EV71" t="e">
        <f>AND(#REF!,"AAAAABW//pc=")</f>
        <v>#REF!</v>
      </c>
      <c r="EW71" t="e">
        <f>AND(#REF!,"AAAAABW//pg=")</f>
        <v>#REF!</v>
      </c>
      <c r="EX71" t="e">
        <f>AND(#REF!,"AAAAABW//pk=")</f>
        <v>#REF!</v>
      </c>
      <c r="EY71" t="e">
        <f>AND(#REF!,"AAAAABW//po=")</f>
        <v>#REF!</v>
      </c>
      <c r="EZ71" t="e">
        <f>AND(#REF!,"AAAAABW//ps=")</f>
        <v>#REF!</v>
      </c>
      <c r="FA71" t="e">
        <f>AND(#REF!,"AAAAABW//pw=")</f>
        <v>#REF!</v>
      </c>
      <c r="FB71" t="e">
        <f>AND(#REF!,"AAAAABW//p0=")</f>
        <v>#REF!</v>
      </c>
      <c r="FC71" t="e">
        <f>AND(#REF!,"AAAAABW//p4=")</f>
        <v>#REF!</v>
      </c>
      <c r="FD71" t="e">
        <f>AND(#REF!,"AAAAABW//p8=")</f>
        <v>#REF!</v>
      </c>
      <c r="FE71" t="e">
        <f>AND(#REF!,"AAAAABW//qA=")</f>
        <v>#REF!</v>
      </c>
      <c r="FF71" t="e">
        <f>AND(#REF!,"AAAAABW//qE=")</f>
        <v>#REF!</v>
      </c>
      <c r="FG71" t="e">
        <f>IF(#REF!,"AAAAABW//qI=",0)</f>
        <v>#REF!</v>
      </c>
      <c r="FH71" t="e">
        <f>AND(#REF!,"AAAAABW//qM=")</f>
        <v>#REF!</v>
      </c>
      <c r="FI71" t="e">
        <f>AND(#REF!,"AAAAABW//qQ=")</f>
        <v>#REF!</v>
      </c>
      <c r="FJ71" t="e">
        <f>AND(#REF!,"AAAAABW//qU=")</f>
        <v>#REF!</v>
      </c>
      <c r="FK71" t="e">
        <f>AND(#REF!,"AAAAABW//qY=")</f>
        <v>#REF!</v>
      </c>
      <c r="FL71" t="e">
        <f>AND(#REF!,"AAAAABW//qc=")</f>
        <v>#REF!</v>
      </c>
      <c r="FM71" t="e">
        <f>AND(#REF!,"AAAAABW//qg=")</f>
        <v>#REF!</v>
      </c>
      <c r="FN71" t="e">
        <f>AND(#REF!,"AAAAABW//qk=")</f>
        <v>#REF!</v>
      </c>
      <c r="FO71" t="e">
        <f>AND(#REF!,"AAAAABW//qo=")</f>
        <v>#REF!</v>
      </c>
      <c r="FP71" t="e">
        <f>AND(#REF!,"AAAAABW//qs=")</f>
        <v>#REF!</v>
      </c>
      <c r="FQ71" t="e">
        <f>AND(#REF!,"AAAAABW//qw=")</f>
        <v>#REF!</v>
      </c>
      <c r="FR71" t="e">
        <f>AND(#REF!,"AAAAABW//q0=")</f>
        <v>#REF!</v>
      </c>
      <c r="FS71" t="e">
        <f>AND(#REF!,"AAAAABW//q4=")</f>
        <v>#REF!</v>
      </c>
      <c r="FT71" t="e">
        <f>IF(#REF!,"AAAAABW//q8=",0)</f>
        <v>#REF!</v>
      </c>
      <c r="FU71" t="e">
        <f>AND(#REF!,"AAAAABW//rA=")</f>
        <v>#REF!</v>
      </c>
      <c r="FV71" t="e">
        <f>AND(#REF!,"AAAAABW//rE=")</f>
        <v>#REF!</v>
      </c>
      <c r="FW71" t="e">
        <f>AND(#REF!,"AAAAABW//rI=")</f>
        <v>#REF!</v>
      </c>
      <c r="FX71" t="e">
        <f>AND(#REF!,"AAAAABW//rM=")</f>
        <v>#REF!</v>
      </c>
      <c r="FY71" t="e">
        <f>AND(#REF!,"AAAAABW//rQ=")</f>
        <v>#REF!</v>
      </c>
      <c r="FZ71" t="e">
        <f>AND(#REF!,"AAAAABW//rU=")</f>
        <v>#REF!</v>
      </c>
      <c r="GA71" t="e">
        <f>AND(#REF!,"AAAAABW//rY=")</f>
        <v>#REF!</v>
      </c>
      <c r="GB71" t="e">
        <f>AND(#REF!,"AAAAABW//rc=")</f>
        <v>#REF!</v>
      </c>
      <c r="GC71" t="e">
        <f>AND(#REF!,"AAAAABW//rg=")</f>
        <v>#REF!</v>
      </c>
      <c r="GD71" t="e">
        <f>AND(#REF!,"AAAAABW//rk=")</f>
        <v>#REF!</v>
      </c>
      <c r="GE71" t="e">
        <f>AND(#REF!,"AAAAABW//ro=")</f>
        <v>#REF!</v>
      </c>
      <c r="GF71" t="e">
        <f>AND(#REF!,"AAAAABW//rs=")</f>
        <v>#REF!</v>
      </c>
      <c r="GG71" t="e">
        <f>IF(#REF!,"AAAAABW//rw=",0)</f>
        <v>#REF!</v>
      </c>
      <c r="GH71" t="e">
        <f>AND(#REF!,"AAAAABW//r0=")</f>
        <v>#REF!</v>
      </c>
      <c r="GI71" t="e">
        <f>AND(#REF!,"AAAAABW//r4=")</f>
        <v>#REF!</v>
      </c>
      <c r="GJ71" t="e">
        <f>AND(#REF!,"AAAAABW//r8=")</f>
        <v>#REF!</v>
      </c>
      <c r="GK71" t="e">
        <f>AND(#REF!,"AAAAABW//sA=")</f>
        <v>#REF!</v>
      </c>
      <c r="GL71" t="e">
        <f>AND(#REF!,"AAAAABW//sE=")</f>
        <v>#REF!</v>
      </c>
      <c r="GM71" t="e">
        <f>AND(#REF!,"AAAAABW//sI=")</f>
        <v>#REF!</v>
      </c>
      <c r="GN71" t="e">
        <f>AND(#REF!,"AAAAABW//sM=")</f>
        <v>#REF!</v>
      </c>
      <c r="GO71" t="e">
        <f>AND(#REF!,"AAAAABW//sQ=")</f>
        <v>#REF!</v>
      </c>
      <c r="GP71" t="e">
        <f>AND(#REF!,"AAAAABW//sU=")</f>
        <v>#REF!</v>
      </c>
      <c r="GQ71" t="e">
        <f>AND(#REF!,"AAAAABW//sY=")</f>
        <v>#REF!</v>
      </c>
      <c r="GR71" t="e">
        <f>AND(#REF!,"AAAAABW//sc=")</f>
        <v>#REF!</v>
      </c>
      <c r="GS71" t="e">
        <f>AND(#REF!,"AAAAABW//sg=")</f>
        <v>#REF!</v>
      </c>
      <c r="GT71" t="e">
        <f>IF(#REF!,"AAAAABW//sk=",0)</f>
        <v>#REF!</v>
      </c>
      <c r="GU71" t="e">
        <f>AND(#REF!,"AAAAABW//so=")</f>
        <v>#REF!</v>
      </c>
      <c r="GV71" t="e">
        <f>AND(#REF!,"AAAAABW//ss=")</f>
        <v>#REF!</v>
      </c>
      <c r="GW71" t="e">
        <f>AND(#REF!,"AAAAABW//sw=")</f>
        <v>#REF!</v>
      </c>
      <c r="GX71" t="e">
        <f>AND(#REF!,"AAAAABW//s0=")</f>
        <v>#REF!</v>
      </c>
      <c r="GY71" t="e">
        <f>AND(#REF!,"AAAAABW//s4=")</f>
        <v>#REF!</v>
      </c>
      <c r="GZ71" t="e">
        <f>AND(#REF!,"AAAAABW//s8=")</f>
        <v>#REF!</v>
      </c>
      <c r="HA71" t="e">
        <f>AND(#REF!,"AAAAABW//tA=")</f>
        <v>#REF!</v>
      </c>
      <c r="HB71" t="e">
        <f>AND(#REF!,"AAAAABW//tE=")</f>
        <v>#REF!</v>
      </c>
      <c r="HC71" t="e">
        <f>AND(#REF!,"AAAAABW//tI=")</f>
        <v>#REF!</v>
      </c>
      <c r="HD71" t="e">
        <f>AND(#REF!,"AAAAABW//tM=")</f>
        <v>#REF!</v>
      </c>
      <c r="HE71" t="e">
        <f>AND(#REF!,"AAAAABW//tQ=")</f>
        <v>#REF!</v>
      </c>
      <c r="HF71" t="e">
        <f>AND(#REF!,"AAAAABW//tU=")</f>
        <v>#REF!</v>
      </c>
      <c r="HG71" t="e">
        <f>IF(#REF!,"AAAAABW//tY=",0)</f>
        <v>#REF!</v>
      </c>
      <c r="HH71" t="e">
        <f>AND(#REF!,"AAAAABW//tc=")</f>
        <v>#REF!</v>
      </c>
      <c r="HI71" t="e">
        <f>AND(#REF!,"AAAAABW//tg=")</f>
        <v>#REF!</v>
      </c>
      <c r="HJ71" t="e">
        <f>AND(#REF!,"AAAAABW//tk=")</f>
        <v>#REF!</v>
      </c>
      <c r="HK71" t="e">
        <f>AND(#REF!,"AAAAABW//to=")</f>
        <v>#REF!</v>
      </c>
      <c r="HL71" t="e">
        <f>AND(#REF!,"AAAAABW//ts=")</f>
        <v>#REF!</v>
      </c>
      <c r="HM71" t="e">
        <f>AND(#REF!,"AAAAABW//tw=")</f>
        <v>#REF!</v>
      </c>
      <c r="HN71" t="e">
        <f>AND(#REF!,"AAAAABW//t0=")</f>
        <v>#REF!</v>
      </c>
      <c r="HO71" t="e">
        <f>AND(#REF!,"AAAAABW//t4=")</f>
        <v>#REF!</v>
      </c>
      <c r="HP71" t="e">
        <f>AND(#REF!,"AAAAABW//t8=")</f>
        <v>#REF!</v>
      </c>
      <c r="HQ71" t="e">
        <f>AND(#REF!,"AAAAABW//uA=")</f>
        <v>#REF!</v>
      </c>
      <c r="HR71" t="e">
        <f>AND(#REF!,"AAAAABW//uE=")</f>
        <v>#REF!</v>
      </c>
      <c r="HS71" t="e">
        <f>AND(#REF!,"AAAAABW//uI=")</f>
        <v>#REF!</v>
      </c>
      <c r="HT71" t="e">
        <f>IF(#REF!,"AAAAABW//uM=",0)</f>
        <v>#REF!</v>
      </c>
      <c r="HU71" t="e">
        <f>AND(#REF!,"AAAAABW//uQ=")</f>
        <v>#REF!</v>
      </c>
      <c r="HV71" t="e">
        <f>AND(#REF!,"AAAAABW//uU=")</f>
        <v>#REF!</v>
      </c>
      <c r="HW71" t="e">
        <f>AND(#REF!,"AAAAABW//uY=")</f>
        <v>#REF!</v>
      </c>
      <c r="HX71" t="e">
        <f>AND(#REF!,"AAAAABW//uc=")</f>
        <v>#REF!</v>
      </c>
      <c r="HY71" t="e">
        <f>AND(#REF!,"AAAAABW//ug=")</f>
        <v>#REF!</v>
      </c>
      <c r="HZ71" t="e">
        <f>AND(#REF!,"AAAAABW//uk=")</f>
        <v>#REF!</v>
      </c>
      <c r="IA71" t="e">
        <f>AND(#REF!,"AAAAABW//uo=")</f>
        <v>#REF!</v>
      </c>
      <c r="IB71" t="e">
        <f>AND(#REF!,"AAAAABW//us=")</f>
        <v>#REF!</v>
      </c>
      <c r="IC71" t="e">
        <f>AND(#REF!,"AAAAABW//uw=")</f>
        <v>#REF!</v>
      </c>
      <c r="ID71" t="e">
        <f>AND(#REF!,"AAAAABW//u0=")</f>
        <v>#REF!</v>
      </c>
      <c r="IE71" t="e">
        <f>AND(#REF!,"AAAAABW//u4=")</f>
        <v>#REF!</v>
      </c>
      <c r="IF71" t="e">
        <f>AND(#REF!,"AAAAABW//u8=")</f>
        <v>#REF!</v>
      </c>
      <c r="IG71" t="e">
        <f>IF(#REF!,"AAAAABW//vA=",0)</f>
        <v>#REF!</v>
      </c>
      <c r="IH71" t="e">
        <f>AND(#REF!,"AAAAABW//vE=")</f>
        <v>#REF!</v>
      </c>
      <c r="II71" t="e">
        <f>AND(#REF!,"AAAAABW//vI=")</f>
        <v>#REF!</v>
      </c>
      <c r="IJ71" t="e">
        <f>AND(#REF!,"AAAAABW//vM=")</f>
        <v>#REF!</v>
      </c>
      <c r="IK71" t="e">
        <f>AND(#REF!,"AAAAABW//vQ=")</f>
        <v>#REF!</v>
      </c>
      <c r="IL71" t="e">
        <f>AND(#REF!,"AAAAABW//vU=")</f>
        <v>#REF!</v>
      </c>
      <c r="IM71" t="e">
        <f>AND(#REF!,"AAAAABW//vY=")</f>
        <v>#REF!</v>
      </c>
      <c r="IN71" t="e">
        <f>AND(#REF!,"AAAAABW//vc=")</f>
        <v>#REF!</v>
      </c>
      <c r="IO71" t="e">
        <f>AND(#REF!,"AAAAABW//vg=")</f>
        <v>#REF!</v>
      </c>
      <c r="IP71" t="e">
        <f>AND(#REF!,"AAAAABW//vk=")</f>
        <v>#REF!</v>
      </c>
      <c r="IQ71" t="e">
        <f>AND(#REF!,"AAAAABW//vo=")</f>
        <v>#REF!</v>
      </c>
      <c r="IR71" t="e">
        <f>AND(#REF!,"AAAAABW//vs=")</f>
        <v>#REF!</v>
      </c>
      <c r="IS71" t="e">
        <f>AND(#REF!,"AAAAABW//vw=")</f>
        <v>#REF!</v>
      </c>
      <c r="IT71" t="e">
        <f>IF(#REF!,"AAAAABW//v0=",0)</f>
        <v>#REF!</v>
      </c>
      <c r="IU71" t="e">
        <f>AND(#REF!,"AAAAABW//v4=")</f>
        <v>#REF!</v>
      </c>
      <c r="IV71" t="e">
        <f>AND(#REF!,"AAAAABW//v8=")</f>
        <v>#REF!</v>
      </c>
    </row>
    <row r="72" spans="1:256" x14ac:dyDescent="0.35">
      <c r="A72" t="e">
        <f>AND(#REF!,"AAAAADP/7wA=")</f>
        <v>#REF!</v>
      </c>
      <c r="B72" t="e">
        <f>AND(#REF!,"AAAAADP/7wE=")</f>
        <v>#REF!</v>
      </c>
      <c r="C72" t="e">
        <f>AND(#REF!,"AAAAADP/7wI=")</f>
        <v>#REF!</v>
      </c>
      <c r="D72" t="e">
        <f>AND(#REF!,"AAAAADP/7wM=")</f>
        <v>#REF!</v>
      </c>
      <c r="E72" t="e">
        <f>AND(#REF!,"AAAAADP/7wQ=")</f>
        <v>#REF!</v>
      </c>
      <c r="F72" t="e">
        <f>AND(#REF!,"AAAAADP/7wU=")</f>
        <v>#REF!</v>
      </c>
      <c r="G72" t="e">
        <f>AND(#REF!,"AAAAADP/7wY=")</f>
        <v>#REF!</v>
      </c>
      <c r="H72" t="e">
        <f>AND(#REF!,"AAAAADP/7wc=")</f>
        <v>#REF!</v>
      </c>
      <c r="I72" t="e">
        <f>AND(#REF!,"AAAAADP/7wg=")</f>
        <v>#REF!</v>
      </c>
      <c r="J72" t="e">
        <f>AND(#REF!,"AAAAADP/7wk=")</f>
        <v>#REF!</v>
      </c>
      <c r="K72" t="e">
        <f>IF(#REF!,"AAAAADP/7wo=",0)</f>
        <v>#REF!</v>
      </c>
      <c r="L72" t="e">
        <f>AND(#REF!,"AAAAADP/7ws=")</f>
        <v>#REF!</v>
      </c>
      <c r="M72" t="e">
        <f>AND(#REF!,"AAAAADP/7ww=")</f>
        <v>#REF!</v>
      </c>
      <c r="N72" t="e">
        <f>AND(#REF!,"AAAAADP/7w0=")</f>
        <v>#REF!</v>
      </c>
      <c r="O72" t="e">
        <f>AND(#REF!,"AAAAADP/7w4=")</f>
        <v>#REF!</v>
      </c>
      <c r="P72" t="e">
        <f>AND(#REF!,"AAAAADP/7w8=")</f>
        <v>#REF!</v>
      </c>
      <c r="Q72" t="e">
        <f>AND(#REF!,"AAAAADP/7xA=")</f>
        <v>#REF!</v>
      </c>
      <c r="R72" t="e">
        <f>AND(#REF!,"AAAAADP/7xE=")</f>
        <v>#REF!</v>
      </c>
      <c r="S72" t="e">
        <f>AND(#REF!,"AAAAADP/7xI=")</f>
        <v>#REF!</v>
      </c>
      <c r="T72" t="e">
        <f>AND(#REF!,"AAAAADP/7xM=")</f>
        <v>#REF!</v>
      </c>
      <c r="U72" t="e">
        <f>AND(#REF!,"AAAAADP/7xQ=")</f>
        <v>#REF!</v>
      </c>
      <c r="V72" t="e">
        <f>AND(#REF!,"AAAAADP/7xU=")</f>
        <v>#REF!</v>
      </c>
      <c r="W72" t="e">
        <f>AND(#REF!,"AAAAADP/7xY=")</f>
        <v>#REF!</v>
      </c>
      <c r="X72" t="e">
        <f>IF(#REF!,"AAAAADP/7xc=",0)</f>
        <v>#REF!</v>
      </c>
      <c r="Y72" t="e">
        <f>AND(#REF!,"AAAAADP/7xg=")</f>
        <v>#REF!</v>
      </c>
      <c r="Z72" t="e">
        <f>AND(#REF!,"AAAAADP/7xk=")</f>
        <v>#REF!</v>
      </c>
      <c r="AA72" t="e">
        <f>AND(#REF!,"AAAAADP/7xo=")</f>
        <v>#REF!</v>
      </c>
      <c r="AB72" t="e">
        <f>AND(#REF!,"AAAAADP/7xs=")</f>
        <v>#REF!</v>
      </c>
      <c r="AC72" t="e">
        <f>AND(#REF!,"AAAAADP/7xw=")</f>
        <v>#REF!</v>
      </c>
      <c r="AD72" t="e">
        <f>AND(#REF!,"AAAAADP/7x0=")</f>
        <v>#REF!</v>
      </c>
      <c r="AE72" t="e">
        <f>AND(#REF!,"AAAAADP/7x4=")</f>
        <v>#REF!</v>
      </c>
      <c r="AF72" t="e">
        <f>AND(#REF!,"AAAAADP/7x8=")</f>
        <v>#REF!</v>
      </c>
      <c r="AG72" t="e">
        <f>AND(#REF!,"AAAAADP/7yA=")</f>
        <v>#REF!</v>
      </c>
      <c r="AH72" t="e">
        <f>AND(#REF!,"AAAAADP/7yE=")</f>
        <v>#REF!</v>
      </c>
      <c r="AI72" t="e">
        <f>AND(#REF!,"AAAAADP/7yI=")</f>
        <v>#REF!</v>
      </c>
      <c r="AJ72" t="e">
        <f>AND(#REF!,"AAAAADP/7yM=")</f>
        <v>#REF!</v>
      </c>
      <c r="AK72" t="e">
        <f>IF(#REF!,"AAAAADP/7yQ=",0)</f>
        <v>#REF!</v>
      </c>
      <c r="AL72" t="e">
        <f>AND(#REF!,"AAAAADP/7yU=")</f>
        <v>#REF!</v>
      </c>
      <c r="AM72" t="e">
        <f>AND(#REF!,"AAAAADP/7yY=")</f>
        <v>#REF!</v>
      </c>
      <c r="AN72" t="e">
        <f>AND(#REF!,"AAAAADP/7yc=")</f>
        <v>#REF!</v>
      </c>
      <c r="AO72" t="e">
        <f>AND(#REF!,"AAAAADP/7yg=")</f>
        <v>#REF!</v>
      </c>
      <c r="AP72" t="e">
        <f>AND(#REF!,"AAAAADP/7yk=")</f>
        <v>#REF!</v>
      </c>
      <c r="AQ72" t="e">
        <f>AND(#REF!,"AAAAADP/7yo=")</f>
        <v>#REF!</v>
      </c>
      <c r="AR72" t="e">
        <f>AND(#REF!,"AAAAADP/7ys=")</f>
        <v>#REF!</v>
      </c>
      <c r="AS72" t="e">
        <f>AND(#REF!,"AAAAADP/7yw=")</f>
        <v>#REF!</v>
      </c>
      <c r="AT72" t="e">
        <f>AND(#REF!,"AAAAADP/7y0=")</f>
        <v>#REF!</v>
      </c>
      <c r="AU72" t="e">
        <f>AND(#REF!,"AAAAADP/7y4=")</f>
        <v>#REF!</v>
      </c>
      <c r="AV72" t="e">
        <f>AND(#REF!,"AAAAADP/7y8=")</f>
        <v>#REF!</v>
      </c>
      <c r="AW72" t="e">
        <f>AND(#REF!,"AAAAADP/7zA=")</f>
        <v>#REF!</v>
      </c>
      <c r="AX72" t="e">
        <f>IF(#REF!,"AAAAADP/7zE=",0)</f>
        <v>#REF!</v>
      </c>
      <c r="AY72" t="e">
        <f>AND(#REF!,"AAAAADP/7zI=")</f>
        <v>#REF!</v>
      </c>
      <c r="AZ72" t="e">
        <f>AND(#REF!,"AAAAADP/7zM=")</f>
        <v>#REF!</v>
      </c>
      <c r="BA72" t="e">
        <f>AND(#REF!,"AAAAADP/7zQ=")</f>
        <v>#REF!</v>
      </c>
      <c r="BB72" t="e">
        <f>AND(#REF!,"AAAAADP/7zU=")</f>
        <v>#REF!</v>
      </c>
      <c r="BC72" t="e">
        <f>AND(#REF!,"AAAAADP/7zY=")</f>
        <v>#REF!</v>
      </c>
      <c r="BD72" t="e">
        <f>AND(#REF!,"AAAAADP/7zc=")</f>
        <v>#REF!</v>
      </c>
      <c r="BE72" t="e">
        <f>AND(#REF!,"AAAAADP/7zg=")</f>
        <v>#REF!</v>
      </c>
      <c r="BF72" t="e">
        <f>AND(#REF!,"AAAAADP/7zk=")</f>
        <v>#REF!</v>
      </c>
      <c r="BG72" t="e">
        <f>AND(#REF!,"AAAAADP/7zo=")</f>
        <v>#REF!</v>
      </c>
      <c r="BH72" t="e">
        <f>AND(#REF!,"AAAAADP/7zs=")</f>
        <v>#REF!</v>
      </c>
      <c r="BI72" t="e">
        <f>AND(#REF!,"AAAAADP/7zw=")</f>
        <v>#REF!</v>
      </c>
      <c r="BJ72" t="e">
        <f>AND(#REF!,"AAAAADP/7z0=")</f>
        <v>#REF!</v>
      </c>
      <c r="BK72" t="e">
        <f>IF(#REF!,"AAAAADP/7z4=",0)</f>
        <v>#REF!</v>
      </c>
      <c r="BL72" t="e">
        <f>AND(#REF!,"AAAAADP/7z8=")</f>
        <v>#REF!</v>
      </c>
      <c r="BM72" t="e">
        <f>AND(#REF!,"AAAAADP/70A=")</f>
        <v>#REF!</v>
      </c>
      <c r="BN72" t="e">
        <f>AND(#REF!,"AAAAADP/70E=")</f>
        <v>#REF!</v>
      </c>
      <c r="BO72" t="e">
        <f>AND(#REF!,"AAAAADP/70I=")</f>
        <v>#REF!</v>
      </c>
      <c r="BP72" t="e">
        <f>AND(#REF!,"AAAAADP/70M=")</f>
        <v>#REF!</v>
      </c>
      <c r="BQ72" t="e">
        <f>AND(#REF!,"AAAAADP/70Q=")</f>
        <v>#REF!</v>
      </c>
      <c r="BR72" t="e">
        <f>AND(#REF!,"AAAAADP/70U=")</f>
        <v>#REF!</v>
      </c>
      <c r="BS72" t="e">
        <f>AND(#REF!,"AAAAADP/70Y=")</f>
        <v>#REF!</v>
      </c>
      <c r="BT72" t="e">
        <f>AND(#REF!,"AAAAADP/70c=")</f>
        <v>#REF!</v>
      </c>
      <c r="BU72" t="e">
        <f>AND(#REF!,"AAAAADP/70g=")</f>
        <v>#REF!</v>
      </c>
      <c r="BV72" t="e">
        <f>AND(#REF!,"AAAAADP/70k=")</f>
        <v>#REF!</v>
      </c>
      <c r="BW72" t="e">
        <f>AND(#REF!,"AAAAADP/70o=")</f>
        <v>#REF!</v>
      </c>
      <c r="BX72" t="e">
        <f>IF(#REF!,"AAAAADP/70s=",0)</f>
        <v>#REF!</v>
      </c>
      <c r="BY72" t="e">
        <f>AND(#REF!,"AAAAADP/70w=")</f>
        <v>#REF!</v>
      </c>
      <c r="BZ72" t="e">
        <f>AND(#REF!,"AAAAADP/700=")</f>
        <v>#REF!</v>
      </c>
      <c r="CA72" t="e">
        <f>AND(#REF!,"AAAAADP/704=")</f>
        <v>#REF!</v>
      </c>
      <c r="CB72" t="e">
        <f>AND(#REF!,"AAAAADP/708=")</f>
        <v>#REF!</v>
      </c>
      <c r="CC72" t="e">
        <f>AND(#REF!,"AAAAADP/71A=")</f>
        <v>#REF!</v>
      </c>
      <c r="CD72" t="e">
        <f>AND(#REF!,"AAAAADP/71E=")</f>
        <v>#REF!</v>
      </c>
      <c r="CE72" t="e">
        <f>AND(#REF!,"AAAAADP/71I=")</f>
        <v>#REF!</v>
      </c>
      <c r="CF72" t="e">
        <f>AND(#REF!,"AAAAADP/71M=")</f>
        <v>#REF!</v>
      </c>
      <c r="CG72" t="e">
        <f>AND(#REF!,"AAAAADP/71Q=")</f>
        <v>#REF!</v>
      </c>
      <c r="CH72" t="e">
        <f>AND(#REF!,"AAAAADP/71U=")</f>
        <v>#REF!</v>
      </c>
      <c r="CI72" t="e">
        <f>AND(#REF!,"AAAAADP/71Y=")</f>
        <v>#REF!</v>
      </c>
      <c r="CJ72" t="e">
        <f>AND(#REF!,"AAAAADP/71c=")</f>
        <v>#REF!</v>
      </c>
      <c r="CK72" t="e">
        <f>IF(#REF!,"AAAAADP/71g=",0)</f>
        <v>#REF!</v>
      </c>
      <c r="CL72" t="e">
        <f>AND(#REF!,"AAAAADP/71k=")</f>
        <v>#REF!</v>
      </c>
      <c r="CM72" t="e">
        <f>AND(#REF!,"AAAAADP/71o=")</f>
        <v>#REF!</v>
      </c>
      <c r="CN72" t="e">
        <f>AND(#REF!,"AAAAADP/71s=")</f>
        <v>#REF!</v>
      </c>
      <c r="CO72" t="e">
        <f>AND(#REF!,"AAAAADP/71w=")</f>
        <v>#REF!</v>
      </c>
      <c r="CP72" t="e">
        <f>AND(#REF!,"AAAAADP/710=")</f>
        <v>#REF!</v>
      </c>
      <c r="CQ72" t="e">
        <f>AND(#REF!,"AAAAADP/714=")</f>
        <v>#REF!</v>
      </c>
      <c r="CR72" t="e">
        <f>AND(#REF!,"AAAAADP/718=")</f>
        <v>#REF!</v>
      </c>
      <c r="CS72" t="e">
        <f>AND(#REF!,"AAAAADP/72A=")</f>
        <v>#REF!</v>
      </c>
      <c r="CT72" t="e">
        <f>AND(#REF!,"AAAAADP/72E=")</f>
        <v>#REF!</v>
      </c>
      <c r="CU72" t="e">
        <f>AND(#REF!,"AAAAADP/72I=")</f>
        <v>#REF!</v>
      </c>
      <c r="CV72" t="e">
        <f>AND(#REF!,"AAAAADP/72M=")</f>
        <v>#REF!</v>
      </c>
      <c r="CW72" t="e">
        <f>AND(#REF!,"AAAAADP/72Q=")</f>
        <v>#REF!</v>
      </c>
      <c r="CX72" t="e">
        <f>IF(#REF!,"AAAAADP/72U=",0)</f>
        <v>#REF!</v>
      </c>
      <c r="CY72" t="e">
        <f>AND(#REF!,"AAAAADP/72Y=")</f>
        <v>#REF!</v>
      </c>
      <c r="CZ72" t="e">
        <f>AND(#REF!,"AAAAADP/72c=")</f>
        <v>#REF!</v>
      </c>
      <c r="DA72" t="e">
        <f>AND(#REF!,"AAAAADP/72g=")</f>
        <v>#REF!</v>
      </c>
      <c r="DB72" t="e">
        <f>AND(#REF!,"AAAAADP/72k=")</f>
        <v>#REF!</v>
      </c>
      <c r="DC72" t="e">
        <f>AND(#REF!,"AAAAADP/72o=")</f>
        <v>#REF!</v>
      </c>
      <c r="DD72" t="e">
        <f>AND(#REF!,"AAAAADP/72s=")</f>
        <v>#REF!</v>
      </c>
      <c r="DE72" t="e">
        <f>AND(#REF!,"AAAAADP/72w=")</f>
        <v>#REF!</v>
      </c>
      <c r="DF72" t="e">
        <f>AND(#REF!,"AAAAADP/720=")</f>
        <v>#REF!</v>
      </c>
      <c r="DG72" t="e">
        <f>AND(#REF!,"AAAAADP/724=")</f>
        <v>#REF!</v>
      </c>
      <c r="DH72" t="e">
        <f>AND(#REF!,"AAAAADP/728=")</f>
        <v>#REF!</v>
      </c>
      <c r="DI72" t="e">
        <f>AND(#REF!,"AAAAADP/73A=")</f>
        <v>#REF!</v>
      </c>
      <c r="DJ72" t="e">
        <f>AND(#REF!,"AAAAADP/73E=")</f>
        <v>#REF!</v>
      </c>
      <c r="DK72" t="e">
        <f>IF(#REF!,"AAAAADP/73I=",0)</f>
        <v>#REF!</v>
      </c>
      <c r="DL72" t="e">
        <f>AND(#REF!,"AAAAADP/73M=")</f>
        <v>#REF!</v>
      </c>
      <c r="DM72" t="e">
        <f>AND(#REF!,"AAAAADP/73Q=")</f>
        <v>#REF!</v>
      </c>
      <c r="DN72" t="e">
        <f>AND(#REF!,"AAAAADP/73U=")</f>
        <v>#REF!</v>
      </c>
      <c r="DO72" t="e">
        <f>AND(#REF!,"AAAAADP/73Y=")</f>
        <v>#REF!</v>
      </c>
      <c r="DP72" t="e">
        <f>AND(#REF!,"AAAAADP/73c=")</f>
        <v>#REF!</v>
      </c>
      <c r="DQ72" t="e">
        <f>AND(#REF!,"AAAAADP/73g=")</f>
        <v>#REF!</v>
      </c>
      <c r="DR72" t="e">
        <f>AND(#REF!,"AAAAADP/73k=")</f>
        <v>#REF!</v>
      </c>
      <c r="DS72" t="e">
        <f>AND(#REF!,"AAAAADP/73o=")</f>
        <v>#REF!</v>
      </c>
      <c r="DT72" t="e">
        <f>AND(#REF!,"AAAAADP/73s=")</f>
        <v>#REF!</v>
      </c>
      <c r="DU72" t="e">
        <f>AND(#REF!,"AAAAADP/73w=")</f>
        <v>#REF!</v>
      </c>
      <c r="DV72" t="e">
        <f>AND(#REF!,"AAAAADP/730=")</f>
        <v>#REF!</v>
      </c>
      <c r="DW72" t="e">
        <f>AND(#REF!,"AAAAADP/734=")</f>
        <v>#REF!</v>
      </c>
      <c r="DX72" t="e">
        <f>IF(#REF!,"AAAAADP/738=",0)</f>
        <v>#REF!</v>
      </c>
      <c r="DY72" t="e">
        <f>AND(#REF!,"AAAAADP/74A=")</f>
        <v>#REF!</v>
      </c>
      <c r="DZ72" t="e">
        <f>AND(#REF!,"AAAAADP/74E=")</f>
        <v>#REF!</v>
      </c>
      <c r="EA72" t="e">
        <f>AND(#REF!,"AAAAADP/74I=")</f>
        <v>#REF!</v>
      </c>
      <c r="EB72" t="e">
        <f>AND(#REF!,"AAAAADP/74M=")</f>
        <v>#REF!</v>
      </c>
      <c r="EC72" t="e">
        <f>AND(#REF!,"AAAAADP/74Q=")</f>
        <v>#REF!</v>
      </c>
      <c r="ED72" t="e">
        <f>AND(#REF!,"AAAAADP/74U=")</f>
        <v>#REF!</v>
      </c>
      <c r="EE72" t="e">
        <f>AND(#REF!,"AAAAADP/74Y=")</f>
        <v>#REF!</v>
      </c>
      <c r="EF72" t="e">
        <f>AND(#REF!,"AAAAADP/74c=")</f>
        <v>#REF!</v>
      </c>
      <c r="EG72" t="e">
        <f>AND(#REF!,"AAAAADP/74g=")</f>
        <v>#REF!</v>
      </c>
      <c r="EH72" t="e">
        <f>AND(#REF!,"AAAAADP/74k=")</f>
        <v>#REF!</v>
      </c>
      <c r="EI72" t="e">
        <f>AND(#REF!,"AAAAADP/74o=")</f>
        <v>#REF!</v>
      </c>
      <c r="EJ72" t="e">
        <f>AND(#REF!,"AAAAADP/74s=")</f>
        <v>#REF!</v>
      </c>
      <c r="EK72" t="e">
        <f>IF(#REF!,"AAAAADP/74w=",0)</f>
        <v>#REF!</v>
      </c>
      <c r="EL72" t="e">
        <f>AND(#REF!,"AAAAADP/740=")</f>
        <v>#REF!</v>
      </c>
      <c r="EM72" t="e">
        <f>AND(#REF!,"AAAAADP/744=")</f>
        <v>#REF!</v>
      </c>
      <c r="EN72" t="e">
        <f>AND(#REF!,"AAAAADP/748=")</f>
        <v>#REF!</v>
      </c>
      <c r="EO72" t="e">
        <f>AND(#REF!,"AAAAADP/75A=")</f>
        <v>#REF!</v>
      </c>
      <c r="EP72" t="e">
        <f>AND(#REF!,"AAAAADP/75E=")</f>
        <v>#REF!</v>
      </c>
      <c r="EQ72" t="e">
        <f>AND(#REF!,"AAAAADP/75I=")</f>
        <v>#REF!</v>
      </c>
      <c r="ER72" t="e">
        <f>AND(#REF!,"AAAAADP/75M=")</f>
        <v>#REF!</v>
      </c>
      <c r="ES72" t="e">
        <f>AND(#REF!,"AAAAADP/75Q=")</f>
        <v>#REF!</v>
      </c>
      <c r="ET72" t="e">
        <f>AND(#REF!,"AAAAADP/75U=")</f>
        <v>#REF!</v>
      </c>
      <c r="EU72" t="e">
        <f>AND(#REF!,"AAAAADP/75Y=")</f>
        <v>#REF!</v>
      </c>
      <c r="EV72" t="e">
        <f>AND(#REF!,"AAAAADP/75c=")</f>
        <v>#REF!</v>
      </c>
      <c r="EW72" t="e">
        <f>AND(#REF!,"AAAAADP/75g=")</f>
        <v>#REF!</v>
      </c>
      <c r="EX72" t="e">
        <f>IF(#REF!,"AAAAADP/75k=",0)</f>
        <v>#REF!</v>
      </c>
      <c r="EY72" t="e">
        <f>AND(#REF!,"AAAAADP/75o=")</f>
        <v>#REF!</v>
      </c>
      <c r="EZ72" t="e">
        <f>AND(#REF!,"AAAAADP/75s=")</f>
        <v>#REF!</v>
      </c>
      <c r="FA72" t="e">
        <f>AND(#REF!,"AAAAADP/75w=")</f>
        <v>#REF!</v>
      </c>
      <c r="FB72" t="e">
        <f>AND(#REF!,"AAAAADP/750=")</f>
        <v>#REF!</v>
      </c>
      <c r="FC72" t="e">
        <f>AND(#REF!,"AAAAADP/754=")</f>
        <v>#REF!</v>
      </c>
      <c r="FD72" t="e">
        <f>AND(#REF!,"AAAAADP/758=")</f>
        <v>#REF!</v>
      </c>
      <c r="FE72" t="e">
        <f>AND(#REF!,"AAAAADP/76A=")</f>
        <v>#REF!</v>
      </c>
      <c r="FF72" t="e">
        <f>AND(#REF!,"AAAAADP/76E=")</f>
        <v>#REF!</v>
      </c>
      <c r="FG72" t="e">
        <f>AND(#REF!,"AAAAADP/76I=")</f>
        <v>#REF!</v>
      </c>
      <c r="FH72" t="e">
        <f>AND(#REF!,"AAAAADP/76M=")</f>
        <v>#REF!</v>
      </c>
      <c r="FI72" t="e">
        <f>AND(#REF!,"AAAAADP/76Q=")</f>
        <v>#REF!</v>
      </c>
      <c r="FJ72" t="e">
        <f>AND(#REF!,"AAAAADP/76U=")</f>
        <v>#REF!</v>
      </c>
      <c r="FK72" t="e">
        <f>IF(#REF!,"AAAAADP/76Y=",0)</f>
        <v>#REF!</v>
      </c>
      <c r="FL72" t="e">
        <f>AND(#REF!,"AAAAADP/76c=")</f>
        <v>#REF!</v>
      </c>
      <c r="FM72" t="e">
        <f>AND(#REF!,"AAAAADP/76g=")</f>
        <v>#REF!</v>
      </c>
      <c r="FN72" t="e">
        <f>AND(#REF!,"AAAAADP/76k=")</f>
        <v>#REF!</v>
      </c>
      <c r="FO72" t="e">
        <f>AND(#REF!,"AAAAADP/76o=")</f>
        <v>#REF!</v>
      </c>
      <c r="FP72" t="e">
        <f>AND(#REF!,"AAAAADP/76s=")</f>
        <v>#REF!</v>
      </c>
      <c r="FQ72" t="e">
        <f>AND(#REF!,"AAAAADP/76w=")</f>
        <v>#REF!</v>
      </c>
      <c r="FR72" t="e">
        <f>AND(#REF!,"AAAAADP/760=")</f>
        <v>#REF!</v>
      </c>
      <c r="FS72" t="e">
        <f>AND(#REF!,"AAAAADP/764=")</f>
        <v>#REF!</v>
      </c>
      <c r="FT72" t="e">
        <f>AND(#REF!,"AAAAADP/768=")</f>
        <v>#REF!</v>
      </c>
      <c r="FU72" t="e">
        <f>AND(#REF!,"AAAAADP/77A=")</f>
        <v>#REF!</v>
      </c>
      <c r="FV72" t="e">
        <f>AND(#REF!,"AAAAADP/77E=")</f>
        <v>#REF!</v>
      </c>
      <c r="FW72" t="e">
        <f>AND(#REF!,"AAAAADP/77I=")</f>
        <v>#REF!</v>
      </c>
      <c r="FX72" t="e">
        <f>IF(#REF!,"AAAAADP/77M=",0)</f>
        <v>#REF!</v>
      </c>
      <c r="FY72" t="e">
        <f>AND(#REF!,"AAAAADP/77Q=")</f>
        <v>#REF!</v>
      </c>
      <c r="FZ72" t="e">
        <f>AND(#REF!,"AAAAADP/77U=")</f>
        <v>#REF!</v>
      </c>
      <c r="GA72" t="e">
        <f>AND(#REF!,"AAAAADP/77Y=")</f>
        <v>#REF!</v>
      </c>
      <c r="GB72" t="e">
        <f>AND(#REF!,"AAAAADP/77c=")</f>
        <v>#REF!</v>
      </c>
      <c r="GC72" t="e">
        <f>AND(#REF!,"AAAAADP/77g=")</f>
        <v>#REF!</v>
      </c>
      <c r="GD72" t="e">
        <f>AND(#REF!,"AAAAADP/77k=")</f>
        <v>#REF!</v>
      </c>
      <c r="GE72" t="e">
        <f>AND(#REF!,"AAAAADP/77o=")</f>
        <v>#REF!</v>
      </c>
      <c r="GF72" t="e">
        <f>AND(#REF!,"AAAAADP/77s=")</f>
        <v>#REF!</v>
      </c>
      <c r="GG72" t="e">
        <f>AND(#REF!,"AAAAADP/77w=")</f>
        <v>#REF!</v>
      </c>
      <c r="GH72" t="e">
        <f>AND(#REF!,"AAAAADP/770=")</f>
        <v>#REF!</v>
      </c>
      <c r="GI72" t="e">
        <f>AND(#REF!,"AAAAADP/774=")</f>
        <v>#REF!</v>
      </c>
      <c r="GJ72" t="e">
        <f>AND(#REF!,"AAAAADP/778=")</f>
        <v>#REF!</v>
      </c>
      <c r="GK72" t="e">
        <f>IF(#REF!,"AAAAADP/78A=",0)</f>
        <v>#REF!</v>
      </c>
      <c r="GL72" t="e">
        <f>AND(#REF!,"AAAAADP/78E=")</f>
        <v>#REF!</v>
      </c>
      <c r="GM72" t="e">
        <f>AND(#REF!,"AAAAADP/78I=")</f>
        <v>#REF!</v>
      </c>
      <c r="GN72" t="e">
        <f>AND(#REF!,"AAAAADP/78M=")</f>
        <v>#REF!</v>
      </c>
      <c r="GO72" t="e">
        <f>AND(#REF!,"AAAAADP/78Q=")</f>
        <v>#REF!</v>
      </c>
      <c r="GP72" t="e">
        <f>AND(#REF!,"AAAAADP/78U=")</f>
        <v>#REF!</v>
      </c>
      <c r="GQ72" t="e">
        <f>AND(#REF!,"AAAAADP/78Y=")</f>
        <v>#REF!</v>
      </c>
      <c r="GR72" t="e">
        <f>AND(#REF!,"AAAAADP/78c=")</f>
        <v>#REF!</v>
      </c>
      <c r="GS72" t="e">
        <f>AND(#REF!,"AAAAADP/78g=")</f>
        <v>#REF!</v>
      </c>
      <c r="GT72" t="e">
        <f>AND(#REF!,"AAAAADP/78k=")</f>
        <v>#REF!</v>
      </c>
      <c r="GU72" t="e">
        <f>AND(#REF!,"AAAAADP/78o=")</f>
        <v>#REF!</v>
      </c>
      <c r="GV72" t="e">
        <f>AND(#REF!,"AAAAADP/78s=")</f>
        <v>#REF!</v>
      </c>
      <c r="GW72" t="e">
        <f>AND(#REF!,"AAAAADP/78w=")</f>
        <v>#REF!</v>
      </c>
      <c r="GX72" t="e">
        <f>IF(#REF!,"AAAAADP/780=",0)</f>
        <v>#REF!</v>
      </c>
      <c r="GY72" t="e">
        <f>AND(#REF!,"AAAAADP/784=")</f>
        <v>#REF!</v>
      </c>
      <c r="GZ72" t="e">
        <f>AND(#REF!,"AAAAADP/788=")</f>
        <v>#REF!</v>
      </c>
      <c r="HA72" t="e">
        <f>AND(#REF!,"AAAAADP/79A=")</f>
        <v>#REF!</v>
      </c>
      <c r="HB72" t="e">
        <f>AND(#REF!,"AAAAADP/79E=")</f>
        <v>#REF!</v>
      </c>
      <c r="HC72" t="e">
        <f>AND(#REF!,"AAAAADP/79I=")</f>
        <v>#REF!</v>
      </c>
      <c r="HD72" t="e">
        <f>AND(#REF!,"AAAAADP/79M=")</f>
        <v>#REF!</v>
      </c>
      <c r="HE72" t="e">
        <f>AND(#REF!,"AAAAADP/79Q=")</f>
        <v>#REF!</v>
      </c>
      <c r="HF72" t="e">
        <f>AND(#REF!,"AAAAADP/79U=")</f>
        <v>#REF!</v>
      </c>
      <c r="HG72" t="e">
        <f>AND(#REF!,"AAAAADP/79Y=")</f>
        <v>#REF!</v>
      </c>
      <c r="HH72" t="e">
        <f>AND(#REF!,"AAAAADP/79c=")</f>
        <v>#REF!</v>
      </c>
      <c r="HI72" t="e">
        <f>AND(#REF!,"AAAAADP/79g=")</f>
        <v>#REF!</v>
      </c>
      <c r="HJ72" t="e">
        <f>AND(#REF!,"AAAAADP/79k=")</f>
        <v>#REF!</v>
      </c>
      <c r="HK72" t="e">
        <f>IF(#REF!,"AAAAADP/79o=",0)</f>
        <v>#REF!</v>
      </c>
      <c r="HL72" t="e">
        <f>AND(#REF!,"AAAAADP/79s=")</f>
        <v>#REF!</v>
      </c>
      <c r="HM72" t="e">
        <f>AND(#REF!,"AAAAADP/79w=")</f>
        <v>#REF!</v>
      </c>
      <c r="HN72" t="e">
        <f>AND(#REF!,"AAAAADP/790=")</f>
        <v>#REF!</v>
      </c>
      <c r="HO72" t="e">
        <f>AND(#REF!,"AAAAADP/794=")</f>
        <v>#REF!</v>
      </c>
      <c r="HP72" t="e">
        <f>AND(#REF!,"AAAAADP/798=")</f>
        <v>#REF!</v>
      </c>
      <c r="HQ72" t="e">
        <f>AND(#REF!,"AAAAADP/7+A=")</f>
        <v>#REF!</v>
      </c>
      <c r="HR72" t="e">
        <f>AND(#REF!,"AAAAADP/7+E=")</f>
        <v>#REF!</v>
      </c>
      <c r="HS72" t="e">
        <f>AND(#REF!,"AAAAADP/7+I=")</f>
        <v>#REF!</v>
      </c>
      <c r="HT72" t="e">
        <f>AND(#REF!,"AAAAADP/7+M=")</f>
        <v>#REF!</v>
      </c>
      <c r="HU72" t="e">
        <f>AND(#REF!,"AAAAADP/7+Q=")</f>
        <v>#REF!</v>
      </c>
      <c r="HV72" t="e">
        <f>AND(#REF!,"AAAAADP/7+U=")</f>
        <v>#REF!</v>
      </c>
      <c r="HW72" t="e">
        <f>AND(#REF!,"AAAAADP/7+Y=")</f>
        <v>#REF!</v>
      </c>
      <c r="HX72" t="e">
        <f>IF(#REF!,"AAAAADP/7+c=",0)</f>
        <v>#REF!</v>
      </c>
      <c r="HY72" t="e">
        <f>AND(#REF!,"AAAAADP/7+g=")</f>
        <v>#REF!</v>
      </c>
      <c r="HZ72" t="e">
        <f>AND(#REF!,"AAAAADP/7+k=")</f>
        <v>#REF!</v>
      </c>
      <c r="IA72" t="e">
        <f>AND(#REF!,"AAAAADP/7+o=")</f>
        <v>#REF!</v>
      </c>
      <c r="IB72" t="e">
        <f>AND(#REF!,"AAAAADP/7+s=")</f>
        <v>#REF!</v>
      </c>
      <c r="IC72" t="e">
        <f>AND(#REF!,"AAAAADP/7+w=")</f>
        <v>#REF!</v>
      </c>
      <c r="ID72" t="e">
        <f>AND(#REF!,"AAAAADP/7+0=")</f>
        <v>#REF!</v>
      </c>
      <c r="IE72" t="e">
        <f>AND(#REF!,"AAAAADP/7+4=")</f>
        <v>#REF!</v>
      </c>
      <c r="IF72" t="e">
        <f>AND(#REF!,"AAAAADP/7+8=")</f>
        <v>#REF!</v>
      </c>
      <c r="IG72" t="e">
        <f>AND(#REF!,"AAAAADP/7/A=")</f>
        <v>#REF!</v>
      </c>
      <c r="IH72" t="e">
        <f>AND(#REF!,"AAAAADP/7/E=")</f>
        <v>#REF!</v>
      </c>
      <c r="II72" t="e">
        <f>AND(#REF!,"AAAAADP/7/I=")</f>
        <v>#REF!</v>
      </c>
      <c r="IJ72" t="e">
        <f>AND(#REF!,"AAAAADP/7/M=")</f>
        <v>#REF!</v>
      </c>
      <c r="IK72" t="e">
        <f>IF(#REF!,"AAAAADP/7/Q=",0)</f>
        <v>#REF!</v>
      </c>
      <c r="IL72" t="e">
        <f>AND(#REF!,"AAAAADP/7/U=")</f>
        <v>#REF!</v>
      </c>
      <c r="IM72" t="e">
        <f>AND(#REF!,"AAAAADP/7/Y=")</f>
        <v>#REF!</v>
      </c>
      <c r="IN72" t="e">
        <f>AND(#REF!,"AAAAADP/7/c=")</f>
        <v>#REF!</v>
      </c>
      <c r="IO72" t="e">
        <f>AND(#REF!,"AAAAADP/7/g=")</f>
        <v>#REF!</v>
      </c>
      <c r="IP72" t="e">
        <f>AND(#REF!,"AAAAADP/7/k=")</f>
        <v>#REF!</v>
      </c>
      <c r="IQ72" t="e">
        <f>AND(#REF!,"AAAAADP/7/o=")</f>
        <v>#REF!</v>
      </c>
      <c r="IR72" t="e">
        <f>AND(#REF!,"AAAAADP/7/s=")</f>
        <v>#REF!</v>
      </c>
      <c r="IS72" t="e">
        <f>AND(#REF!,"AAAAADP/7/w=")</f>
        <v>#REF!</v>
      </c>
      <c r="IT72" t="e">
        <f>AND(#REF!,"AAAAADP/7/0=")</f>
        <v>#REF!</v>
      </c>
      <c r="IU72" t="e">
        <f>AND(#REF!,"AAAAADP/7/4=")</f>
        <v>#REF!</v>
      </c>
      <c r="IV72" t="e">
        <f>AND(#REF!,"AAAAADP/7/8=")</f>
        <v>#REF!</v>
      </c>
    </row>
    <row r="73" spans="1:256" x14ac:dyDescent="0.35">
      <c r="A73" t="e">
        <f>AND(#REF!,"AAAAACv9+wA=")</f>
        <v>#REF!</v>
      </c>
      <c r="B73" t="e">
        <f>IF(#REF!,"AAAAACv9+wE=",0)</f>
        <v>#REF!</v>
      </c>
      <c r="C73" t="e">
        <f>AND(#REF!,"AAAAACv9+wI=")</f>
        <v>#REF!</v>
      </c>
      <c r="D73" t="e">
        <f>AND(#REF!,"AAAAACv9+wM=")</f>
        <v>#REF!</v>
      </c>
      <c r="E73" t="e">
        <f>AND(#REF!,"AAAAACv9+wQ=")</f>
        <v>#REF!</v>
      </c>
      <c r="F73" t="e">
        <f>AND(#REF!,"AAAAACv9+wU=")</f>
        <v>#REF!</v>
      </c>
      <c r="G73" t="e">
        <f>AND(#REF!,"AAAAACv9+wY=")</f>
        <v>#REF!</v>
      </c>
      <c r="H73" t="e">
        <f>AND(#REF!,"AAAAACv9+wc=")</f>
        <v>#REF!</v>
      </c>
      <c r="I73" t="e">
        <f>AND(#REF!,"AAAAACv9+wg=")</f>
        <v>#REF!</v>
      </c>
      <c r="J73" t="e">
        <f>AND(#REF!,"AAAAACv9+wk=")</f>
        <v>#REF!</v>
      </c>
      <c r="K73" t="e">
        <f>AND(#REF!,"AAAAACv9+wo=")</f>
        <v>#REF!</v>
      </c>
      <c r="L73" t="e">
        <f>AND(#REF!,"AAAAACv9+ws=")</f>
        <v>#REF!</v>
      </c>
      <c r="M73" t="e">
        <f>AND(#REF!,"AAAAACv9+ww=")</f>
        <v>#REF!</v>
      </c>
      <c r="N73" t="e">
        <f>AND(#REF!,"AAAAACv9+w0=")</f>
        <v>#REF!</v>
      </c>
      <c r="O73" t="e">
        <f>IF(#REF!,"AAAAACv9+w4=",0)</f>
        <v>#REF!</v>
      </c>
      <c r="P73" t="e">
        <f>AND(#REF!,"AAAAACv9+w8=")</f>
        <v>#REF!</v>
      </c>
      <c r="Q73" t="e">
        <f>AND(#REF!,"AAAAACv9+xA=")</f>
        <v>#REF!</v>
      </c>
      <c r="R73" t="e">
        <f>AND(#REF!,"AAAAACv9+xE=")</f>
        <v>#REF!</v>
      </c>
      <c r="S73" t="e">
        <f>AND(#REF!,"AAAAACv9+xI=")</f>
        <v>#REF!</v>
      </c>
      <c r="T73" t="e">
        <f>AND(#REF!,"AAAAACv9+xM=")</f>
        <v>#REF!</v>
      </c>
      <c r="U73" t="e">
        <f>AND(#REF!,"AAAAACv9+xQ=")</f>
        <v>#REF!</v>
      </c>
      <c r="V73" t="e">
        <f>AND(#REF!,"AAAAACv9+xU=")</f>
        <v>#REF!</v>
      </c>
      <c r="W73" t="e">
        <f>AND(#REF!,"AAAAACv9+xY=")</f>
        <v>#REF!</v>
      </c>
      <c r="X73" t="e">
        <f>AND(#REF!,"AAAAACv9+xc=")</f>
        <v>#REF!</v>
      </c>
      <c r="Y73" t="e">
        <f>AND(#REF!,"AAAAACv9+xg=")</f>
        <v>#REF!</v>
      </c>
      <c r="Z73" t="e">
        <f>AND(#REF!,"AAAAACv9+xk=")</f>
        <v>#REF!</v>
      </c>
      <c r="AA73" t="e">
        <f>AND(#REF!,"AAAAACv9+xo=")</f>
        <v>#REF!</v>
      </c>
      <c r="AB73" t="e">
        <f>IF(#REF!,"AAAAACv9+xs=",0)</f>
        <v>#REF!</v>
      </c>
      <c r="AC73" t="e">
        <f>AND(#REF!,"AAAAACv9+xw=")</f>
        <v>#REF!</v>
      </c>
      <c r="AD73" t="e">
        <f>AND(#REF!,"AAAAACv9+x0=")</f>
        <v>#REF!</v>
      </c>
      <c r="AE73" t="e">
        <f>AND(#REF!,"AAAAACv9+x4=")</f>
        <v>#REF!</v>
      </c>
      <c r="AF73" t="e">
        <f>AND(#REF!,"AAAAACv9+x8=")</f>
        <v>#REF!</v>
      </c>
      <c r="AG73" t="e">
        <f>AND(#REF!,"AAAAACv9+yA=")</f>
        <v>#REF!</v>
      </c>
      <c r="AH73" t="e">
        <f>AND(#REF!,"AAAAACv9+yE=")</f>
        <v>#REF!</v>
      </c>
      <c r="AI73" t="e">
        <f>AND(#REF!,"AAAAACv9+yI=")</f>
        <v>#REF!</v>
      </c>
      <c r="AJ73" t="e">
        <f>AND(#REF!,"AAAAACv9+yM=")</f>
        <v>#REF!</v>
      </c>
      <c r="AK73" t="e">
        <f>AND(#REF!,"AAAAACv9+yQ=")</f>
        <v>#REF!</v>
      </c>
      <c r="AL73" t="e">
        <f>AND(#REF!,"AAAAACv9+yU=")</f>
        <v>#REF!</v>
      </c>
      <c r="AM73" t="e">
        <f>AND(#REF!,"AAAAACv9+yY=")</f>
        <v>#REF!</v>
      </c>
      <c r="AN73" t="e">
        <f>AND(#REF!,"AAAAACv9+yc=")</f>
        <v>#REF!</v>
      </c>
      <c r="AO73" t="e">
        <f>IF(#REF!,"AAAAACv9+yg=",0)</f>
        <v>#REF!</v>
      </c>
      <c r="AP73" t="e">
        <f>AND(#REF!,"AAAAACv9+yk=")</f>
        <v>#REF!</v>
      </c>
      <c r="AQ73" t="e">
        <f>AND(#REF!,"AAAAACv9+yo=")</f>
        <v>#REF!</v>
      </c>
      <c r="AR73" t="e">
        <f>AND(#REF!,"AAAAACv9+ys=")</f>
        <v>#REF!</v>
      </c>
      <c r="AS73" t="e">
        <f>AND(#REF!,"AAAAACv9+yw=")</f>
        <v>#REF!</v>
      </c>
      <c r="AT73" t="e">
        <f>AND(#REF!,"AAAAACv9+y0=")</f>
        <v>#REF!</v>
      </c>
      <c r="AU73" t="e">
        <f>AND(#REF!,"AAAAACv9+y4=")</f>
        <v>#REF!</v>
      </c>
      <c r="AV73" t="e">
        <f>AND(#REF!,"AAAAACv9+y8=")</f>
        <v>#REF!</v>
      </c>
      <c r="AW73" t="e">
        <f>AND(#REF!,"AAAAACv9+zA=")</f>
        <v>#REF!</v>
      </c>
      <c r="AX73" t="e">
        <f>AND(#REF!,"AAAAACv9+zE=")</f>
        <v>#REF!</v>
      </c>
      <c r="AY73" t="e">
        <f>AND(#REF!,"AAAAACv9+zI=")</f>
        <v>#REF!</v>
      </c>
      <c r="AZ73" t="e">
        <f>AND(#REF!,"AAAAACv9+zM=")</f>
        <v>#REF!</v>
      </c>
      <c r="BA73" t="e">
        <f>AND(#REF!,"AAAAACv9+zQ=")</f>
        <v>#REF!</v>
      </c>
      <c r="BB73" t="e">
        <f>IF(#REF!,"AAAAACv9+zU=",0)</f>
        <v>#REF!</v>
      </c>
      <c r="BC73" t="e">
        <f>AND(#REF!,"AAAAACv9+zY=")</f>
        <v>#REF!</v>
      </c>
      <c r="BD73" t="e">
        <f>AND(#REF!,"AAAAACv9+zc=")</f>
        <v>#REF!</v>
      </c>
      <c r="BE73" t="e">
        <f>AND(#REF!,"AAAAACv9+zg=")</f>
        <v>#REF!</v>
      </c>
      <c r="BF73" t="e">
        <f>AND(#REF!,"AAAAACv9+zk=")</f>
        <v>#REF!</v>
      </c>
      <c r="BG73" t="e">
        <f>AND(#REF!,"AAAAACv9+zo=")</f>
        <v>#REF!</v>
      </c>
      <c r="BH73" t="e">
        <f>AND(#REF!,"AAAAACv9+zs=")</f>
        <v>#REF!</v>
      </c>
      <c r="BI73" t="e">
        <f>AND(#REF!,"AAAAACv9+zw=")</f>
        <v>#REF!</v>
      </c>
      <c r="BJ73" t="e">
        <f>AND(#REF!,"AAAAACv9+z0=")</f>
        <v>#REF!</v>
      </c>
      <c r="BK73" t="e">
        <f>AND(#REF!,"AAAAACv9+z4=")</f>
        <v>#REF!</v>
      </c>
      <c r="BL73" t="e">
        <f>AND(#REF!,"AAAAACv9+z8=")</f>
        <v>#REF!</v>
      </c>
      <c r="BM73" t="e">
        <f>AND(#REF!,"AAAAACv9+0A=")</f>
        <v>#REF!</v>
      </c>
      <c r="BN73" t="e">
        <f>AND(#REF!,"AAAAACv9+0E=")</f>
        <v>#REF!</v>
      </c>
      <c r="BO73" t="e">
        <f>IF(#REF!,"AAAAACv9+0I=",0)</f>
        <v>#REF!</v>
      </c>
      <c r="BP73" t="e">
        <f>AND(#REF!,"AAAAACv9+0M=")</f>
        <v>#REF!</v>
      </c>
      <c r="BQ73" t="e">
        <f>AND(#REF!,"AAAAACv9+0Q=")</f>
        <v>#REF!</v>
      </c>
      <c r="BR73" t="e">
        <f>AND(#REF!,"AAAAACv9+0U=")</f>
        <v>#REF!</v>
      </c>
      <c r="BS73" t="e">
        <f>AND(#REF!,"AAAAACv9+0Y=")</f>
        <v>#REF!</v>
      </c>
      <c r="BT73" t="e">
        <f>AND(#REF!,"AAAAACv9+0c=")</f>
        <v>#REF!</v>
      </c>
      <c r="BU73" t="e">
        <f>AND(#REF!,"AAAAACv9+0g=")</f>
        <v>#REF!</v>
      </c>
      <c r="BV73" t="e">
        <f>AND(#REF!,"AAAAACv9+0k=")</f>
        <v>#REF!</v>
      </c>
      <c r="BW73" t="e">
        <f>AND(#REF!,"AAAAACv9+0o=")</f>
        <v>#REF!</v>
      </c>
      <c r="BX73" t="e">
        <f>AND(#REF!,"AAAAACv9+0s=")</f>
        <v>#REF!</v>
      </c>
      <c r="BY73" t="e">
        <f>AND(#REF!,"AAAAACv9+0w=")</f>
        <v>#REF!</v>
      </c>
      <c r="BZ73" t="e">
        <f>AND(#REF!,"AAAAACv9+00=")</f>
        <v>#REF!</v>
      </c>
      <c r="CA73" t="e">
        <f>AND(#REF!,"AAAAACv9+04=")</f>
        <v>#REF!</v>
      </c>
      <c r="CB73" t="e">
        <f>IF(#REF!,"AAAAACv9+08=",0)</f>
        <v>#REF!</v>
      </c>
      <c r="CC73" t="e">
        <f>AND(#REF!,"AAAAACv9+1A=")</f>
        <v>#REF!</v>
      </c>
      <c r="CD73" t="e">
        <f>AND(#REF!,"AAAAACv9+1E=")</f>
        <v>#REF!</v>
      </c>
      <c r="CE73" t="e">
        <f>AND(#REF!,"AAAAACv9+1I=")</f>
        <v>#REF!</v>
      </c>
      <c r="CF73" t="e">
        <f>AND(#REF!,"AAAAACv9+1M=")</f>
        <v>#REF!</v>
      </c>
      <c r="CG73" t="e">
        <f>AND(#REF!,"AAAAACv9+1Q=")</f>
        <v>#REF!</v>
      </c>
      <c r="CH73" t="e">
        <f>AND(#REF!,"AAAAACv9+1U=")</f>
        <v>#REF!</v>
      </c>
      <c r="CI73" t="e">
        <f>AND(#REF!,"AAAAACv9+1Y=")</f>
        <v>#REF!</v>
      </c>
      <c r="CJ73" t="e">
        <f>AND(#REF!,"AAAAACv9+1c=")</f>
        <v>#REF!</v>
      </c>
      <c r="CK73" t="e">
        <f>AND(#REF!,"AAAAACv9+1g=")</f>
        <v>#REF!</v>
      </c>
      <c r="CL73" t="e">
        <f>AND(#REF!,"AAAAACv9+1k=")</f>
        <v>#REF!</v>
      </c>
      <c r="CM73" t="e">
        <f>AND(#REF!,"AAAAACv9+1o=")</f>
        <v>#REF!</v>
      </c>
      <c r="CN73" t="e">
        <f>AND(#REF!,"AAAAACv9+1s=")</f>
        <v>#REF!</v>
      </c>
      <c r="CO73" t="e">
        <f>IF(#REF!,"AAAAACv9+1w=",0)</f>
        <v>#REF!</v>
      </c>
      <c r="CP73" t="e">
        <f>AND(#REF!,"AAAAACv9+10=")</f>
        <v>#REF!</v>
      </c>
      <c r="CQ73" t="e">
        <f>AND(#REF!,"AAAAACv9+14=")</f>
        <v>#REF!</v>
      </c>
      <c r="CR73" t="e">
        <f>AND(#REF!,"AAAAACv9+18=")</f>
        <v>#REF!</v>
      </c>
      <c r="CS73" t="e">
        <f>AND(#REF!,"AAAAACv9+2A=")</f>
        <v>#REF!</v>
      </c>
      <c r="CT73" t="e">
        <f>AND(#REF!,"AAAAACv9+2E=")</f>
        <v>#REF!</v>
      </c>
      <c r="CU73" t="e">
        <f>AND(#REF!,"AAAAACv9+2I=")</f>
        <v>#REF!</v>
      </c>
      <c r="CV73" t="e">
        <f>AND(#REF!,"AAAAACv9+2M=")</f>
        <v>#REF!</v>
      </c>
      <c r="CW73" t="e">
        <f>AND(#REF!,"AAAAACv9+2Q=")</f>
        <v>#REF!</v>
      </c>
      <c r="CX73" t="e">
        <f>AND(#REF!,"AAAAACv9+2U=")</f>
        <v>#REF!</v>
      </c>
      <c r="CY73" t="e">
        <f>AND(#REF!,"AAAAACv9+2Y=")</f>
        <v>#REF!</v>
      </c>
      <c r="CZ73" t="e">
        <f>AND(#REF!,"AAAAACv9+2c=")</f>
        <v>#REF!</v>
      </c>
      <c r="DA73" t="e">
        <f>AND(#REF!,"AAAAACv9+2g=")</f>
        <v>#REF!</v>
      </c>
      <c r="DB73" t="e">
        <f>IF(#REF!,"AAAAACv9+2k=",0)</f>
        <v>#REF!</v>
      </c>
      <c r="DC73" t="e">
        <f>AND(#REF!,"AAAAACv9+2o=")</f>
        <v>#REF!</v>
      </c>
      <c r="DD73" t="e">
        <f>AND(#REF!,"AAAAACv9+2s=")</f>
        <v>#REF!</v>
      </c>
      <c r="DE73" t="e">
        <f>AND(#REF!,"AAAAACv9+2w=")</f>
        <v>#REF!</v>
      </c>
      <c r="DF73" t="e">
        <f>AND(#REF!,"AAAAACv9+20=")</f>
        <v>#REF!</v>
      </c>
      <c r="DG73" t="e">
        <f>AND(#REF!,"AAAAACv9+24=")</f>
        <v>#REF!</v>
      </c>
      <c r="DH73" t="e">
        <f>AND(#REF!,"AAAAACv9+28=")</f>
        <v>#REF!</v>
      </c>
      <c r="DI73" t="e">
        <f>AND(#REF!,"AAAAACv9+3A=")</f>
        <v>#REF!</v>
      </c>
      <c r="DJ73" t="e">
        <f>AND(#REF!,"AAAAACv9+3E=")</f>
        <v>#REF!</v>
      </c>
      <c r="DK73" t="e">
        <f>AND(#REF!,"AAAAACv9+3I=")</f>
        <v>#REF!</v>
      </c>
      <c r="DL73" t="e">
        <f>AND(#REF!,"AAAAACv9+3M=")</f>
        <v>#REF!</v>
      </c>
      <c r="DM73" t="e">
        <f>AND(#REF!,"AAAAACv9+3Q=")</f>
        <v>#REF!</v>
      </c>
      <c r="DN73" t="e">
        <f>AND(#REF!,"AAAAACv9+3U=")</f>
        <v>#REF!</v>
      </c>
      <c r="DO73" t="e">
        <f>IF(#REF!,"AAAAACv9+3Y=",0)</f>
        <v>#REF!</v>
      </c>
      <c r="DP73" t="e">
        <f>AND(#REF!,"AAAAACv9+3c=")</f>
        <v>#REF!</v>
      </c>
      <c r="DQ73" t="e">
        <f>AND(#REF!,"AAAAACv9+3g=")</f>
        <v>#REF!</v>
      </c>
      <c r="DR73" t="e">
        <f>AND(#REF!,"AAAAACv9+3k=")</f>
        <v>#REF!</v>
      </c>
      <c r="DS73" t="e">
        <f>AND(#REF!,"AAAAACv9+3o=")</f>
        <v>#REF!</v>
      </c>
      <c r="DT73" t="e">
        <f>AND(#REF!,"AAAAACv9+3s=")</f>
        <v>#REF!</v>
      </c>
      <c r="DU73" t="e">
        <f>AND(#REF!,"AAAAACv9+3w=")</f>
        <v>#REF!</v>
      </c>
      <c r="DV73" t="e">
        <f>AND(#REF!,"AAAAACv9+30=")</f>
        <v>#REF!</v>
      </c>
      <c r="DW73" t="e">
        <f>AND(#REF!,"AAAAACv9+34=")</f>
        <v>#REF!</v>
      </c>
      <c r="DX73" t="e">
        <f>AND(#REF!,"AAAAACv9+38=")</f>
        <v>#REF!</v>
      </c>
      <c r="DY73" t="e">
        <f>AND(#REF!,"AAAAACv9+4A=")</f>
        <v>#REF!</v>
      </c>
      <c r="DZ73" t="e">
        <f>AND(#REF!,"AAAAACv9+4E=")</f>
        <v>#REF!</v>
      </c>
      <c r="EA73" t="e">
        <f>AND(#REF!,"AAAAACv9+4I=")</f>
        <v>#REF!</v>
      </c>
      <c r="EB73" t="e">
        <f>IF(#REF!,"AAAAACv9+4M=",0)</f>
        <v>#REF!</v>
      </c>
      <c r="EC73" t="e">
        <f>AND(#REF!,"AAAAACv9+4Q=")</f>
        <v>#REF!</v>
      </c>
      <c r="ED73" t="e">
        <f>AND(#REF!,"AAAAACv9+4U=")</f>
        <v>#REF!</v>
      </c>
      <c r="EE73" t="e">
        <f>AND(#REF!,"AAAAACv9+4Y=")</f>
        <v>#REF!</v>
      </c>
      <c r="EF73" t="e">
        <f>AND(#REF!,"AAAAACv9+4c=")</f>
        <v>#REF!</v>
      </c>
      <c r="EG73" t="e">
        <f>AND(#REF!,"AAAAACv9+4g=")</f>
        <v>#REF!</v>
      </c>
      <c r="EH73" t="e">
        <f>AND(#REF!,"AAAAACv9+4k=")</f>
        <v>#REF!</v>
      </c>
      <c r="EI73" t="e">
        <f>AND(#REF!,"AAAAACv9+4o=")</f>
        <v>#REF!</v>
      </c>
      <c r="EJ73" t="e">
        <f>AND(#REF!,"AAAAACv9+4s=")</f>
        <v>#REF!</v>
      </c>
      <c r="EK73" t="e">
        <f>AND(#REF!,"AAAAACv9+4w=")</f>
        <v>#REF!</v>
      </c>
      <c r="EL73" t="e">
        <f>AND(#REF!,"AAAAACv9+40=")</f>
        <v>#REF!</v>
      </c>
      <c r="EM73" t="e">
        <f>AND(#REF!,"AAAAACv9+44=")</f>
        <v>#REF!</v>
      </c>
      <c r="EN73" t="e">
        <f>AND(#REF!,"AAAAACv9+48=")</f>
        <v>#REF!</v>
      </c>
      <c r="EO73" t="e">
        <f>IF(#REF!,"AAAAACv9+5A=",0)</f>
        <v>#REF!</v>
      </c>
      <c r="EP73" t="e">
        <f>AND(#REF!,"AAAAACv9+5E=")</f>
        <v>#REF!</v>
      </c>
      <c r="EQ73" t="e">
        <f>AND(#REF!,"AAAAACv9+5I=")</f>
        <v>#REF!</v>
      </c>
      <c r="ER73" t="e">
        <f>AND(#REF!,"AAAAACv9+5M=")</f>
        <v>#REF!</v>
      </c>
      <c r="ES73" t="e">
        <f>AND(#REF!,"AAAAACv9+5Q=")</f>
        <v>#REF!</v>
      </c>
      <c r="ET73" t="e">
        <f>AND(#REF!,"AAAAACv9+5U=")</f>
        <v>#REF!</v>
      </c>
      <c r="EU73" t="e">
        <f>AND(#REF!,"AAAAACv9+5Y=")</f>
        <v>#REF!</v>
      </c>
      <c r="EV73" t="e">
        <f>AND(#REF!,"AAAAACv9+5c=")</f>
        <v>#REF!</v>
      </c>
      <c r="EW73" t="e">
        <f>AND(#REF!,"AAAAACv9+5g=")</f>
        <v>#REF!</v>
      </c>
      <c r="EX73" t="e">
        <f>AND(#REF!,"AAAAACv9+5k=")</f>
        <v>#REF!</v>
      </c>
      <c r="EY73" t="e">
        <f>AND(#REF!,"AAAAACv9+5o=")</f>
        <v>#REF!</v>
      </c>
      <c r="EZ73" t="e">
        <f>AND(#REF!,"AAAAACv9+5s=")</f>
        <v>#REF!</v>
      </c>
      <c r="FA73" t="e">
        <f>AND(#REF!,"AAAAACv9+5w=")</f>
        <v>#REF!</v>
      </c>
      <c r="FB73" t="e">
        <f>IF(#REF!,"AAAAACv9+50=",0)</f>
        <v>#REF!</v>
      </c>
      <c r="FC73" t="e">
        <f>AND(#REF!,"AAAAACv9+54=")</f>
        <v>#REF!</v>
      </c>
      <c r="FD73" t="e">
        <f>AND(#REF!,"AAAAACv9+58=")</f>
        <v>#REF!</v>
      </c>
      <c r="FE73" t="e">
        <f>AND(#REF!,"AAAAACv9+6A=")</f>
        <v>#REF!</v>
      </c>
      <c r="FF73" t="e">
        <f>AND(#REF!,"AAAAACv9+6E=")</f>
        <v>#REF!</v>
      </c>
      <c r="FG73" t="e">
        <f>AND(#REF!,"AAAAACv9+6I=")</f>
        <v>#REF!</v>
      </c>
      <c r="FH73" t="e">
        <f>AND(#REF!,"AAAAACv9+6M=")</f>
        <v>#REF!</v>
      </c>
      <c r="FI73" t="e">
        <f>AND(#REF!,"AAAAACv9+6Q=")</f>
        <v>#REF!</v>
      </c>
      <c r="FJ73" t="e">
        <f>AND(#REF!,"AAAAACv9+6U=")</f>
        <v>#REF!</v>
      </c>
      <c r="FK73" t="e">
        <f>AND(#REF!,"AAAAACv9+6Y=")</f>
        <v>#REF!</v>
      </c>
      <c r="FL73" t="e">
        <f>AND(#REF!,"AAAAACv9+6c=")</f>
        <v>#REF!</v>
      </c>
      <c r="FM73" t="e">
        <f>AND(#REF!,"AAAAACv9+6g=")</f>
        <v>#REF!</v>
      </c>
      <c r="FN73" t="e">
        <f>AND(#REF!,"AAAAACv9+6k=")</f>
        <v>#REF!</v>
      </c>
      <c r="FO73" t="e">
        <f>IF(#REF!,"AAAAACv9+6o=",0)</f>
        <v>#REF!</v>
      </c>
      <c r="FP73" t="e">
        <f>AND(#REF!,"AAAAACv9+6s=")</f>
        <v>#REF!</v>
      </c>
      <c r="FQ73" t="e">
        <f>AND(#REF!,"AAAAACv9+6w=")</f>
        <v>#REF!</v>
      </c>
      <c r="FR73" t="e">
        <f>AND(#REF!,"AAAAACv9+60=")</f>
        <v>#REF!</v>
      </c>
      <c r="FS73" t="e">
        <f>AND(#REF!,"AAAAACv9+64=")</f>
        <v>#REF!</v>
      </c>
      <c r="FT73" t="e">
        <f>AND(#REF!,"AAAAACv9+68=")</f>
        <v>#REF!</v>
      </c>
      <c r="FU73" t="e">
        <f>AND(#REF!,"AAAAACv9+7A=")</f>
        <v>#REF!</v>
      </c>
      <c r="FV73" t="e">
        <f>AND(#REF!,"AAAAACv9+7E=")</f>
        <v>#REF!</v>
      </c>
      <c r="FW73" t="e">
        <f>AND(#REF!,"AAAAACv9+7I=")</f>
        <v>#REF!</v>
      </c>
      <c r="FX73" t="e">
        <f>AND(#REF!,"AAAAACv9+7M=")</f>
        <v>#REF!</v>
      </c>
      <c r="FY73" t="e">
        <f>AND(#REF!,"AAAAACv9+7Q=")</f>
        <v>#REF!</v>
      </c>
      <c r="FZ73" t="e">
        <f>AND(#REF!,"AAAAACv9+7U=")</f>
        <v>#REF!</v>
      </c>
      <c r="GA73" t="e">
        <f>AND(#REF!,"AAAAACv9+7Y=")</f>
        <v>#REF!</v>
      </c>
      <c r="GB73" t="e">
        <f>IF(#REF!,"AAAAACv9+7c=",0)</f>
        <v>#REF!</v>
      </c>
      <c r="GC73" t="e">
        <f>AND(#REF!,"AAAAACv9+7g=")</f>
        <v>#REF!</v>
      </c>
      <c r="GD73" t="e">
        <f>AND(#REF!,"AAAAACv9+7k=")</f>
        <v>#REF!</v>
      </c>
      <c r="GE73" t="e">
        <f>AND(#REF!,"AAAAACv9+7o=")</f>
        <v>#REF!</v>
      </c>
      <c r="GF73" t="e">
        <f>AND(#REF!,"AAAAACv9+7s=")</f>
        <v>#REF!</v>
      </c>
      <c r="GG73" t="e">
        <f>AND(#REF!,"AAAAACv9+7w=")</f>
        <v>#REF!</v>
      </c>
      <c r="GH73" t="e">
        <f>AND(#REF!,"AAAAACv9+70=")</f>
        <v>#REF!</v>
      </c>
      <c r="GI73" t="e">
        <f>AND(#REF!,"AAAAACv9+74=")</f>
        <v>#REF!</v>
      </c>
      <c r="GJ73" t="e">
        <f>AND(#REF!,"AAAAACv9+78=")</f>
        <v>#REF!</v>
      </c>
      <c r="GK73" t="e">
        <f>AND(#REF!,"AAAAACv9+8A=")</f>
        <v>#REF!</v>
      </c>
      <c r="GL73" t="e">
        <f>AND(#REF!,"AAAAACv9+8E=")</f>
        <v>#REF!</v>
      </c>
      <c r="GM73" t="e">
        <f>AND(#REF!,"AAAAACv9+8I=")</f>
        <v>#REF!</v>
      </c>
      <c r="GN73" t="e">
        <f>AND(#REF!,"AAAAACv9+8M=")</f>
        <v>#REF!</v>
      </c>
      <c r="GO73" t="e">
        <f>IF(#REF!,"AAAAACv9+8Q=",0)</f>
        <v>#REF!</v>
      </c>
      <c r="GP73" t="e">
        <f>AND(#REF!,"AAAAACv9+8U=")</f>
        <v>#REF!</v>
      </c>
      <c r="GQ73" t="e">
        <f>AND(#REF!,"AAAAACv9+8Y=")</f>
        <v>#REF!</v>
      </c>
      <c r="GR73" t="e">
        <f>AND(#REF!,"AAAAACv9+8c=")</f>
        <v>#REF!</v>
      </c>
      <c r="GS73" t="e">
        <f>AND(#REF!,"AAAAACv9+8g=")</f>
        <v>#REF!</v>
      </c>
      <c r="GT73" t="e">
        <f>AND(#REF!,"AAAAACv9+8k=")</f>
        <v>#REF!</v>
      </c>
      <c r="GU73" t="e">
        <f>AND(#REF!,"AAAAACv9+8o=")</f>
        <v>#REF!</v>
      </c>
      <c r="GV73" t="e">
        <f>AND(#REF!,"AAAAACv9+8s=")</f>
        <v>#REF!</v>
      </c>
      <c r="GW73" t="e">
        <f>AND(#REF!,"AAAAACv9+8w=")</f>
        <v>#REF!</v>
      </c>
      <c r="GX73" t="e">
        <f>AND(#REF!,"AAAAACv9+80=")</f>
        <v>#REF!</v>
      </c>
      <c r="GY73" t="e">
        <f>AND(#REF!,"AAAAACv9+84=")</f>
        <v>#REF!</v>
      </c>
      <c r="GZ73" t="e">
        <f>AND(#REF!,"AAAAACv9+88=")</f>
        <v>#REF!</v>
      </c>
      <c r="HA73" t="e">
        <f>AND(#REF!,"AAAAACv9+9A=")</f>
        <v>#REF!</v>
      </c>
      <c r="HB73" t="e">
        <f>IF(#REF!,"AAAAACv9+9E=",0)</f>
        <v>#REF!</v>
      </c>
      <c r="HC73" t="e">
        <f>AND(#REF!,"AAAAACv9+9I=")</f>
        <v>#REF!</v>
      </c>
      <c r="HD73" t="e">
        <f>AND(#REF!,"AAAAACv9+9M=")</f>
        <v>#REF!</v>
      </c>
      <c r="HE73" t="e">
        <f>AND(#REF!,"AAAAACv9+9Q=")</f>
        <v>#REF!</v>
      </c>
      <c r="HF73" t="e">
        <f>AND(#REF!,"AAAAACv9+9U=")</f>
        <v>#REF!</v>
      </c>
      <c r="HG73" t="e">
        <f>AND(#REF!,"AAAAACv9+9Y=")</f>
        <v>#REF!</v>
      </c>
      <c r="HH73" t="e">
        <f>AND(#REF!,"AAAAACv9+9c=")</f>
        <v>#REF!</v>
      </c>
      <c r="HI73" t="e">
        <f>AND(#REF!,"AAAAACv9+9g=")</f>
        <v>#REF!</v>
      </c>
      <c r="HJ73" t="e">
        <f>AND(#REF!,"AAAAACv9+9k=")</f>
        <v>#REF!</v>
      </c>
      <c r="HK73" t="e">
        <f>AND(#REF!,"AAAAACv9+9o=")</f>
        <v>#REF!</v>
      </c>
      <c r="HL73" t="e">
        <f>AND(#REF!,"AAAAACv9+9s=")</f>
        <v>#REF!</v>
      </c>
      <c r="HM73" t="e">
        <f>AND(#REF!,"AAAAACv9+9w=")</f>
        <v>#REF!</v>
      </c>
      <c r="HN73" t="e">
        <f>AND(#REF!,"AAAAACv9+90=")</f>
        <v>#REF!</v>
      </c>
      <c r="HO73" t="e">
        <f>IF(#REF!,"AAAAACv9+94=",0)</f>
        <v>#REF!</v>
      </c>
      <c r="HP73" t="e">
        <f>AND(#REF!,"AAAAACv9+98=")</f>
        <v>#REF!</v>
      </c>
      <c r="HQ73" t="e">
        <f>AND(#REF!,"AAAAACv9++A=")</f>
        <v>#REF!</v>
      </c>
      <c r="HR73" t="e">
        <f>AND(#REF!,"AAAAACv9++E=")</f>
        <v>#REF!</v>
      </c>
      <c r="HS73" t="e">
        <f>AND(#REF!,"AAAAACv9++I=")</f>
        <v>#REF!</v>
      </c>
      <c r="HT73" t="e">
        <f>AND(#REF!,"AAAAACv9++M=")</f>
        <v>#REF!</v>
      </c>
      <c r="HU73" t="e">
        <f>AND(#REF!,"AAAAACv9++Q=")</f>
        <v>#REF!</v>
      </c>
      <c r="HV73" t="e">
        <f>AND(#REF!,"AAAAACv9++U=")</f>
        <v>#REF!</v>
      </c>
      <c r="HW73" t="e">
        <f>AND(#REF!,"AAAAACv9++Y=")</f>
        <v>#REF!</v>
      </c>
      <c r="HX73" t="e">
        <f>AND(#REF!,"AAAAACv9++c=")</f>
        <v>#REF!</v>
      </c>
      <c r="HY73" t="e">
        <f>AND(#REF!,"AAAAACv9++g=")</f>
        <v>#REF!</v>
      </c>
      <c r="HZ73" t="e">
        <f>AND(#REF!,"AAAAACv9++k=")</f>
        <v>#REF!</v>
      </c>
      <c r="IA73" t="e">
        <f>AND(#REF!,"AAAAACv9++o=")</f>
        <v>#REF!</v>
      </c>
      <c r="IB73" t="e">
        <f>IF(#REF!,"AAAAACv9++s=",0)</f>
        <v>#REF!</v>
      </c>
      <c r="IC73" t="e">
        <f>AND(#REF!,"AAAAACv9++w=")</f>
        <v>#REF!</v>
      </c>
      <c r="ID73" t="e">
        <f>AND(#REF!,"AAAAACv9++0=")</f>
        <v>#REF!</v>
      </c>
      <c r="IE73" t="e">
        <f>AND(#REF!,"AAAAACv9++4=")</f>
        <v>#REF!</v>
      </c>
      <c r="IF73" t="e">
        <f>AND(#REF!,"AAAAACv9++8=")</f>
        <v>#REF!</v>
      </c>
      <c r="IG73" t="e">
        <f>AND(#REF!,"AAAAACv9+/A=")</f>
        <v>#REF!</v>
      </c>
      <c r="IH73" t="e">
        <f>AND(#REF!,"AAAAACv9+/E=")</f>
        <v>#REF!</v>
      </c>
      <c r="II73" t="e">
        <f>AND(#REF!,"AAAAACv9+/I=")</f>
        <v>#REF!</v>
      </c>
      <c r="IJ73" t="e">
        <f>AND(#REF!,"AAAAACv9+/M=")</f>
        <v>#REF!</v>
      </c>
      <c r="IK73" t="e">
        <f>AND(#REF!,"AAAAACv9+/Q=")</f>
        <v>#REF!</v>
      </c>
      <c r="IL73" t="e">
        <f>AND(#REF!,"AAAAACv9+/U=")</f>
        <v>#REF!</v>
      </c>
      <c r="IM73" t="e">
        <f>AND(#REF!,"AAAAACv9+/Y=")</f>
        <v>#REF!</v>
      </c>
      <c r="IN73" t="e">
        <f>AND(#REF!,"AAAAACv9+/c=")</f>
        <v>#REF!</v>
      </c>
      <c r="IO73" t="e">
        <f>IF(#REF!,"AAAAACv9+/g=",0)</f>
        <v>#REF!</v>
      </c>
      <c r="IP73" t="e">
        <f>AND(#REF!,"AAAAACv9+/k=")</f>
        <v>#REF!</v>
      </c>
      <c r="IQ73" t="e">
        <f>AND(#REF!,"AAAAACv9+/o=")</f>
        <v>#REF!</v>
      </c>
      <c r="IR73" t="e">
        <f>AND(#REF!,"AAAAACv9+/s=")</f>
        <v>#REF!</v>
      </c>
      <c r="IS73" t="e">
        <f>AND(#REF!,"AAAAACv9+/w=")</f>
        <v>#REF!</v>
      </c>
      <c r="IT73" t="e">
        <f>AND(#REF!,"AAAAACv9+/0=")</f>
        <v>#REF!</v>
      </c>
      <c r="IU73" t="e">
        <f>AND(#REF!,"AAAAACv9+/4=")</f>
        <v>#REF!</v>
      </c>
      <c r="IV73" t="e">
        <f>AND(#REF!,"AAAAACv9+/8=")</f>
        <v>#REF!</v>
      </c>
    </row>
    <row r="74" spans="1:256" x14ac:dyDescent="0.35">
      <c r="A74" t="e">
        <f>AND(#REF!,"AAAAAC9lvQA=")</f>
        <v>#REF!</v>
      </c>
      <c r="B74" t="e">
        <f>AND(#REF!,"AAAAAC9lvQE=")</f>
        <v>#REF!</v>
      </c>
      <c r="C74" t="e">
        <f>AND(#REF!,"AAAAAC9lvQI=")</f>
        <v>#REF!</v>
      </c>
      <c r="D74" t="e">
        <f>AND(#REF!,"AAAAAC9lvQM=")</f>
        <v>#REF!</v>
      </c>
      <c r="E74" t="e">
        <f>AND(#REF!,"AAAAAC9lvQQ=")</f>
        <v>#REF!</v>
      </c>
      <c r="F74" t="e">
        <f>IF(#REF!,"AAAAAC9lvQU=",0)</f>
        <v>#REF!</v>
      </c>
      <c r="G74" t="e">
        <f>AND(#REF!,"AAAAAC9lvQY=")</f>
        <v>#REF!</v>
      </c>
      <c r="H74" t="e">
        <f>AND(#REF!,"AAAAAC9lvQc=")</f>
        <v>#REF!</v>
      </c>
      <c r="I74" t="e">
        <f>AND(#REF!,"AAAAAC9lvQg=")</f>
        <v>#REF!</v>
      </c>
      <c r="J74" t="e">
        <f>AND(#REF!,"AAAAAC9lvQk=")</f>
        <v>#REF!</v>
      </c>
      <c r="K74" t="e">
        <f>AND(#REF!,"AAAAAC9lvQo=")</f>
        <v>#REF!</v>
      </c>
      <c r="L74" t="e">
        <f>AND(#REF!,"AAAAAC9lvQs=")</f>
        <v>#REF!</v>
      </c>
      <c r="M74" t="e">
        <f>AND(#REF!,"AAAAAC9lvQw=")</f>
        <v>#REF!</v>
      </c>
      <c r="N74" t="e">
        <f>AND(#REF!,"AAAAAC9lvQ0=")</f>
        <v>#REF!</v>
      </c>
      <c r="O74" t="e">
        <f>AND(#REF!,"AAAAAC9lvQ4=")</f>
        <v>#REF!</v>
      </c>
      <c r="P74" t="e">
        <f>AND(#REF!,"AAAAAC9lvQ8=")</f>
        <v>#REF!</v>
      </c>
      <c r="Q74" t="e">
        <f>AND(#REF!,"AAAAAC9lvRA=")</f>
        <v>#REF!</v>
      </c>
      <c r="R74" t="e">
        <f>AND(#REF!,"AAAAAC9lvRE=")</f>
        <v>#REF!</v>
      </c>
      <c r="S74" t="e">
        <f>IF(#REF!,"AAAAAC9lvRI=",0)</f>
        <v>#REF!</v>
      </c>
      <c r="T74" t="e">
        <f>AND(#REF!,"AAAAAC9lvRM=")</f>
        <v>#REF!</v>
      </c>
      <c r="U74" t="e">
        <f>AND(#REF!,"AAAAAC9lvRQ=")</f>
        <v>#REF!</v>
      </c>
      <c r="V74" t="e">
        <f>AND(#REF!,"AAAAAC9lvRU=")</f>
        <v>#REF!</v>
      </c>
      <c r="W74" t="e">
        <f>AND(#REF!,"AAAAAC9lvRY=")</f>
        <v>#REF!</v>
      </c>
      <c r="X74" t="e">
        <f>AND(#REF!,"AAAAAC9lvRc=")</f>
        <v>#REF!</v>
      </c>
      <c r="Y74" t="e">
        <f>AND(#REF!,"AAAAAC9lvRg=")</f>
        <v>#REF!</v>
      </c>
      <c r="Z74" t="e">
        <f>AND(#REF!,"AAAAAC9lvRk=")</f>
        <v>#REF!</v>
      </c>
      <c r="AA74" t="e">
        <f>AND(#REF!,"AAAAAC9lvRo=")</f>
        <v>#REF!</v>
      </c>
      <c r="AB74" t="e">
        <f>AND(#REF!,"AAAAAC9lvRs=")</f>
        <v>#REF!</v>
      </c>
      <c r="AC74" t="e">
        <f>AND(#REF!,"AAAAAC9lvRw=")</f>
        <v>#REF!</v>
      </c>
      <c r="AD74" t="e">
        <f>AND(#REF!,"AAAAAC9lvR0=")</f>
        <v>#REF!</v>
      </c>
      <c r="AE74" t="e">
        <f>AND(#REF!,"AAAAAC9lvR4=")</f>
        <v>#REF!</v>
      </c>
      <c r="AF74" t="e">
        <f>IF(#REF!,"AAAAAC9lvR8=",0)</f>
        <v>#REF!</v>
      </c>
      <c r="AG74" t="e">
        <f>AND(#REF!,"AAAAAC9lvSA=")</f>
        <v>#REF!</v>
      </c>
      <c r="AH74" t="e">
        <f>AND(#REF!,"AAAAAC9lvSE=")</f>
        <v>#REF!</v>
      </c>
      <c r="AI74" t="e">
        <f>AND(#REF!,"AAAAAC9lvSI=")</f>
        <v>#REF!</v>
      </c>
      <c r="AJ74" t="e">
        <f>AND(#REF!,"AAAAAC9lvSM=")</f>
        <v>#REF!</v>
      </c>
      <c r="AK74" t="e">
        <f>AND(#REF!,"AAAAAC9lvSQ=")</f>
        <v>#REF!</v>
      </c>
      <c r="AL74" t="e">
        <f>AND(#REF!,"AAAAAC9lvSU=")</f>
        <v>#REF!</v>
      </c>
      <c r="AM74" t="e">
        <f>AND(#REF!,"AAAAAC9lvSY=")</f>
        <v>#REF!</v>
      </c>
      <c r="AN74" t="e">
        <f>AND(#REF!,"AAAAAC9lvSc=")</f>
        <v>#REF!</v>
      </c>
      <c r="AO74" t="e">
        <f>AND(#REF!,"AAAAAC9lvSg=")</f>
        <v>#REF!</v>
      </c>
      <c r="AP74" t="e">
        <f>AND(#REF!,"AAAAAC9lvSk=")</f>
        <v>#REF!</v>
      </c>
      <c r="AQ74" t="e">
        <f>AND(#REF!,"AAAAAC9lvSo=")</f>
        <v>#REF!</v>
      </c>
      <c r="AR74" t="e">
        <f>AND(#REF!,"AAAAAC9lvSs=")</f>
        <v>#REF!</v>
      </c>
      <c r="AS74" t="e">
        <f>IF(#REF!,"AAAAAC9lvSw=",0)</f>
        <v>#REF!</v>
      </c>
      <c r="AT74" t="e">
        <f>AND(#REF!,"AAAAAC9lvS0=")</f>
        <v>#REF!</v>
      </c>
      <c r="AU74" t="e">
        <f>AND(#REF!,"AAAAAC9lvS4=")</f>
        <v>#REF!</v>
      </c>
      <c r="AV74" t="e">
        <f>AND(#REF!,"AAAAAC9lvS8=")</f>
        <v>#REF!</v>
      </c>
      <c r="AW74" t="e">
        <f>AND(#REF!,"AAAAAC9lvTA=")</f>
        <v>#REF!</v>
      </c>
      <c r="AX74" t="e">
        <f>AND(#REF!,"AAAAAC9lvTE=")</f>
        <v>#REF!</v>
      </c>
      <c r="AY74" t="e">
        <f>AND(#REF!,"AAAAAC9lvTI=")</f>
        <v>#REF!</v>
      </c>
      <c r="AZ74" t="e">
        <f>AND(#REF!,"AAAAAC9lvTM=")</f>
        <v>#REF!</v>
      </c>
      <c r="BA74" t="e">
        <f>AND(#REF!,"AAAAAC9lvTQ=")</f>
        <v>#REF!</v>
      </c>
      <c r="BB74" t="e">
        <f>AND(#REF!,"AAAAAC9lvTU=")</f>
        <v>#REF!</v>
      </c>
      <c r="BC74" t="e">
        <f>AND(#REF!,"AAAAAC9lvTY=")</f>
        <v>#REF!</v>
      </c>
      <c r="BD74" t="e">
        <f>AND(#REF!,"AAAAAC9lvTc=")</f>
        <v>#REF!</v>
      </c>
      <c r="BE74" t="e">
        <f>AND(#REF!,"AAAAAC9lvTg=")</f>
        <v>#REF!</v>
      </c>
      <c r="BF74" t="e">
        <f>IF(#REF!,"AAAAAC9lvTk=",0)</f>
        <v>#REF!</v>
      </c>
      <c r="BG74" t="e">
        <f>AND(#REF!,"AAAAAC9lvTo=")</f>
        <v>#REF!</v>
      </c>
      <c r="BH74" t="e">
        <f>AND(#REF!,"AAAAAC9lvTs=")</f>
        <v>#REF!</v>
      </c>
      <c r="BI74" t="e">
        <f>AND(#REF!,"AAAAAC9lvTw=")</f>
        <v>#REF!</v>
      </c>
      <c r="BJ74" t="e">
        <f>AND(#REF!,"AAAAAC9lvT0=")</f>
        <v>#REF!</v>
      </c>
      <c r="BK74" t="e">
        <f>AND(#REF!,"AAAAAC9lvT4=")</f>
        <v>#REF!</v>
      </c>
      <c r="BL74" t="e">
        <f>AND(#REF!,"AAAAAC9lvT8=")</f>
        <v>#REF!</v>
      </c>
      <c r="BM74" t="e">
        <f>AND(#REF!,"AAAAAC9lvUA=")</f>
        <v>#REF!</v>
      </c>
      <c r="BN74" t="e">
        <f>AND(#REF!,"AAAAAC9lvUE=")</f>
        <v>#REF!</v>
      </c>
      <c r="BO74" t="e">
        <f>AND(#REF!,"AAAAAC9lvUI=")</f>
        <v>#REF!</v>
      </c>
      <c r="BP74" t="e">
        <f>AND(#REF!,"AAAAAC9lvUM=")</f>
        <v>#REF!</v>
      </c>
      <c r="BQ74" t="e">
        <f>AND(#REF!,"AAAAAC9lvUQ=")</f>
        <v>#REF!</v>
      </c>
      <c r="BR74" t="e">
        <f>AND(#REF!,"AAAAAC9lvUU=")</f>
        <v>#REF!</v>
      </c>
      <c r="BS74" t="e">
        <f>IF(#REF!,"AAAAAC9lvUY=",0)</f>
        <v>#REF!</v>
      </c>
      <c r="BT74" t="e">
        <f>AND(#REF!,"AAAAAC9lvUc=")</f>
        <v>#REF!</v>
      </c>
      <c r="BU74" t="e">
        <f>AND(#REF!,"AAAAAC9lvUg=")</f>
        <v>#REF!</v>
      </c>
      <c r="BV74" t="e">
        <f>AND(#REF!,"AAAAAC9lvUk=")</f>
        <v>#REF!</v>
      </c>
      <c r="BW74" t="e">
        <f>AND(#REF!,"AAAAAC9lvUo=")</f>
        <v>#REF!</v>
      </c>
      <c r="BX74" t="e">
        <f>AND(#REF!,"AAAAAC9lvUs=")</f>
        <v>#REF!</v>
      </c>
      <c r="BY74" t="e">
        <f>AND(#REF!,"AAAAAC9lvUw=")</f>
        <v>#REF!</v>
      </c>
      <c r="BZ74" t="e">
        <f>AND(#REF!,"AAAAAC9lvU0=")</f>
        <v>#REF!</v>
      </c>
      <c r="CA74" t="e">
        <f>AND(#REF!,"AAAAAC9lvU4=")</f>
        <v>#REF!</v>
      </c>
      <c r="CB74" t="e">
        <f>AND(#REF!,"AAAAAC9lvU8=")</f>
        <v>#REF!</v>
      </c>
      <c r="CC74" t="e">
        <f>AND(#REF!,"AAAAAC9lvVA=")</f>
        <v>#REF!</v>
      </c>
      <c r="CD74" t="e">
        <f>AND(#REF!,"AAAAAC9lvVE=")</f>
        <v>#REF!</v>
      </c>
      <c r="CE74" t="e">
        <f>AND(#REF!,"AAAAAC9lvVI=")</f>
        <v>#REF!</v>
      </c>
      <c r="CF74" t="e">
        <f>IF(#REF!,"AAAAAC9lvVM=",0)</f>
        <v>#REF!</v>
      </c>
      <c r="CG74" t="e">
        <f>AND(#REF!,"AAAAAC9lvVQ=")</f>
        <v>#REF!</v>
      </c>
      <c r="CH74" t="e">
        <f>AND(#REF!,"AAAAAC9lvVU=")</f>
        <v>#REF!</v>
      </c>
      <c r="CI74" t="e">
        <f>AND(#REF!,"AAAAAC9lvVY=")</f>
        <v>#REF!</v>
      </c>
      <c r="CJ74" t="e">
        <f>AND(#REF!,"AAAAAC9lvVc=")</f>
        <v>#REF!</v>
      </c>
      <c r="CK74" t="e">
        <f>AND(#REF!,"AAAAAC9lvVg=")</f>
        <v>#REF!</v>
      </c>
      <c r="CL74" t="e">
        <f>AND(#REF!,"AAAAAC9lvVk=")</f>
        <v>#REF!</v>
      </c>
      <c r="CM74" t="e">
        <f>AND(#REF!,"AAAAAC9lvVo=")</f>
        <v>#REF!</v>
      </c>
      <c r="CN74" t="e">
        <f>AND(#REF!,"AAAAAC9lvVs=")</f>
        <v>#REF!</v>
      </c>
      <c r="CO74" t="e">
        <f>AND(#REF!,"AAAAAC9lvVw=")</f>
        <v>#REF!</v>
      </c>
      <c r="CP74" t="e">
        <f>AND(#REF!,"AAAAAC9lvV0=")</f>
        <v>#REF!</v>
      </c>
      <c r="CQ74" t="e">
        <f>AND(#REF!,"AAAAAC9lvV4=")</f>
        <v>#REF!</v>
      </c>
      <c r="CR74" t="e">
        <f>AND(#REF!,"AAAAAC9lvV8=")</f>
        <v>#REF!</v>
      </c>
      <c r="CS74" t="e">
        <f>IF(#REF!,"AAAAAC9lvWA=",0)</f>
        <v>#REF!</v>
      </c>
      <c r="CT74" t="e">
        <f>AND(#REF!,"AAAAAC9lvWE=")</f>
        <v>#REF!</v>
      </c>
      <c r="CU74" t="e">
        <f>AND(#REF!,"AAAAAC9lvWI=")</f>
        <v>#REF!</v>
      </c>
      <c r="CV74" t="e">
        <f>AND(#REF!,"AAAAAC9lvWM=")</f>
        <v>#REF!</v>
      </c>
      <c r="CW74" t="e">
        <f>AND(#REF!,"AAAAAC9lvWQ=")</f>
        <v>#REF!</v>
      </c>
      <c r="CX74" t="e">
        <f>AND(#REF!,"AAAAAC9lvWU=")</f>
        <v>#REF!</v>
      </c>
      <c r="CY74" t="e">
        <f>AND(#REF!,"AAAAAC9lvWY=")</f>
        <v>#REF!</v>
      </c>
      <c r="CZ74" t="e">
        <f>AND(#REF!,"AAAAAC9lvWc=")</f>
        <v>#REF!</v>
      </c>
      <c r="DA74" t="e">
        <f>AND(#REF!,"AAAAAC9lvWg=")</f>
        <v>#REF!</v>
      </c>
      <c r="DB74" t="e">
        <f>AND(#REF!,"AAAAAC9lvWk=")</f>
        <v>#REF!</v>
      </c>
      <c r="DC74" t="e">
        <f>AND(#REF!,"AAAAAC9lvWo=")</f>
        <v>#REF!</v>
      </c>
      <c r="DD74" t="e">
        <f>AND(#REF!,"AAAAAC9lvWs=")</f>
        <v>#REF!</v>
      </c>
      <c r="DE74" t="e">
        <f>AND(#REF!,"AAAAAC9lvWw=")</f>
        <v>#REF!</v>
      </c>
      <c r="DF74" t="e">
        <f>IF(#REF!,"AAAAAC9lvW0=",0)</f>
        <v>#REF!</v>
      </c>
      <c r="DG74" t="e">
        <f>AND(#REF!,"AAAAAC9lvW4=")</f>
        <v>#REF!</v>
      </c>
      <c r="DH74" t="e">
        <f>AND(#REF!,"AAAAAC9lvW8=")</f>
        <v>#REF!</v>
      </c>
      <c r="DI74" t="e">
        <f>AND(#REF!,"AAAAAC9lvXA=")</f>
        <v>#REF!</v>
      </c>
      <c r="DJ74" t="e">
        <f>AND(#REF!,"AAAAAC9lvXE=")</f>
        <v>#REF!</v>
      </c>
      <c r="DK74" t="e">
        <f>AND(#REF!,"AAAAAC9lvXI=")</f>
        <v>#REF!</v>
      </c>
      <c r="DL74" t="e">
        <f>AND(#REF!,"AAAAAC9lvXM=")</f>
        <v>#REF!</v>
      </c>
      <c r="DM74" t="e">
        <f>AND(#REF!,"AAAAAC9lvXQ=")</f>
        <v>#REF!</v>
      </c>
      <c r="DN74" t="e">
        <f>AND(#REF!,"AAAAAC9lvXU=")</f>
        <v>#REF!</v>
      </c>
      <c r="DO74" t="e">
        <f>AND(#REF!,"AAAAAC9lvXY=")</f>
        <v>#REF!</v>
      </c>
      <c r="DP74" t="e">
        <f>AND(#REF!,"AAAAAC9lvXc=")</f>
        <v>#REF!</v>
      </c>
      <c r="DQ74" t="e">
        <f>AND(#REF!,"AAAAAC9lvXg=")</f>
        <v>#REF!</v>
      </c>
      <c r="DR74" t="e">
        <f>AND(#REF!,"AAAAAC9lvXk=")</f>
        <v>#REF!</v>
      </c>
      <c r="DS74" t="e">
        <f>IF(#REF!,"AAAAAC9lvXo=",0)</f>
        <v>#REF!</v>
      </c>
      <c r="DT74" t="e">
        <f>AND(#REF!,"AAAAAC9lvXs=")</f>
        <v>#REF!</v>
      </c>
      <c r="DU74" t="e">
        <f>AND(#REF!,"AAAAAC9lvXw=")</f>
        <v>#REF!</v>
      </c>
      <c r="DV74" t="e">
        <f>AND(#REF!,"AAAAAC9lvX0=")</f>
        <v>#REF!</v>
      </c>
      <c r="DW74" t="e">
        <f>AND(#REF!,"AAAAAC9lvX4=")</f>
        <v>#REF!</v>
      </c>
      <c r="DX74" t="e">
        <f>AND(#REF!,"AAAAAC9lvX8=")</f>
        <v>#REF!</v>
      </c>
      <c r="DY74" t="e">
        <f>AND(#REF!,"AAAAAC9lvYA=")</f>
        <v>#REF!</v>
      </c>
      <c r="DZ74" t="e">
        <f>AND(#REF!,"AAAAAC9lvYE=")</f>
        <v>#REF!</v>
      </c>
      <c r="EA74" t="e">
        <f>AND(#REF!,"AAAAAC9lvYI=")</f>
        <v>#REF!</v>
      </c>
      <c r="EB74" t="e">
        <f>AND(#REF!,"AAAAAC9lvYM=")</f>
        <v>#REF!</v>
      </c>
      <c r="EC74" t="e">
        <f>AND(#REF!,"AAAAAC9lvYQ=")</f>
        <v>#REF!</v>
      </c>
      <c r="ED74" t="e">
        <f>AND(#REF!,"AAAAAC9lvYU=")</f>
        <v>#REF!</v>
      </c>
      <c r="EE74" t="e">
        <f>AND(#REF!,"AAAAAC9lvYY=")</f>
        <v>#REF!</v>
      </c>
      <c r="EF74" t="e">
        <f>IF(#REF!,"AAAAAC9lvYc=",0)</f>
        <v>#REF!</v>
      </c>
      <c r="EG74" t="e">
        <f>AND(#REF!,"AAAAAC9lvYg=")</f>
        <v>#REF!</v>
      </c>
      <c r="EH74" t="e">
        <f>AND(#REF!,"AAAAAC9lvYk=")</f>
        <v>#REF!</v>
      </c>
      <c r="EI74" t="e">
        <f>AND(#REF!,"AAAAAC9lvYo=")</f>
        <v>#REF!</v>
      </c>
      <c r="EJ74" t="e">
        <f>AND(#REF!,"AAAAAC9lvYs=")</f>
        <v>#REF!</v>
      </c>
      <c r="EK74" t="e">
        <f>AND(#REF!,"AAAAAC9lvYw=")</f>
        <v>#REF!</v>
      </c>
      <c r="EL74" t="e">
        <f>AND(#REF!,"AAAAAC9lvY0=")</f>
        <v>#REF!</v>
      </c>
      <c r="EM74" t="e">
        <f>AND(#REF!,"AAAAAC9lvY4=")</f>
        <v>#REF!</v>
      </c>
      <c r="EN74" t="e">
        <f>AND(#REF!,"AAAAAC9lvY8=")</f>
        <v>#REF!</v>
      </c>
      <c r="EO74" t="e">
        <f>AND(#REF!,"AAAAAC9lvZA=")</f>
        <v>#REF!</v>
      </c>
      <c r="EP74" t="e">
        <f>AND(#REF!,"AAAAAC9lvZE=")</f>
        <v>#REF!</v>
      </c>
      <c r="EQ74" t="e">
        <f>AND(#REF!,"AAAAAC9lvZI=")</f>
        <v>#REF!</v>
      </c>
      <c r="ER74" t="e">
        <f>AND(#REF!,"AAAAAC9lvZM=")</f>
        <v>#REF!</v>
      </c>
      <c r="ES74" t="e">
        <f>IF(#REF!,"AAAAAC9lvZQ=",0)</f>
        <v>#REF!</v>
      </c>
      <c r="ET74" t="e">
        <f>AND(#REF!,"AAAAAC9lvZU=")</f>
        <v>#REF!</v>
      </c>
      <c r="EU74" t="e">
        <f>AND(#REF!,"AAAAAC9lvZY=")</f>
        <v>#REF!</v>
      </c>
      <c r="EV74" t="e">
        <f>AND(#REF!,"AAAAAC9lvZc=")</f>
        <v>#REF!</v>
      </c>
      <c r="EW74" t="e">
        <f>AND(#REF!,"AAAAAC9lvZg=")</f>
        <v>#REF!</v>
      </c>
      <c r="EX74" t="e">
        <f>AND(#REF!,"AAAAAC9lvZk=")</f>
        <v>#REF!</v>
      </c>
      <c r="EY74" t="e">
        <f>AND(#REF!,"AAAAAC9lvZo=")</f>
        <v>#REF!</v>
      </c>
      <c r="EZ74" t="e">
        <f>AND(#REF!,"AAAAAC9lvZs=")</f>
        <v>#REF!</v>
      </c>
      <c r="FA74" t="e">
        <f>AND(#REF!,"AAAAAC9lvZw=")</f>
        <v>#REF!</v>
      </c>
      <c r="FB74" t="e">
        <f>AND(#REF!,"AAAAAC9lvZ0=")</f>
        <v>#REF!</v>
      </c>
      <c r="FC74" t="e">
        <f>AND(#REF!,"AAAAAC9lvZ4=")</f>
        <v>#REF!</v>
      </c>
      <c r="FD74" t="e">
        <f>AND(#REF!,"AAAAAC9lvZ8=")</f>
        <v>#REF!</v>
      </c>
      <c r="FE74" t="e">
        <f>AND(#REF!,"AAAAAC9lvaA=")</f>
        <v>#REF!</v>
      </c>
      <c r="FF74" t="e">
        <f>IF(#REF!,"AAAAAC9lvaE=",0)</f>
        <v>#REF!</v>
      </c>
      <c r="FG74" t="e">
        <f>AND(#REF!,"AAAAAC9lvaI=")</f>
        <v>#REF!</v>
      </c>
      <c r="FH74" t="e">
        <f>AND(#REF!,"AAAAAC9lvaM=")</f>
        <v>#REF!</v>
      </c>
      <c r="FI74" t="e">
        <f>AND(#REF!,"AAAAAC9lvaQ=")</f>
        <v>#REF!</v>
      </c>
      <c r="FJ74" t="e">
        <f>AND(#REF!,"AAAAAC9lvaU=")</f>
        <v>#REF!</v>
      </c>
      <c r="FK74" t="e">
        <f>AND(#REF!,"AAAAAC9lvaY=")</f>
        <v>#REF!</v>
      </c>
      <c r="FL74" t="e">
        <f>AND(#REF!,"AAAAAC9lvac=")</f>
        <v>#REF!</v>
      </c>
      <c r="FM74" t="e">
        <f>AND(#REF!,"AAAAAC9lvag=")</f>
        <v>#REF!</v>
      </c>
      <c r="FN74" t="e">
        <f>AND(#REF!,"AAAAAC9lvak=")</f>
        <v>#REF!</v>
      </c>
      <c r="FO74" t="e">
        <f>AND(#REF!,"AAAAAC9lvao=")</f>
        <v>#REF!</v>
      </c>
      <c r="FP74" t="e">
        <f>AND(#REF!,"AAAAAC9lvas=")</f>
        <v>#REF!</v>
      </c>
      <c r="FQ74" t="e">
        <f>AND(#REF!,"AAAAAC9lvaw=")</f>
        <v>#REF!</v>
      </c>
      <c r="FR74" t="e">
        <f>AND(#REF!,"AAAAAC9lva0=")</f>
        <v>#REF!</v>
      </c>
      <c r="FS74" t="e">
        <f>IF(#REF!,"AAAAAC9lva4=",0)</f>
        <v>#REF!</v>
      </c>
      <c r="FT74" t="e">
        <f>AND(#REF!,"AAAAAC9lva8=")</f>
        <v>#REF!</v>
      </c>
      <c r="FU74" t="e">
        <f>AND(#REF!,"AAAAAC9lvbA=")</f>
        <v>#REF!</v>
      </c>
      <c r="FV74" t="e">
        <f>AND(#REF!,"AAAAAC9lvbE=")</f>
        <v>#REF!</v>
      </c>
      <c r="FW74" t="e">
        <f>AND(#REF!,"AAAAAC9lvbI=")</f>
        <v>#REF!</v>
      </c>
      <c r="FX74" t="e">
        <f>AND(#REF!,"AAAAAC9lvbM=")</f>
        <v>#REF!</v>
      </c>
      <c r="FY74" t="e">
        <f>AND(#REF!,"AAAAAC9lvbQ=")</f>
        <v>#REF!</v>
      </c>
      <c r="FZ74" t="e">
        <f>AND(#REF!,"AAAAAC9lvbU=")</f>
        <v>#REF!</v>
      </c>
      <c r="GA74" t="e">
        <f>AND(#REF!,"AAAAAC9lvbY=")</f>
        <v>#REF!</v>
      </c>
      <c r="GB74" t="e">
        <f>AND(#REF!,"AAAAAC9lvbc=")</f>
        <v>#REF!</v>
      </c>
      <c r="GC74" t="e">
        <f>AND(#REF!,"AAAAAC9lvbg=")</f>
        <v>#REF!</v>
      </c>
      <c r="GD74" t="e">
        <f>AND(#REF!,"AAAAAC9lvbk=")</f>
        <v>#REF!</v>
      </c>
      <c r="GE74" t="e">
        <f>AND(#REF!,"AAAAAC9lvbo=")</f>
        <v>#REF!</v>
      </c>
      <c r="GF74" t="e">
        <f>IF(#REF!,"AAAAAC9lvbs=",0)</f>
        <v>#REF!</v>
      </c>
      <c r="GG74" t="e">
        <f>AND(#REF!,"AAAAAC9lvbw=")</f>
        <v>#REF!</v>
      </c>
      <c r="GH74" t="e">
        <f>AND(#REF!,"AAAAAC9lvb0=")</f>
        <v>#REF!</v>
      </c>
      <c r="GI74" t="e">
        <f>AND(#REF!,"AAAAAC9lvb4=")</f>
        <v>#REF!</v>
      </c>
      <c r="GJ74" t="e">
        <f>AND(#REF!,"AAAAAC9lvb8=")</f>
        <v>#REF!</v>
      </c>
      <c r="GK74" t="e">
        <f>AND(#REF!,"AAAAAC9lvcA=")</f>
        <v>#REF!</v>
      </c>
      <c r="GL74" t="e">
        <f>AND(#REF!,"AAAAAC9lvcE=")</f>
        <v>#REF!</v>
      </c>
      <c r="GM74" t="e">
        <f>AND(#REF!,"AAAAAC9lvcI=")</f>
        <v>#REF!</v>
      </c>
      <c r="GN74" t="e">
        <f>AND(#REF!,"AAAAAC9lvcM=")</f>
        <v>#REF!</v>
      </c>
      <c r="GO74" t="e">
        <f>AND(#REF!,"AAAAAC9lvcQ=")</f>
        <v>#REF!</v>
      </c>
      <c r="GP74" t="e">
        <f>AND(#REF!,"AAAAAC9lvcU=")</f>
        <v>#REF!</v>
      </c>
      <c r="GQ74" t="e">
        <f>AND(#REF!,"AAAAAC9lvcY=")</f>
        <v>#REF!</v>
      </c>
      <c r="GR74" t="e">
        <f>AND(#REF!,"AAAAAC9lvcc=")</f>
        <v>#REF!</v>
      </c>
      <c r="GS74" t="e">
        <f>IF(#REF!,"AAAAAC9lvcg=",0)</f>
        <v>#REF!</v>
      </c>
      <c r="GT74" t="e">
        <f>AND(#REF!,"AAAAAC9lvck=")</f>
        <v>#REF!</v>
      </c>
      <c r="GU74" t="e">
        <f>AND(#REF!,"AAAAAC9lvco=")</f>
        <v>#REF!</v>
      </c>
      <c r="GV74" t="e">
        <f>AND(#REF!,"AAAAAC9lvcs=")</f>
        <v>#REF!</v>
      </c>
      <c r="GW74" t="e">
        <f>AND(#REF!,"AAAAAC9lvcw=")</f>
        <v>#REF!</v>
      </c>
      <c r="GX74" t="e">
        <f>AND(#REF!,"AAAAAC9lvc0=")</f>
        <v>#REF!</v>
      </c>
      <c r="GY74" t="e">
        <f>AND(#REF!,"AAAAAC9lvc4=")</f>
        <v>#REF!</v>
      </c>
      <c r="GZ74" t="e">
        <f>AND(#REF!,"AAAAAC9lvc8=")</f>
        <v>#REF!</v>
      </c>
      <c r="HA74" t="e">
        <f>AND(#REF!,"AAAAAC9lvdA=")</f>
        <v>#REF!</v>
      </c>
      <c r="HB74" t="e">
        <f>AND(#REF!,"AAAAAC9lvdE=")</f>
        <v>#REF!</v>
      </c>
      <c r="HC74" t="e">
        <f>AND(#REF!,"AAAAAC9lvdI=")</f>
        <v>#REF!</v>
      </c>
      <c r="HD74" t="e">
        <f>AND(#REF!,"AAAAAC9lvdM=")</f>
        <v>#REF!</v>
      </c>
      <c r="HE74" t="e">
        <f>AND(#REF!,"AAAAAC9lvdQ=")</f>
        <v>#REF!</v>
      </c>
      <c r="HF74" t="e">
        <f>IF(#REF!,"AAAAAC9lvdU=",0)</f>
        <v>#REF!</v>
      </c>
      <c r="HG74" t="e">
        <f>AND(#REF!,"AAAAAC9lvdY=")</f>
        <v>#REF!</v>
      </c>
      <c r="HH74" t="e">
        <f>AND(#REF!,"AAAAAC9lvdc=")</f>
        <v>#REF!</v>
      </c>
      <c r="HI74" t="e">
        <f>AND(#REF!,"AAAAAC9lvdg=")</f>
        <v>#REF!</v>
      </c>
      <c r="HJ74" t="e">
        <f>AND(#REF!,"AAAAAC9lvdk=")</f>
        <v>#REF!</v>
      </c>
      <c r="HK74" t="e">
        <f>AND(#REF!,"AAAAAC9lvdo=")</f>
        <v>#REF!</v>
      </c>
      <c r="HL74" t="e">
        <f>AND(#REF!,"AAAAAC9lvds=")</f>
        <v>#REF!</v>
      </c>
      <c r="HM74" t="e">
        <f>AND(#REF!,"AAAAAC9lvdw=")</f>
        <v>#REF!</v>
      </c>
      <c r="HN74" t="e">
        <f>AND(#REF!,"AAAAAC9lvd0=")</f>
        <v>#REF!</v>
      </c>
      <c r="HO74" t="e">
        <f>AND(#REF!,"AAAAAC9lvd4=")</f>
        <v>#REF!</v>
      </c>
      <c r="HP74" t="e">
        <f>AND(#REF!,"AAAAAC9lvd8=")</f>
        <v>#REF!</v>
      </c>
      <c r="HQ74" t="e">
        <f>AND(#REF!,"AAAAAC9lveA=")</f>
        <v>#REF!</v>
      </c>
      <c r="HR74" t="e">
        <f>AND(#REF!,"AAAAAC9lveE=")</f>
        <v>#REF!</v>
      </c>
      <c r="HS74" t="e">
        <f>IF(#REF!,"AAAAAC9lveI=",0)</f>
        <v>#REF!</v>
      </c>
      <c r="HT74" t="e">
        <f>AND(#REF!,"AAAAAC9lveM=")</f>
        <v>#REF!</v>
      </c>
      <c r="HU74" t="e">
        <f>AND(#REF!,"AAAAAC9lveQ=")</f>
        <v>#REF!</v>
      </c>
      <c r="HV74" t="e">
        <f>AND(#REF!,"AAAAAC9lveU=")</f>
        <v>#REF!</v>
      </c>
      <c r="HW74" t="e">
        <f>AND(#REF!,"AAAAAC9lveY=")</f>
        <v>#REF!</v>
      </c>
      <c r="HX74" t="e">
        <f>AND(#REF!,"AAAAAC9lvec=")</f>
        <v>#REF!</v>
      </c>
      <c r="HY74" t="e">
        <f>AND(#REF!,"AAAAAC9lveg=")</f>
        <v>#REF!</v>
      </c>
      <c r="HZ74" t="e">
        <f>AND(#REF!,"AAAAAC9lvek=")</f>
        <v>#REF!</v>
      </c>
      <c r="IA74" t="e">
        <f>AND(#REF!,"AAAAAC9lveo=")</f>
        <v>#REF!</v>
      </c>
      <c r="IB74" t="e">
        <f>AND(#REF!,"AAAAAC9lves=")</f>
        <v>#REF!</v>
      </c>
      <c r="IC74" t="e">
        <f>AND(#REF!,"AAAAAC9lvew=")</f>
        <v>#REF!</v>
      </c>
      <c r="ID74" t="e">
        <f>AND(#REF!,"AAAAAC9lve0=")</f>
        <v>#REF!</v>
      </c>
      <c r="IE74" t="e">
        <f>AND(#REF!,"AAAAAC9lve4=")</f>
        <v>#REF!</v>
      </c>
      <c r="IF74" t="e">
        <f>IF(#REF!,"AAAAAC9lve8=",0)</f>
        <v>#REF!</v>
      </c>
      <c r="IG74" t="e">
        <f>AND(#REF!,"AAAAAC9lvfA=")</f>
        <v>#REF!</v>
      </c>
      <c r="IH74" t="e">
        <f>AND(#REF!,"AAAAAC9lvfE=")</f>
        <v>#REF!</v>
      </c>
      <c r="II74" t="e">
        <f>AND(#REF!,"AAAAAC9lvfI=")</f>
        <v>#REF!</v>
      </c>
      <c r="IJ74" t="e">
        <f>AND(#REF!,"AAAAAC9lvfM=")</f>
        <v>#REF!</v>
      </c>
      <c r="IK74" t="e">
        <f>AND(#REF!,"AAAAAC9lvfQ=")</f>
        <v>#REF!</v>
      </c>
      <c r="IL74" t="e">
        <f>AND(#REF!,"AAAAAC9lvfU=")</f>
        <v>#REF!</v>
      </c>
      <c r="IM74" t="e">
        <f>AND(#REF!,"AAAAAC9lvfY=")</f>
        <v>#REF!</v>
      </c>
      <c r="IN74" t="e">
        <f>AND(#REF!,"AAAAAC9lvfc=")</f>
        <v>#REF!</v>
      </c>
      <c r="IO74" t="e">
        <f>AND(#REF!,"AAAAAC9lvfg=")</f>
        <v>#REF!</v>
      </c>
      <c r="IP74" t="e">
        <f>AND(#REF!,"AAAAAC9lvfk=")</f>
        <v>#REF!</v>
      </c>
      <c r="IQ74" t="e">
        <f>AND(#REF!,"AAAAAC9lvfo=")</f>
        <v>#REF!</v>
      </c>
      <c r="IR74" t="e">
        <f>AND(#REF!,"AAAAAC9lvfs=")</f>
        <v>#REF!</v>
      </c>
      <c r="IS74" t="e">
        <f>IF(#REF!,"AAAAAC9lvfw=",0)</f>
        <v>#REF!</v>
      </c>
      <c r="IT74" t="e">
        <f>AND(#REF!,"AAAAAC9lvf0=")</f>
        <v>#REF!</v>
      </c>
      <c r="IU74" t="e">
        <f>AND(#REF!,"AAAAAC9lvf4=")</f>
        <v>#REF!</v>
      </c>
      <c r="IV74" t="e">
        <f>AND(#REF!,"AAAAAC9lvf8=")</f>
        <v>#REF!</v>
      </c>
    </row>
    <row r="75" spans="1:256" x14ac:dyDescent="0.35">
      <c r="A75" t="e">
        <f>AND(#REF!,"AAAAADf/6wA=")</f>
        <v>#REF!</v>
      </c>
      <c r="B75" t="e">
        <f>AND(#REF!,"AAAAADf/6wE=")</f>
        <v>#REF!</v>
      </c>
      <c r="C75" t="e">
        <f>AND(#REF!,"AAAAADf/6wI=")</f>
        <v>#REF!</v>
      </c>
      <c r="D75" t="e">
        <f>AND(#REF!,"AAAAADf/6wM=")</f>
        <v>#REF!</v>
      </c>
      <c r="E75" t="e">
        <f>AND(#REF!,"AAAAADf/6wQ=")</f>
        <v>#REF!</v>
      </c>
      <c r="F75" t="e">
        <f>AND(#REF!,"AAAAADf/6wU=")</f>
        <v>#REF!</v>
      </c>
      <c r="G75" t="e">
        <f>AND(#REF!,"AAAAADf/6wY=")</f>
        <v>#REF!</v>
      </c>
      <c r="H75" t="e">
        <f>AND(#REF!,"AAAAADf/6wc=")</f>
        <v>#REF!</v>
      </c>
      <c r="I75" t="e">
        <f>AND(#REF!,"AAAAADf/6wg=")</f>
        <v>#REF!</v>
      </c>
      <c r="J75" t="e">
        <f>IF(#REF!,"AAAAADf/6wk=",0)</f>
        <v>#REF!</v>
      </c>
      <c r="K75" t="e">
        <f>AND(#REF!,"AAAAADf/6wo=")</f>
        <v>#REF!</v>
      </c>
      <c r="L75" t="e">
        <f>AND(#REF!,"AAAAADf/6ws=")</f>
        <v>#REF!</v>
      </c>
      <c r="M75" t="e">
        <f>AND(#REF!,"AAAAADf/6ww=")</f>
        <v>#REF!</v>
      </c>
      <c r="N75" t="e">
        <f>AND(#REF!,"AAAAADf/6w0=")</f>
        <v>#REF!</v>
      </c>
      <c r="O75" t="e">
        <f>AND(#REF!,"AAAAADf/6w4=")</f>
        <v>#REF!</v>
      </c>
      <c r="P75" t="e">
        <f>AND(#REF!,"AAAAADf/6w8=")</f>
        <v>#REF!</v>
      </c>
      <c r="Q75" t="e">
        <f>AND(#REF!,"AAAAADf/6xA=")</f>
        <v>#REF!</v>
      </c>
      <c r="R75" t="e">
        <f>AND(#REF!,"AAAAADf/6xE=")</f>
        <v>#REF!</v>
      </c>
      <c r="S75" t="e">
        <f>AND(#REF!,"AAAAADf/6xI=")</f>
        <v>#REF!</v>
      </c>
      <c r="T75" t="e">
        <f>AND(#REF!,"AAAAADf/6xM=")</f>
        <v>#REF!</v>
      </c>
      <c r="U75" t="e">
        <f>AND(#REF!,"AAAAADf/6xQ=")</f>
        <v>#REF!</v>
      </c>
      <c r="V75" t="e">
        <f>AND(#REF!,"AAAAADf/6xU=")</f>
        <v>#REF!</v>
      </c>
      <c r="W75" t="e">
        <f>IF(#REF!,"AAAAADf/6xY=",0)</f>
        <v>#REF!</v>
      </c>
      <c r="X75" t="e">
        <f>AND(#REF!,"AAAAADf/6xc=")</f>
        <v>#REF!</v>
      </c>
      <c r="Y75" t="e">
        <f>AND(#REF!,"AAAAADf/6xg=")</f>
        <v>#REF!</v>
      </c>
      <c r="Z75" t="e">
        <f>AND(#REF!,"AAAAADf/6xk=")</f>
        <v>#REF!</v>
      </c>
      <c r="AA75" t="e">
        <f>AND(#REF!,"AAAAADf/6xo=")</f>
        <v>#REF!</v>
      </c>
      <c r="AB75" t="e">
        <f>AND(#REF!,"AAAAADf/6xs=")</f>
        <v>#REF!</v>
      </c>
      <c r="AC75" t="e">
        <f>AND(#REF!,"AAAAADf/6xw=")</f>
        <v>#REF!</v>
      </c>
      <c r="AD75" t="e">
        <f>AND(#REF!,"AAAAADf/6x0=")</f>
        <v>#REF!</v>
      </c>
      <c r="AE75" t="e">
        <f>AND(#REF!,"AAAAADf/6x4=")</f>
        <v>#REF!</v>
      </c>
      <c r="AF75" t="e">
        <f>AND(#REF!,"AAAAADf/6x8=")</f>
        <v>#REF!</v>
      </c>
      <c r="AG75" t="e">
        <f>AND(#REF!,"AAAAADf/6yA=")</f>
        <v>#REF!</v>
      </c>
      <c r="AH75" t="e">
        <f>AND(#REF!,"AAAAADf/6yE=")</f>
        <v>#REF!</v>
      </c>
      <c r="AI75" t="e">
        <f>AND(#REF!,"AAAAADf/6yI=")</f>
        <v>#REF!</v>
      </c>
      <c r="AJ75" t="e">
        <f>IF(#REF!,"AAAAADf/6yM=",0)</f>
        <v>#REF!</v>
      </c>
      <c r="AK75" t="e">
        <f>AND(#REF!,"AAAAADf/6yQ=")</f>
        <v>#REF!</v>
      </c>
      <c r="AL75" t="e">
        <f>AND(#REF!,"AAAAADf/6yU=")</f>
        <v>#REF!</v>
      </c>
      <c r="AM75" t="e">
        <f>AND(#REF!,"AAAAADf/6yY=")</f>
        <v>#REF!</v>
      </c>
      <c r="AN75" t="e">
        <f>AND(#REF!,"AAAAADf/6yc=")</f>
        <v>#REF!</v>
      </c>
      <c r="AO75" t="e">
        <f>AND(#REF!,"AAAAADf/6yg=")</f>
        <v>#REF!</v>
      </c>
      <c r="AP75" t="e">
        <f>AND(#REF!,"AAAAADf/6yk=")</f>
        <v>#REF!</v>
      </c>
      <c r="AQ75" t="e">
        <f>AND(#REF!,"AAAAADf/6yo=")</f>
        <v>#REF!</v>
      </c>
      <c r="AR75" t="e">
        <f>AND(#REF!,"AAAAADf/6ys=")</f>
        <v>#REF!</v>
      </c>
      <c r="AS75" t="e">
        <f>AND(#REF!,"AAAAADf/6yw=")</f>
        <v>#REF!</v>
      </c>
      <c r="AT75" t="e">
        <f>AND(#REF!,"AAAAADf/6y0=")</f>
        <v>#REF!</v>
      </c>
      <c r="AU75" t="e">
        <f>AND(#REF!,"AAAAADf/6y4=")</f>
        <v>#REF!</v>
      </c>
      <c r="AV75" t="e">
        <f>AND(#REF!,"AAAAADf/6y8=")</f>
        <v>#REF!</v>
      </c>
      <c r="AW75" t="e">
        <f>IF(#REF!,"AAAAADf/6zA=",0)</f>
        <v>#REF!</v>
      </c>
      <c r="AX75" t="e">
        <f>AND(#REF!,"AAAAADf/6zE=")</f>
        <v>#REF!</v>
      </c>
      <c r="AY75" t="e">
        <f>AND(#REF!,"AAAAADf/6zI=")</f>
        <v>#REF!</v>
      </c>
      <c r="AZ75" t="e">
        <f>AND(#REF!,"AAAAADf/6zM=")</f>
        <v>#REF!</v>
      </c>
      <c r="BA75" t="e">
        <f>AND(#REF!,"AAAAADf/6zQ=")</f>
        <v>#REF!</v>
      </c>
      <c r="BB75" t="e">
        <f>AND(#REF!,"AAAAADf/6zU=")</f>
        <v>#REF!</v>
      </c>
      <c r="BC75" t="e">
        <f>AND(#REF!,"AAAAADf/6zY=")</f>
        <v>#REF!</v>
      </c>
      <c r="BD75" t="e">
        <f>AND(#REF!,"AAAAADf/6zc=")</f>
        <v>#REF!</v>
      </c>
      <c r="BE75" t="e">
        <f>AND(#REF!,"AAAAADf/6zg=")</f>
        <v>#REF!</v>
      </c>
      <c r="BF75" t="e">
        <f>AND(#REF!,"AAAAADf/6zk=")</f>
        <v>#REF!</v>
      </c>
      <c r="BG75" t="e">
        <f>AND(#REF!,"AAAAADf/6zo=")</f>
        <v>#REF!</v>
      </c>
      <c r="BH75" t="e">
        <f>AND(#REF!,"AAAAADf/6zs=")</f>
        <v>#REF!</v>
      </c>
      <c r="BI75" t="e">
        <f>AND(#REF!,"AAAAADf/6zw=")</f>
        <v>#REF!</v>
      </c>
      <c r="BJ75" t="e">
        <f>IF(#REF!,"AAAAADf/6z0=",0)</f>
        <v>#REF!</v>
      </c>
      <c r="BK75" t="e">
        <f>AND(#REF!,"AAAAADf/6z4=")</f>
        <v>#REF!</v>
      </c>
      <c r="BL75" t="e">
        <f>AND(#REF!,"AAAAADf/6z8=")</f>
        <v>#REF!</v>
      </c>
      <c r="BM75" t="e">
        <f>AND(#REF!,"AAAAADf/60A=")</f>
        <v>#REF!</v>
      </c>
      <c r="BN75" t="e">
        <f>AND(#REF!,"AAAAADf/60E=")</f>
        <v>#REF!</v>
      </c>
      <c r="BO75" t="e">
        <f>AND(#REF!,"AAAAADf/60I=")</f>
        <v>#REF!</v>
      </c>
      <c r="BP75" t="e">
        <f>AND(#REF!,"AAAAADf/60M=")</f>
        <v>#REF!</v>
      </c>
      <c r="BQ75" t="e">
        <f>AND(#REF!,"AAAAADf/60Q=")</f>
        <v>#REF!</v>
      </c>
      <c r="BR75" t="e">
        <f>AND(#REF!,"AAAAADf/60U=")</f>
        <v>#REF!</v>
      </c>
      <c r="BS75" t="e">
        <f>AND(#REF!,"AAAAADf/60Y=")</f>
        <v>#REF!</v>
      </c>
      <c r="BT75" t="e">
        <f>AND(#REF!,"AAAAADf/60c=")</f>
        <v>#REF!</v>
      </c>
      <c r="BU75" t="e">
        <f>AND(#REF!,"AAAAADf/60g=")</f>
        <v>#REF!</v>
      </c>
      <c r="BV75" t="e">
        <f>AND(#REF!,"AAAAADf/60k=")</f>
        <v>#REF!</v>
      </c>
      <c r="BW75" t="e">
        <f>IF(#REF!,"AAAAADf/60o=",0)</f>
        <v>#REF!</v>
      </c>
      <c r="BX75" t="e">
        <f>AND(#REF!,"AAAAADf/60s=")</f>
        <v>#REF!</v>
      </c>
      <c r="BY75" t="e">
        <f>AND(#REF!,"AAAAADf/60w=")</f>
        <v>#REF!</v>
      </c>
      <c r="BZ75" t="e">
        <f>AND(#REF!,"AAAAADf/600=")</f>
        <v>#REF!</v>
      </c>
      <c r="CA75" t="e">
        <f>AND(#REF!,"AAAAADf/604=")</f>
        <v>#REF!</v>
      </c>
      <c r="CB75" t="e">
        <f>AND(#REF!,"AAAAADf/608=")</f>
        <v>#REF!</v>
      </c>
      <c r="CC75" t="e">
        <f>AND(#REF!,"AAAAADf/61A=")</f>
        <v>#REF!</v>
      </c>
      <c r="CD75" t="e">
        <f>AND(#REF!,"AAAAADf/61E=")</f>
        <v>#REF!</v>
      </c>
      <c r="CE75" t="e">
        <f>AND(#REF!,"AAAAADf/61I=")</f>
        <v>#REF!</v>
      </c>
      <c r="CF75" t="e">
        <f>AND(#REF!,"AAAAADf/61M=")</f>
        <v>#REF!</v>
      </c>
      <c r="CG75" t="e">
        <f>AND(#REF!,"AAAAADf/61Q=")</f>
        <v>#REF!</v>
      </c>
      <c r="CH75" t="e">
        <f>AND(#REF!,"AAAAADf/61U=")</f>
        <v>#REF!</v>
      </c>
      <c r="CI75" t="e">
        <f>AND(#REF!,"AAAAADf/61Y=")</f>
        <v>#REF!</v>
      </c>
      <c r="CJ75" t="e">
        <f>IF(#REF!,"AAAAADf/61c=",0)</f>
        <v>#REF!</v>
      </c>
      <c r="CK75" t="e">
        <f>AND(#REF!,"AAAAADf/61g=")</f>
        <v>#REF!</v>
      </c>
      <c r="CL75" t="e">
        <f>AND(#REF!,"AAAAADf/61k=")</f>
        <v>#REF!</v>
      </c>
      <c r="CM75" t="e">
        <f>AND(#REF!,"AAAAADf/61o=")</f>
        <v>#REF!</v>
      </c>
      <c r="CN75" t="e">
        <f>AND(#REF!,"AAAAADf/61s=")</f>
        <v>#REF!</v>
      </c>
      <c r="CO75" t="e">
        <f>AND(#REF!,"AAAAADf/61w=")</f>
        <v>#REF!</v>
      </c>
      <c r="CP75" t="e">
        <f>AND(#REF!,"AAAAADf/610=")</f>
        <v>#REF!</v>
      </c>
      <c r="CQ75" t="e">
        <f>AND(#REF!,"AAAAADf/614=")</f>
        <v>#REF!</v>
      </c>
      <c r="CR75" t="e">
        <f>AND(#REF!,"AAAAADf/618=")</f>
        <v>#REF!</v>
      </c>
      <c r="CS75" t="e">
        <f>AND(#REF!,"AAAAADf/62A=")</f>
        <v>#REF!</v>
      </c>
      <c r="CT75" t="e">
        <f>AND(#REF!,"AAAAADf/62E=")</f>
        <v>#REF!</v>
      </c>
      <c r="CU75" t="e">
        <f>AND(#REF!,"AAAAADf/62I=")</f>
        <v>#REF!</v>
      </c>
      <c r="CV75" t="e">
        <f>AND(#REF!,"AAAAADf/62M=")</f>
        <v>#REF!</v>
      </c>
      <c r="CW75" t="e">
        <f>IF(#REF!,"AAAAADf/62Q=",0)</f>
        <v>#REF!</v>
      </c>
      <c r="CX75" t="e">
        <f>AND(#REF!,"AAAAADf/62U=")</f>
        <v>#REF!</v>
      </c>
      <c r="CY75" t="e">
        <f>AND(#REF!,"AAAAADf/62Y=")</f>
        <v>#REF!</v>
      </c>
      <c r="CZ75" t="e">
        <f>AND(#REF!,"AAAAADf/62c=")</f>
        <v>#REF!</v>
      </c>
      <c r="DA75" t="e">
        <f>AND(#REF!,"AAAAADf/62g=")</f>
        <v>#REF!</v>
      </c>
      <c r="DB75" t="e">
        <f>AND(#REF!,"AAAAADf/62k=")</f>
        <v>#REF!</v>
      </c>
      <c r="DC75" t="e">
        <f>AND(#REF!,"AAAAADf/62o=")</f>
        <v>#REF!</v>
      </c>
      <c r="DD75" t="e">
        <f>AND(#REF!,"AAAAADf/62s=")</f>
        <v>#REF!</v>
      </c>
      <c r="DE75" t="e">
        <f>AND(#REF!,"AAAAADf/62w=")</f>
        <v>#REF!</v>
      </c>
      <c r="DF75" t="e">
        <f>AND(#REF!,"AAAAADf/620=")</f>
        <v>#REF!</v>
      </c>
      <c r="DG75" t="e">
        <f>AND(#REF!,"AAAAADf/624=")</f>
        <v>#REF!</v>
      </c>
      <c r="DH75" t="e">
        <f>AND(#REF!,"AAAAADf/628=")</f>
        <v>#REF!</v>
      </c>
      <c r="DI75" t="e">
        <f>AND(#REF!,"AAAAADf/63A=")</f>
        <v>#REF!</v>
      </c>
      <c r="DJ75" t="e">
        <f>IF(#REF!,"AAAAADf/63E=",0)</f>
        <v>#REF!</v>
      </c>
      <c r="DK75" t="e">
        <f>AND(#REF!,"AAAAADf/63I=")</f>
        <v>#REF!</v>
      </c>
      <c r="DL75" t="e">
        <f>AND(#REF!,"AAAAADf/63M=")</f>
        <v>#REF!</v>
      </c>
      <c r="DM75" t="e">
        <f>AND(#REF!,"AAAAADf/63Q=")</f>
        <v>#REF!</v>
      </c>
      <c r="DN75" t="e">
        <f>AND(#REF!,"AAAAADf/63U=")</f>
        <v>#REF!</v>
      </c>
      <c r="DO75" t="e">
        <f>AND(#REF!,"AAAAADf/63Y=")</f>
        <v>#REF!</v>
      </c>
      <c r="DP75" t="e">
        <f>AND(#REF!,"AAAAADf/63c=")</f>
        <v>#REF!</v>
      </c>
      <c r="DQ75" t="e">
        <f>AND(#REF!,"AAAAADf/63g=")</f>
        <v>#REF!</v>
      </c>
      <c r="DR75" t="e">
        <f>AND(#REF!,"AAAAADf/63k=")</f>
        <v>#REF!</v>
      </c>
      <c r="DS75" t="e">
        <f>AND(#REF!,"AAAAADf/63o=")</f>
        <v>#REF!</v>
      </c>
      <c r="DT75" t="e">
        <f>AND(#REF!,"AAAAADf/63s=")</f>
        <v>#REF!</v>
      </c>
      <c r="DU75" t="e">
        <f>AND(#REF!,"AAAAADf/63w=")</f>
        <v>#REF!</v>
      </c>
      <c r="DV75" t="e">
        <f>AND(#REF!,"AAAAADf/630=")</f>
        <v>#REF!</v>
      </c>
      <c r="DW75" t="e">
        <f>IF(#REF!,"AAAAADf/634=",0)</f>
        <v>#REF!</v>
      </c>
      <c r="DX75" t="e">
        <f>AND(#REF!,"AAAAADf/638=")</f>
        <v>#REF!</v>
      </c>
      <c r="DY75" t="e">
        <f>AND(#REF!,"AAAAADf/64A=")</f>
        <v>#REF!</v>
      </c>
      <c r="DZ75" t="e">
        <f>AND(#REF!,"AAAAADf/64E=")</f>
        <v>#REF!</v>
      </c>
      <c r="EA75" t="e">
        <f>AND(#REF!,"AAAAADf/64I=")</f>
        <v>#REF!</v>
      </c>
      <c r="EB75" t="e">
        <f>AND(#REF!,"AAAAADf/64M=")</f>
        <v>#REF!</v>
      </c>
      <c r="EC75" t="e">
        <f>AND(#REF!,"AAAAADf/64Q=")</f>
        <v>#REF!</v>
      </c>
      <c r="ED75" t="e">
        <f>AND(#REF!,"AAAAADf/64U=")</f>
        <v>#REF!</v>
      </c>
      <c r="EE75" t="e">
        <f>AND(#REF!,"AAAAADf/64Y=")</f>
        <v>#REF!</v>
      </c>
      <c r="EF75" t="e">
        <f>AND(#REF!,"AAAAADf/64c=")</f>
        <v>#REF!</v>
      </c>
      <c r="EG75" t="e">
        <f>AND(#REF!,"AAAAADf/64g=")</f>
        <v>#REF!</v>
      </c>
      <c r="EH75" t="e">
        <f>AND(#REF!,"AAAAADf/64k=")</f>
        <v>#REF!</v>
      </c>
      <c r="EI75" t="e">
        <f>AND(#REF!,"AAAAADf/64o=")</f>
        <v>#REF!</v>
      </c>
      <c r="EJ75" t="e">
        <f>IF(#REF!,"AAAAADf/64s=",0)</f>
        <v>#REF!</v>
      </c>
      <c r="EK75" t="e">
        <f>AND(#REF!,"AAAAADf/64w=")</f>
        <v>#REF!</v>
      </c>
      <c r="EL75" t="e">
        <f>AND(#REF!,"AAAAADf/640=")</f>
        <v>#REF!</v>
      </c>
      <c r="EM75" t="e">
        <f>AND(#REF!,"AAAAADf/644=")</f>
        <v>#REF!</v>
      </c>
      <c r="EN75" t="e">
        <f>AND(#REF!,"AAAAADf/648=")</f>
        <v>#REF!</v>
      </c>
      <c r="EO75" t="e">
        <f>AND(#REF!,"AAAAADf/65A=")</f>
        <v>#REF!</v>
      </c>
      <c r="EP75" t="e">
        <f>AND(#REF!,"AAAAADf/65E=")</f>
        <v>#REF!</v>
      </c>
      <c r="EQ75" t="e">
        <f>AND(#REF!,"AAAAADf/65I=")</f>
        <v>#REF!</v>
      </c>
      <c r="ER75" t="e">
        <f>AND(#REF!,"AAAAADf/65M=")</f>
        <v>#REF!</v>
      </c>
      <c r="ES75" t="e">
        <f>AND(#REF!,"AAAAADf/65Q=")</f>
        <v>#REF!</v>
      </c>
      <c r="ET75" t="e">
        <f>AND(#REF!,"AAAAADf/65U=")</f>
        <v>#REF!</v>
      </c>
      <c r="EU75" t="e">
        <f>AND(#REF!,"AAAAADf/65Y=")</f>
        <v>#REF!</v>
      </c>
      <c r="EV75" t="e">
        <f>AND(#REF!,"AAAAADf/65c=")</f>
        <v>#REF!</v>
      </c>
      <c r="EW75" t="e">
        <f>IF(#REF!,"AAAAADf/65g=",0)</f>
        <v>#REF!</v>
      </c>
      <c r="EX75" t="e">
        <f>AND(#REF!,"AAAAADf/65k=")</f>
        <v>#REF!</v>
      </c>
      <c r="EY75" t="e">
        <f>AND(#REF!,"AAAAADf/65o=")</f>
        <v>#REF!</v>
      </c>
      <c r="EZ75" t="e">
        <f>AND(#REF!,"AAAAADf/65s=")</f>
        <v>#REF!</v>
      </c>
      <c r="FA75" t="e">
        <f>AND(#REF!,"AAAAADf/65w=")</f>
        <v>#REF!</v>
      </c>
      <c r="FB75" t="e">
        <f>AND(#REF!,"AAAAADf/650=")</f>
        <v>#REF!</v>
      </c>
      <c r="FC75" t="e">
        <f>AND(#REF!,"AAAAADf/654=")</f>
        <v>#REF!</v>
      </c>
      <c r="FD75" t="e">
        <f>AND(#REF!,"AAAAADf/658=")</f>
        <v>#REF!</v>
      </c>
      <c r="FE75" t="e">
        <f>AND(#REF!,"AAAAADf/66A=")</f>
        <v>#REF!</v>
      </c>
      <c r="FF75" t="e">
        <f>AND(#REF!,"AAAAADf/66E=")</f>
        <v>#REF!</v>
      </c>
      <c r="FG75" t="e">
        <f>AND(#REF!,"AAAAADf/66I=")</f>
        <v>#REF!</v>
      </c>
      <c r="FH75" t="e">
        <f>AND(#REF!,"AAAAADf/66M=")</f>
        <v>#REF!</v>
      </c>
      <c r="FI75" t="e">
        <f>AND(#REF!,"AAAAADf/66Q=")</f>
        <v>#REF!</v>
      </c>
      <c r="FJ75" t="e">
        <f>IF(#REF!,"AAAAADf/66U=",0)</f>
        <v>#REF!</v>
      </c>
      <c r="FK75" t="e">
        <f>AND(#REF!,"AAAAADf/66Y=")</f>
        <v>#REF!</v>
      </c>
      <c r="FL75" t="e">
        <f>AND(#REF!,"AAAAADf/66c=")</f>
        <v>#REF!</v>
      </c>
      <c r="FM75" t="e">
        <f>AND(#REF!,"AAAAADf/66g=")</f>
        <v>#REF!</v>
      </c>
      <c r="FN75" t="e">
        <f>AND(#REF!,"AAAAADf/66k=")</f>
        <v>#REF!</v>
      </c>
      <c r="FO75" t="e">
        <f>AND(#REF!,"AAAAADf/66o=")</f>
        <v>#REF!</v>
      </c>
      <c r="FP75" t="e">
        <f>AND(#REF!,"AAAAADf/66s=")</f>
        <v>#REF!</v>
      </c>
      <c r="FQ75" t="e">
        <f>AND(#REF!,"AAAAADf/66w=")</f>
        <v>#REF!</v>
      </c>
      <c r="FR75" t="e">
        <f>AND(#REF!,"AAAAADf/660=")</f>
        <v>#REF!</v>
      </c>
      <c r="FS75" t="e">
        <f>AND(#REF!,"AAAAADf/664=")</f>
        <v>#REF!</v>
      </c>
      <c r="FT75" t="e">
        <f>AND(#REF!,"AAAAADf/668=")</f>
        <v>#REF!</v>
      </c>
      <c r="FU75" t="e">
        <f>AND(#REF!,"AAAAADf/67A=")</f>
        <v>#REF!</v>
      </c>
      <c r="FV75" t="e">
        <f>AND(#REF!,"AAAAADf/67E=")</f>
        <v>#REF!</v>
      </c>
      <c r="FW75" t="e">
        <f>IF(#REF!,"AAAAADf/67I=",0)</f>
        <v>#REF!</v>
      </c>
      <c r="FX75" t="e">
        <f>AND(#REF!,"AAAAADf/67M=")</f>
        <v>#REF!</v>
      </c>
      <c r="FY75" t="e">
        <f>AND(#REF!,"AAAAADf/67Q=")</f>
        <v>#REF!</v>
      </c>
      <c r="FZ75" t="e">
        <f>AND(#REF!,"AAAAADf/67U=")</f>
        <v>#REF!</v>
      </c>
      <c r="GA75" t="e">
        <f>AND(#REF!,"AAAAADf/67Y=")</f>
        <v>#REF!</v>
      </c>
      <c r="GB75" t="e">
        <f>AND(#REF!,"AAAAADf/67c=")</f>
        <v>#REF!</v>
      </c>
      <c r="GC75" t="e">
        <f>AND(#REF!,"AAAAADf/67g=")</f>
        <v>#REF!</v>
      </c>
      <c r="GD75" t="e">
        <f>AND(#REF!,"AAAAADf/67k=")</f>
        <v>#REF!</v>
      </c>
      <c r="GE75" t="e">
        <f>AND(#REF!,"AAAAADf/67o=")</f>
        <v>#REF!</v>
      </c>
      <c r="GF75" t="e">
        <f>AND(#REF!,"AAAAADf/67s=")</f>
        <v>#REF!</v>
      </c>
      <c r="GG75" t="e">
        <f>AND(#REF!,"AAAAADf/67w=")</f>
        <v>#REF!</v>
      </c>
      <c r="GH75" t="e">
        <f>AND(#REF!,"AAAAADf/670=")</f>
        <v>#REF!</v>
      </c>
      <c r="GI75" t="e">
        <f>AND(#REF!,"AAAAADf/674=")</f>
        <v>#REF!</v>
      </c>
      <c r="GJ75" t="e">
        <f>IF(#REF!,"AAAAADf/678=",0)</f>
        <v>#REF!</v>
      </c>
      <c r="GK75" t="e">
        <f>AND(#REF!,"AAAAADf/68A=")</f>
        <v>#REF!</v>
      </c>
      <c r="GL75" t="e">
        <f>AND(#REF!,"AAAAADf/68E=")</f>
        <v>#REF!</v>
      </c>
      <c r="GM75" t="e">
        <f>AND(#REF!,"AAAAADf/68I=")</f>
        <v>#REF!</v>
      </c>
      <c r="GN75" t="e">
        <f>AND(#REF!,"AAAAADf/68M=")</f>
        <v>#REF!</v>
      </c>
      <c r="GO75" t="e">
        <f>AND(#REF!,"AAAAADf/68Q=")</f>
        <v>#REF!</v>
      </c>
      <c r="GP75" t="e">
        <f>AND(#REF!,"AAAAADf/68U=")</f>
        <v>#REF!</v>
      </c>
      <c r="GQ75" t="e">
        <f>AND(#REF!,"AAAAADf/68Y=")</f>
        <v>#REF!</v>
      </c>
      <c r="GR75" t="e">
        <f>AND(#REF!,"AAAAADf/68c=")</f>
        <v>#REF!</v>
      </c>
      <c r="GS75" t="e">
        <f>AND(#REF!,"AAAAADf/68g=")</f>
        <v>#REF!</v>
      </c>
      <c r="GT75" t="e">
        <f>AND(#REF!,"AAAAADf/68k=")</f>
        <v>#REF!</v>
      </c>
      <c r="GU75" t="e">
        <f>AND(#REF!,"AAAAADf/68o=")</f>
        <v>#REF!</v>
      </c>
      <c r="GV75" t="e">
        <f>AND(#REF!,"AAAAADf/68s=")</f>
        <v>#REF!</v>
      </c>
      <c r="GW75" t="e">
        <f>IF(#REF!,"AAAAADf/68w=",0)</f>
        <v>#REF!</v>
      </c>
      <c r="GX75" t="e">
        <f>AND(#REF!,"AAAAADf/680=")</f>
        <v>#REF!</v>
      </c>
      <c r="GY75" t="e">
        <f>AND(#REF!,"AAAAADf/684=")</f>
        <v>#REF!</v>
      </c>
      <c r="GZ75" t="e">
        <f>AND(#REF!,"AAAAADf/688=")</f>
        <v>#REF!</v>
      </c>
      <c r="HA75" t="e">
        <f>AND(#REF!,"AAAAADf/69A=")</f>
        <v>#REF!</v>
      </c>
      <c r="HB75" t="e">
        <f>AND(#REF!,"AAAAADf/69E=")</f>
        <v>#REF!</v>
      </c>
      <c r="HC75" t="e">
        <f>AND(#REF!,"AAAAADf/69I=")</f>
        <v>#REF!</v>
      </c>
      <c r="HD75" t="e">
        <f>AND(#REF!,"AAAAADf/69M=")</f>
        <v>#REF!</v>
      </c>
      <c r="HE75" t="e">
        <f>AND(#REF!,"AAAAADf/69Q=")</f>
        <v>#REF!</v>
      </c>
      <c r="HF75" t="e">
        <f>AND(#REF!,"AAAAADf/69U=")</f>
        <v>#REF!</v>
      </c>
      <c r="HG75" t="e">
        <f>AND(#REF!,"AAAAADf/69Y=")</f>
        <v>#REF!</v>
      </c>
      <c r="HH75" t="e">
        <f>AND(#REF!,"AAAAADf/69c=")</f>
        <v>#REF!</v>
      </c>
      <c r="HI75" t="e">
        <f>AND(#REF!,"AAAAADf/69g=")</f>
        <v>#REF!</v>
      </c>
      <c r="HJ75" t="e">
        <f>IF(#REF!,"AAAAADf/69k=",0)</f>
        <v>#REF!</v>
      </c>
      <c r="HK75" t="e">
        <f>AND(#REF!,"AAAAADf/69o=")</f>
        <v>#REF!</v>
      </c>
      <c r="HL75" t="e">
        <f>AND(#REF!,"AAAAADf/69s=")</f>
        <v>#REF!</v>
      </c>
      <c r="HM75" t="e">
        <f>AND(#REF!,"AAAAADf/69w=")</f>
        <v>#REF!</v>
      </c>
      <c r="HN75" t="e">
        <f>AND(#REF!,"AAAAADf/690=")</f>
        <v>#REF!</v>
      </c>
      <c r="HO75" t="e">
        <f>AND(#REF!,"AAAAADf/694=")</f>
        <v>#REF!</v>
      </c>
      <c r="HP75" t="e">
        <f>AND(#REF!,"AAAAADf/698=")</f>
        <v>#REF!</v>
      </c>
      <c r="HQ75" t="e">
        <f>AND(#REF!,"AAAAADf/6+A=")</f>
        <v>#REF!</v>
      </c>
      <c r="HR75" t="e">
        <f>AND(#REF!,"AAAAADf/6+E=")</f>
        <v>#REF!</v>
      </c>
      <c r="HS75" t="e">
        <f>AND(#REF!,"AAAAADf/6+I=")</f>
        <v>#REF!</v>
      </c>
      <c r="HT75" t="e">
        <f>AND(#REF!,"AAAAADf/6+M=")</f>
        <v>#REF!</v>
      </c>
      <c r="HU75" t="e">
        <f>AND(#REF!,"AAAAADf/6+Q=")</f>
        <v>#REF!</v>
      </c>
      <c r="HV75" t="e">
        <f>AND(#REF!,"AAAAADf/6+U=")</f>
        <v>#REF!</v>
      </c>
      <c r="HW75" t="e">
        <f>IF(#REF!,"AAAAADf/6+Y=",0)</f>
        <v>#REF!</v>
      </c>
      <c r="HX75" t="e">
        <f>AND(#REF!,"AAAAADf/6+c=")</f>
        <v>#REF!</v>
      </c>
      <c r="HY75" t="e">
        <f>AND(#REF!,"AAAAADf/6+g=")</f>
        <v>#REF!</v>
      </c>
      <c r="HZ75" t="e">
        <f>AND(#REF!,"AAAAADf/6+k=")</f>
        <v>#REF!</v>
      </c>
      <c r="IA75" t="e">
        <f>AND(#REF!,"AAAAADf/6+o=")</f>
        <v>#REF!</v>
      </c>
      <c r="IB75" t="e">
        <f>AND(#REF!,"AAAAADf/6+s=")</f>
        <v>#REF!</v>
      </c>
      <c r="IC75" t="e">
        <f>AND(#REF!,"AAAAADf/6+w=")</f>
        <v>#REF!</v>
      </c>
      <c r="ID75" t="e">
        <f>AND(#REF!,"AAAAADf/6+0=")</f>
        <v>#REF!</v>
      </c>
      <c r="IE75" t="e">
        <f>AND(#REF!,"AAAAADf/6+4=")</f>
        <v>#REF!</v>
      </c>
      <c r="IF75" t="e">
        <f>AND(#REF!,"AAAAADf/6+8=")</f>
        <v>#REF!</v>
      </c>
      <c r="IG75" t="e">
        <f>AND(#REF!,"AAAAADf/6/A=")</f>
        <v>#REF!</v>
      </c>
      <c r="IH75" t="e">
        <f>AND(#REF!,"AAAAADf/6/E=")</f>
        <v>#REF!</v>
      </c>
      <c r="II75" t="e">
        <f>AND(#REF!,"AAAAADf/6/I=")</f>
        <v>#REF!</v>
      </c>
      <c r="IJ75" t="e">
        <f>IF(#REF!,"AAAAADf/6/M=",0)</f>
        <v>#REF!</v>
      </c>
      <c r="IK75" t="e">
        <f>AND(#REF!,"AAAAADf/6/Q=")</f>
        <v>#REF!</v>
      </c>
      <c r="IL75" t="e">
        <f>AND(#REF!,"AAAAADf/6/U=")</f>
        <v>#REF!</v>
      </c>
      <c r="IM75" t="e">
        <f>AND(#REF!,"AAAAADf/6/Y=")</f>
        <v>#REF!</v>
      </c>
      <c r="IN75" t="e">
        <f>AND(#REF!,"AAAAADf/6/c=")</f>
        <v>#REF!</v>
      </c>
      <c r="IO75" t="e">
        <f>AND(#REF!,"AAAAADf/6/g=")</f>
        <v>#REF!</v>
      </c>
      <c r="IP75" t="e">
        <f>AND(#REF!,"AAAAADf/6/k=")</f>
        <v>#REF!</v>
      </c>
      <c r="IQ75" t="e">
        <f>AND(#REF!,"AAAAADf/6/o=")</f>
        <v>#REF!</v>
      </c>
      <c r="IR75" t="e">
        <f>AND(#REF!,"AAAAADf/6/s=")</f>
        <v>#REF!</v>
      </c>
      <c r="IS75" t="e">
        <f>AND(#REF!,"AAAAADf/6/w=")</f>
        <v>#REF!</v>
      </c>
      <c r="IT75" t="e">
        <f>AND(#REF!,"AAAAADf/6/0=")</f>
        <v>#REF!</v>
      </c>
      <c r="IU75" t="e">
        <f>AND(#REF!,"AAAAADf/6/4=")</f>
        <v>#REF!</v>
      </c>
      <c r="IV75" t="e">
        <f>AND(#REF!,"AAAAADf/6/8=")</f>
        <v>#REF!</v>
      </c>
    </row>
    <row r="76" spans="1:256" x14ac:dyDescent="0.35">
      <c r="A76" t="e">
        <f>IF(#REF!,"AAAAADe9+wA=",0)</f>
        <v>#REF!</v>
      </c>
      <c r="B76" t="e">
        <f>AND(#REF!,"AAAAADe9+wE=")</f>
        <v>#REF!</v>
      </c>
      <c r="C76" t="e">
        <f>AND(#REF!,"AAAAADe9+wI=")</f>
        <v>#REF!</v>
      </c>
      <c r="D76" t="e">
        <f>AND(#REF!,"AAAAADe9+wM=")</f>
        <v>#REF!</v>
      </c>
      <c r="E76" t="e">
        <f>AND(#REF!,"AAAAADe9+wQ=")</f>
        <v>#REF!</v>
      </c>
      <c r="F76" t="e">
        <f>AND(#REF!,"AAAAADe9+wU=")</f>
        <v>#REF!</v>
      </c>
      <c r="G76" t="e">
        <f>AND(#REF!,"AAAAADe9+wY=")</f>
        <v>#REF!</v>
      </c>
      <c r="H76" t="e">
        <f>AND(#REF!,"AAAAADe9+wc=")</f>
        <v>#REF!</v>
      </c>
      <c r="I76" t="e">
        <f>AND(#REF!,"AAAAADe9+wg=")</f>
        <v>#REF!</v>
      </c>
      <c r="J76" t="e">
        <f>AND(#REF!,"AAAAADe9+wk=")</f>
        <v>#REF!</v>
      </c>
      <c r="K76" t="e">
        <f>AND(#REF!,"AAAAADe9+wo=")</f>
        <v>#REF!</v>
      </c>
      <c r="L76" t="e">
        <f>AND(#REF!,"AAAAADe9+ws=")</f>
        <v>#REF!</v>
      </c>
      <c r="M76" t="e">
        <f>AND(#REF!,"AAAAADe9+ww=")</f>
        <v>#REF!</v>
      </c>
      <c r="N76" t="e">
        <f>IF(#REF!,"AAAAADe9+w0=",0)</f>
        <v>#REF!</v>
      </c>
      <c r="O76" t="e">
        <f>AND(#REF!,"AAAAADe9+w4=")</f>
        <v>#REF!</v>
      </c>
      <c r="P76" t="e">
        <f>AND(#REF!,"AAAAADe9+w8=")</f>
        <v>#REF!</v>
      </c>
      <c r="Q76" t="e">
        <f>AND(#REF!,"AAAAADe9+xA=")</f>
        <v>#REF!</v>
      </c>
      <c r="R76" t="e">
        <f>AND(#REF!,"AAAAADe9+xE=")</f>
        <v>#REF!</v>
      </c>
      <c r="S76" t="e">
        <f>AND(#REF!,"AAAAADe9+xI=")</f>
        <v>#REF!</v>
      </c>
      <c r="T76" t="e">
        <f>AND(#REF!,"AAAAADe9+xM=")</f>
        <v>#REF!</v>
      </c>
      <c r="U76" t="e">
        <f>AND(#REF!,"AAAAADe9+xQ=")</f>
        <v>#REF!</v>
      </c>
      <c r="V76" t="e">
        <f>AND(#REF!,"AAAAADe9+xU=")</f>
        <v>#REF!</v>
      </c>
      <c r="W76" t="e">
        <f>AND(#REF!,"AAAAADe9+xY=")</f>
        <v>#REF!</v>
      </c>
      <c r="X76" t="e">
        <f>AND(#REF!,"AAAAADe9+xc=")</f>
        <v>#REF!</v>
      </c>
      <c r="Y76" t="e">
        <f>AND(#REF!,"AAAAADe9+xg=")</f>
        <v>#REF!</v>
      </c>
      <c r="Z76" t="e">
        <f>AND(#REF!,"AAAAADe9+xk=")</f>
        <v>#REF!</v>
      </c>
      <c r="AA76" t="e">
        <f>IF(#REF!,"AAAAADe9+xo=",0)</f>
        <v>#REF!</v>
      </c>
      <c r="AB76" t="e">
        <f>AND(#REF!,"AAAAADe9+xs=")</f>
        <v>#REF!</v>
      </c>
      <c r="AC76" t="e">
        <f>AND(#REF!,"AAAAADe9+xw=")</f>
        <v>#REF!</v>
      </c>
      <c r="AD76" t="e">
        <f>AND(#REF!,"AAAAADe9+x0=")</f>
        <v>#REF!</v>
      </c>
      <c r="AE76" t="e">
        <f>AND(#REF!,"AAAAADe9+x4=")</f>
        <v>#REF!</v>
      </c>
      <c r="AF76" t="e">
        <f>AND(#REF!,"AAAAADe9+x8=")</f>
        <v>#REF!</v>
      </c>
      <c r="AG76" t="e">
        <f>AND(#REF!,"AAAAADe9+yA=")</f>
        <v>#REF!</v>
      </c>
      <c r="AH76" t="e">
        <f>AND(#REF!,"AAAAADe9+yE=")</f>
        <v>#REF!</v>
      </c>
      <c r="AI76" t="e">
        <f>AND(#REF!,"AAAAADe9+yI=")</f>
        <v>#REF!</v>
      </c>
      <c r="AJ76" t="e">
        <f>AND(#REF!,"AAAAADe9+yM=")</f>
        <v>#REF!</v>
      </c>
      <c r="AK76" t="e">
        <f>AND(#REF!,"AAAAADe9+yQ=")</f>
        <v>#REF!</v>
      </c>
      <c r="AL76" t="e">
        <f>AND(#REF!,"AAAAADe9+yU=")</f>
        <v>#REF!</v>
      </c>
      <c r="AM76" t="e">
        <f>AND(#REF!,"AAAAADe9+yY=")</f>
        <v>#REF!</v>
      </c>
      <c r="AN76" t="e">
        <f>IF(#REF!,"AAAAADe9+yc=",0)</f>
        <v>#REF!</v>
      </c>
      <c r="AO76" t="e">
        <f>AND(#REF!,"AAAAADe9+yg=")</f>
        <v>#REF!</v>
      </c>
      <c r="AP76" t="e">
        <f>AND(#REF!,"AAAAADe9+yk=")</f>
        <v>#REF!</v>
      </c>
      <c r="AQ76" t="e">
        <f>AND(#REF!,"AAAAADe9+yo=")</f>
        <v>#REF!</v>
      </c>
      <c r="AR76" t="e">
        <f>AND(#REF!,"AAAAADe9+ys=")</f>
        <v>#REF!</v>
      </c>
      <c r="AS76" t="e">
        <f>AND(#REF!,"AAAAADe9+yw=")</f>
        <v>#REF!</v>
      </c>
      <c r="AT76" t="e">
        <f>AND(#REF!,"AAAAADe9+y0=")</f>
        <v>#REF!</v>
      </c>
      <c r="AU76" t="e">
        <f>AND(#REF!,"AAAAADe9+y4=")</f>
        <v>#REF!</v>
      </c>
      <c r="AV76" t="e">
        <f>AND(#REF!,"AAAAADe9+y8=")</f>
        <v>#REF!</v>
      </c>
      <c r="AW76" t="e">
        <f>AND(#REF!,"AAAAADe9+zA=")</f>
        <v>#REF!</v>
      </c>
      <c r="AX76" t="e">
        <f>AND(#REF!,"AAAAADe9+zE=")</f>
        <v>#REF!</v>
      </c>
      <c r="AY76" t="e">
        <f>AND(#REF!,"AAAAADe9+zI=")</f>
        <v>#REF!</v>
      </c>
      <c r="AZ76" t="e">
        <f>AND(#REF!,"AAAAADe9+zM=")</f>
        <v>#REF!</v>
      </c>
      <c r="BA76" t="e">
        <f>IF(#REF!,"AAAAADe9+zQ=",0)</f>
        <v>#REF!</v>
      </c>
      <c r="BB76" t="e">
        <f>AND(#REF!,"AAAAADe9+zU=")</f>
        <v>#REF!</v>
      </c>
      <c r="BC76" t="e">
        <f>AND(#REF!,"AAAAADe9+zY=")</f>
        <v>#REF!</v>
      </c>
      <c r="BD76" t="e">
        <f>AND(#REF!,"AAAAADe9+zc=")</f>
        <v>#REF!</v>
      </c>
      <c r="BE76" t="e">
        <f>AND(#REF!,"AAAAADe9+zg=")</f>
        <v>#REF!</v>
      </c>
      <c r="BF76" t="e">
        <f>AND(#REF!,"AAAAADe9+zk=")</f>
        <v>#REF!</v>
      </c>
      <c r="BG76" t="e">
        <f>AND(#REF!,"AAAAADe9+zo=")</f>
        <v>#REF!</v>
      </c>
      <c r="BH76" t="e">
        <f>AND(#REF!,"AAAAADe9+zs=")</f>
        <v>#REF!</v>
      </c>
      <c r="BI76" t="e">
        <f>AND(#REF!,"AAAAADe9+zw=")</f>
        <v>#REF!</v>
      </c>
      <c r="BJ76" t="e">
        <f>AND(#REF!,"AAAAADe9+z0=")</f>
        <v>#REF!</v>
      </c>
      <c r="BK76" t="e">
        <f>AND(#REF!,"AAAAADe9+z4=")</f>
        <v>#REF!</v>
      </c>
      <c r="BL76" t="e">
        <f>AND(#REF!,"AAAAADe9+z8=")</f>
        <v>#REF!</v>
      </c>
      <c r="BM76" t="e">
        <f>AND(#REF!,"AAAAADe9+0A=")</f>
        <v>#REF!</v>
      </c>
      <c r="BN76" t="e">
        <f>IF(#REF!,"AAAAADe9+0E=",0)</f>
        <v>#REF!</v>
      </c>
      <c r="BO76" t="e">
        <f>AND(#REF!,"AAAAADe9+0I=")</f>
        <v>#REF!</v>
      </c>
      <c r="BP76" t="e">
        <f>AND(#REF!,"AAAAADe9+0M=")</f>
        <v>#REF!</v>
      </c>
      <c r="BQ76" t="e">
        <f>AND(#REF!,"AAAAADe9+0Q=")</f>
        <v>#REF!</v>
      </c>
      <c r="BR76" t="e">
        <f>AND(#REF!,"AAAAADe9+0U=")</f>
        <v>#REF!</v>
      </c>
      <c r="BS76" t="e">
        <f>AND(#REF!,"AAAAADe9+0Y=")</f>
        <v>#REF!</v>
      </c>
      <c r="BT76" t="e">
        <f>AND(#REF!,"AAAAADe9+0c=")</f>
        <v>#REF!</v>
      </c>
      <c r="BU76" t="e">
        <f>AND(#REF!,"AAAAADe9+0g=")</f>
        <v>#REF!</v>
      </c>
      <c r="BV76" t="e">
        <f>AND(#REF!,"AAAAADe9+0k=")</f>
        <v>#REF!</v>
      </c>
      <c r="BW76" t="e">
        <f>AND(#REF!,"AAAAADe9+0o=")</f>
        <v>#REF!</v>
      </c>
      <c r="BX76" t="e">
        <f>AND(#REF!,"AAAAADe9+0s=")</f>
        <v>#REF!</v>
      </c>
      <c r="BY76" t="e">
        <f>AND(#REF!,"AAAAADe9+0w=")</f>
        <v>#REF!</v>
      </c>
      <c r="BZ76" t="e">
        <f>AND(#REF!,"AAAAADe9+00=")</f>
        <v>#REF!</v>
      </c>
      <c r="CA76" t="e">
        <f>IF(#REF!,"AAAAADe9+04=",0)</f>
        <v>#REF!</v>
      </c>
      <c r="CB76" t="e">
        <f>AND(#REF!,"AAAAADe9+08=")</f>
        <v>#REF!</v>
      </c>
      <c r="CC76" t="e">
        <f>AND(#REF!,"AAAAADe9+1A=")</f>
        <v>#REF!</v>
      </c>
      <c r="CD76" t="e">
        <f>AND(#REF!,"AAAAADe9+1E=")</f>
        <v>#REF!</v>
      </c>
      <c r="CE76" t="e">
        <f>AND(#REF!,"AAAAADe9+1I=")</f>
        <v>#REF!</v>
      </c>
      <c r="CF76" t="e">
        <f>AND(#REF!,"AAAAADe9+1M=")</f>
        <v>#REF!</v>
      </c>
      <c r="CG76" t="e">
        <f>AND(#REF!,"AAAAADe9+1Q=")</f>
        <v>#REF!</v>
      </c>
      <c r="CH76" t="e">
        <f>AND(#REF!,"AAAAADe9+1U=")</f>
        <v>#REF!</v>
      </c>
      <c r="CI76" t="e">
        <f>AND(#REF!,"AAAAADe9+1Y=")</f>
        <v>#REF!</v>
      </c>
      <c r="CJ76" t="e">
        <f>AND(#REF!,"AAAAADe9+1c=")</f>
        <v>#REF!</v>
      </c>
      <c r="CK76" t="e">
        <f>AND(#REF!,"AAAAADe9+1g=")</f>
        <v>#REF!</v>
      </c>
      <c r="CL76" t="e">
        <f>AND(#REF!,"AAAAADe9+1k=")</f>
        <v>#REF!</v>
      </c>
      <c r="CM76" t="e">
        <f>AND(#REF!,"AAAAADe9+1o=")</f>
        <v>#REF!</v>
      </c>
      <c r="CN76" t="e">
        <f>IF(#REF!,"AAAAADe9+1s=",0)</f>
        <v>#REF!</v>
      </c>
      <c r="CO76" t="e">
        <f>AND(#REF!,"AAAAADe9+1w=")</f>
        <v>#REF!</v>
      </c>
      <c r="CP76" t="e">
        <f>AND(#REF!,"AAAAADe9+10=")</f>
        <v>#REF!</v>
      </c>
      <c r="CQ76" t="e">
        <f>AND(#REF!,"AAAAADe9+14=")</f>
        <v>#REF!</v>
      </c>
      <c r="CR76" t="e">
        <f>AND(#REF!,"AAAAADe9+18=")</f>
        <v>#REF!</v>
      </c>
      <c r="CS76" t="e">
        <f>AND(#REF!,"AAAAADe9+2A=")</f>
        <v>#REF!</v>
      </c>
      <c r="CT76" t="e">
        <f>AND(#REF!,"AAAAADe9+2E=")</f>
        <v>#REF!</v>
      </c>
      <c r="CU76" t="e">
        <f>AND(#REF!,"AAAAADe9+2I=")</f>
        <v>#REF!</v>
      </c>
      <c r="CV76" t="e">
        <f>AND(#REF!,"AAAAADe9+2M=")</f>
        <v>#REF!</v>
      </c>
      <c r="CW76" t="e">
        <f>AND(#REF!,"AAAAADe9+2Q=")</f>
        <v>#REF!</v>
      </c>
      <c r="CX76" t="e">
        <f>AND(#REF!,"AAAAADe9+2U=")</f>
        <v>#REF!</v>
      </c>
      <c r="CY76" t="e">
        <f>AND(#REF!,"AAAAADe9+2Y=")</f>
        <v>#REF!</v>
      </c>
      <c r="CZ76" t="e">
        <f>AND(#REF!,"AAAAADe9+2c=")</f>
        <v>#REF!</v>
      </c>
      <c r="DA76" t="e">
        <f>IF(#REF!,"AAAAADe9+2g=",0)</f>
        <v>#REF!</v>
      </c>
      <c r="DB76" t="e">
        <f>AND(#REF!,"AAAAADe9+2k=")</f>
        <v>#REF!</v>
      </c>
      <c r="DC76" t="e">
        <f>AND(#REF!,"AAAAADe9+2o=")</f>
        <v>#REF!</v>
      </c>
      <c r="DD76" t="e">
        <f>AND(#REF!,"AAAAADe9+2s=")</f>
        <v>#REF!</v>
      </c>
      <c r="DE76" t="e">
        <f>AND(#REF!,"AAAAADe9+2w=")</f>
        <v>#REF!</v>
      </c>
      <c r="DF76" t="e">
        <f>AND(#REF!,"AAAAADe9+20=")</f>
        <v>#REF!</v>
      </c>
      <c r="DG76" t="e">
        <f>AND(#REF!,"AAAAADe9+24=")</f>
        <v>#REF!</v>
      </c>
      <c r="DH76" t="e">
        <f>AND(#REF!,"AAAAADe9+28=")</f>
        <v>#REF!</v>
      </c>
      <c r="DI76" t="e">
        <f>AND(#REF!,"AAAAADe9+3A=")</f>
        <v>#REF!</v>
      </c>
      <c r="DJ76" t="e">
        <f>AND(#REF!,"AAAAADe9+3E=")</f>
        <v>#REF!</v>
      </c>
      <c r="DK76" t="e">
        <f>AND(#REF!,"AAAAADe9+3I=")</f>
        <v>#REF!</v>
      </c>
      <c r="DL76" t="e">
        <f>AND(#REF!,"AAAAADe9+3M=")</f>
        <v>#REF!</v>
      </c>
      <c r="DM76" t="e">
        <f>AND(#REF!,"AAAAADe9+3Q=")</f>
        <v>#REF!</v>
      </c>
      <c r="DN76" t="e">
        <f>IF(#REF!,"AAAAADe9+3U=",0)</f>
        <v>#REF!</v>
      </c>
      <c r="DO76" t="e">
        <f>AND(#REF!,"AAAAADe9+3Y=")</f>
        <v>#REF!</v>
      </c>
      <c r="DP76" t="e">
        <f>AND(#REF!,"AAAAADe9+3c=")</f>
        <v>#REF!</v>
      </c>
      <c r="DQ76" t="e">
        <f>AND(#REF!,"AAAAADe9+3g=")</f>
        <v>#REF!</v>
      </c>
      <c r="DR76" t="e">
        <f>AND(#REF!,"AAAAADe9+3k=")</f>
        <v>#REF!</v>
      </c>
      <c r="DS76" t="e">
        <f>AND(#REF!,"AAAAADe9+3o=")</f>
        <v>#REF!</v>
      </c>
      <c r="DT76" t="e">
        <f>AND(#REF!,"AAAAADe9+3s=")</f>
        <v>#REF!</v>
      </c>
      <c r="DU76" t="e">
        <f>AND(#REF!,"AAAAADe9+3w=")</f>
        <v>#REF!</v>
      </c>
      <c r="DV76" t="e">
        <f>AND(#REF!,"AAAAADe9+30=")</f>
        <v>#REF!</v>
      </c>
      <c r="DW76" t="e">
        <f>AND(#REF!,"AAAAADe9+34=")</f>
        <v>#REF!</v>
      </c>
      <c r="DX76" t="e">
        <f>AND(#REF!,"AAAAADe9+38=")</f>
        <v>#REF!</v>
      </c>
      <c r="DY76" t="e">
        <f>AND(#REF!,"AAAAADe9+4A=")</f>
        <v>#REF!</v>
      </c>
      <c r="DZ76" t="e">
        <f>AND(#REF!,"AAAAADe9+4E=")</f>
        <v>#REF!</v>
      </c>
      <c r="EA76" t="e">
        <f>IF(#REF!,"AAAAADe9+4I=",0)</f>
        <v>#REF!</v>
      </c>
      <c r="EB76" t="e">
        <f>AND(#REF!,"AAAAADe9+4M=")</f>
        <v>#REF!</v>
      </c>
      <c r="EC76" t="e">
        <f>AND(#REF!,"AAAAADe9+4Q=")</f>
        <v>#REF!</v>
      </c>
      <c r="ED76" t="e">
        <f>AND(#REF!,"AAAAADe9+4U=")</f>
        <v>#REF!</v>
      </c>
      <c r="EE76" t="e">
        <f>AND(#REF!,"AAAAADe9+4Y=")</f>
        <v>#REF!</v>
      </c>
      <c r="EF76" t="e">
        <f>AND(#REF!,"AAAAADe9+4c=")</f>
        <v>#REF!</v>
      </c>
      <c r="EG76" t="e">
        <f>AND(#REF!,"AAAAADe9+4g=")</f>
        <v>#REF!</v>
      </c>
      <c r="EH76" t="e">
        <f>AND(#REF!,"AAAAADe9+4k=")</f>
        <v>#REF!</v>
      </c>
      <c r="EI76" t="e">
        <f>AND(#REF!,"AAAAADe9+4o=")</f>
        <v>#REF!</v>
      </c>
      <c r="EJ76" t="e">
        <f>AND(#REF!,"AAAAADe9+4s=")</f>
        <v>#REF!</v>
      </c>
      <c r="EK76" t="e">
        <f>AND(#REF!,"AAAAADe9+4w=")</f>
        <v>#REF!</v>
      </c>
      <c r="EL76" t="e">
        <f>AND(#REF!,"AAAAADe9+40=")</f>
        <v>#REF!</v>
      </c>
      <c r="EM76" t="e">
        <f>AND(#REF!,"AAAAADe9+44=")</f>
        <v>#REF!</v>
      </c>
      <c r="EN76" t="e">
        <f>IF(#REF!,"AAAAADe9+48=",0)</f>
        <v>#REF!</v>
      </c>
      <c r="EO76" t="e">
        <f>AND(#REF!,"AAAAADe9+5A=")</f>
        <v>#REF!</v>
      </c>
      <c r="EP76" t="e">
        <f>AND(#REF!,"AAAAADe9+5E=")</f>
        <v>#REF!</v>
      </c>
      <c r="EQ76" t="e">
        <f>AND(#REF!,"AAAAADe9+5I=")</f>
        <v>#REF!</v>
      </c>
      <c r="ER76" t="e">
        <f>AND(#REF!,"AAAAADe9+5M=")</f>
        <v>#REF!</v>
      </c>
      <c r="ES76" t="e">
        <f>AND(#REF!,"AAAAADe9+5Q=")</f>
        <v>#REF!</v>
      </c>
      <c r="ET76" t="e">
        <f>AND(#REF!,"AAAAADe9+5U=")</f>
        <v>#REF!</v>
      </c>
      <c r="EU76" t="e">
        <f>AND(#REF!,"AAAAADe9+5Y=")</f>
        <v>#REF!</v>
      </c>
      <c r="EV76" t="e">
        <f>AND(#REF!,"AAAAADe9+5c=")</f>
        <v>#REF!</v>
      </c>
      <c r="EW76" t="e">
        <f>AND(#REF!,"AAAAADe9+5g=")</f>
        <v>#REF!</v>
      </c>
      <c r="EX76" t="e">
        <f>AND(#REF!,"AAAAADe9+5k=")</f>
        <v>#REF!</v>
      </c>
      <c r="EY76" t="e">
        <f>AND(#REF!,"AAAAADe9+5o=")</f>
        <v>#REF!</v>
      </c>
      <c r="EZ76" t="e">
        <f>AND(#REF!,"AAAAADe9+5s=")</f>
        <v>#REF!</v>
      </c>
      <c r="FA76" t="e">
        <f>IF(#REF!,"AAAAADe9+5w=",0)</f>
        <v>#REF!</v>
      </c>
      <c r="FB76" t="e">
        <f>AND(#REF!,"AAAAADe9+50=")</f>
        <v>#REF!</v>
      </c>
      <c r="FC76" t="e">
        <f>AND(#REF!,"AAAAADe9+54=")</f>
        <v>#REF!</v>
      </c>
      <c r="FD76" t="e">
        <f>AND(#REF!,"AAAAADe9+58=")</f>
        <v>#REF!</v>
      </c>
      <c r="FE76" t="e">
        <f>AND(#REF!,"AAAAADe9+6A=")</f>
        <v>#REF!</v>
      </c>
      <c r="FF76" t="e">
        <f>AND(#REF!,"AAAAADe9+6E=")</f>
        <v>#REF!</v>
      </c>
      <c r="FG76" t="e">
        <f>AND(#REF!,"AAAAADe9+6I=")</f>
        <v>#REF!</v>
      </c>
      <c r="FH76" t="e">
        <f>AND(#REF!,"AAAAADe9+6M=")</f>
        <v>#REF!</v>
      </c>
      <c r="FI76" t="e">
        <f>AND(#REF!,"AAAAADe9+6Q=")</f>
        <v>#REF!</v>
      </c>
      <c r="FJ76" t="e">
        <f>AND(#REF!,"AAAAADe9+6U=")</f>
        <v>#REF!</v>
      </c>
      <c r="FK76" t="e">
        <f>AND(#REF!,"AAAAADe9+6Y=")</f>
        <v>#REF!</v>
      </c>
      <c r="FL76" t="e">
        <f>AND(#REF!,"AAAAADe9+6c=")</f>
        <v>#REF!</v>
      </c>
      <c r="FM76" t="e">
        <f>AND(#REF!,"AAAAADe9+6g=")</f>
        <v>#REF!</v>
      </c>
      <c r="FN76" t="e">
        <f>IF(#REF!,"AAAAADe9+6k=",0)</f>
        <v>#REF!</v>
      </c>
      <c r="FO76" t="e">
        <f>AND(#REF!,"AAAAADe9+6o=")</f>
        <v>#REF!</v>
      </c>
      <c r="FP76" t="e">
        <f>AND(#REF!,"AAAAADe9+6s=")</f>
        <v>#REF!</v>
      </c>
      <c r="FQ76" t="e">
        <f>AND(#REF!,"AAAAADe9+6w=")</f>
        <v>#REF!</v>
      </c>
      <c r="FR76" t="e">
        <f>AND(#REF!,"AAAAADe9+60=")</f>
        <v>#REF!</v>
      </c>
      <c r="FS76" t="e">
        <f>AND(#REF!,"AAAAADe9+64=")</f>
        <v>#REF!</v>
      </c>
      <c r="FT76" t="e">
        <f>AND(#REF!,"AAAAADe9+68=")</f>
        <v>#REF!</v>
      </c>
      <c r="FU76" t="e">
        <f>AND(#REF!,"AAAAADe9+7A=")</f>
        <v>#REF!</v>
      </c>
      <c r="FV76" t="e">
        <f>AND(#REF!,"AAAAADe9+7E=")</f>
        <v>#REF!</v>
      </c>
      <c r="FW76" t="e">
        <f>AND(#REF!,"AAAAADe9+7I=")</f>
        <v>#REF!</v>
      </c>
      <c r="FX76" t="e">
        <f>AND(#REF!,"AAAAADe9+7M=")</f>
        <v>#REF!</v>
      </c>
      <c r="FY76" t="e">
        <f>AND(#REF!,"AAAAADe9+7Q=")</f>
        <v>#REF!</v>
      </c>
      <c r="FZ76" t="e">
        <f>AND(#REF!,"AAAAADe9+7U=")</f>
        <v>#REF!</v>
      </c>
      <c r="GA76" t="e">
        <f>IF(#REF!,"AAAAADe9+7Y=",0)</f>
        <v>#REF!</v>
      </c>
      <c r="GB76" t="e">
        <f>AND(#REF!,"AAAAADe9+7c=")</f>
        <v>#REF!</v>
      </c>
      <c r="GC76" t="e">
        <f>AND(#REF!,"AAAAADe9+7g=")</f>
        <v>#REF!</v>
      </c>
      <c r="GD76" t="e">
        <f>AND(#REF!,"AAAAADe9+7k=")</f>
        <v>#REF!</v>
      </c>
      <c r="GE76" t="e">
        <f>AND(#REF!,"AAAAADe9+7o=")</f>
        <v>#REF!</v>
      </c>
      <c r="GF76" t="e">
        <f>AND(#REF!,"AAAAADe9+7s=")</f>
        <v>#REF!</v>
      </c>
      <c r="GG76" t="e">
        <f>AND(#REF!,"AAAAADe9+7w=")</f>
        <v>#REF!</v>
      </c>
      <c r="GH76" t="e">
        <f>AND(#REF!,"AAAAADe9+70=")</f>
        <v>#REF!</v>
      </c>
      <c r="GI76" t="e">
        <f>AND(#REF!,"AAAAADe9+74=")</f>
        <v>#REF!</v>
      </c>
      <c r="GJ76" t="e">
        <f>AND(#REF!,"AAAAADe9+78=")</f>
        <v>#REF!</v>
      </c>
      <c r="GK76" t="e">
        <f>AND(#REF!,"AAAAADe9+8A=")</f>
        <v>#REF!</v>
      </c>
      <c r="GL76" t="e">
        <f>AND(#REF!,"AAAAADe9+8E=")</f>
        <v>#REF!</v>
      </c>
      <c r="GM76" t="e">
        <f>AND(#REF!,"AAAAADe9+8I=")</f>
        <v>#REF!</v>
      </c>
      <c r="GN76" t="e">
        <f>IF(#REF!,"AAAAADe9+8M=",0)</f>
        <v>#REF!</v>
      </c>
      <c r="GO76" t="e">
        <f>AND(#REF!,"AAAAADe9+8Q=")</f>
        <v>#REF!</v>
      </c>
      <c r="GP76" t="e">
        <f>AND(#REF!,"AAAAADe9+8U=")</f>
        <v>#REF!</v>
      </c>
      <c r="GQ76" t="e">
        <f>AND(#REF!,"AAAAADe9+8Y=")</f>
        <v>#REF!</v>
      </c>
      <c r="GR76" t="e">
        <f>AND(#REF!,"AAAAADe9+8c=")</f>
        <v>#REF!</v>
      </c>
      <c r="GS76" t="e">
        <f>AND(#REF!,"AAAAADe9+8g=")</f>
        <v>#REF!</v>
      </c>
      <c r="GT76" t="e">
        <f>AND(#REF!,"AAAAADe9+8k=")</f>
        <v>#REF!</v>
      </c>
      <c r="GU76" t="e">
        <f>AND(#REF!,"AAAAADe9+8o=")</f>
        <v>#REF!</v>
      </c>
      <c r="GV76" t="e">
        <f>AND(#REF!,"AAAAADe9+8s=")</f>
        <v>#REF!</v>
      </c>
      <c r="GW76" t="e">
        <f>AND(#REF!,"AAAAADe9+8w=")</f>
        <v>#REF!</v>
      </c>
      <c r="GX76" t="e">
        <f>AND(#REF!,"AAAAADe9+80=")</f>
        <v>#REF!</v>
      </c>
      <c r="GY76" t="e">
        <f>AND(#REF!,"AAAAADe9+84=")</f>
        <v>#REF!</v>
      </c>
      <c r="GZ76" t="e">
        <f>AND(#REF!,"AAAAADe9+88=")</f>
        <v>#REF!</v>
      </c>
      <c r="HA76" t="e">
        <f>IF(#REF!,"AAAAADe9+9A=",0)</f>
        <v>#REF!</v>
      </c>
      <c r="HB76" t="e">
        <f>AND(#REF!,"AAAAADe9+9E=")</f>
        <v>#REF!</v>
      </c>
      <c r="HC76" t="e">
        <f>AND(#REF!,"AAAAADe9+9I=")</f>
        <v>#REF!</v>
      </c>
      <c r="HD76" t="e">
        <f>AND(#REF!,"AAAAADe9+9M=")</f>
        <v>#REF!</v>
      </c>
      <c r="HE76" t="e">
        <f>AND(#REF!,"AAAAADe9+9Q=")</f>
        <v>#REF!</v>
      </c>
      <c r="HF76" t="e">
        <f>AND(#REF!,"AAAAADe9+9U=")</f>
        <v>#REF!</v>
      </c>
      <c r="HG76" t="e">
        <f>AND(#REF!,"AAAAADe9+9Y=")</f>
        <v>#REF!</v>
      </c>
      <c r="HH76" t="e">
        <f>AND(#REF!,"AAAAADe9+9c=")</f>
        <v>#REF!</v>
      </c>
      <c r="HI76" t="e">
        <f>AND(#REF!,"AAAAADe9+9g=")</f>
        <v>#REF!</v>
      </c>
      <c r="HJ76" t="e">
        <f>AND(#REF!,"AAAAADe9+9k=")</f>
        <v>#REF!</v>
      </c>
      <c r="HK76" t="e">
        <f>AND(#REF!,"AAAAADe9+9o=")</f>
        <v>#REF!</v>
      </c>
      <c r="HL76" t="e">
        <f>AND(#REF!,"AAAAADe9+9s=")</f>
        <v>#REF!</v>
      </c>
      <c r="HM76" t="e">
        <f>AND(#REF!,"AAAAADe9+9w=")</f>
        <v>#REF!</v>
      </c>
      <c r="HN76" t="e">
        <f>IF(#REF!,"AAAAADe9+90=",0)</f>
        <v>#REF!</v>
      </c>
      <c r="HO76" t="e">
        <f>AND(#REF!,"AAAAADe9+94=")</f>
        <v>#REF!</v>
      </c>
      <c r="HP76" t="e">
        <f>AND(#REF!,"AAAAADe9+98=")</f>
        <v>#REF!</v>
      </c>
      <c r="HQ76" t="e">
        <f>AND(#REF!,"AAAAADe9++A=")</f>
        <v>#REF!</v>
      </c>
      <c r="HR76" t="e">
        <f>AND(#REF!,"AAAAADe9++E=")</f>
        <v>#REF!</v>
      </c>
      <c r="HS76" t="e">
        <f>AND(#REF!,"AAAAADe9++I=")</f>
        <v>#REF!</v>
      </c>
      <c r="HT76" t="e">
        <f>AND(#REF!,"AAAAADe9++M=")</f>
        <v>#REF!</v>
      </c>
      <c r="HU76" t="e">
        <f>AND(#REF!,"AAAAADe9++Q=")</f>
        <v>#REF!</v>
      </c>
      <c r="HV76" t="e">
        <f>AND(#REF!,"AAAAADe9++U=")</f>
        <v>#REF!</v>
      </c>
      <c r="HW76" t="e">
        <f>AND(#REF!,"AAAAADe9++Y=")</f>
        <v>#REF!</v>
      </c>
      <c r="HX76" t="e">
        <f>AND(#REF!,"AAAAADe9++c=")</f>
        <v>#REF!</v>
      </c>
      <c r="HY76" t="e">
        <f>AND(#REF!,"AAAAADe9++g=")</f>
        <v>#REF!</v>
      </c>
      <c r="HZ76" t="e">
        <f>AND(#REF!,"AAAAADe9++k=")</f>
        <v>#REF!</v>
      </c>
      <c r="IA76" t="e">
        <f>IF(#REF!,"AAAAADe9++o=",0)</f>
        <v>#REF!</v>
      </c>
      <c r="IB76" t="e">
        <f>AND(#REF!,"AAAAADe9++s=")</f>
        <v>#REF!</v>
      </c>
      <c r="IC76" t="e">
        <f>AND(#REF!,"AAAAADe9++w=")</f>
        <v>#REF!</v>
      </c>
      <c r="ID76" t="e">
        <f>AND(#REF!,"AAAAADe9++0=")</f>
        <v>#REF!</v>
      </c>
      <c r="IE76" t="e">
        <f>AND(#REF!,"AAAAADe9++4=")</f>
        <v>#REF!</v>
      </c>
      <c r="IF76" t="e">
        <f>AND(#REF!,"AAAAADe9++8=")</f>
        <v>#REF!</v>
      </c>
      <c r="IG76" t="e">
        <f>AND(#REF!,"AAAAADe9+/A=")</f>
        <v>#REF!</v>
      </c>
      <c r="IH76" t="e">
        <f>AND(#REF!,"AAAAADe9+/E=")</f>
        <v>#REF!</v>
      </c>
      <c r="II76" t="e">
        <f>AND(#REF!,"AAAAADe9+/I=")</f>
        <v>#REF!</v>
      </c>
      <c r="IJ76" t="e">
        <f>AND(#REF!,"AAAAADe9+/M=")</f>
        <v>#REF!</v>
      </c>
      <c r="IK76" t="e">
        <f>AND(#REF!,"AAAAADe9+/Q=")</f>
        <v>#REF!</v>
      </c>
      <c r="IL76" t="e">
        <f>AND(#REF!,"AAAAADe9+/U=")</f>
        <v>#REF!</v>
      </c>
      <c r="IM76" t="e">
        <f>AND(#REF!,"AAAAADe9+/Y=")</f>
        <v>#REF!</v>
      </c>
      <c r="IN76" t="e">
        <f>IF(#REF!,"AAAAADe9+/c=",0)</f>
        <v>#REF!</v>
      </c>
      <c r="IO76" t="e">
        <f>AND(#REF!,"AAAAADe9+/g=")</f>
        <v>#REF!</v>
      </c>
      <c r="IP76" t="e">
        <f>AND(#REF!,"AAAAADe9+/k=")</f>
        <v>#REF!</v>
      </c>
      <c r="IQ76" t="e">
        <f>AND(#REF!,"AAAAADe9+/o=")</f>
        <v>#REF!</v>
      </c>
      <c r="IR76" t="e">
        <f>AND(#REF!,"AAAAADe9+/s=")</f>
        <v>#REF!</v>
      </c>
      <c r="IS76" t="e">
        <f>AND(#REF!,"AAAAADe9+/w=")</f>
        <v>#REF!</v>
      </c>
      <c r="IT76" t="e">
        <f>AND(#REF!,"AAAAADe9+/0=")</f>
        <v>#REF!</v>
      </c>
      <c r="IU76" t="e">
        <f>AND(#REF!,"AAAAADe9+/4=")</f>
        <v>#REF!</v>
      </c>
      <c r="IV76" t="e">
        <f>AND(#REF!,"AAAAADe9+/8=")</f>
        <v>#REF!</v>
      </c>
    </row>
    <row r="77" spans="1:256" x14ac:dyDescent="0.35">
      <c r="A77" t="e">
        <f>AND(#REF!,"AAAAAF1/7QA=")</f>
        <v>#REF!</v>
      </c>
      <c r="B77" t="e">
        <f>AND(#REF!,"AAAAAF1/7QE=")</f>
        <v>#REF!</v>
      </c>
      <c r="C77" t="e">
        <f>AND(#REF!,"AAAAAF1/7QI=")</f>
        <v>#REF!</v>
      </c>
      <c r="D77" t="e">
        <f>AND(#REF!,"AAAAAF1/7QM=")</f>
        <v>#REF!</v>
      </c>
      <c r="E77" t="e">
        <f>IF(#REF!,"AAAAAF1/7QQ=",0)</f>
        <v>#REF!</v>
      </c>
      <c r="F77" t="e">
        <f>AND(#REF!,"AAAAAF1/7QU=")</f>
        <v>#REF!</v>
      </c>
      <c r="G77" t="e">
        <f>AND(#REF!,"AAAAAF1/7QY=")</f>
        <v>#REF!</v>
      </c>
      <c r="H77" t="e">
        <f>AND(#REF!,"AAAAAF1/7Qc=")</f>
        <v>#REF!</v>
      </c>
      <c r="I77" t="e">
        <f>AND(#REF!,"AAAAAF1/7Qg=")</f>
        <v>#REF!</v>
      </c>
      <c r="J77" t="e">
        <f>AND(#REF!,"AAAAAF1/7Qk=")</f>
        <v>#REF!</v>
      </c>
      <c r="K77" t="e">
        <f>AND(#REF!,"AAAAAF1/7Qo=")</f>
        <v>#REF!</v>
      </c>
      <c r="L77" t="e">
        <f>AND(#REF!,"AAAAAF1/7Qs=")</f>
        <v>#REF!</v>
      </c>
      <c r="M77" t="e">
        <f>AND(#REF!,"AAAAAF1/7Qw=")</f>
        <v>#REF!</v>
      </c>
      <c r="N77" t="e">
        <f>AND(#REF!,"AAAAAF1/7Q0=")</f>
        <v>#REF!</v>
      </c>
      <c r="O77" t="e">
        <f>AND(#REF!,"AAAAAF1/7Q4=")</f>
        <v>#REF!</v>
      </c>
      <c r="P77" t="e">
        <f>AND(#REF!,"AAAAAF1/7Q8=")</f>
        <v>#REF!</v>
      </c>
      <c r="Q77" t="e">
        <f>AND(#REF!,"AAAAAF1/7RA=")</f>
        <v>#REF!</v>
      </c>
      <c r="R77" t="e">
        <f>IF(#REF!,"AAAAAF1/7RE=",0)</f>
        <v>#REF!</v>
      </c>
      <c r="S77" t="e">
        <f>AND(#REF!,"AAAAAF1/7RI=")</f>
        <v>#REF!</v>
      </c>
      <c r="T77" t="e">
        <f>AND(#REF!,"AAAAAF1/7RM=")</f>
        <v>#REF!</v>
      </c>
      <c r="U77" t="e">
        <f>AND(#REF!,"AAAAAF1/7RQ=")</f>
        <v>#REF!</v>
      </c>
      <c r="V77" t="e">
        <f>AND(#REF!,"AAAAAF1/7RU=")</f>
        <v>#REF!</v>
      </c>
      <c r="W77" t="e">
        <f>AND(#REF!,"AAAAAF1/7RY=")</f>
        <v>#REF!</v>
      </c>
      <c r="X77" t="e">
        <f>AND(#REF!,"AAAAAF1/7Rc=")</f>
        <v>#REF!</v>
      </c>
      <c r="Y77" t="e">
        <f>AND(#REF!,"AAAAAF1/7Rg=")</f>
        <v>#REF!</v>
      </c>
      <c r="Z77" t="e">
        <f>AND(#REF!,"AAAAAF1/7Rk=")</f>
        <v>#REF!</v>
      </c>
      <c r="AA77" t="e">
        <f>AND(#REF!,"AAAAAF1/7Ro=")</f>
        <v>#REF!</v>
      </c>
      <c r="AB77" t="e">
        <f>AND(#REF!,"AAAAAF1/7Rs=")</f>
        <v>#REF!</v>
      </c>
      <c r="AC77" t="e">
        <f>AND(#REF!,"AAAAAF1/7Rw=")</f>
        <v>#REF!</v>
      </c>
      <c r="AD77" t="e">
        <f>AND(#REF!,"AAAAAF1/7R0=")</f>
        <v>#REF!</v>
      </c>
      <c r="AE77" t="e">
        <f>IF(#REF!,"AAAAAF1/7R4=",0)</f>
        <v>#REF!</v>
      </c>
      <c r="AF77" t="e">
        <f>AND(#REF!,"AAAAAF1/7R8=")</f>
        <v>#REF!</v>
      </c>
      <c r="AG77" t="e">
        <f>AND(#REF!,"AAAAAF1/7SA=")</f>
        <v>#REF!</v>
      </c>
      <c r="AH77" t="e">
        <f>AND(#REF!,"AAAAAF1/7SE=")</f>
        <v>#REF!</v>
      </c>
      <c r="AI77" t="e">
        <f>AND(#REF!,"AAAAAF1/7SI=")</f>
        <v>#REF!</v>
      </c>
      <c r="AJ77" t="e">
        <f>AND(#REF!,"AAAAAF1/7SM=")</f>
        <v>#REF!</v>
      </c>
      <c r="AK77" t="e">
        <f>AND(#REF!,"AAAAAF1/7SQ=")</f>
        <v>#REF!</v>
      </c>
      <c r="AL77" t="e">
        <f>AND(#REF!,"AAAAAF1/7SU=")</f>
        <v>#REF!</v>
      </c>
      <c r="AM77" t="e">
        <f>AND(#REF!,"AAAAAF1/7SY=")</f>
        <v>#REF!</v>
      </c>
      <c r="AN77" t="e">
        <f>AND(#REF!,"AAAAAF1/7Sc=")</f>
        <v>#REF!</v>
      </c>
      <c r="AO77" t="e">
        <f>AND(#REF!,"AAAAAF1/7Sg=")</f>
        <v>#REF!</v>
      </c>
      <c r="AP77" t="e">
        <f>AND(#REF!,"AAAAAF1/7Sk=")</f>
        <v>#REF!</v>
      </c>
      <c r="AQ77" t="e">
        <f>AND(#REF!,"AAAAAF1/7So=")</f>
        <v>#REF!</v>
      </c>
      <c r="AR77" t="e">
        <f>IF(#REF!,"AAAAAF1/7Ss=",0)</f>
        <v>#REF!</v>
      </c>
      <c r="AS77" t="e">
        <f>AND(#REF!,"AAAAAF1/7Sw=")</f>
        <v>#REF!</v>
      </c>
      <c r="AT77" t="e">
        <f>AND(#REF!,"AAAAAF1/7S0=")</f>
        <v>#REF!</v>
      </c>
      <c r="AU77" t="e">
        <f>AND(#REF!,"AAAAAF1/7S4=")</f>
        <v>#REF!</v>
      </c>
      <c r="AV77" t="e">
        <f>AND(#REF!,"AAAAAF1/7S8=")</f>
        <v>#REF!</v>
      </c>
      <c r="AW77" t="e">
        <f>AND(#REF!,"AAAAAF1/7TA=")</f>
        <v>#REF!</v>
      </c>
      <c r="AX77" t="e">
        <f>AND(#REF!,"AAAAAF1/7TE=")</f>
        <v>#REF!</v>
      </c>
      <c r="AY77" t="e">
        <f>AND(#REF!,"AAAAAF1/7TI=")</f>
        <v>#REF!</v>
      </c>
      <c r="AZ77" t="e">
        <f>AND(#REF!,"AAAAAF1/7TM=")</f>
        <v>#REF!</v>
      </c>
      <c r="BA77" t="e">
        <f>AND(#REF!,"AAAAAF1/7TQ=")</f>
        <v>#REF!</v>
      </c>
      <c r="BB77" t="e">
        <f>AND(#REF!,"AAAAAF1/7TU=")</f>
        <v>#REF!</v>
      </c>
      <c r="BC77" t="e">
        <f>AND(#REF!,"AAAAAF1/7TY=")</f>
        <v>#REF!</v>
      </c>
      <c r="BD77" t="e">
        <f>AND(#REF!,"AAAAAF1/7Tc=")</f>
        <v>#REF!</v>
      </c>
      <c r="BE77" t="e">
        <f>IF(#REF!,"AAAAAF1/7Tg=",0)</f>
        <v>#REF!</v>
      </c>
      <c r="BF77" t="e">
        <f>AND(#REF!,"AAAAAF1/7Tk=")</f>
        <v>#REF!</v>
      </c>
      <c r="BG77" t="e">
        <f>AND(#REF!,"AAAAAF1/7To=")</f>
        <v>#REF!</v>
      </c>
      <c r="BH77" t="e">
        <f>AND(#REF!,"AAAAAF1/7Ts=")</f>
        <v>#REF!</v>
      </c>
      <c r="BI77" t="e">
        <f>AND(#REF!,"AAAAAF1/7Tw=")</f>
        <v>#REF!</v>
      </c>
      <c r="BJ77" t="e">
        <f>AND(#REF!,"AAAAAF1/7T0=")</f>
        <v>#REF!</v>
      </c>
      <c r="BK77" t="e">
        <f>AND(#REF!,"AAAAAF1/7T4=")</f>
        <v>#REF!</v>
      </c>
      <c r="BL77" t="e">
        <f>AND(#REF!,"AAAAAF1/7T8=")</f>
        <v>#REF!</v>
      </c>
      <c r="BM77" t="e">
        <f>AND(#REF!,"AAAAAF1/7UA=")</f>
        <v>#REF!</v>
      </c>
      <c r="BN77" t="e">
        <f>AND(#REF!,"AAAAAF1/7UE=")</f>
        <v>#REF!</v>
      </c>
      <c r="BO77" t="e">
        <f>AND(#REF!,"AAAAAF1/7UI=")</f>
        <v>#REF!</v>
      </c>
      <c r="BP77" t="e">
        <f>AND(#REF!,"AAAAAF1/7UM=")</f>
        <v>#REF!</v>
      </c>
      <c r="BQ77" t="e">
        <f>AND(#REF!,"AAAAAF1/7UQ=")</f>
        <v>#REF!</v>
      </c>
      <c r="BR77" t="e">
        <f>IF(#REF!,"AAAAAF1/7UU=",0)</f>
        <v>#REF!</v>
      </c>
      <c r="BS77" t="e">
        <f>AND(#REF!,"AAAAAF1/7UY=")</f>
        <v>#REF!</v>
      </c>
      <c r="BT77" t="e">
        <f>AND(#REF!,"AAAAAF1/7Uc=")</f>
        <v>#REF!</v>
      </c>
      <c r="BU77" t="e">
        <f>AND(#REF!,"AAAAAF1/7Ug=")</f>
        <v>#REF!</v>
      </c>
      <c r="BV77" t="e">
        <f>AND(#REF!,"AAAAAF1/7Uk=")</f>
        <v>#REF!</v>
      </c>
      <c r="BW77" t="e">
        <f>AND(#REF!,"AAAAAF1/7Uo=")</f>
        <v>#REF!</v>
      </c>
      <c r="BX77" t="e">
        <f>AND(#REF!,"AAAAAF1/7Us=")</f>
        <v>#REF!</v>
      </c>
      <c r="BY77" t="e">
        <f>AND(#REF!,"AAAAAF1/7Uw=")</f>
        <v>#REF!</v>
      </c>
      <c r="BZ77" t="e">
        <f>AND(#REF!,"AAAAAF1/7U0=")</f>
        <v>#REF!</v>
      </c>
      <c r="CA77" t="e">
        <f>AND(#REF!,"AAAAAF1/7U4=")</f>
        <v>#REF!</v>
      </c>
      <c r="CB77" t="e">
        <f>AND(#REF!,"AAAAAF1/7U8=")</f>
        <v>#REF!</v>
      </c>
      <c r="CC77" t="e">
        <f>AND(#REF!,"AAAAAF1/7VA=")</f>
        <v>#REF!</v>
      </c>
      <c r="CD77" t="e">
        <f>AND(#REF!,"AAAAAF1/7VE=")</f>
        <v>#REF!</v>
      </c>
      <c r="CE77" t="e">
        <f>IF(#REF!,"AAAAAF1/7VI=",0)</f>
        <v>#REF!</v>
      </c>
      <c r="CF77" t="e">
        <f>AND(#REF!,"AAAAAF1/7VM=")</f>
        <v>#REF!</v>
      </c>
      <c r="CG77" t="e">
        <f>AND(#REF!,"AAAAAF1/7VQ=")</f>
        <v>#REF!</v>
      </c>
      <c r="CH77" t="e">
        <f>AND(#REF!,"AAAAAF1/7VU=")</f>
        <v>#REF!</v>
      </c>
      <c r="CI77" t="e">
        <f>AND(#REF!,"AAAAAF1/7VY=")</f>
        <v>#REF!</v>
      </c>
      <c r="CJ77" t="e">
        <f>AND(#REF!,"AAAAAF1/7Vc=")</f>
        <v>#REF!</v>
      </c>
      <c r="CK77" t="e">
        <f>AND(#REF!,"AAAAAF1/7Vg=")</f>
        <v>#REF!</v>
      </c>
      <c r="CL77" t="e">
        <f>AND(#REF!,"AAAAAF1/7Vk=")</f>
        <v>#REF!</v>
      </c>
      <c r="CM77" t="e">
        <f>AND(#REF!,"AAAAAF1/7Vo=")</f>
        <v>#REF!</v>
      </c>
      <c r="CN77" t="e">
        <f>AND(#REF!,"AAAAAF1/7Vs=")</f>
        <v>#REF!</v>
      </c>
      <c r="CO77" t="e">
        <f>AND(#REF!,"AAAAAF1/7Vw=")</f>
        <v>#REF!</v>
      </c>
      <c r="CP77" t="e">
        <f>AND(#REF!,"AAAAAF1/7V0=")</f>
        <v>#REF!</v>
      </c>
      <c r="CQ77" t="e">
        <f>AND(#REF!,"AAAAAF1/7V4=")</f>
        <v>#REF!</v>
      </c>
      <c r="CR77" t="e">
        <f>IF(#REF!,"AAAAAF1/7V8=",0)</f>
        <v>#REF!</v>
      </c>
      <c r="CS77" t="e">
        <f>AND(#REF!,"AAAAAF1/7WA=")</f>
        <v>#REF!</v>
      </c>
      <c r="CT77" t="e">
        <f>AND(#REF!,"AAAAAF1/7WE=")</f>
        <v>#REF!</v>
      </c>
      <c r="CU77" t="e">
        <f>AND(#REF!,"AAAAAF1/7WI=")</f>
        <v>#REF!</v>
      </c>
      <c r="CV77" t="e">
        <f>AND(#REF!,"AAAAAF1/7WM=")</f>
        <v>#REF!</v>
      </c>
      <c r="CW77" t="e">
        <f>AND(#REF!,"AAAAAF1/7WQ=")</f>
        <v>#REF!</v>
      </c>
      <c r="CX77" t="e">
        <f>AND(#REF!,"AAAAAF1/7WU=")</f>
        <v>#REF!</v>
      </c>
      <c r="CY77" t="e">
        <f>AND(#REF!,"AAAAAF1/7WY=")</f>
        <v>#REF!</v>
      </c>
      <c r="CZ77" t="e">
        <f>AND(#REF!,"AAAAAF1/7Wc=")</f>
        <v>#REF!</v>
      </c>
      <c r="DA77" t="e">
        <f>AND(#REF!,"AAAAAF1/7Wg=")</f>
        <v>#REF!</v>
      </c>
      <c r="DB77" t="e">
        <f>AND(#REF!,"AAAAAF1/7Wk=")</f>
        <v>#REF!</v>
      </c>
      <c r="DC77" t="e">
        <f>AND(#REF!,"AAAAAF1/7Wo=")</f>
        <v>#REF!</v>
      </c>
      <c r="DD77" t="e">
        <f>AND(#REF!,"AAAAAF1/7Ws=")</f>
        <v>#REF!</v>
      </c>
      <c r="DE77" t="e">
        <f>IF(#REF!,"AAAAAF1/7Ww=",0)</f>
        <v>#REF!</v>
      </c>
      <c r="DF77" t="e">
        <f>AND(#REF!,"AAAAAF1/7W0=")</f>
        <v>#REF!</v>
      </c>
      <c r="DG77" t="e">
        <f>AND(#REF!,"AAAAAF1/7W4=")</f>
        <v>#REF!</v>
      </c>
      <c r="DH77" t="e">
        <f>AND(#REF!,"AAAAAF1/7W8=")</f>
        <v>#REF!</v>
      </c>
      <c r="DI77" t="e">
        <f>AND(#REF!,"AAAAAF1/7XA=")</f>
        <v>#REF!</v>
      </c>
      <c r="DJ77" t="e">
        <f>AND(#REF!,"AAAAAF1/7XE=")</f>
        <v>#REF!</v>
      </c>
      <c r="DK77" t="e">
        <f>AND(#REF!,"AAAAAF1/7XI=")</f>
        <v>#REF!</v>
      </c>
      <c r="DL77" t="e">
        <f>AND(#REF!,"AAAAAF1/7XM=")</f>
        <v>#REF!</v>
      </c>
      <c r="DM77" t="e">
        <f>AND(#REF!,"AAAAAF1/7XQ=")</f>
        <v>#REF!</v>
      </c>
      <c r="DN77" t="e">
        <f>AND(#REF!,"AAAAAF1/7XU=")</f>
        <v>#REF!</v>
      </c>
      <c r="DO77" t="e">
        <f>AND(#REF!,"AAAAAF1/7XY=")</f>
        <v>#REF!</v>
      </c>
      <c r="DP77" t="e">
        <f>AND(#REF!,"AAAAAF1/7Xc=")</f>
        <v>#REF!</v>
      </c>
      <c r="DQ77" t="e">
        <f>AND(#REF!,"AAAAAF1/7Xg=")</f>
        <v>#REF!</v>
      </c>
      <c r="DR77" t="e">
        <f>IF(#REF!,"AAAAAF1/7Xk=",0)</f>
        <v>#REF!</v>
      </c>
      <c r="DS77" t="e">
        <f>AND(#REF!,"AAAAAF1/7Xo=")</f>
        <v>#REF!</v>
      </c>
      <c r="DT77" t="e">
        <f>AND(#REF!,"AAAAAF1/7Xs=")</f>
        <v>#REF!</v>
      </c>
      <c r="DU77" t="e">
        <f>AND(#REF!,"AAAAAF1/7Xw=")</f>
        <v>#REF!</v>
      </c>
      <c r="DV77" t="e">
        <f>AND(#REF!,"AAAAAF1/7X0=")</f>
        <v>#REF!</v>
      </c>
      <c r="DW77" t="e">
        <f>AND(#REF!,"AAAAAF1/7X4=")</f>
        <v>#REF!</v>
      </c>
      <c r="DX77" t="e">
        <f>AND(#REF!,"AAAAAF1/7X8=")</f>
        <v>#REF!</v>
      </c>
      <c r="DY77" t="e">
        <f>AND(#REF!,"AAAAAF1/7YA=")</f>
        <v>#REF!</v>
      </c>
      <c r="DZ77" t="e">
        <f>AND(#REF!,"AAAAAF1/7YE=")</f>
        <v>#REF!</v>
      </c>
      <c r="EA77" t="e">
        <f>AND(#REF!,"AAAAAF1/7YI=")</f>
        <v>#REF!</v>
      </c>
      <c r="EB77" t="e">
        <f>AND(#REF!,"AAAAAF1/7YM=")</f>
        <v>#REF!</v>
      </c>
      <c r="EC77" t="e">
        <f>AND(#REF!,"AAAAAF1/7YQ=")</f>
        <v>#REF!</v>
      </c>
      <c r="ED77" t="e">
        <f>AND(#REF!,"AAAAAF1/7YU=")</f>
        <v>#REF!</v>
      </c>
      <c r="EE77" t="e">
        <f>IF(#REF!,"AAAAAF1/7YY=",0)</f>
        <v>#REF!</v>
      </c>
      <c r="EF77" t="e">
        <f>AND(#REF!,"AAAAAF1/7Yc=")</f>
        <v>#REF!</v>
      </c>
      <c r="EG77" t="e">
        <f>AND(#REF!,"AAAAAF1/7Yg=")</f>
        <v>#REF!</v>
      </c>
      <c r="EH77" t="e">
        <f>AND(#REF!,"AAAAAF1/7Yk=")</f>
        <v>#REF!</v>
      </c>
      <c r="EI77" t="e">
        <f>AND(#REF!,"AAAAAF1/7Yo=")</f>
        <v>#REF!</v>
      </c>
      <c r="EJ77" t="e">
        <f>AND(#REF!,"AAAAAF1/7Ys=")</f>
        <v>#REF!</v>
      </c>
      <c r="EK77" t="e">
        <f>AND(#REF!,"AAAAAF1/7Yw=")</f>
        <v>#REF!</v>
      </c>
      <c r="EL77" t="e">
        <f>AND(#REF!,"AAAAAF1/7Y0=")</f>
        <v>#REF!</v>
      </c>
      <c r="EM77" t="e">
        <f>AND(#REF!,"AAAAAF1/7Y4=")</f>
        <v>#REF!</v>
      </c>
      <c r="EN77" t="e">
        <f>AND(#REF!,"AAAAAF1/7Y8=")</f>
        <v>#REF!</v>
      </c>
      <c r="EO77" t="e">
        <f>AND(#REF!,"AAAAAF1/7ZA=")</f>
        <v>#REF!</v>
      </c>
      <c r="EP77" t="e">
        <f>AND(#REF!,"AAAAAF1/7ZE=")</f>
        <v>#REF!</v>
      </c>
      <c r="EQ77" t="e">
        <f>AND(#REF!,"AAAAAF1/7ZI=")</f>
        <v>#REF!</v>
      </c>
      <c r="ER77" t="e">
        <f>IF(#REF!,"AAAAAF1/7ZM=",0)</f>
        <v>#REF!</v>
      </c>
      <c r="ES77" t="e">
        <f>AND(#REF!,"AAAAAF1/7ZQ=")</f>
        <v>#REF!</v>
      </c>
      <c r="ET77" t="e">
        <f>AND(#REF!,"AAAAAF1/7ZU=")</f>
        <v>#REF!</v>
      </c>
      <c r="EU77" t="e">
        <f>AND(#REF!,"AAAAAF1/7ZY=")</f>
        <v>#REF!</v>
      </c>
      <c r="EV77" t="e">
        <f>AND(#REF!,"AAAAAF1/7Zc=")</f>
        <v>#REF!</v>
      </c>
      <c r="EW77" t="e">
        <f>AND(#REF!,"AAAAAF1/7Zg=")</f>
        <v>#REF!</v>
      </c>
      <c r="EX77" t="e">
        <f>AND(#REF!,"AAAAAF1/7Zk=")</f>
        <v>#REF!</v>
      </c>
      <c r="EY77" t="e">
        <f>AND(#REF!,"AAAAAF1/7Zo=")</f>
        <v>#REF!</v>
      </c>
      <c r="EZ77" t="e">
        <f>AND(#REF!,"AAAAAF1/7Zs=")</f>
        <v>#REF!</v>
      </c>
      <c r="FA77" t="e">
        <f>AND(#REF!,"AAAAAF1/7Zw=")</f>
        <v>#REF!</v>
      </c>
      <c r="FB77" t="e">
        <f>AND(#REF!,"AAAAAF1/7Z0=")</f>
        <v>#REF!</v>
      </c>
      <c r="FC77" t="e">
        <f>AND(#REF!,"AAAAAF1/7Z4=")</f>
        <v>#REF!</v>
      </c>
      <c r="FD77" t="e">
        <f>AND(#REF!,"AAAAAF1/7Z8=")</f>
        <v>#REF!</v>
      </c>
      <c r="FE77" t="e">
        <f>IF(#REF!,"AAAAAF1/7aA=",0)</f>
        <v>#REF!</v>
      </c>
      <c r="FF77" t="e">
        <f>AND(#REF!,"AAAAAF1/7aE=")</f>
        <v>#REF!</v>
      </c>
      <c r="FG77" t="e">
        <f>AND(#REF!,"AAAAAF1/7aI=")</f>
        <v>#REF!</v>
      </c>
      <c r="FH77" t="e">
        <f>AND(#REF!,"AAAAAF1/7aM=")</f>
        <v>#REF!</v>
      </c>
      <c r="FI77" t="e">
        <f>AND(#REF!,"AAAAAF1/7aQ=")</f>
        <v>#REF!</v>
      </c>
      <c r="FJ77" t="e">
        <f>AND(#REF!,"AAAAAF1/7aU=")</f>
        <v>#REF!</v>
      </c>
      <c r="FK77" t="e">
        <f>AND(#REF!,"AAAAAF1/7aY=")</f>
        <v>#REF!</v>
      </c>
      <c r="FL77" t="e">
        <f>AND(#REF!,"AAAAAF1/7ac=")</f>
        <v>#REF!</v>
      </c>
      <c r="FM77" t="e">
        <f>AND(#REF!,"AAAAAF1/7ag=")</f>
        <v>#REF!</v>
      </c>
      <c r="FN77" t="e">
        <f>AND(#REF!,"AAAAAF1/7ak=")</f>
        <v>#REF!</v>
      </c>
      <c r="FO77" t="e">
        <f>AND(#REF!,"AAAAAF1/7ao=")</f>
        <v>#REF!</v>
      </c>
      <c r="FP77" t="e">
        <f>AND(#REF!,"AAAAAF1/7as=")</f>
        <v>#REF!</v>
      </c>
      <c r="FQ77" t="e">
        <f>AND(#REF!,"AAAAAF1/7aw=")</f>
        <v>#REF!</v>
      </c>
      <c r="FR77" t="e">
        <f>IF(#REF!,"AAAAAF1/7a0=",0)</f>
        <v>#REF!</v>
      </c>
      <c r="FS77" t="e">
        <f>AND(#REF!,"AAAAAF1/7a4=")</f>
        <v>#REF!</v>
      </c>
      <c r="FT77" t="e">
        <f>AND(#REF!,"AAAAAF1/7a8=")</f>
        <v>#REF!</v>
      </c>
      <c r="FU77" t="e">
        <f>AND(#REF!,"AAAAAF1/7bA=")</f>
        <v>#REF!</v>
      </c>
      <c r="FV77" t="e">
        <f>AND(#REF!,"AAAAAF1/7bE=")</f>
        <v>#REF!</v>
      </c>
      <c r="FW77" t="e">
        <f>AND(#REF!,"AAAAAF1/7bI=")</f>
        <v>#REF!</v>
      </c>
      <c r="FX77" t="e">
        <f>AND(#REF!,"AAAAAF1/7bM=")</f>
        <v>#REF!</v>
      </c>
      <c r="FY77" t="e">
        <f>AND(#REF!,"AAAAAF1/7bQ=")</f>
        <v>#REF!</v>
      </c>
      <c r="FZ77" t="e">
        <f>AND(#REF!,"AAAAAF1/7bU=")</f>
        <v>#REF!</v>
      </c>
      <c r="GA77" t="e">
        <f>AND(#REF!,"AAAAAF1/7bY=")</f>
        <v>#REF!</v>
      </c>
      <c r="GB77" t="e">
        <f>AND(#REF!,"AAAAAF1/7bc=")</f>
        <v>#REF!</v>
      </c>
      <c r="GC77" t="e">
        <f>AND(#REF!,"AAAAAF1/7bg=")</f>
        <v>#REF!</v>
      </c>
      <c r="GD77" t="e">
        <f>AND(#REF!,"AAAAAF1/7bk=")</f>
        <v>#REF!</v>
      </c>
      <c r="GE77" t="e">
        <f>IF(#REF!,"AAAAAF1/7bo=",0)</f>
        <v>#REF!</v>
      </c>
      <c r="GF77" t="e">
        <f>AND(#REF!,"AAAAAF1/7bs=")</f>
        <v>#REF!</v>
      </c>
      <c r="GG77" t="e">
        <f>AND(#REF!,"AAAAAF1/7bw=")</f>
        <v>#REF!</v>
      </c>
      <c r="GH77" t="e">
        <f>AND(#REF!,"AAAAAF1/7b0=")</f>
        <v>#REF!</v>
      </c>
      <c r="GI77" t="e">
        <f>AND(#REF!,"AAAAAF1/7b4=")</f>
        <v>#REF!</v>
      </c>
      <c r="GJ77" t="e">
        <f>AND(#REF!,"AAAAAF1/7b8=")</f>
        <v>#REF!</v>
      </c>
      <c r="GK77" t="e">
        <f>AND(#REF!,"AAAAAF1/7cA=")</f>
        <v>#REF!</v>
      </c>
      <c r="GL77" t="e">
        <f>AND(#REF!,"AAAAAF1/7cE=")</f>
        <v>#REF!</v>
      </c>
      <c r="GM77" t="e">
        <f>AND(#REF!,"AAAAAF1/7cI=")</f>
        <v>#REF!</v>
      </c>
      <c r="GN77" t="e">
        <f>AND(#REF!,"AAAAAF1/7cM=")</f>
        <v>#REF!</v>
      </c>
      <c r="GO77" t="e">
        <f>AND(#REF!,"AAAAAF1/7cQ=")</f>
        <v>#REF!</v>
      </c>
      <c r="GP77" t="e">
        <f>AND(#REF!,"AAAAAF1/7cU=")</f>
        <v>#REF!</v>
      </c>
      <c r="GQ77" t="e">
        <f>AND(#REF!,"AAAAAF1/7cY=")</f>
        <v>#REF!</v>
      </c>
      <c r="GR77" t="e">
        <f>IF(#REF!,"AAAAAF1/7cc=",0)</f>
        <v>#REF!</v>
      </c>
      <c r="GS77" t="e">
        <f>AND(#REF!,"AAAAAF1/7cg=")</f>
        <v>#REF!</v>
      </c>
      <c r="GT77" t="e">
        <f>AND(#REF!,"AAAAAF1/7ck=")</f>
        <v>#REF!</v>
      </c>
      <c r="GU77" t="e">
        <f>AND(#REF!,"AAAAAF1/7co=")</f>
        <v>#REF!</v>
      </c>
      <c r="GV77" t="e">
        <f>AND(#REF!,"AAAAAF1/7cs=")</f>
        <v>#REF!</v>
      </c>
      <c r="GW77" t="e">
        <f>AND(#REF!,"AAAAAF1/7cw=")</f>
        <v>#REF!</v>
      </c>
      <c r="GX77" t="e">
        <f>AND(#REF!,"AAAAAF1/7c0=")</f>
        <v>#REF!</v>
      </c>
      <c r="GY77" t="e">
        <f>AND(#REF!,"AAAAAF1/7c4=")</f>
        <v>#REF!</v>
      </c>
      <c r="GZ77" t="e">
        <f>AND(#REF!,"AAAAAF1/7c8=")</f>
        <v>#REF!</v>
      </c>
      <c r="HA77" t="e">
        <f>AND(#REF!,"AAAAAF1/7dA=")</f>
        <v>#REF!</v>
      </c>
      <c r="HB77" t="e">
        <f>AND(#REF!,"AAAAAF1/7dE=")</f>
        <v>#REF!</v>
      </c>
      <c r="HC77" t="e">
        <f>AND(#REF!,"AAAAAF1/7dI=")</f>
        <v>#REF!</v>
      </c>
      <c r="HD77" t="e">
        <f>AND(#REF!,"AAAAAF1/7dM=")</f>
        <v>#REF!</v>
      </c>
      <c r="HE77" t="e">
        <f>IF(#REF!,"AAAAAF1/7dQ=",0)</f>
        <v>#REF!</v>
      </c>
      <c r="HF77" t="e">
        <f>AND(#REF!,"AAAAAF1/7dU=")</f>
        <v>#REF!</v>
      </c>
      <c r="HG77" t="e">
        <f>AND(#REF!,"AAAAAF1/7dY=")</f>
        <v>#REF!</v>
      </c>
      <c r="HH77" t="e">
        <f>AND(#REF!,"AAAAAF1/7dc=")</f>
        <v>#REF!</v>
      </c>
      <c r="HI77" t="e">
        <f>AND(#REF!,"AAAAAF1/7dg=")</f>
        <v>#REF!</v>
      </c>
      <c r="HJ77" t="e">
        <f>AND(#REF!,"AAAAAF1/7dk=")</f>
        <v>#REF!</v>
      </c>
      <c r="HK77" t="e">
        <f>AND(#REF!,"AAAAAF1/7do=")</f>
        <v>#REF!</v>
      </c>
      <c r="HL77" t="e">
        <f>AND(#REF!,"AAAAAF1/7ds=")</f>
        <v>#REF!</v>
      </c>
      <c r="HM77" t="e">
        <f>AND(#REF!,"AAAAAF1/7dw=")</f>
        <v>#REF!</v>
      </c>
      <c r="HN77" t="e">
        <f>AND(#REF!,"AAAAAF1/7d0=")</f>
        <v>#REF!</v>
      </c>
      <c r="HO77" t="e">
        <f>AND(#REF!,"AAAAAF1/7d4=")</f>
        <v>#REF!</v>
      </c>
      <c r="HP77" t="e">
        <f>AND(#REF!,"AAAAAF1/7d8=")</f>
        <v>#REF!</v>
      </c>
      <c r="HQ77" t="e">
        <f>AND(#REF!,"AAAAAF1/7eA=")</f>
        <v>#REF!</v>
      </c>
      <c r="HR77" t="e">
        <f>IF(#REF!,"AAAAAF1/7eE=",0)</f>
        <v>#REF!</v>
      </c>
      <c r="HS77" t="e">
        <f>AND(#REF!,"AAAAAF1/7eI=")</f>
        <v>#REF!</v>
      </c>
      <c r="HT77" t="e">
        <f>AND(#REF!,"AAAAAF1/7eM=")</f>
        <v>#REF!</v>
      </c>
      <c r="HU77" t="e">
        <f>AND(#REF!,"AAAAAF1/7eQ=")</f>
        <v>#REF!</v>
      </c>
      <c r="HV77" t="e">
        <f>AND(#REF!,"AAAAAF1/7eU=")</f>
        <v>#REF!</v>
      </c>
      <c r="HW77" t="e">
        <f>AND(#REF!,"AAAAAF1/7eY=")</f>
        <v>#REF!</v>
      </c>
      <c r="HX77" t="e">
        <f>AND(#REF!,"AAAAAF1/7ec=")</f>
        <v>#REF!</v>
      </c>
      <c r="HY77" t="e">
        <f>AND(#REF!,"AAAAAF1/7eg=")</f>
        <v>#REF!</v>
      </c>
      <c r="HZ77" t="e">
        <f>AND(#REF!,"AAAAAF1/7ek=")</f>
        <v>#REF!</v>
      </c>
      <c r="IA77" t="e">
        <f>AND(#REF!,"AAAAAF1/7eo=")</f>
        <v>#REF!</v>
      </c>
      <c r="IB77" t="e">
        <f>AND(#REF!,"AAAAAF1/7es=")</f>
        <v>#REF!</v>
      </c>
      <c r="IC77" t="e">
        <f>AND(#REF!,"AAAAAF1/7ew=")</f>
        <v>#REF!</v>
      </c>
      <c r="ID77" t="e">
        <f>AND(#REF!,"AAAAAF1/7e0=")</f>
        <v>#REF!</v>
      </c>
      <c r="IE77" t="e">
        <f>IF(#REF!,"AAAAAF1/7e4=",0)</f>
        <v>#REF!</v>
      </c>
      <c r="IF77" t="e">
        <f>AND(#REF!,"AAAAAF1/7e8=")</f>
        <v>#REF!</v>
      </c>
      <c r="IG77" t="e">
        <f>AND(#REF!,"AAAAAF1/7fA=")</f>
        <v>#REF!</v>
      </c>
      <c r="IH77" t="e">
        <f>AND(#REF!,"AAAAAF1/7fE=")</f>
        <v>#REF!</v>
      </c>
      <c r="II77" t="e">
        <f>AND(#REF!,"AAAAAF1/7fI=")</f>
        <v>#REF!</v>
      </c>
      <c r="IJ77" t="e">
        <f>AND(#REF!,"AAAAAF1/7fM=")</f>
        <v>#REF!</v>
      </c>
      <c r="IK77" t="e">
        <f>AND(#REF!,"AAAAAF1/7fQ=")</f>
        <v>#REF!</v>
      </c>
      <c r="IL77" t="e">
        <f>AND(#REF!,"AAAAAF1/7fU=")</f>
        <v>#REF!</v>
      </c>
      <c r="IM77" t="e">
        <f>AND(#REF!,"AAAAAF1/7fY=")</f>
        <v>#REF!</v>
      </c>
      <c r="IN77" t="e">
        <f>AND(#REF!,"AAAAAF1/7fc=")</f>
        <v>#REF!</v>
      </c>
      <c r="IO77" t="e">
        <f>AND(#REF!,"AAAAAF1/7fg=")</f>
        <v>#REF!</v>
      </c>
      <c r="IP77" t="e">
        <f>AND(#REF!,"AAAAAF1/7fk=")</f>
        <v>#REF!</v>
      </c>
      <c r="IQ77" t="e">
        <f>AND(#REF!,"AAAAAF1/7fo=")</f>
        <v>#REF!</v>
      </c>
      <c r="IR77" t="e">
        <f>IF(#REF!,"AAAAAF1/7fs=",0)</f>
        <v>#REF!</v>
      </c>
      <c r="IS77" t="e">
        <f>AND(#REF!,"AAAAAF1/7fw=")</f>
        <v>#REF!</v>
      </c>
      <c r="IT77" t="e">
        <f>AND(#REF!,"AAAAAF1/7f0=")</f>
        <v>#REF!</v>
      </c>
      <c r="IU77" t="e">
        <f>AND(#REF!,"AAAAAF1/7f4=")</f>
        <v>#REF!</v>
      </c>
      <c r="IV77" t="e">
        <f>AND(#REF!,"AAAAAF1/7f8=")</f>
        <v>#REF!</v>
      </c>
    </row>
    <row r="78" spans="1:256" x14ac:dyDescent="0.35">
      <c r="A78" t="e">
        <f>AND(#REF!,"AAAAAGef/QA=")</f>
        <v>#REF!</v>
      </c>
      <c r="B78" t="e">
        <f>AND(#REF!,"AAAAAGef/QE=")</f>
        <v>#REF!</v>
      </c>
      <c r="C78" t="e">
        <f>AND(#REF!,"AAAAAGef/QI=")</f>
        <v>#REF!</v>
      </c>
      <c r="D78" t="e">
        <f>AND(#REF!,"AAAAAGef/QM=")</f>
        <v>#REF!</v>
      </c>
      <c r="E78" t="e">
        <f>AND(#REF!,"AAAAAGef/QQ=")</f>
        <v>#REF!</v>
      </c>
      <c r="F78" t="e">
        <f>AND(#REF!,"AAAAAGef/QU=")</f>
        <v>#REF!</v>
      </c>
      <c r="G78" t="e">
        <f>AND(#REF!,"AAAAAGef/QY=")</f>
        <v>#REF!</v>
      </c>
      <c r="H78" t="e">
        <f>AND(#REF!,"AAAAAGef/Qc=")</f>
        <v>#REF!</v>
      </c>
      <c r="I78" t="e">
        <f>IF(#REF!,"AAAAAGef/Qg=",0)</f>
        <v>#REF!</v>
      </c>
      <c r="J78" t="e">
        <f>AND(#REF!,"AAAAAGef/Qk=")</f>
        <v>#REF!</v>
      </c>
      <c r="K78" t="e">
        <f>AND(#REF!,"AAAAAGef/Qo=")</f>
        <v>#REF!</v>
      </c>
      <c r="L78" t="e">
        <f>AND(#REF!,"AAAAAGef/Qs=")</f>
        <v>#REF!</v>
      </c>
      <c r="M78" t="e">
        <f>AND(#REF!,"AAAAAGef/Qw=")</f>
        <v>#REF!</v>
      </c>
      <c r="N78" t="e">
        <f>AND(#REF!,"AAAAAGef/Q0=")</f>
        <v>#REF!</v>
      </c>
      <c r="O78" t="e">
        <f>AND(#REF!,"AAAAAGef/Q4=")</f>
        <v>#REF!</v>
      </c>
      <c r="P78" t="e">
        <f>AND(#REF!,"AAAAAGef/Q8=")</f>
        <v>#REF!</v>
      </c>
      <c r="Q78" t="e">
        <f>AND(#REF!,"AAAAAGef/RA=")</f>
        <v>#REF!</v>
      </c>
      <c r="R78" t="e">
        <f>AND(#REF!,"AAAAAGef/RE=")</f>
        <v>#REF!</v>
      </c>
      <c r="S78" t="e">
        <f>AND(#REF!,"AAAAAGef/RI=")</f>
        <v>#REF!</v>
      </c>
      <c r="T78" t="e">
        <f>AND(#REF!,"AAAAAGef/RM=")</f>
        <v>#REF!</v>
      </c>
      <c r="U78" t="e">
        <f>AND(#REF!,"AAAAAGef/RQ=")</f>
        <v>#REF!</v>
      </c>
      <c r="V78" t="e">
        <f>IF(#REF!,"AAAAAGef/RU=",0)</f>
        <v>#REF!</v>
      </c>
      <c r="W78" t="e">
        <f>AND(#REF!,"AAAAAGef/RY=")</f>
        <v>#REF!</v>
      </c>
      <c r="X78" t="e">
        <f>AND(#REF!,"AAAAAGef/Rc=")</f>
        <v>#REF!</v>
      </c>
      <c r="Y78" t="e">
        <f>AND(#REF!,"AAAAAGef/Rg=")</f>
        <v>#REF!</v>
      </c>
      <c r="Z78" t="e">
        <f>AND(#REF!,"AAAAAGef/Rk=")</f>
        <v>#REF!</v>
      </c>
      <c r="AA78" t="e">
        <f>AND(#REF!,"AAAAAGef/Ro=")</f>
        <v>#REF!</v>
      </c>
      <c r="AB78" t="e">
        <f>AND(#REF!,"AAAAAGef/Rs=")</f>
        <v>#REF!</v>
      </c>
      <c r="AC78" t="e">
        <f>AND(#REF!,"AAAAAGef/Rw=")</f>
        <v>#REF!</v>
      </c>
      <c r="AD78" t="e">
        <f>AND(#REF!,"AAAAAGef/R0=")</f>
        <v>#REF!</v>
      </c>
      <c r="AE78" t="e">
        <f>AND(#REF!,"AAAAAGef/R4=")</f>
        <v>#REF!</v>
      </c>
      <c r="AF78" t="e">
        <f>AND(#REF!,"AAAAAGef/R8=")</f>
        <v>#REF!</v>
      </c>
      <c r="AG78" t="e">
        <f>AND(#REF!,"AAAAAGef/SA=")</f>
        <v>#REF!</v>
      </c>
      <c r="AH78" t="e">
        <f>AND(#REF!,"AAAAAGef/SE=")</f>
        <v>#REF!</v>
      </c>
      <c r="AI78" t="e">
        <f>IF(#REF!,"AAAAAGef/SI=",0)</f>
        <v>#REF!</v>
      </c>
      <c r="AJ78" t="e">
        <f>AND(#REF!,"AAAAAGef/SM=")</f>
        <v>#REF!</v>
      </c>
      <c r="AK78" t="e">
        <f>AND(#REF!,"AAAAAGef/SQ=")</f>
        <v>#REF!</v>
      </c>
      <c r="AL78" t="e">
        <f>AND(#REF!,"AAAAAGef/SU=")</f>
        <v>#REF!</v>
      </c>
      <c r="AM78" t="e">
        <f>AND(#REF!,"AAAAAGef/SY=")</f>
        <v>#REF!</v>
      </c>
      <c r="AN78" t="e">
        <f>AND(#REF!,"AAAAAGef/Sc=")</f>
        <v>#REF!</v>
      </c>
      <c r="AO78" t="e">
        <f>AND(#REF!,"AAAAAGef/Sg=")</f>
        <v>#REF!</v>
      </c>
      <c r="AP78" t="e">
        <f>AND(#REF!,"AAAAAGef/Sk=")</f>
        <v>#REF!</v>
      </c>
      <c r="AQ78" t="e">
        <f>AND(#REF!,"AAAAAGef/So=")</f>
        <v>#REF!</v>
      </c>
      <c r="AR78" t="e">
        <f>AND(#REF!,"AAAAAGef/Ss=")</f>
        <v>#REF!</v>
      </c>
      <c r="AS78" t="e">
        <f>AND(#REF!,"AAAAAGef/Sw=")</f>
        <v>#REF!</v>
      </c>
      <c r="AT78" t="e">
        <f>AND(#REF!,"AAAAAGef/S0=")</f>
        <v>#REF!</v>
      </c>
      <c r="AU78" t="e">
        <f>AND(#REF!,"AAAAAGef/S4=")</f>
        <v>#REF!</v>
      </c>
      <c r="AV78" t="e">
        <f>IF(#REF!,"AAAAAGef/S8=",0)</f>
        <v>#REF!</v>
      </c>
      <c r="AW78" t="e">
        <f>AND(#REF!,"AAAAAGef/TA=")</f>
        <v>#REF!</v>
      </c>
      <c r="AX78" t="e">
        <f>AND(#REF!,"AAAAAGef/TE=")</f>
        <v>#REF!</v>
      </c>
      <c r="AY78" t="e">
        <f>AND(#REF!,"AAAAAGef/TI=")</f>
        <v>#REF!</v>
      </c>
      <c r="AZ78" t="e">
        <f>AND(#REF!,"AAAAAGef/TM=")</f>
        <v>#REF!</v>
      </c>
      <c r="BA78" t="e">
        <f>AND(#REF!,"AAAAAGef/TQ=")</f>
        <v>#REF!</v>
      </c>
      <c r="BB78" t="e">
        <f>AND(#REF!,"AAAAAGef/TU=")</f>
        <v>#REF!</v>
      </c>
      <c r="BC78" t="e">
        <f>AND(#REF!,"AAAAAGef/TY=")</f>
        <v>#REF!</v>
      </c>
      <c r="BD78" t="e">
        <f>AND(#REF!,"AAAAAGef/Tc=")</f>
        <v>#REF!</v>
      </c>
      <c r="BE78" t="e">
        <f>AND(#REF!,"AAAAAGef/Tg=")</f>
        <v>#REF!</v>
      </c>
      <c r="BF78" t="e">
        <f>AND(#REF!,"AAAAAGef/Tk=")</f>
        <v>#REF!</v>
      </c>
      <c r="BG78" t="e">
        <f>AND(#REF!,"AAAAAGef/To=")</f>
        <v>#REF!</v>
      </c>
      <c r="BH78" t="e">
        <f>AND(#REF!,"AAAAAGef/Ts=")</f>
        <v>#REF!</v>
      </c>
      <c r="BI78" t="e">
        <f>IF(#REF!,"AAAAAGef/Tw=",0)</f>
        <v>#REF!</v>
      </c>
      <c r="BJ78" t="e">
        <f>AND(#REF!,"AAAAAGef/T0=")</f>
        <v>#REF!</v>
      </c>
      <c r="BK78" t="e">
        <f>AND(#REF!,"AAAAAGef/T4=")</f>
        <v>#REF!</v>
      </c>
      <c r="BL78" t="e">
        <f>AND(#REF!,"AAAAAGef/T8=")</f>
        <v>#REF!</v>
      </c>
      <c r="BM78" t="e">
        <f>AND(#REF!,"AAAAAGef/UA=")</f>
        <v>#REF!</v>
      </c>
      <c r="BN78" t="e">
        <f>AND(#REF!,"AAAAAGef/UE=")</f>
        <v>#REF!</v>
      </c>
      <c r="BO78" t="e">
        <f>AND(#REF!,"AAAAAGef/UI=")</f>
        <v>#REF!</v>
      </c>
      <c r="BP78" t="e">
        <f>AND(#REF!,"AAAAAGef/UM=")</f>
        <v>#REF!</v>
      </c>
      <c r="BQ78" t="e">
        <f>AND(#REF!,"AAAAAGef/UQ=")</f>
        <v>#REF!</v>
      </c>
      <c r="BR78" t="e">
        <f>AND(#REF!,"AAAAAGef/UU=")</f>
        <v>#REF!</v>
      </c>
      <c r="BS78" t="e">
        <f>AND(#REF!,"AAAAAGef/UY=")</f>
        <v>#REF!</v>
      </c>
      <c r="BT78" t="e">
        <f>AND(#REF!,"AAAAAGef/Uc=")</f>
        <v>#REF!</v>
      </c>
      <c r="BU78" t="e">
        <f>AND(#REF!,"AAAAAGef/Ug=")</f>
        <v>#REF!</v>
      </c>
      <c r="BV78" t="e">
        <f>IF(#REF!,"AAAAAGef/Uk=",0)</f>
        <v>#REF!</v>
      </c>
      <c r="BW78" t="e">
        <f>AND(#REF!,"AAAAAGef/Uo=")</f>
        <v>#REF!</v>
      </c>
      <c r="BX78" t="e">
        <f>AND(#REF!,"AAAAAGef/Us=")</f>
        <v>#REF!</v>
      </c>
      <c r="BY78" t="e">
        <f>AND(#REF!,"AAAAAGef/Uw=")</f>
        <v>#REF!</v>
      </c>
      <c r="BZ78" t="e">
        <f>AND(#REF!,"AAAAAGef/U0=")</f>
        <v>#REF!</v>
      </c>
      <c r="CA78" t="e">
        <f>AND(#REF!,"AAAAAGef/U4=")</f>
        <v>#REF!</v>
      </c>
      <c r="CB78" t="e">
        <f>AND(#REF!,"AAAAAGef/U8=")</f>
        <v>#REF!</v>
      </c>
      <c r="CC78" t="e">
        <f>AND(#REF!,"AAAAAGef/VA=")</f>
        <v>#REF!</v>
      </c>
      <c r="CD78" t="e">
        <f>AND(#REF!,"AAAAAGef/VE=")</f>
        <v>#REF!</v>
      </c>
      <c r="CE78" t="e">
        <f>AND(#REF!,"AAAAAGef/VI=")</f>
        <v>#REF!</v>
      </c>
      <c r="CF78" t="e">
        <f>AND(#REF!,"AAAAAGef/VM=")</f>
        <v>#REF!</v>
      </c>
      <c r="CG78" t="e">
        <f>AND(#REF!,"AAAAAGef/VQ=")</f>
        <v>#REF!</v>
      </c>
      <c r="CH78" t="e">
        <f>AND(#REF!,"AAAAAGef/VU=")</f>
        <v>#REF!</v>
      </c>
      <c r="CI78" t="e">
        <f>IF(#REF!,"AAAAAGef/VY=",0)</f>
        <v>#REF!</v>
      </c>
      <c r="CJ78" t="e">
        <f>AND(#REF!,"AAAAAGef/Vc=")</f>
        <v>#REF!</v>
      </c>
      <c r="CK78" t="e">
        <f>AND(#REF!,"AAAAAGef/Vg=")</f>
        <v>#REF!</v>
      </c>
      <c r="CL78" t="e">
        <f>AND(#REF!,"AAAAAGef/Vk=")</f>
        <v>#REF!</v>
      </c>
      <c r="CM78" t="e">
        <f>AND(#REF!,"AAAAAGef/Vo=")</f>
        <v>#REF!</v>
      </c>
      <c r="CN78" t="e">
        <f>AND(#REF!,"AAAAAGef/Vs=")</f>
        <v>#REF!</v>
      </c>
      <c r="CO78" t="e">
        <f>AND(#REF!,"AAAAAGef/Vw=")</f>
        <v>#REF!</v>
      </c>
      <c r="CP78" t="e">
        <f>AND(#REF!,"AAAAAGef/V0=")</f>
        <v>#REF!</v>
      </c>
      <c r="CQ78" t="e">
        <f>AND(#REF!,"AAAAAGef/V4=")</f>
        <v>#REF!</v>
      </c>
      <c r="CR78" t="e">
        <f>AND(#REF!,"AAAAAGef/V8=")</f>
        <v>#REF!</v>
      </c>
      <c r="CS78" t="e">
        <f>AND(#REF!,"AAAAAGef/WA=")</f>
        <v>#REF!</v>
      </c>
      <c r="CT78" t="e">
        <f>AND(#REF!,"AAAAAGef/WE=")</f>
        <v>#REF!</v>
      </c>
      <c r="CU78" t="e">
        <f>AND(#REF!,"AAAAAGef/WI=")</f>
        <v>#REF!</v>
      </c>
      <c r="CV78" t="e">
        <f>IF(#REF!,"AAAAAGef/WM=",0)</f>
        <v>#REF!</v>
      </c>
      <c r="CW78" t="e">
        <f>AND(#REF!,"AAAAAGef/WQ=")</f>
        <v>#REF!</v>
      </c>
      <c r="CX78" t="e">
        <f>AND(#REF!,"AAAAAGef/WU=")</f>
        <v>#REF!</v>
      </c>
      <c r="CY78" t="e">
        <f>AND(#REF!,"AAAAAGef/WY=")</f>
        <v>#REF!</v>
      </c>
      <c r="CZ78" t="e">
        <f>AND(#REF!,"AAAAAGef/Wc=")</f>
        <v>#REF!</v>
      </c>
      <c r="DA78" t="e">
        <f>AND(#REF!,"AAAAAGef/Wg=")</f>
        <v>#REF!</v>
      </c>
      <c r="DB78" t="e">
        <f>AND(#REF!,"AAAAAGef/Wk=")</f>
        <v>#REF!</v>
      </c>
      <c r="DC78" t="e">
        <f>AND(#REF!,"AAAAAGef/Wo=")</f>
        <v>#REF!</v>
      </c>
      <c r="DD78" t="e">
        <f>AND(#REF!,"AAAAAGef/Ws=")</f>
        <v>#REF!</v>
      </c>
      <c r="DE78" t="e">
        <f>AND(#REF!,"AAAAAGef/Ww=")</f>
        <v>#REF!</v>
      </c>
      <c r="DF78" t="e">
        <f>AND(#REF!,"AAAAAGef/W0=")</f>
        <v>#REF!</v>
      </c>
      <c r="DG78" t="e">
        <f>AND(#REF!,"AAAAAGef/W4=")</f>
        <v>#REF!</v>
      </c>
      <c r="DH78" t="e">
        <f>AND(#REF!,"AAAAAGef/W8=")</f>
        <v>#REF!</v>
      </c>
      <c r="DI78" t="e">
        <f>IF(#REF!,"AAAAAGef/XA=",0)</f>
        <v>#REF!</v>
      </c>
      <c r="DJ78" t="e">
        <f>AND(#REF!,"AAAAAGef/XE=")</f>
        <v>#REF!</v>
      </c>
      <c r="DK78" t="e">
        <f>AND(#REF!,"AAAAAGef/XI=")</f>
        <v>#REF!</v>
      </c>
      <c r="DL78" t="e">
        <f>AND(#REF!,"AAAAAGef/XM=")</f>
        <v>#REF!</v>
      </c>
      <c r="DM78" t="e">
        <f>AND(#REF!,"AAAAAGef/XQ=")</f>
        <v>#REF!</v>
      </c>
      <c r="DN78" t="e">
        <f>AND(#REF!,"AAAAAGef/XU=")</f>
        <v>#REF!</v>
      </c>
      <c r="DO78" t="e">
        <f>AND(#REF!,"AAAAAGef/XY=")</f>
        <v>#REF!</v>
      </c>
      <c r="DP78" t="e">
        <f>AND(#REF!,"AAAAAGef/Xc=")</f>
        <v>#REF!</v>
      </c>
      <c r="DQ78" t="e">
        <f>AND(#REF!,"AAAAAGef/Xg=")</f>
        <v>#REF!</v>
      </c>
      <c r="DR78" t="e">
        <f>AND(#REF!,"AAAAAGef/Xk=")</f>
        <v>#REF!</v>
      </c>
      <c r="DS78" t="e">
        <f>AND(#REF!,"AAAAAGef/Xo=")</f>
        <v>#REF!</v>
      </c>
      <c r="DT78" t="e">
        <f>AND(#REF!,"AAAAAGef/Xs=")</f>
        <v>#REF!</v>
      </c>
      <c r="DU78" t="e">
        <f>AND(#REF!,"AAAAAGef/Xw=")</f>
        <v>#REF!</v>
      </c>
      <c r="DV78" t="e">
        <f>IF(#REF!,"AAAAAGef/X0=",0)</f>
        <v>#REF!</v>
      </c>
      <c r="DW78" t="e">
        <f>AND(#REF!,"AAAAAGef/X4=")</f>
        <v>#REF!</v>
      </c>
      <c r="DX78" t="e">
        <f>AND(#REF!,"AAAAAGef/X8=")</f>
        <v>#REF!</v>
      </c>
      <c r="DY78" t="e">
        <f>AND(#REF!,"AAAAAGef/YA=")</f>
        <v>#REF!</v>
      </c>
      <c r="DZ78" t="e">
        <f>AND(#REF!,"AAAAAGef/YE=")</f>
        <v>#REF!</v>
      </c>
      <c r="EA78" t="e">
        <f>AND(#REF!,"AAAAAGef/YI=")</f>
        <v>#REF!</v>
      </c>
      <c r="EB78" t="e">
        <f>AND(#REF!,"AAAAAGef/YM=")</f>
        <v>#REF!</v>
      </c>
      <c r="EC78" t="e">
        <f>AND(#REF!,"AAAAAGef/YQ=")</f>
        <v>#REF!</v>
      </c>
      <c r="ED78" t="e">
        <f>AND(#REF!,"AAAAAGef/YU=")</f>
        <v>#REF!</v>
      </c>
      <c r="EE78" t="e">
        <f>AND(#REF!,"AAAAAGef/YY=")</f>
        <v>#REF!</v>
      </c>
      <c r="EF78" t="e">
        <f>AND(#REF!,"AAAAAGef/Yc=")</f>
        <v>#REF!</v>
      </c>
      <c r="EG78" t="e">
        <f>AND(#REF!,"AAAAAGef/Yg=")</f>
        <v>#REF!</v>
      </c>
      <c r="EH78" t="e">
        <f>AND(#REF!,"AAAAAGef/Yk=")</f>
        <v>#REF!</v>
      </c>
      <c r="EI78" t="e">
        <f>IF(#REF!,"AAAAAGef/Yo=",0)</f>
        <v>#REF!</v>
      </c>
      <c r="EJ78" t="e">
        <f>AND(#REF!,"AAAAAGef/Ys=")</f>
        <v>#REF!</v>
      </c>
      <c r="EK78" t="e">
        <f>AND(#REF!,"AAAAAGef/Yw=")</f>
        <v>#REF!</v>
      </c>
      <c r="EL78" t="e">
        <f>AND(#REF!,"AAAAAGef/Y0=")</f>
        <v>#REF!</v>
      </c>
      <c r="EM78" t="e">
        <f>AND(#REF!,"AAAAAGef/Y4=")</f>
        <v>#REF!</v>
      </c>
      <c r="EN78" t="e">
        <f>AND(#REF!,"AAAAAGef/Y8=")</f>
        <v>#REF!</v>
      </c>
      <c r="EO78" t="e">
        <f>AND(#REF!,"AAAAAGef/ZA=")</f>
        <v>#REF!</v>
      </c>
      <c r="EP78" t="e">
        <f>AND(#REF!,"AAAAAGef/ZE=")</f>
        <v>#REF!</v>
      </c>
      <c r="EQ78" t="e">
        <f>AND(#REF!,"AAAAAGef/ZI=")</f>
        <v>#REF!</v>
      </c>
      <c r="ER78" t="e">
        <f>AND(#REF!,"AAAAAGef/ZM=")</f>
        <v>#REF!</v>
      </c>
      <c r="ES78" t="e">
        <f>AND(#REF!,"AAAAAGef/ZQ=")</f>
        <v>#REF!</v>
      </c>
      <c r="ET78" t="e">
        <f>AND(#REF!,"AAAAAGef/ZU=")</f>
        <v>#REF!</v>
      </c>
      <c r="EU78" t="e">
        <f>AND(#REF!,"AAAAAGef/ZY=")</f>
        <v>#REF!</v>
      </c>
      <c r="EV78" t="e">
        <f>IF(#REF!,"AAAAAGef/Zc=",0)</f>
        <v>#REF!</v>
      </c>
      <c r="EW78" t="e">
        <f>AND(#REF!,"AAAAAGef/Zg=")</f>
        <v>#REF!</v>
      </c>
      <c r="EX78" t="e">
        <f>AND(#REF!,"AAAAAGef/Zk=")</f>
        <v>#REF!</v>
      </c>
      <c r="EY78" t="e">
        <f>AND(#REF!,"AAAAAGef/Zo=")</f>
        <v>#REF!</v>
      </c>
      <c r="EZ78" t="e">
        <f>AND(#REF!,"AAAAAGef/Zs=")</f>
        <v>#REF!</v>
      </c>
      <c r="FA78" t="e">
        <f>AND(#REF!,"AAAAAGef/Zw=")</f>
        <v>#REF!</v>
      </c>
      <c r="FB78" t="e">
        <f>AND(#REF!,"AAAAAGef/Z0=")</f>
        <v>#REF!</v>
      </c>
      <c r="FC78" t="e">
        <f>AND(#REF!,"AAAAAGef/Z4=")</f>
        <v>#REF!</v>
      </c>
      <c r="FD78" t="e">
        <f>AND(#REF!,"AAAAAGef/Z8=")</f>
        <v>#REF!</v>
      </c>
      <c r="FE78" t="e">
        <f>AND(#REF!,"AAAAAGef/aA=")</f>
        <v>#REF!</v>
      </c>
      <c r="FF78" t="e">
        <f>AND(#REF!,"AAAAAGef/aE=")</f>
        <v>#REF!</v>
      </c>
      <c r="FG78" t="e">
        <f>AND(#REF!,"AAAAAGef/aI=")</f>
        <v>#REF!</v>
      </c>
      <c r="FH78" t="e">
        <f>AND(#REF!,"AAAAAGef/aM=")</f>
        <v>#REF!</v>
      </c>
      <c r="FI78" t="e">
        <f>IF(#REF!,"AAAAAGef/aQ=",0)</f>
        <v>#REF!</v>
      </c>
      <c r="FJ78" t="e">
        <f>AND(#REF!,"AAAAAGef/aU=")</f>
        <v>#REF!</v>
      </c>
      <c r="FK78" t="e">
        <f>AND(#REF!,"AAAAAGef/aY=")</f>
        <v>#REF!</v>
      </c>
      <c r="FL78" t="e">
        <f>AND(#REF!,"AAAAAGef/ac=")</f>
        <v>#REF!</v>
      </c>
      <c r="FM78" t="e">
        <f>AND(#REF!,"AAAAAGef/ag=")</f>
        <v>#REF!</v>
      </c>
      <c r="FN78" t="e">
        <f>AND(#REF!,"AAAAAGef/ak=")</f>
        <v>#REF!</v>
      </c>
      <c r="FO78" t="e">
        <f>AND(#REF!,"AAAAAGef/ao=")</f>
        <v>#REF!</v>
      </c>
      <c r="FP78" t="e">
        <f>AND(#REF!,"AAAAAGef/as=")</f>
        <v>#REF!</v>
      </c>
      <c r="FQ78" t="e">
        <f>AND(#REF!,"AAAAAGef/aw=")</f>
        <v>#REF!</v>
      </c>
      <c r="FR78" t="e">
        <f>AND(#REF!,"AAAAAGef/a0=")</f>
        <v>#REF!</v>
      </c>
      <c r="FS78" t="e">
        <f>AND(#REF!,"AAAAAGef/a4=")</f>
        <v>#REF!</v>
      </c>
      <c r="FT78" t="e">
        <f>AND(#REF!,"AAAAAGef/a8=")</f>
        <v>#REF!</v>
      </c>
      <c r="FU78" t="e">
        <f>AND(#REF!,"AAAAAGef/bA=")</f>
        <v>#REF!</v>
      </c>
      <c r="FV78" t="e">
        <f>IF(#REF!,"AAAAAGef/bE=",0)</f>
        <v>#REF!</v>
      </c>
      <c r="FW78" t="e">
        <f>AND(#REF!,"AAAAAGef/bI=")</f>
        <v>#REF!</v>
      </c>
      <c r="FX78" t="e">
        <f>AND(#REF!,"AAAAAGef/bM=")</f>
        <v>#REF!</v>
      </c>
      <c r="FY78" t="e">
        <f>AND(#REF!,"AAAAAGef/bQ=")</f>
        <v>#REF!</v>
      </c>
      <c r="FZ78" t="e">
        <f>AND(#REF!,"AAAAAGef/bU=")</f>
        <v>#REF!</v>
      </c>
      <c r="GA78" t="e">
        <f>AND(#REF!,"AAAAAGef/bY=")</f>
        <v>#REF!</v>
      </c>
      <c r="GB78" t="e">
        <f>AND(#REF!,"AAAAAGef/bc=")</f>
        <v>#REF!</v>
      </c>
      <c r="GC78" t="e">
        <f>AND(#REF!,"AAAAAGef/bg=")</f>
        <v>#REF!</v>
      </c>
      <c r="GD78" t="e">
        <f>AND(#REF!,"AAAAAGef/bk=")</f>
        <v>#REF!</v>
      </c>
      <c r="GE78" t="e">
        <f>AND(#REF!,"AAAAAGef/bo=")</f>
        <v>#REF!</v>
      </c>
      <c r="GF78" t="e">
        <f>AND(#REF!,"AAAAAGef/bs=")</f>
        <v>#REF!</v>
      </c>
      <c r="GG78" t="e">
        <f>AND(#REF!,"AAAAAGef/bw=")</f>
        <v>#REF!</v>
      </c>
      <c r="GH78" t="e">
        <f>AND(#REF!,"AAAAAGef/b0=")</f>
        <v>#REF!</v>
      </c>
      <c r="GI78" t="e">
        <f>IF(#REF!,"AAAAAGef/b4=",0)</f>
        <v>#REF!</v>
      </c>
      <c r="GJ78" t="e">
        <f>AND(#REF!,"AAAAAGef/b8=")</f>
        <v>#REF!</v>
      </c>
      <c r="GK78" t="e">
        <f>AND(#REF!,"AAAAAGef/cA=")</f>
        <v>#REF!</v>
      </c>
      <c r="GL78" t="e">
        <f>AND(#REF!,"AAAAAGef/cE=")</f>
        <v>#REF!</v>
      </c>
      <c r="GM78" t="e">
        <f>AND(#REF!,"AAAAAGef/cI=")</f>
        <v>#REF!</v>
      </c>
      <c r="GN78" t="e">
        <f>AND(#REF!,"AAAAAGef/cM=")</f>
        <v>#REF!</v>
      </c>
      <c r="GO78" t="e">
        <f>AND(#REF!,"AAAAAGef/cQ=")</f>
        <v>#REF!</v>
      </c>
      <c r="GP78" t="e">
        <f>AND(#REF!,"AAAAAGef/cU=")</f>
        <v>#REF!</v>
      </c>
      <c r="GQ78" t="e">
        <f>AND(#REF!,"AAAAAGef/cY=")</f>
        <v>#REF!</v>
      </c>
      <c r="GR78" t="e">
        <f>AND(#REF!,"AAAAAGef/cc=")</f>
        <v>#REF!</v>
      </c>
      <c r="GS78" t="e">
        <f>AND(#REF!,"AAAAAGef/cg=")</f>
        <v>#REF!</v>
      </c>
      <c r="GT78" t="e">
        <f>AND(#REF!,"AAAAAGef/ck=")</f>
        <v>#REF!</v>
      </c>
      <c r="GU78" t="e">
        <f>AND(#REF!,"AAAAAGef/co=")</f>
        <v>#REF!</v>
      </c>
      <c r="GV78" t="e">
        <f>IF(#REF!,"AAAAAGef/cs=",0)</f>
        <v>#REF!</v>
      </c>
      <c r="GW78" t="e">
        <f>AND(#REF!,"AAAAAGef/cw=")</f>
        <v>#REF!</v>
      </c>
      <c r="GX78" t="e">
        <f>AND(#REF!,"AAAAAGef/c0=")</f>
        <v>#REF!</v>
      </c>
      <c r="GY78" t="e">
        <f>AND(#REF!,"AAAAAGef/c4=")</f>
        <v>#REF!</v>
      </c>
      <c r="GZ78" t="e">
        <f>AND(#REF!,"AAAAAGef/c8=")</f>
        <v>#REF!</v>
      </c>
      <c r="HA78" t="e">
        <f>AND(#REF!,"AAAAAGef/dA=")</f>
        <v>#REF!</v>
      </c>
      <c r="HB78" t="e">
        <f>AND(#REF!,"AAAAAGef/dE=")</f>
        <v>#REF!</v>
      </c>
      <c r="HC78" t="e">
        <f>AND(#REF!,"AAAAAGef/dI=")</f>
        <v>#REF!</v>
      </c>
      <c r="HD78" t="e">
        <f>AND(#REF!,"AAAAAGef/dM=")</f>
        <v>#REF!</v>
      </c>
      <c r="HE78" t="e">
        <f>AND(#REF!,"AAAAAGef/dQ=")</f>
        <v>#REF!</v>
      </c>
      <c r="HF78" t="e">
        <f>AND(#REF!,"AAAAAGef/dU=")</f>
        <v>#REF!</v>
      </c>
      <c r="HG78" t="e">
        <f>AND(#REF!,"AAAAAGef/dY=")</f>
        <v>#REF!</v>
      </c>
      <c r="HH78" t="e">
        <f>AND(#REF!,"AAAAAGef/dc=")</f>
        <v>#REF!</v>
      </c>
      <c r="HI78" t="e">
        <f>IF(#REF!,"AAAAAGef/dg=",0)</f>
        <v>#REF!</v>
      </c>
      <c r="HJ78" t="e">
        <f>AND(#REF!,"AAAAAGef/dk=")</f>
        <v>#REF!</v>
      </c>
      <c r="HK78" t="e">
        <f>AND(#REF!,"AAAAAGef/do=")</f>
        <v>#REF!</v>
      </c>
      <c r="HL78" t="e">
        <f>AND(#REF!,"AAAAAGef/ds=")</f>
        <v>#REF!</v>
      </c>
      <c r="HM78" t="e">
        <f>AND(#REF!,"AAAAAGef/dw=")</f>
        <v>#REF!</v>
      </c>
      <c r="HN78" t="e">
        <f>AND(#REF!,"AAAAAGef/d0=")</f>
        <v>#REF!</v>
      </c>
      <c r="HO78" t="e">
        <f>AND(#REF!,"AAAAAGef/d4=")</f>
        <v>#REF!</v>
      </c>
      <c r="HP78" t="e">
        <f>AND(#REF!,"AAAAAGef/d8=")</f>
        <v>#REF!</v>
      </c>
      <c r="HQ78" t="e">
        <f>AND(#REF!,"AAAAAGef/eA=")</f>
        <v>#REF!</v>
      </c>
      <c r="HR78" t="e">
        <f>AND(#REF!,"AAAAAGef/eE=")</f>
        <v>#REF!</v>
      </c>
      <c r="HS78" t="e">
        <f>AND(#REF!,"AAAAAGef/eI=")</f>
        <v>#REF!</v>
      </c>
      <c r="HT78" t="e">
        <f>AND(#REF!,"AAAAAGef/eM=")</f>
        <v>#REF!</v>
      </c>
      <c r="HU78" t="e">
        <f>AND(#REF!,"AAAAAGef/eQ=")</f>
        <v>#REF!</v>
      </c>
      <c r="HV78" t="e">
        <f>IF(#REF!,"AAAAAGef/eU=",0)</f>
        <v>#REF!</v>
      </c>
      <c r="HW78" t="e">
        <f>AND(#REF!,"AAAAAGef/eY=")</f>
        <v>#REF!</v>
      </c>
      <c r="HX78" t="e">
        <f>AND(#REF!,"AAAAAGef/ec=")</f>
        <v>#REF!</v>
      </c>
      <c r="HY78" t="e">
        <f>AND(#REF!,"AAAAAGef/eg=")</f>
        <v>#REF!</v>
      </c>
      <c r="HZ78" t="e">
        <f>AND(#REF!,"AAAAAGef/ek=")</f>
        <v>#REF!</v>
      </c>
      <c r="IA78" t="e">
        <f>AND(#REF!,"AAAAAGef/eo=")</f>
        <v>#REF!</v>
      </c>
      <c r="IB78" t="e">
        <f>AND(#REF!,"AAAAAGef/es=")</f>
        <v>#REF!</v>
      </c>
      <c r="IC78" t="e">
        <f>AND(#REF!,"AAAAAGef/ew=")</f>
        <v>#REF!</v>
      </c>
      <c r="ID78" t="e">
        <f>AND(#REF!,"AAAAAGef/e0=")</f>
        <v>#REF!</v>
      </c>
      <c r="IE78" t="e">
        <f>AND(#REF!,"AAAAAGef/e4=")</f>
        <v>#REF!</v>
      </c>
      <c r="IF78" t="e">
        <f>AND(#REF!,"AAAAAGef/e8=")</f>
        <v>#REF!</v>
      </c>
      <c r="IG78" t="e">
        <f>AND(#REF!,"AAAAAGef/fA=")</f>
        <v>#REF!</v>
      </c>
      <c r="IH78" t="e">
        <f>AND(#REF!,"AAAAAGef/fE=")</f>
        <v>#REF!</v>
      </c>
      <c r="II78" t="e">
        <f>IF(#REF!,"AAAAAGef/fI=",0)</f>
        <v>#REF!</v>
      </c>
      <c r="IJ78" t="e">
        <f>AND(#REF!,"AAAAAGef/fM=")</f>
        <v>#REF!</v>
      </c>
      <c r="IK78" t="e">
        <f>AND(#REF!,"AAAAAGef/fQ=")</f>
        <v>#REF!</v>
      </c>
      <c r="IL78" t="e">
        <f>AND(#REF!,"AAAAAGef/fU=")</f>
        <v>#REF!</v>
      </c>
      <c r="IM78" t="e">
        <f>AND(#REF!,"AAAAAGef/fY=")</f>
        <v>#REF!</v>
      </c>
      <c r="IN78" t="e">
        <f>AND(#REF!,"AAAAAGef/fc=")</f>
        <v>#REF!</v>
      </c>
      <c r="IO78" t="e">
        <f>AND(#REF!,"AAAAAGef/fg=")</f>
        <v>#REF!</v>
      </c>
      <c r="IP78" t="e">
        <f>AND(#REF!,"AAAAAGef/fk=")</f>
        <v>#REF!</v>
      </c>
      <c r="IQ78" t="e">
        <f>AND(#REF!,"AAAAAGef/fo=")</f>
        <v>#REF!</v>
      </c>
      <c r="IR78" t="e">
        <f>AND(#REF!,"AAAAAGef/fs=")</f>
        <v>#REF!</v>
      </c>
      <c r="IS78" t="e">
        <f>AND(#REF!,"AAAAAGef/fw=")</f>
        <v>#REF!</v>
      </c>
      <c r="IT78" t="e">
        <f>AND(#REF!,"AAAAAGef/f0=")</f>
        <v>#REF!</v>
      </c>
      <c r="IU78" t="e">
        <f>AND(#REF!,"AAAAAGef/f4=")</f>
        <v>#REF!</v>
      </c>
      <c r="IV78" t="e">
        <f>IF(#REF!,"AAAAAGef/f8=",0)</f>
        <v>#REF!</v>
      </c>
    </row>
    <row r="79" spans="1:256" x14ac:dyDescent="0.35">
      <c r="A79" t="e">
        <f>AND(#REF!,"AAAAAHnP/wA=")</f>
        <v>#REF!</v>
      </c>
      <c r="B79" t="e">
        <f>AND(#REF!,"AAAAAHnP/wE=")</f>
        <v>#REF!</v>
      </c>
      <c r="C79" t="e">
        <f>AND(#REF!,"AAAAAHnP/wI=")</f>
        <v>#REF!</v>
      </c>
      <c r="D79" t="e">
        <f>AND(#REF!,"AAAAAHnP/wM=")</f>
        <v>#REF!</v>
      </c>
      <c r="E79" t="e">
        <f>AND(#REF!,"AAAAAHnP/wQ=")</f>
        <v>#REF!</v>
      </c>
      <c r="F79" t="e">
        <f>AND(#REF!,"AAAAAHnP/wU=")</f>
        <v>#REF!</v>
      </c>
      <c r="G79" t="e">
        <f>AND(#REF!,"AAAAAHnP/wY=")</f>
        <v>#REF!</v>
      </c>
      <c r="H79" t="e">
        <f>AND(#REF!,"AAAAAHnP/wc=")</f>
        <v>#REF!</v>
      </c>
      <c r="I79" t="e">
        <f>AND(#REF!,"AAAAAHnP/wg=")</f>
        <v>#REF!</v>
      </c>
      <c r="J79" t="e">
        <f>AND(#REF!,"AAAAAHnP/wk=")</f>
        <v>#REF!</v>
      </c>
      <c r="K79" t="e">
        <f>AND(#REF!,"AAAAAHnP/wo=")</f>
        <v>#REF!</v>
      </c>
      <c r="L79" t="e">
        <f>AND(#REF!,"AAAAAHnP/ws=")</f>
        <v>#REF!</v>
      </c>
      <c r="M79" t="e">
        <f>IF(#REF!,"AAAAAHnP/ww=",0)</f>
        <v>#REF!</v>
      </c>
      <c r="N79" t="e">
        <f>AND(#REF!,"AAAAAHnP/w0=")</f>
        <v>#REF!</v>
      </c>
      <c r="O79" t="e">
        <f>AND(#REF!,"AAAAAHnP/w4=")</f>
        <v>#REF!</v>
      </c>
      <c r="P79" t="e">
        <f>AND(#REF!,"AAAAAHnP/w8=")</f>
        <v>#REF!</v>
      </c>
      <c r="Q79" t="e">
        <f>AND(#REF!,"AAAAAHnP/xA=")</f>
        <v>#REF!</v>
      </c>
      <c r="R79" t="e">
        <f>AND(#REF!,"AAAAAHnP/xE=")</f>
        <v>#REF!</v>
      </c>
      <c r="S79" t="e">
        <f>AND(#REF!,"AAAAAHnP/xI=")</f>
        <v>#REF!</v>
      </c>
      <c r="T79" t="e">
        <f>AND(#REF!,"AAAAAHnP/xM=")</f>
        <v>#REF!</v>
      </c>
      <c r="U79" t="e">
        <f>AND(#REF!,"AAAAAHnP/xQ=")</f>
        <v>#REF!</v>
      </c>
      <c r="V79" t="e">
        <f>AND(#REF!,"AAAAAHnP/xU=")</f>
        <v>#REF!</v>
      </c>
      <c r="W79" t="e">
        <f>AND(#REF!,"AAAAAHnP/xY=")</f>
        <v>#REF!</v>
      </c>
      <c r="X79" t="e">
        <f>AND(#REF!,"AAAAAHnP/xc=")</f>
        <v>#REF!</v>
      </c>
      <c r="Y79" t="e">
        <f>AND(#REF!,"AAAAAHnP/xg=")</f>
        <v>#REF!</v>
      </c>
      <c r="Z79" t="e">
        <f>IF(#REF!,"AAAAAHnP/xk=",0)</f>
        <v>#REF!</v>
      </c>
      <c r="AA79" t="e">
        <f>AND(#REF!,"AAAAAHnP/xo=")</f>
        <v>#REF!</v>
      </c>
      <c r="AB79" t="e">
        <f>AND(#REF!,"AAAAAHnP/xs=")</f>
        <v>#REF!</v>
      </c>
      <c r="AC79" t="e">
        <f>AND(#REF!,"AAAAAHnP/xw=")</f>
        <v>#REF!</v>
      </c>
      <c r="AD79" t="e">
        <f>AND(#REF!,"AAAAAHnP/x0=")</f>
        <v>#REF!</v>
      </c>
      <c r="AE79" t="e">
        <f>AND(#REF!,"AAAAAHnP/x4=")</f>
        <v>#REF!</v>
      </c>
      <c r="AF79" t="e">
        <f>AND(#REF!,"AAAAAHnP/x8=")</f>
        <v>#REF!</v>
      </c>
      <c r="AG79" t="e">
        <f>AND(#REF!,"AAAAAHnP/yA=")</f>
        <v>#REF!</v>
      </c>
      <c r="AH79" t="e">
        <f>AND(#REF!,"AAAAAHnP/yE=")</f>
        <v>#REF!</v>
      </c>
      <c r="AI79" t="e">
        <f>AND(#REF!,"AAAAAHnP/yI=")</f>
        <v>#REF!</v>
      </c>
      <c r="AJ79" t="e">
        <f>AND(#REF!,"AAAAAHnP/yM=")</f>
        <v>#REF!</v>
      </c>
      <c r="AK79" t="e">
        <f>AND(#REF!,"AAAAAHnP/yQ=")</f>
        <v>#REF!</v>
      </c>
      <c r="AL79" t="e">
        <f>AND(#REF!,"AAAAAHnP/yU=")</f>
        <v>#REF!</v>
      </c>
      <c r="AM79" t="e">
        <f>IF(#REF!,"AAAAAHnP/yY=",0)</f>
        <v>#REF!</v>
      </c>
      <c r="AN79" t="e">
        <f>IF(#REF!,"AAAAAHnP/yc=",0)</f>
        <v>#REF!</v>
      </c>
      <c r="AO79" t="e">
        <f>IF(#REF!,"AAAAAHnP/yg=",0)</f>
        <v>#REF!</v>
      </c>
      <c r="AP79" t="e">
        <f>IF(#REF!,"AAAAAHnP/yk=",0)</f>
        <v>#REF!</v>
      </c>
      <c r="AQ79" t="e">
        <f>IF(#REF!,"AAAAAHnP/yo=",0)</f>
        <v>#REF!</v>
      </c>
      <c r="AR79" t="e">
        <f>IF(#REF!,"AAAAAHnP/ys=",0)</f>
        <v>#REF!</v>
      </c>
      <c r="AS79" t="e">
        <f>IF(#REF!,"AAAAAHnP/yw=",0)</f>
        <v>#REF!</v>
      </c>
      <c r="AT79" t="e">
        <f>IF(#REF!,"AAAAAHnP/y0=",0)</f>
        <v>#REF!</v>
      </c>
      <c r="AU79" t="e">
        <f>IF(#REF!,"AAAAAHnP/y4=",0)</f>
        <v>#REF!</v>
      </c>
      <c r="AV79" t="e">
        <f>IF(#REF!,"AAAAAHnP/y8=",0)</f>
        <v>#REF!</v>
      </c>
      <c r="AW79" t="e">
        <f>IF(#REF!,"AAAAAHnP/zA=",0)</f>
        <v>#REF!</v>
      </c>
      <c r="AX79" t="e">
        <f>IF(#REF!,"AAAAAHnP/zE=",0)</f>
        <v>#REF!</v>
      </c>
      <c r="AY79" t="s">
        <v>827</v>
      </c>
    </row>
  </sheetData>
  <customSheetViews>
    <customSheetView guid="{00D35A15-206C-4C0C-8347-C5B4FB706EF6}" showPageBreaks="1" state="veryHidden">
      <selection activeCell="AY79" sqref="AY79"/>
      <pageMargins left="0.7" right="0.7" top="0.75" bottom="0.75" header="0.3" footer="0.3"/>
    </customSheetView>
  </customSheetViews>
  <phoneticPr fontId="0"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AV132"/>
  <sheetViews>
    <sheetView zoomScale="85" zoomScaleNormal="85" workbookViewId="0">
      <pane ySplit="6" topLeftCell="A7" activePane="bottomLeft" state="frozenSplit"/>
      <selection pane="bottomLeft" activeCell="O7" sqref="O7"/>
    </sheetView>
  </sheetViews>
  <sheetFormatPr defaultRowHeight="14.5" x14ac:dyDescent="0.35"/>
  <cols>
    <col min="1" max="1" width="3.36328125" customWidth="1"/>
    <col min="2" max="2" width="20.36328125" customWidth="1"/>
    <col min="3" max="3" width="5" customWidth="1"/>
    <col min="4" max="4" width="3.36328125" customWidth="1"/>
    <col min="5" max="5" width="13" style="38" customWidth="1"/>
    <col min="6" max="9" width="13" style="38" hidden="1" customWidth="1"/>
    <col min="10" max="10" width="3.36328125" customWidth="1"/>
    <col min="11" max="11" width="17.54296875" customWidth="1"/>
    <col min="12" max="13" width="15.36328125" hidden="1" customWidth="1"/>
    <col min="14" max="14" width="41.453125" customWidth="1"/>
    <col min="15" max="15" width="38.54296875" customWidth="1"/>
    <col min="19" max="33" width="9.36328125" hidden="1" customWidth="1"/>
  </cols>
  <sheetData>
    <row r="1" spans="1:48" x14ac:dyDescent="0.35">
      <c r="A1" s="46"/>
      <c r="B1" s="46"/>
      <c r="C1" s="46"/>
      <c r="D1" s="46"/>
      <c r="E1" s="49"/>
      <c r="F1" s="49"/>
      <c r="G1" s="49"/>
      <c r="H1" s="49"/>
      <c r="I1" s="49"/>
      <c r="J1" s="46"/>
      <c r="K1" s="46"/>
      <c r="L1" s="46"/>
      <c r="M1" s="46"/>
      <c r="N1" s="46"/>
      <c r="O1" s="46"/>
      <c r="P1" s="46"/>
      <c r="Q1" s="46"/>
      <c r="R1" s="46"/>
      <c r="S1" s="46"/>
      <c r="T1" s="46"/>
      <c r="U1" s="46"/>
      <c r="V1" s="46"/>
      <c r="W1" s="46"/>
      <c r="X1" s="46"/>
      <c r="Y1" s="46"/>
      <c r="Z1" s="46"/>
      <c r="AA1" s="46"/>
      <c r="AB1" s="46"/>
      <c r="AC1" s="46"/>
      <c r="AD1" s="46"/>
      <c r="AE1" s="46"/>
      <c r="AF1" s="46"/>
      <c r="AG1" s="46"/>
      <c r="AH1" s="46"/>
      <c r="AI1" s="46"/>
      <c r="AJ1" s="46"/>
      <c r="AK1" s="46"/>
      <c r="AL1" s="46"/>
      <c r="AM1" s="46"/>
      <c r="AN1" s="46"/>
      <c r="AO1" s="46"/>
      <c r="AP1" s="46"/>
      <c r="AQ1" s="46"/>
      <c r="AR1" s="46"/>
      <c r="AS1" s="46"/>
      <c r="AT1" s="46"/>
      <c r="AU1" s="46"/>
      <c r="AV1" s="46"/>
    </row>
    <row r="2" spans="1:48" x14ac:dyDescent="0.35">
      <c r="A2" s="46"/>
      <c r="B2" s="51"/>
      <c r="C2" s="51"/>
      <c r="D2" s="51"/>
      <c r="E2" s="51"/>
      <c r="F2" s="51"/>
      <c r="G2" s="49"/>
      <c r="H2" s="49"/>
      <c r="I2" s="49"/>
      <c r="J2" s="46"/>
      <c r="K2" s="396" t="s">
        <v>952</v>
      </c>
      <c r="L2" s="396"/>
      <c r="M2" s="396"/>
      <c r="N2" s="396"/>
      <c r="O2" s="396"/>
      <c r="P2" s="396"/>
      <c r="Q2" s="396"/>
      <c r="R2" s="396"/>
      <c r="S2" s="396"/>
      <c r="T2" s="396"/>
      <c r="U2" s="396"/>
      <c r="V2" s="396"/>
      <c r="W2" s="396"/>
      <c r="X2" s="396"/>
      <c r="Y2" s="396"/>
      <c r="Z2" s="396"/>
      <c r="AA2" s="396"/>
      <c r="AB2" s="396"/>
      <c r="AC2" s="396"/>
      <c r="AD2" s="396"/>
      <c r="AE2" s="396"/>
      <c r="AF2" s="396"/>
      <c r="AG2" s="396"/>
      <c r="AH2" s="396"/>
      <c r="AI2" s="46"/>
      <c r="AJ2" s="46"/>
      <c r="AK2" s="46"/>
      <c r="AL2" s="46"/>
      <c r="AM2" s="46"/>
      <c r="AN2" s="46"/>
      <c r="AO2" s="46"/>
      <c r="AP2" s="46"/>
      <c r="AQ2" s="46"/>
      <c r="AR2" s="46"/>
      <c r="AS2" s="46"/>
      <c r="AT2" s="46"/>
      <c r="AU2" s="46"/>
      <c r="AV2" s="46"/>
    </row>
    <row r="3" spans="1:48" hidden="1" x14ac:dyDescent="0.35">
      <c r="A3" s="46"/>
      <c r="B3" s="46"/>
      <c r="C3" s="46"/>
      <c r="D3" s="46"/>
      <c r="E3" s="49"/>
      <c r="F3" s="49"/>
      <c r="G3" s="49"/>
      <c r="H3" s="49"/>
      <c r="I3" s="49"/>
      <c r="J3" s="46"/>
      <c r="K3" s="46">
        <v>9</v>
      </c>
      <c r="L3" s="46">
        <v>9</v>
      </c>
      <c r="M3" s="46"/>
      <c r="N3" s="46">
        <v>3</v>
      </c>
      <c r="O3" s="46">
        <v>13</v>
      </c>
      <c r="P3" s="46">
        <v>10</v>
      </c>
      <c r="Q3" s="46">
        <v>11</v>
      </c>
      <c r="R3" s="46">
        <v>12</v>
      </c>
      <c r="S3" s="46">
        <v>10</v>
      </c>
      <c r="T3" s="46">
        <v>11</v>
      </c>
      <c r="U3" s="46">
        <v>12</v>
      </c>
      <c r="V3" s="46">
        <v>10</v>
      </c>
      <c r="W3" s="46">
        <v>11</v>
      </c>
      <c r="X3" s="46">
        <v>12</v>
      </c>
      <c r="Y3" s="46">
        <v>10</v>
      </c>
      <c r="Z3" s="46">
        <v>11</v>
      </c>
      <c r="AA3" s="46">
        <v>12</v>
      </c>
      <c r="AB3" s="46">
        <v>10</v>
      </c>
      <c r="AC3" s="46">
        <v>11</v>
      </c>
      <c r="AD3" s="46">
        <v>12</v>
      </c>
      <c r="AE3" s="46">
        <v>10</v>
      </c>
      <c r="AF3" s="46">
        <v>11</v>
      </c>
      <c r="AG3" s="46">
        <v>12</v>
      </c>
      <c r="AH3" s="46">
        <v>7</v>
      </c>
      <c r="AI3" s="46"/>
      <c r="AJ3" s="46"/>
      <c r="AK3" s="46"/>
      <c r="AL3" s="46"/>
      <c r="AM3" s="46"/>
      <c r="AN3" s="46"/>
      <c r="AO3" s="46"/>
      <c r="AP3" s="46"/>
      <c r="AQ3" s="46"/>
      <c r="AR3" s="46"/>
      <c r="AS3" s="46"/>
      <c r="AT3" s="46"/>
      <c r="AU3" s="46"/>
      <c r="AV3" s="46"/>
    </row>
    <row r="4" spans="1:48" x14ac:dyDescent="0.35">
      <c r="A4" s="46"/>
      <c r="B4" s="46"/>
      <c r="C4" s="46"/>
      <c r="D4" s="46"/>
      <c r="E4" s="49"/>
      <c r="F4" s="49"/>
      <c r="G4" s="49"/>
      <c r="H4" s="49"/>
      <c r="I4" s="49"/>
      <c r="J4" s="46"/>
      <c r="K4" s="46"/>
      <c r="L4" s="46"/>
      <c r="M4" s="46"/>
      <c r="N4" s="46"/>
      <c r="O4" s="46"/>
      <c r="P4" s="46"/>
      <c r="Q4" s="46"/>
      <c r="R4" s="46"/>
      <c r="S4" s="46"/>
      <c r="T4" s="46"/>
      <c r="U4" s="46"/>
      <c r="V4" s="46"/>
      <c r="W4" s="46"/>
      <c r="X4" s="46"/>
      <c r="Y4" s="46"/>
      <c r="Z4" s="46"/>
      <c r="AA4" s="46"/>
      <c r="AB4" s="46"/>
      <c r="AC4" s="46"/>
      <c r="AD4" s="46"/>
      <c r="AE4" s="46"/>
      <c r="AF4" s="46"/>
      <c r="AG4" s="46"/>
      <c r="AH4" s="46"/>
      <c r="AI4" s="46"/>
      <c r="AJ4" s="46"/>
      <c r="AK4" s="46"/>
      <c r="AL4" s="46"/>
      <c r="AM4" s="46"/>
      <c r="AN4" s="46"/>
      <c r="AO4" s="46"/>
      <c r="AP4" s="46"/>
      <c r="AQ4" s="46"/>
      <c r="AR4" s="46"/>
      <c r="AS4" s="46"/>
      <c r="AT4" s="46"/>
      <c r="AU4" s="46"/>
      <c r="AV4" s="46"/>
    </row>
    <row r="5" spans="1:48" x14ac:dyDescent="0.35">
      <c r="A5" s="46"/>
      <c r="B5" s="393" t="s">
        <v>937</v>
      </c>
      <c r="C5" s="393"/>
      <c r="D5" s="46"/>
      <c r="E5" s="394" t="s">
        <v>940</v>
      </c>
      <c r="F5" s="394" t="s">
        <v>946</v>
      </c>
      <c r="G5" s="394" t="s">
        <v>947</v>
      </c>
      <c r="H5" s="394" t="s">
        <v>948</v>
      </c>
      <c r="I5" s="394" t="s">
        <v>949</v>
      </c>
      <c r="J5" s="46"/>
      <c r="K5" s="391" t="s">
        <v>924</v>
      </c>
      <c r="L5" s="389" t="s">
        <v>924</v>
      </c>
      <c r="M5" s="389"/>
      <c r="N5" s="391" t="s">
        <v>925</v>
      </c>
      <c r="O5" s="391" t="s">
        <v>926</v>
      </c>
      <c r="P5" s="390" t="s">
        <v>927</v>
      </c>
      <c r="Q5" s="390" t="s">
        <v>928</v>
      </c>
      <c r="R5" s="390" t="s">
        <v>929</v>
      </c>
      <c r="S5" s="389" t="s">
        <v>943</v>
      </c>
      <c r="T5" s="389"/>
      <c r="U5" s="389"/>
      <c r="V5" s="389" t="s">
        <v>941</v>
      </c>
      <c r="W5" s="389"/>
      <c r="X5" s="389"/>
      <c r="Y5" s="389" t="s">
        <v>944</v>
      </c>
      <c r="Z5" s="389"/>
      <c r="AA5" s="389"/>
      <c r="AB5" s="389" t="s">
        <v>945</v>
      </c>
      <c r="AC5" s="389"/>
      <c r="AD5" s="389"/>
      <c r="AE5" s="389" t="s">
        <v>942</v>
      </c>
      <c r="AF5" s="389"/>
      <c r="AG5" s="389"/>
      <c r="AH5" s="397" t="s">
        <v>930</v>
      </c>
      <c r="AI5" s="46"/>
      <c r="AJ5" s="46"/>
      <c r="AK5" s="46"/>
      <c r="AL5" s="46"/>
      <c r="AM5" s="46"/>
      <c r="AN5" s="46"/>
      <c r="AO5" s="46"/>
      <c r="AP5" s="46"/>
      <c r="AQ5" s="46"/>
      <c r="AR5" s="46"/>
      <c r="AS5" s="46"/>
      <c r="AT5" s="46"/>
      <c r="AU5" s="46"/>
      <c r="AV5" s="46"/>
    </row>
    <row r="6" spans="1:48" x14ac:dyDescent="0.35">
      <c r="A6" s="46"/>
      <c r="B6" s="393"/>
      <c r="C6" s="393"/>
      <c r="D6" s="46"/>
      <c r="E6" s="395"/>
      <c r="F6" s="395"/>
      <c r="G6" s="395"/>
      <c r="H6" s="395"/>
      <c r="I6" s="395"/>
      <c r="J6" s="46"/>
      <c r="K6" s="392"/>
      <c r="L6" s="43" t="s">
        <v>931</v>
      </c>
      <c r="M6" s="43" t="s">
        <v>932</v>
      </c>
      <c r="N6" s="392"/>
      <c r="O6" s="392"/>
      <c r="P6" s="390"/>
      <c r="Q6" s="390"/>
      <c r="R6" s="390"/>
      <c r="S6" s="39" t="s">
        <v>927</v>
      </c>
      <c r="T6" s="39" t="s">
        <v>928</v>
      </c>
      <c r="U6" s="39" t="s">
        <v>929</v>
      </c>
      <c r="V6" s="39" t="s">
        <v>927</v>
      </c>
      <c r="W6" s="39" t="s">
        <v>928</v>
      </c>
      <c r="X6" s="39" t="s">
        <v>929</v>
      </c>
      <c r="Y6" s="39" t="s">
        <v>927</v>
      </c>
      <c r="Z6" s="39" t="s">
        <v>928</v>
      </c>
      <c r="AA6" s="39" t="s">
        <v>929</v>
      </c>
      <c r="AB6" s="39" t="s">
        <v>927</v>
      </c>
      <c r="AC6" s="39" t="s">
        <v>928</v>
      </c>
      <c r="AD6" s="39" t="s">
        <v>929</v>
      </c>
      <c r="AE6" s="39" t="s">
        <v>927</v>
      </c>
      <c r="AF6" s="39" t="s">
        <v>928</v>
      </c>
      <c r="AG6" s="39" t="s">
        <v>929</v>
      </c>
      <c r="AH6" s="398"/>
      <c r="AI6" s="46"/>
      <c r="AJ6" s="46"/>
      <c r="AK6" s="46"/>
      <c r="AL6" s="46"/>
      <c r="AM6" s="46"/>
      <c r="AN6" s="46"/>
      <c r="AO6" s="46"/>
      <c r="AP6" s="46"/>
      <c r="AQ6" s="46"/>
      <c r="AR6" s="46"/>
      <c r="AS6" s="46"/>
      <c r="AT6" s="46"/>
      <c r="AU6" s="46"/>
      <c r="AV6" s="46"/>
    </row>
    <row r="7" spans="1:48" x14ac:dyDescent="0.35">
      <c r="A7" s="46"/>
      <c r="B7" s="47" t="s">
        <v>935</v>
      </c>
      <c r="C7" s="50">
        <v>1</v>
      </c>
      <c r="D7" s="46"/>
      <c r="E7" s="50" t="s">
        <v>842</v>
      </c>
      <c r="F7" s="50"/>
      <c r="G7" s="50"/>
      <c r="H7" s="50"/>
      <c r="I7" s="50"/>
      <c r="J7" s="46"/>
      <c r="K7" s="42" t="e">
        <f t="shared" ref="K7:L38" si="0">IF($E7="","",IF(VLOOKUP($E7,specs_for_word2,K$3,0)="","",VLOOKUP($E7,specs_for_word2,K$3,0)))</f>
        <v>#N/A</v>
      </c>
      <c r="L7" s="42" t="e">
        <f t="shared" si="0"/>
        <v>#N/A</v>
      </c>
      <c r="M7" s="40"/>
      <c r="N7" s="42" t="e">
        <f t="shared" ref="N7:R16" si="1">IF($E7="","",IF(VLOOKUP($E7,specs_for_word2,N$3,0)="","",VLOOKUP($E7,specs_for_word2,N$3,0)))</f>
        <v>#N/A</v>
      </c>
      <c r="O7" s="42" t="e">
        <f t="shared" si="1"/>
        <v>#N/A</v>
      </c>
      <c r="P7" s="41" t="e">
        <f t="shared" si="1"/>
        <v>#N/A</v>
      </c>
      <c r="Q7" s="41" t="e">
        <f t="shared" si="1"/>
        <v>#N/A</v>
      </c>
      <c r="R7" s="41" t="e">
        <f t="shared" si="1"/>
        <v>#N/A</v>
      </c>
      <c r="S7" s="41" t="e">
        <f t="shared" ref="S7:U8" si="2">P7</f>
        <v>#N/A</v>
      </c>
      <c r="T7" s="41" t="e">
        <f t="shared" si="2"/>
        <v>#N/A</v>
      </c>
      <c r="U7" s="41" t="e">
        <f t="shared" si="2"/>
        <v>#N/A</v>
      </c>
      <c r="V7" s="41" t="str">
        <f t="shared" ref="V7:X26" si="3">IF($F7="","",IF(VLOOKUP($F7,specs_for_word2,V$3,0)="","",VLOOKUP($F7,specs_for_word2,V$3,0)))</f>
        <v/>
      </c>
      <c r="W7" s="41" t="str">
        <f t="shared" si="3"/>
        <v/>
      </c>
      <c r="X7" s="41" t="str">
        <f t="shared" si="3"/>
        <v/>
      </c>
      <c r="Y7" s="41" t="str">
        <f t="shared" ref="Y7:AA26" si="4">IF($G7="","",IF(VLOOKUP($G7,specs_for_word2,Y$3,0)="","",VLOOKUP($G7,specs_for_word2,Y$3,0)))</f>
        <v/>
      </c>
      <c r="Z7" s="41" t="str">
        <f t="shared" si="4"/>
        <v/>
      </c>
      <c r="AA7" s="41" t="str">
        <f t="shared" si="4"/>
        <v/>
      </c>
      <c r="AB7" s="41" t="str">
        <f t="shared" ref="AB7:AD26" si="5">IF($H7="","",IF(VLOOKUP($H7,specs_for_word2,AB$3,0)="","",VLOOKUP($H7,specs_for_word2,AB$3,0)))</f>
        <v/>
      </c>
      <c r="AC7" s="41" t="str">
        <f t="shared" si="5"/>
        <v/>
      </c>
      <c r="AD7" s="41" t="str">
        <f t="shared" si="5"/>
        <v/>
      </c>
      <c r="AE7" s="41" t="str">
        <f t="shared" ref="AE7:AG26" si="6">IF($I7="","",IF(VLOOKUP($I7,specs_for_word2,AE$3,0)="","",VLOOKUP($I7,specs_for_word2,AE$3,0)))</f>
        <v/>
      </c>
      <c r="AF7" s="41" t="str">
        <f t="shared" si="6"/>
        <v/>
      </c>
      <c r="AG7" s="41" t="str">
        <f t="shared" si="6"/>
        <v/>
      </c>
      <c r="AH7" s="41" t="e">
        <f t="shared" ref="AH7:AH38" si="7">IF($E7="","",IF(VLOOKUP($E7,specs_for_word2,AH$3,0)="","",VLOOKUP($E7,specs_for_word2,AH$3,0)))</f>
        <v>#N/A</v>
      </c>
      <c r="AI7" s="46"/>
      <c r="AJ7" s="46"/>
      <c r="AK7" s="46"/>
      <c r="AL7" s="46"/>
      <c r="AM7" s="46"/>
      <c r="AN7" s="46"/>
      <c r="AO7" s="46"/>
      <c r="AP7" s="46"/>
      <c r="AQ7" s="46"/>
      <c r="AR7" s="46"/>
      <c r="AS7" s="46"/>
      <c r="AT7" s="46"/>
      <c r="AU7" s="46"/>
      <c r="AV7" s="46"/>
    </row>
    <row r="8" spans="1:48" x14ac:dyDescent="0.35">
      <c r="A8" s="46"/>
      <c r="B8" s="48" t="s">
        <v>936</v>
      </c>
      <c r="C8" s="50" t="s">
        <v>933</v>
      </c>
      <c r="D8" s="46"/>
      <c r="E8" s="50" t="s">
        <v>843</v>
      </c>
      <c r="F8" s="50"/>
      <c r="G8" s="50"/>
      <c r="H8" s="50"/>
      <c r="I8" s="50"/>
      <c r="J8" s="46"/>
      <c r="K8" s="42" t="e">
        <f t="shared" si="0"/>
        <v>#N/A</v>
      </c>
      <c r="L8" s="42" t="e">
        <f t="shared" si="0"/>
        <v>#N/A</v>
      </c>
      <c r="M8" s="40"/>
      <c r="N8" s="42" t="e">
        <f t="shared" si="1"/>
        <v>#N/A</v>
      </c>
      <c r="O8" s="42" t="e">
        <f t="shared" si="1"/>
        <v>#N/A</v>
      </c>
      <c r="P8" s="41" t="e">
        <f t="shared" si="1"/>
        <v>#N/A</v>
      </c>
      <c r="Q8" s="41" t="e">
        <f t="shared" si="1"/>
        <v>#N/A</v>
      </c>
      <c r="R8" s="41" t="e">
        <f t="shared" si="1"/>
        <v>#N/A</v>
      </c>
      <c r="S8" s="41" t="e">
        <f t="shared" si="2"/>
        <v>#N/A</v>
      </c>
      <c r="T8" s="41" t="e">
        <f t="shared" si="2"/>
        <v>#N/A</v>
      </c>
      <c r="U8" s="41" t="e">
        <f t="shared" si="2"/>
        <v>#N/A</v>
      </c>
      <c r="V8" s="41" t="str">
        <f t="shared" si="3"/>
        <v/>
      </c>
      <c r="W8" s="41" t="str">
        <f t="shared" si="3"/>
        <v/>
      </c>
      <c r="X8" s="41" t="str">
        <f t="shared" si="3"/>
        <v/>
      </c>
      <c r="Y8" s="41" t="str">
        <f t="shared" si="4"/>
        <v/>
      </c>
      <c r="Z8" s="41" t="str">
        <f t="shared" si="4"/>
        <v/>
      </c>
      <c r="AA8" s="41" t="str">
        <f t="shared" si="4"/>
        <v/>
      </c>
      <c r="AB8" s="41" t="str">
        <f t="shared" si="5"/>
        <v/>
      </c>
      <c r="AC8" s="41" t="str">
        <f t="shared" si="5"/>
        <v/>
      </c>
      <c r="AD8" s="41" t="str">
        <f t="shared" si="5"/>
        <v/>
      </c>
      <c r="AE8" s="41" t="str">
        <f t="shared" si="6"/>
        <v/>
      </c>
      <c r="AF8" s="41" t="str">
        <f t="shared" si="6"/>
        <v/>
      </c>
      <c r="AG8" s="41" t="str">
        <f t="shared" si="6"/>
        <v/>
      </c>
      <c r="AH8" s="41" t="e">
        <f t="shared" si="7"/>
        <v>#N/A</v>
      </c>
      <c r="AI8" s="46"/>
      <c r="AJ8" s="46"/>
      <c r="AK8" s="46"/>
      <c r="AL8" s="46"/>
      <c r="AM8" s="46"/>
      <c r="AN8" s="46"/>
      <c r="AO8" s="46"/>
      <c r="AP8" s="46"/>
      <c r="AQ8" s="46"/>
      <c r="AR8" s="46"/>
      <c r="AS8" s="46"/>
      <c r="AT8" s="46"/>
      <c r="AU8" s="46"/>
      <c r="AV8" s="46"/>
    </row>
    <row r="9" spans="1:48" x14ac:dyDescent="0.35">
      <c r="A9" s="46"/>
      <c r="B9" s="48" t="s">
        <v>939</v>
      </c>
      <c r="C9" s="50" t="s">
        <v>934</v>
      </c>
      <c r="D9" s="46"/>
      <c r="E9" s="50" t="s">
        <v>844</v>
      </c>
      <c r="F9" s="50"/>
      <c r="G9" s="50"/>
      <c r="H9" s="50"/>
      <c r="I9" s="50"/>
      <c r="J9" s="46"/>
      <c r="K9" s="42" t="e">
        <f t="shared" si="0"/>
        <v>#N/A</v>
      </c>
      <c r="L9" s="42" t="e">
        <f t="shared" si="0"/>
        <v>#N/A</v>
      </c>
      <c r="M9" s="40"/>
      <c r="N9" s="42" t="e">
        <f t="shared" si="1"/>
        <v>#N/A</v>
      </c>
      <c r="O9" s="42" t="e">
        <f t="shared" si="1"/>
        <v>#N/A</v>
      </c>
      <c r="P9" s="41" t="e">
        <f t="shared" si="1"/>
        <v>#N/A</v>
      </c>
      <c r="Q9" s="41" t="e">
        <f t="shared" si="1"/>
        <v>#N/A</v>
      </c>
      <c r="R9" s="41" t="e">
        <f t="shared" si="1"/>
        <v>#N/A</v>
      </c>
      <c r="S9" s="41" t="e">
        <f t="shared" ref="S9:S72" si="8">P9</f>
        <v>#N/A</v>
      </c>
      <c r="T9" s="41" t="e">
        <f>Q9</f>
        <v>#N/A</v>
      </c>
      <c r="U9" s="41" t="e">
        <f>R9</f>
        <v>#N/A</v>
      </c>
      <c r="V9" s="41" t="str">
        <f t="shared" si="3"/>
        <v/>
      </c>
      <c r="W9" s="41" t="str">
        <f t="shared" si="3"/>
        <v/>
      </c>
      <c r="X9" s="41" t="str">
        <f t="shared" si="3"/>
        <v/>
      </c>
      <c r="Y9" s="41" t="str">
        <f t="shared" si="4"/>
        <v/>
      </c>
      <c r="Z9" s="41" t="str">
        <f t="shared" si="4"/>
        <v/>
      </c>
      <c r="AA9" s="41" t="str">
        <f t="shared" si="4"/>
        <v/>
      </c>
      <c r="AB9" s="41" t="str">
        <f t="shared" si="5"/>
        <v/>
      </c>
      <c r="AC9" s="41" t="str">
        <f t="shared" si="5"/>
        <v/>
      </c>
      <c r="AD9" s="41" t="str">
        <f t="shared" si="5"/>
        <v/>
      </c>
      <c r="AE9" s="41" t="str">
        <f t="shared" si="6"/>
        <v/>
      </c>
      <c r="AF9" s="41" t="str">
        <f t="shared" si="6"/>
        <v/>
      </c>
      <c r="AG9" s="41" t="str">
        <f t="shared" si="6"/>
        <v/>
      </c>
      <c r="AH9" s="41" t="e">
        <f t="shared" si="7"/>
        <v>#N/A</v>
      </c>
      <c r="AI9" s="46"/>
      <c r="AJ9" s="46"/>
      <c r="AK9" s="46"/>
      <c r="AL9" s="46"/>
      <c r="AM9" s="46"/>
      <c r="AN9" s="46"/>
      <c r="AO9" s="46"/>
      <c r="AP9" s="46"/>
      <c r="AQ9" s="46"/>
      <c r="AR9" s="46"/>
      <c r="AS9" s="46"/>
      <c r="AT9" s="46"/>
      <c r="AU9" s="46"/>
      <c r="AV9" s="46"/>
    </row>
    <row r="10" spans="1:48" x14ac:dyDescent="0.35">
      <c r="A10" s="46"/>
      <c r="B10" s="48" t="s">
        <v>938</v>
      </c>
      <c r="C10" s="50" t="s">
        <v>934</v>
      </c>
      <c r="D10" s="46"/>
      <c r="E10" s="50" t="s">
        <v>845</v>
      </c>
      <c r="F10" s="50"/>
      <c r="G10" s="50"/>
      <c r="H10" s="50"/>
      <c r="I10" s="50"/>
      <c r="J10" s="46"/>
      <c r="K10" s="42" t="e">
        <f t="shared" si="0"/>
        <v>#N/A</v>
      </c>
      <c r="L10" s="42" t="e">
        <f t="shared" si="0"/>
        <v>#N/A</v>
      </c>
      <c r="M10" s="40"/>
      <c r="N10" s="42" t="e">
        <f t="shared" si="1"/>
        <v>#N/A</v>
      </c>
      <c r="O10" s="42" t="e">
        <f t="shared" si="1"/>
        <v>#N/A</v>
      </c>
      <c r="P10" s="41" t="e">
        <f t="shared" si="1"/>
        <v>#N/A</v>
      </c>
      <c r="Q10" s="41" t="e">
        <f t="shared" si="1"/>
        <v>#N/A</v>
      </c>
      <c r="R10" s="41" t="e">
        <f t="shared" si="1"/>
        <v>#N/A</v>
      </c>
      <c r="S10" s="41" t="e">
        <f t="shared" si="8"/>
        <v>#N/A</v>
      </c>
      <c r="T10" s="41" t="e">
        <f t="shared" ref="T10:T73" si="9">Q10</f>
        <v>#N/A</v>
      </c>
      <c r="U10" s="41" t="e">
        <f t="shared" ref="U10:U73" si="10">R10</f>
        <v>#N/A</v>
      </c>
      <c r="V10" s="41" t="str">
        <f t="shared" si="3"/>
        <v/>
      </c>
      <c r="W10" s="41" t="str">
        <f t="shared" si="3"/>
        <v/>
      </c>
      <c r="X10" s="41" t="str">
        <f t="shared" si="3"/>
        <v/>
      </c>
      <c r="Y10" s="41" t="str">
        <f t="shared" si="4"/>
        <v/>
      </c>
      <c r="Z10" s="41" t="str">
        <f t="shared" si="4"/>
        <v/>
      </c>
      <c r="AA10" s="41" t="str">
        <f t="shared" si="4"/>
        <v/>
      </c>
      <c r="AB10" s="41" t="str">
        <f t="shared" si="5"/>
        <v/>
      </c>
      <c r="AC10" s="41" t="str">
        <f t="shared" si="5"/>
        <v/>
      </c>
      <c r="AD10" s="41" t="str">
        <f t="shared" si="5"/>
        <v/>
      </c>
      <c r="AE10" s="41" t="str">
        <f t="shared" si="6"/>
        <v/>
      </c>
      <c r="AF10" s="41" t="str">
        <f t="shared" si="6"/>
        <v/>
      </c>
      <c r="AG10" s="41" t="str">
        <f t="shared" si="6"/>
        <v/>
      </c>
      <c r="AH10" s="41" t="e">
        <f t="shared" si="7"/>
        <v>#N/A</v>
      </c>
      <c r="AI10" s="46"/>
      <c r="AJ10" s="46"/>
      <c r="AK10" s="46"/>
      <c r="AL10" s="46"/>
      <c r="AM10" s="46"/>
      <c r="AN10" s="46"/>
      <c r="AO10" s="46"/>
      <c r="AP10" s="46"/>
      <c r="AQ10" s="46"/>
      <c r="AR10" s="46"/>
      <c r="AS10" s="46"/>
      <c r="AT10" s="46"/>
      <c r="AU10" s="46"/>
      <c r="AV10" s="46"/>
    </row>
    <row r="11" spans="1:48" x14ac:dyDescent="0.35">
      <c r="A11" s="46"/>
      <c r="B11" s="44"/>
      <c r="C11" s="45"/>
      <c r="D11" s="46"/>
      <c r="E11" s="50" t="s">
        <v>846</v>
      </c>
      <c r="F11" s="50"/>
      <c r="G11" s="50"/>
      <c r="H11" s="50"/>
      <c r="I11" s="50"/>
      <c r="J11" s="46"/>
      <c r="K11" s="42" t="e">
        <f t="shared" si="0"/>
        <v>#N/A</v>
      </c>
      <c r="L11" s="42" t="e">
        <f t="shared" si="0"/>
        <v>#N/A</v>
      </c>
      <c r="M11" s="40"/>
      <c r="N11" s="42" t="e">
        <f t="shared" si="1"/>
        <v>#N/A</v>
      </c>
      <c r="O11" s="42" t="e">
        <f t="shared" si="1"/>
        <v>#N/A</v>
      </c>
      <c r="P11" s="41" t="e">
        <f t="shared" si="1"/>
        <v>#N/A</v>
      </c>
      <c r="Q11" s="41" t="e">
        <f t="shared" si="1"/>
        <v>#N/A</v>
      </c>
      <c r="R11" s="41" t="e">
        <f t="shared" si="1"/>
        <v>#N/A</v>
      </c>
      <c r="S11" s="41" t="e">
        <f t="shared" si="8"/>
        <v>#N/A</v>
      </c>
      <c r="T11" s="41" t="e">
        <f t="shared" si="9"/>
        <v>#N/A</v>
      </c>
      <c r="U11" s="41" t="e">
        <f t="shared" si="10"/>
        <v>#N/A</v>
      </c>
      <c r="V11" s="41" t="str">
        <f t="shared" si="3"/>
        <v/>
      </c>
      <c r="W11" s="41" t="str">
        <f t="shared" si="3"/>
        <v/>
      </c>
      <c r="X11" s="41" t="str">
        <f t="shared" si="3"/>
        <v/>
      </c>
      <c r="Y11" s="41" t="str">
        <f t="shared" si="4"/>
        <v/>
      </c>
      <c r="Z11" s="41" t="str">
        <f t="shared" si="4"/>
        <v/>
      </c>
      <c r="AA11" s="41" t="str">
        <f t="shared" si="4"/>
        <v/>
      </c>
      <c r="AB11" s="41" t="str">
        <f t="shared" si="5"/>
        <v/>
      </c>
      <c r="AC11" s="41" t="str">
        <f t="shared" si="5"/>
        <v/>
      </c>
      <c r="AD11" s="41" t="str">
        <f t="shared" si="5"/>
        <v/>
      </c>
      <c r="AE11" s="41" t="str">
        <f t="shared" si="6"/>
        <v/>
      </c>
      <c r="AF11" s="41" t="str">
        <f t="shared" si="6"/>
        <v/>
      </c>
      <c r="AG11" s="41" t="str">
        <f t="shared" si="6"/>
        <v/>
      </c>
      <c r="AH11" s="41" t="e">
        <f t="shared" si="7"/>
        <v>#N/A</v>
      </c>
      <c r="AI11" s="46"/>
      <c r="AJ11" s="46"/>
      <c r="AK11" s="46"/>
      <c r="AL11" s="46"/>
      <c r="AM11" s="46"/>
      <c r="AN11" s="46"/>
      <c r="AO11" s="46"/>
      <c r="AP11" s="46"/>
      <c r="AQ11" s="46"/>
      <c r="AR11" s="46"/>
      <c r="AS11" s="46"/>
      <c r="AT11" s="46"/>
      <c r="AU11" s="46"/>
      <c r="AV11" s="46"/>
    </row>
    <row r="12" spans="1:48" x14ac:dyDescent="0.35">
      <c r="A12" s="46"/>
      <c r="B12" s="44"/>
      <c r="C12" s="45"/>
      <c r="D12" s="46"/>
      <c r="E12" s="50" t="s">
        <v>847</v>
      </c>
      <c r="F12" s="50"/>
      <c r="G12" s="50"/>
      <c r="H12" s="50"/>
      <c r="I12" s="50"/>
      <c r="J12" s="46"/>
      <c r="K12" s="42" t="e">
        <f t="shared" si="0"/>
        <v>#N/A</v>
      </c>
      <c r="L12" s="42" t="e">
        <f t="shared" si="0"/>
        <v>#N/A</v>
      </c>
      <c r="M12" s="40"/>
      <c r="N12" s="42" t="e">
        <f t="shared" si="1"/>
        <v>#N/A</v>
      </c>
      <c r="O12" s="42" t="e">
        <f t="shared" si="1"/>
        <v>#N/A</v>
      </c>
      <c r="P12" s="41" t="e">
        <f t="shared" si="1"/>
        <v>#N/A</v>
      </c>
      <c r="Q12" s="41" t="e">
        <f t="shared" si="1"/>
        <v>#N/A</v>
      </c>
      <c r="R12" s="41" t="e">
        <f t="shared" si="1"/>
        <v>#N/A</v>
      </c>
      <c r="S12" s="41" t="e">
        <f t="shared" si="8"/>
        <v>#N/A</v>
      </c>
      <c r="T12" s="41" t="e">
        <f t="shared" si="9"/>
        <v>#N/A</v>
      </c>
      <c r="U12" s="41" t="e">
        <f t="shared" si="10"/>
        <v>#N/A</v>
      </c>
      <c r="V12" s="41" t="str">
        <f t="shared" si="3"/>
        <v/>
      </c>
      <c r="W12" s="41" t="str">
        <f t="shared" si="3"/>
        <v/>
      </c>
      <c r="X12" s="41" t="str">
        <f t="shared" si="3"/>
        <v/>
      </c>
      <c r="Y12" s="41" t="str">
        <f t="shared" si="4"/>
        <v/>
      </c>
      <c r="Z12" s="41" t="str">
        <f t="shared" si="4"/>
        <v/>
      </c>
      <c r="AA12" s="41" t="str">
        <f t="shared" si="4"/>
        <v/>
      </c>
      <c r="AB12" s="41" t="str">
        <f t="shared" si="5"/>
        <v/>
      </c>
      <c r="AC12" s="41" t="str">
        <f t="shared" si="5"/>
        <v/>
      </c>
      <c r="AD12" s="41" t="str">
        <f t="shared" si="5"/>
        <v/>
      </c>
      <c r="AE12" s="41" t="str">
        <f t="shared" si="6"/>
        <v/>
      </c>
      <c r="AF12" s="41" t="str">
        <f t="shared" si="6"/>
        <v/>
      </c>
      <c r="AG12" s="41" t="str">
        <f t="shared" si="6"/>
        <v/>
      </c>
      <c r="AH12" s="41" t="e">
        <f t="shared" si="7"/>
        <v>#N/A</v>
      </c>
      <c r="AI12" s="46"/>
      <c r="AJ12" s="46"/>
      <c r="AK12" s="46"/>
      <c r="AL12" s="46"/>
      <c r="AM12" s="46"/>
      <c r="AN12" s="46"/>
      <c r="AO12" s="46"/>
      <c r="AP12" s="46"/>
      <c r="AQ12" s="46"/>
      <c r="AR12" s="46"/>
      <c r="AS12" s="46"/>
      <c r="AT12" s="46"/>
      <c r="AU12" s="46"/>
      <c r="AV12" s="46"/>
    </row>
    <row r="13" spans="1:48" x14ac:dyDescent="0.35">
      <c r="A13" s="46"/>
      <c r="B13" s="44"/>
      <c r="C13" s="45"/>
      <c r="D13" s="46"/>
      <c r="E13" s="50" t="s">
        <v>848</v>
      </c>
      <c r="F13" s="50"/>
      <c r="G13" s="50"/>
      <c r="H13" s="50"/>
      <c r="I13" s="50"/>
      <c r="J13" s="46"/>
      <c r="K13" s="42" t="e">
        <f t="shared" si="0"/>
        <v>#N/A</v>
      </c>
      <c r="L13" s="42" t="e">
        <f t="shared" si="0"/>
        <v>#N/A</v>
      </c>
      <c r="M13" s="40"/>
      <c r="N13" s="42" t="e">
        <f t="shared" si="1"/>
        <v>#N/A</v>
      </c>
      <c r="O13" s="42" t="e">
        <f t="shared" si="1"/>
        <v>#N/A</v>
      </c>
      <c r="P13" s="41" t="e">
        <f t="shared" si="1"/>
        <v>#N/A</v>
      </c>
      <c r="Q13" s="41" t="e">
        <f t="shared" si="1"/>
        <v>#N/A</v>
      </c>
      <c r="R13" s="41" t="e">
        <f t="shared" si="1"/>
        <v>#N/A</v>
      </c>
      <c r="S13" s="41" t="e">
        <f t="shared" si="8"/>
        <v>#N/A</v>
      </c>
      <c r="T13" s="41" t="e">
        <f t="shared" si="9"/>
        <v>#N/A</v>
      </c>
      <c r="U13" s="41" t="e">
        <f t="shared" si="10"/>
        <v>#N/A</v>
      </c>
      <c r="V13" s="41" t="str">
        <f t="shared" si="3"/>
        <v/>
      </c>
      <c r="W13" s="41" t="str">
        <f t="shared" si="3"/>
        <v/>
      </c>
      <c r="X13" s="41" t="str">
        <f t="shared" si="3"/>
        <v/>
      </c>
      <c r="Y13" s="41" t="str">
        <f t="shared" si="4"/>
        <v/>
      </c>
      <c r="Z13" s="41" t="str">
        <f t="shared" si="4"/>
        <v/>
      </c>
      <c r="AA13" s="41" t="str">
        <f t="shared" si="4"/>
        <v/>
      </c>
      <c r="AB13" s="41" t="str">
        <f t="shared" si="5"/>
        <v/>
      </c>
      <c r="AC13" s="41" t="str">
        <f t="shared" si="5"/>
        <v/>
      </c>
      <c r="AD13" s="41" t="str">
        <f t="shared" si="5"/>
        <v/>
      </c>
      <c r="AE13" s="41" t="str">
        <f t="shared" si="6"/>
        <v/>
      </c>
      <c r="AF13" s="41" t="str">
        <f t="shared" si="6"/>
        <v/>
      </c>
      <c r="AG13" s="41" t="str">
        <f t="shared" si="6"/>
        <v/>
      </c>
      <c r="AH13" s="41" t="e">
        <f t="shared" si="7"/>
        <v>#N/A</v>
      </c>
      <c r="AI13" s="46"/>
      <c r="AJ13" s="46"/>
      <c r="AK13" s="46"/>
      <c r="AL13" s="46"/>
      <c r="AM13" s="46"/>
      <c r="AN13" s="46"/>
      <c r="AO13" s="46"/>
      <c r="AP13" s="46"/>
      <c r="AQ13" s="46"/>
      <c r="AR13" s="46"/>
      <c r="AS13" s="46"/>
      <c r="AT13" s="46"/>
      <c r="AU13" s="46"/>
      <c r="AV13" s="46"/>
    </row>
    <row r="14" spans="1:48" x14ac:dyDescent="0.35">
      <c r="A14" s="46"/>
      <c r="B14" s="44"/>
      <c r="C14" s="45"/>
      <c r="D14" s="46"/>
      <c r="E14" s="50" t="s">
        <v>923</v>
      </c>
      <c r="F14" s="50"/>
      <c r="G14" s="50"/>
      <c r="H14" s="50"/>
      <c r="I14" s="50"/>
      <c r="J14" s="46"/>
      <c r="K14" s="42" t="e">
        <f t="shared" si="0"/>
        <v>#N/A</v>
      </c>
      <c r="L14" s="42" t="e">
        <f t="shared" si="0"/>
        <v>#N/A</v>
      </c>
      <c r="M14" s="40"/>
      <c r="N14" s="42" t="e">
        <f t="shared" si="1"/>
        <v>#N/A</v>
      </c>
      <c r="O14" s="42" t="e">
        <f t="shared" si="1"/>
        <v>#N/A</v>
      </c>
      <c r="P14" s="41" t="e">
        <f t="shared" si="1"/>
        <v>#N/A</v>
      </c>
      <c r="Q14" s="41" t="e">
        <f t="shared" si="1"/>
        <v>#N/A</v>
      </c>
      <c r="R14" s="41" t="e">
        <f t="shared" si="1"/>
        <v>#N/A</v>
      </c>
      <c r="S14" s="41" t="e">
        <f t="shared" si="8"/>
        <v>#N/A</v>
      </c>
      <c r="T14" s="41" t="e">
        <f t="shared" si="9"/>
        <v>#N/A</v>
      </c>
      <c r="U14" s="41" t="e">
        <f t="shared" si="10"/>
        <v>#N/A</v>
      </c>
      <c r="V14" s="41" t="str">
        <f t="shared" si="3"/>
        <v/>
      </c>
      <c r="W14" s="41" t="str">
        <f t="shared" si="3"/>
        <v/>
      </c>
      <c r="X14" s="41" t="str">
        <f t="shared" si="3"/>
        <v/>
      </c>
      <c r="Y14" s="41" t="str">
        <f t="shared" si="4"/>
        <v/>
      </c>
      <c r="Z14" s="41" t="str">
        <f t="shared" si="4"/>
        <v/>
      </c>
      <c r="AA14" s="41" t="str">
        <f t="shared" si="4"/>
        <v/>
      </c>
      <c r="AB14" s="41" t="str">
        <f t="shared" si="5"/>
        <v/>
      </c>
      <c r="AC14" s="41" t="str">
        <f t="shared" si="5"/>
        <v/>
      </c>
      <c r="AD14" s="41" t="str">
        <f t="shared" si="5"/>
        <v/>
      </c>
      <c r="AE14" s="41" t="str">
        <f t="shared" si="6"/>
        <v/>
      </c>
      <c r="AF14" s="41" t="str">
        <f t="shared" si="6"/>
        <v/>
      </c>
      <c r="AG14" s="41" t="str">
        <f t="shared" si="6"/>
        <v/>
      </c>
      <c r="AH14" s="41" t="e">
        <f t="shared" si="7"/>
        <v>#N/A</v>
      </c>
      <c r="AI14" s="46"/>
      <c r="AJ14" s="46"/>
      <c r="AK14" s="46"/>
      <c r="AL14" s="46"/>
      <c r="AM14" s="46"/>
      <c r="AN14" s="46"/>
      <c r="AO14" s="46"/>
      <c r="AP14" s="46"/>
      <c r="AQ14" s="46"/>
      <c r="AR14" s="46"/>
      <c r="AS14" s="46"/>
      <c r="AT14" s="46"/>
      <c r="AU14" s="46"/>
      <c r="AV14" s="46"/>
    </row>
    <row r="15" spans="1:48" x14ac:dyDescent="0.35">
      <c r="A15" s="46"/>
      <c r="B15" s="44"/>
      <c r="C15" s="45"/>
      <c r="D15" s="46"/>
      <c r="E15" s="50"/>
      <c r="F15" s="50"/>
      <c r="G15" s="50"/>
      <c r="H15" s="50"/>
      <c r="I15" s="50"/>
      <c r="J15" s="46"/>
      <c r="K15" s="42" t="str">
        <f t="shared" si="0"/>
        <v/>
      </c>
      <c r="L15" s="42" t="str">
        <f t="shared" si="0"/>
        <v/>
      </c>
      <c r="M15" s="40"/>
      <c r="N15" s="42" t="str">
        <f t="shared" si="1"/>
        <v/>
      </c>
      <c r="O15" s="42" t="str">
        <f t="shared" si="1"/>
        <v/>
      </c>
      <c r="P15" s="41" t="str">
        <f t="shared" si="1"/>
        <v/>
      </c>
      <c r="Q15" s="41" t="str">
        <f t="shared" si="1"/>
        <v/>
      </c>
      <c r="R15" s="41" t="str">
        <f t="shared" si="1"/>
        <v/>
      </c>
      <c r="S15" s="41" t="str">
        <f t="shared" si="8"/>
        <v/>
      </c>
      <c r="T15" s="41" t="str">
        <f t="shared" si="9"/>
        <v/>
      </c>
      <c r="U15" s="41" t="str">
        <f t="shared" si="10"/>
        <v/>
      </c>
      <c r="V15" s="41" t="str">
        <f t="shared" si="3"/>
        <v/>
      </c>
      <c r="W15" s="41" t="str">
        <f t="shared" si="3"/>
        <v/>
      </c>
      <c r="X15" s="41" t="str">
        <f t="shared" si="3"/>
        <v/>
      </c>
      <c r="Y15" s="41" t="str">
        <f t="shared" si="4"/>
        <v/>
      </c>
      <c r="Z15" s="41" t="str">
        <f t="shared" si="4"/>
        <v/>
      </c>
      <c r="AA15" s="41" t="str">
        <f t="shared" si="4"/>
        <v/>
      </c>
      <c r="AB15" s="41" t="str">
        <f t="shared" si="5"/>
        <v/>
      </c>
      <c r="AC15" s="41" t="str">
        <f t="shared" si="5"/>
        <v/>
      </c>
      <c r="AD15" s="41" t="str">
        <f t="shared" si="5"/>
        <v/>
      </c>
      <c r="AE15" s="41" t="str">
        <f t="shared" si="6"/>
        <v/>
      </c>
      <c r="AF15" s="41" t="str">
        <f t="shared" si="6"/>
        <v/>
      </c>
      <c r="AG15" s="41" t="str">
        <f t="shared" si="6"/>
        <v/>
      </c>
      <c r="AH15" s="41" t="str">
        <f t="shared" si="7"/>
        <v/>
      </c>
      <c r="AI15" s="46"/>
      <c r="AJ15" s="46"/>
      <c r="AK15" s="46"/>
      <c r="AL15" s="46"/>
      <c r="AM15" s="46"/>
      <c r="AN15" s="46"/>
      <c r="AO15" s="46"/>
      <c r="AP15" s="46"/>
      <c r="AQ15" s="46"/>
      <c r="AR15" s="46"/>
      <c r="AS15" s="46"/>
      <c r="AT15" s="46"/>
      <c r="AU15" s="46"/>
      <c r="AV15" s="46"/>
    </row>
    <row r="16" spans="1:48" x14ac:dyDescent="0.35">
      <c r="A16" s="46"/>
      <c r="B16" s="44"/>
      <c r="C16" s="45"/>
      <c r="D16" s="46"/>
      <c r="E16" s="50"/>
      <c r="F16" s="50"/>
      <c r="G16" s="50"/>
      <c r="H16" s="50"/>
      <c r="I16" s="50"/>
      <c r="J16" s="46"/>
      <c r="K16" s="42" t="str">
        <f t="shared" si="0"/>
        <v/>
      </c>
      <c r="L16" s="42" t="str">
        <f t="shared" si="0"/>
        <v/>
      </c>
      <c r="M16" s="40"/>
      <c r="N16" s="42" t="str">
        <f t="shared" si="1"/>
        <v/>
      </c>
      <c r="O16" s="42" t="str">
        <f t="shared" si="1"/>
        <v/>
      </c>
      <c r="P16" s="41" t="str">
        <f t="shared" si="1"/>
        <v/>
      </c>
      <c r="Q16" s="41" t="str">
        <f t="shared" si="1"/>
        <v/>
      </c>
      <c r="R16" s="41" t="str">
        <f t="shared" si="1"/>
        <v/>
      </c>
      <c r="S16" s="41" t="str">
        <f t="shared" si="8"/>
        <v/>
      </c>
      <c r="T16" s="41" t="str">
        <f t="shared" si="9"/>
        <v/>
      </c>
      <c r="U16" s="41" t="str">
        <f t="shared" si="10"/>
        <v/>
      </c>
      <c r="V16" s="41" t="str">
        <f t="shared" si="3"/>
        <v/>
      </c>
      <c r="W16" s="41" t="str">
        <f t="shared" si="3"/>
        <v/>
      </c>
      <c r="X16" s="41" t="str">
        <f t="shared" si="3"/>
        <v/>
      </c>
      <c r="Y16" s="41" t="str">
        <f t="shared" si="4"/>
        <v/>
      </c>
      <c r="Z16" s="41" t="str">
        <f t="shared" si="4"/>
        <v/>
      </c>
      <c r="AA16" s="41" t="str">
        <f t="shared" si="4"/>
        <v/>
      </c>
      <c r="AB16" s="41" t="str">
        <f t="shared" si="5"/>
        <v/>
      </c>
      <c r="AC16" s="41" t="str">
        <f t="shared" si="5"/>
        <v/>
      </c>
      <c r="AD16" s="41" t="str">
        <f t="shared" si="5"/>
        <v/>
      </c>
      <c r="AE16" s="41" t="str">
        <f t="shared" si="6"/>
        <v/>
      </c>
      <c r="AF16" s="41" t="str">
        <f t="shared" si="6"/>
        <v/>
      </c>
      <c r="AG16" s="41" t="str">
        <f t="shared" si="6"/>
        <v/>
      </c>
      <c r="AH16" s="41" t="str">
        <f t="shared" si="7"/>
        <v/>
      </c>
      <c r="AI16" s="46"/>
      <c r="AJ16" s="46"/>
      <c r="AK16" s="46"/>
      <c r="AL16" s="46"/>
      <c r="AM16" s="46"/>
      <c r="AN16" s="46"/>
      <c r="AO16" s="46"/>
      <c r="AP16" s="46"/>
      <c r="AQ16" s="46"/>
      <c r="AR16" s="46"/>
      <c r="AS16" s="46"/>
      <c r="AT16" s="46"/>
      <c r="AU16" s="46"/>
      <c r="AV16" s="46"/>
    </row>
    <row r="17" spans="1:48" x14ac:dyDescent="0.35">
      <c r="A17" s="46"/>
      <c r="B17" s="44"/>
      <c r="C17" s="45"/>
      <c r="D17" s="46"/>
      <c r="E17" s="50"/>
      <c r="F17" s="50"/>
      <c r="G17" s="50"/>
      <c r="H17" s="50"/>
      <c r="I17" s="50"/>
      <c r="J17" s="46"/>
      <c r="K17" s="42" t="str">
        <f t="shared" si="0"/>
        <v/>
      </c>
      <c r="L17" s="42" t="str">
        <f t="shared" si="0"/>
        <v/>
      </c>
      <c r="M17" s="40"/>
      <c r="N17" s="42" t="str">
        <f t="shared" ref="N17:R26" si="11">IF($E17="","",IF(VLOOKUP($E17,specs_for_word2,N$3,0)="","",VLOOKUP($E17,specs_for_word2,N$3,0)))</f>
        <v/>
      </c>
      <c r="O17" s="42" t="str">
        <f t="shared" si="11"/>
        <v/>
      </c>
      <c r="P17" s="41" t="str">
        <f t="shared" si="11"/>
        <v/>
      </c>
      <c r="Q17" s="41" t="str">
        <f t="shared" si="11"/>
        <v/>
      </c>
      <c r="R17" s="41" t="str">
        <f t="shared" si="11"/>
        <v/>
      </c>
      <c r="S17" s="41" t="str">
        <f t="shared" si="8"/>
        <v/>
      </c>
      <c r="T17" s="41" t="str">
        <f t="shared" si="9"/>
        <v/>
      </c>
      <c r="U17" s="41" t="str">
        <f t="shared" si="10"/>
        <v/>
      </c>
      <c r="V17" s="41" t="str">
        <f t="shared" si="3"/>
        <v/>
      </c>
      <c r="W17" s="41" t="str">
        <f t="shared" si="3"/>
        <v/>
      </c>
      <c r="X17" s="41" t="str">
        <f t="shared" si="3"/>
        <v/>
      </c>
      <c r="Y17" s="41" t="str">
        <f t="shared" si="4"/>
        <v/>
      </c>
      <c r="Z17" s="41" t="str">
        <f t="shared" si="4"/>
        <v/>
      </c>
      <c r="AA17" s="41" t="str">
        <f t="shared" si="4"/>
        <v/>
      </c>
      <c r="AB17" s="41" t="str">
        <f t="shared" si="5"/>
        <v/>
      </c>
      <c r="AC17" s="41" t="str">
        <f t="shared" si="5"/>
        <v/>
      </c>
      <c r="AD17" s="41" t="str">
        <f t="shared" si="5"/>
        <v/>
      </c>
      <c r="AE17" s="41" t="str">
        <f t="shared" si="6"/>
        <v/>
      </c>
      <c r="AF17" s="41" t="str">
        <f t="shared" si="6"/>
        <v/>
      </c>
      <c r="AG17" s="41" t="str">
        <f t="shared" si="6"/>
        <v/>
      </c>
      <c r="AH17" s="41" t="str">
        <f t="shared" si="7"/>
        <v/>
      </c>
      <c r="AI17" s="46"/>
      <c r="AJ17" s="46"/>
      <c r="AK17" s="46"/>
      <c r="AL17" s="46"/>
      <c r="AM17" s="46"/>
      <c r="AN17" s="46"/>
      <c r="AO17" s="46"/>
      <c r="AP17" s="46"/>
      <c r="AQ17" s="46"/>
      <c r="AR17" s="46"/>
      <c r="AS17" s="46"/>
      <c r="AT17" s="46"/>
      <c r="AU17" s="46"/>
      <c r="AV17" s="46"/>
    </row>
    <row r="18" spans="1:48" x14ac:dyDescent="0.35">
      <c r="A18" s="46"/>
      <c r="B18" s="44"/>
      <c r="C18" s="45"/>
      <c r="D18" s="46"/>
      <c r="E18" s="50"/>
      <c r="F18" s="50"/>
      <c r="G18" s="50"/>
      <c r="H18" s="50"/>
      <c r="I18" s="50"/>
      <c r="J18" s="46"/>
      <c r="K18" s="42" t="str">
        <f t="shared" si="0"/>
        <v/>
      </c>
      <c r="L18" s="42" t="str">
        <f t="shared" si="0"/>
        <v/>
      </c>
      <c r="M18" s="40"/>
      <c r="N18" s="42" t="str">
        <f t="shared" si="11"/>
        <v/>
      </c>
      <c r="O18" s="42" t="str">
        <f t="shared" si="11"/>
        <v/>
      </c>
      <c r="P18" s="41" t="str">
        <f t="shared" si="11"/>
        <v/>
      </c>
      <c r="Q18" s="41" t="str">
        <f t="shared" si="11"/>
        <v/>
      </c>
      <c r="R18" s="41" t="str">
        <f t="shared" si="11"/>
        <v/>
      </c>
      <c r="S18" s="41" t="str">
        <f t="shared" si="8"/>
        <v/>
      </c>
      <c r="T18" s="41" t="str">
        <f t="shared" si="9"/>
        <v/>
      </c>
      <c r="U18" s="41" t="str">
        <f t="shared" si="10"/>
        <v/>
      </c>
      <c r="V18" s="41" t="str">
        <f t="shared" si="3"/>
        <v/>
      </c>
      <c r="W18" s="41" t="str">
        <f t="shared" si="3"/>
        <v/>
      </c>
      <c r="X18" s="41" t="str">
        <f t="shared" si="3"/>
        <v/>
      </c>
      <c r="Y18" s="41" t="str">
        <f t="shared" si="4"/>
        <v/>
      </c>
      <c r="Z18" s="41" t="str">
        <f t="shared" si="4"/>
        <v/>
      </c>
      <c r="AA18" s="41" t="str">
        <f t="shared" si="4"/>
        <v/>
      </c>
      <c r="AB18" s="41" t="str">
        <f t="shared" si="5"/>
        <v/>
      </c>
      <c r="AC18" s="41" t="str">
        <f t="shared" si="5"/>
        <v/>
      </c>
      <c r="AD18" s="41" t="str">
        <f t="shared" si="5"/>
        <v/>
      </c>
      <c r="AE18" s="41" t="str">
        <f t="shared" si="6"/>
        <v/>
      </c>
      <c r="AF18" s="41" t="str">
        <f t="shared" si="6"/>
        <v/>
      </c>
      <c r="AG18" s="41" t="str">
        <f t="shared" si="6"/>
        <v/>
      </c>
      <c r="AH18" s="41" t="str">
        <f t="shared" si="7"/>
        <v/>
      </c>
      <c r="AI18" s="46"/>
      <c r="AJ18" s="46"/>
      <c r="AK18" s="46"/>
      <c r="AL18" s="46"/>
      <c r="AM18" s="46"/>
      <c r="AN18" s="46"/>
      <c r="AO18" s="46"/>
      <c r="AP18" s="46"/>
      <c r="AQ18" s="46"/>
      <c r="AR18" s="46"/>
      <c r="AS18" s="46"/>
      <c r="AT18" s="46"/>
      <c r="AU18" s="46"/>
      <c r="AV18" s="46"/>
    </row>
    <row r="19" spans="1:48" x14ac:dyDescent="0.35">
      <c r="A19" s="46"/>
      <c r="B19" s="44"/>
      <c r="C19" s="45"/>
      <c r="D19" s="46"/>
      <c r="E19" s="50"/>
      <c r="F19" s="50"/>
      <c r="G19" s="50"/>
      <c r="H19" s="50"/>
      <c r="I19" s="50"/>
      <c r="J19" s="46"/>
      <c r="K19" s="42" t="str">
        <f t="shared" si="0"/>
        <v/>
      </c>
      <c r="L19" s="42" t="str">
        <f t="shared" si="0"/>
        <v/>
      </c>
      <c r="M19" s="40"/>
      <c r="N19" s="42" t="str">
        <f t="shared" si="11"/>
        <v/>
      </c>
      <c r="O19" s="42" t="str">
        <f t="shared" si="11"/>
        <v/>
      </c>
      <c r="P19" s="41" t="str">
        <f t="shared" si="11"/>
        <v/>
      </c>
      <c r="Q19" s="41" t="str">
        <f t="shared" si="11"/>
        <v/>
      </c>
      <c r="R19" s="41" t="str">
        <f t="shared" si="11"/>
        <v/>
      </c>
      <c r="S19" s="41" t="str">
        <f t="shared" si="8"/>
        <v/>
      </c>
      <c r="T19" s="41" t="str">
        <f t="shared" si="9"/>
        <v/>
      </c>
      <c r="U19" s="41" t="str">
        <f t="shared" si="10"/>
        <v/>
      </c>
      <c r="V19" s="41" t="str">
        <f t="shared" si="3"/>
        <v/>
      </c>
      <c r="W19" s="41" t="str">
        <f t="shared" si="3"/>
        <v/>
      </c>
      <c r="X19" s="41" t="str">
        <f t="shared" si="3"/>
        <v/>
      </c>
      <c r="Y19" s="41" t="str">
        <f t="shared" si="4"/>
        <v/>
      </c>
      <c r="Z19" s="41" t="str">
        <f t="shared" si="4"/>
        <v/>
      </c>
      <c r="AA19" s="41" t="str">
        <f t="shared" si="4"/>
        <v/>
      </c>
      <c r="AB19" s="41" t="str">
        <f t="shared" si="5"/>
        <v/>
      </c>
      <c r="AC19" s="41" t="str">
        <f t="shared" si="5"/>
        <v/>
      </c>
      <c r="AD19" s="41" t="str">
        <f t="shared" si="5"/>
        <v/>
      </c>
      <c r="AE19" s="41" t="str">
        <f t="shared" si="6"/>
        <v/>
      </c>
      <c r="AF19" s="41" t="str">
        <f t="shared" si="6"/>
        <v/>
      </c>
      <c r="AG19" s="41" t="str">
        <f t="shared" si="6"/>
        <v/>
      </c>
      <c r="AH19" s="41" t="str">
        <f t="shared" si="7"/>
        <v/>
      </c>
      <c r="AI19" s="46"/>
      <c r="AJ19" s="46"/>
      <c r="AK19" s="46"/>
      <c r="AL19" s="46"/>
      <c r="AM19" s="46"/>
      <c r="AN19" s="46"/>
      <c r="AO19" s="46"/>
      <c r="AP19" s="46"/>
      <c r="AQ19" s="46"/>
      <c r="AR19" s="46"/>
      <c r="AS19" s="46"/>
      <c r="AT19" s="46"/>
      <c r="AU19" s="46"/>
      <c r="AV19" s="46"/>
    </row>
    <row r="20" spans="1:48" x14ac:dyDescent="0.35">
      <c r="A20" s="46"/>
      <c r="B20" s="44"/>
      <c r="C20" s="45"/>
      <c r="D20" s="46"/>
      <c r="E20" s="50"/>
      <c r="F20" s="50"/>
      <c r="G20" s="50"/>
      <c r="H20" s="50"/>
      <c r="I20" s="50"/>
      <c r="J20" s="46"/>
      <c r="K20" s="42" t="str">
        <f t="shared" si="0"/>
        <v/>
      </c>
      <c r="L20" s="42" t="str">
        <f t="shared" si="0"/>
        <v/>
      </c>
      <c r="M20" s="40"/>
      <c r="N20" s="42" t="str">
        <f t="shared" si="11"/>
        <v/>
      </c>
      <c r="O20" s="42" t="str">
        <f t="shared" si="11"/>
        <v/>
      </c>
      <c r="P20" s="41" t="str">
        <f t="shared" si="11"/>
        <v/>
      </c>
      <c r="Q20" s="41" t="str">
        <f t="shared" si="11"/>
        <v/>
      </c>
      <c r="R20" s="41" t="str">
        <f t="shared" si="11"/>
        <v/>
      </c>
      <c r="S20" s="41" t="str">
        <f t="shared" si="8"/>
        <v/>
      </c>
      <c r="T20" s="41" t="str">
        <f t="shared" si="9"/>
        <v/>
      </c>
      <c r="U20" s="41" t="str">
        <f t="shared" si="10"/>
        <v/>
      </c>
      <c r="V20" s="41" t="str">
        <f t="shared" si="3"/>
        <v/>
      </c>
      <c r="W20" s="41" t="str">
        <f t="shared" si="3"/>
        <v/>
      </c>
      <c r="X20" s="41" t="str">
        <f t="shared" si="3"/>
        <v/>
      </c>
      <c r="Y20" s="41" t="str">
        <f t="shared" si="4"/>
        <v/>
      </c>
      <c r="Z20" s="41" t="str">
        <f t="shared" si="4"/>
        <v/>
      </c>
      <c r="AA20" s="41" t="str">
        <f t="shared" si="4"/>
        <v/>
      </c>
      <c r="AB20" s="41" t="str">
        <f t="shared" si="5"/>
        <v/>
      </c>
      <c r="AC20" s="41" t="str">
        <f t="shared" si="5"/>
        <v/>
      </c>
      <c r="AD20" s="41" t="str">
        <f t="shared" si="5"/>
        <v/>
      </c>
      <c r="AE20" s="41" t="str">
        <f t="shared" si="6"/>
        <v/>
      </c>
      <c r="AF20" s="41" t="str">
        <f t="shared" si="6"/>
        <v/>
      </c>
      <c r="AG20" s="41" t="str">
        <f t="shared" si="6"/>
        <v/>
      </c>
      <c r="AH20" s="41" t="str">
        <f t="shared" si="7"/>
        <v/>
      </c>
      <c r="AI20" s="46"/>
      <c r="AJ20" s="46"/>
      <c r="AK20" s="46"/>
      <c r="AL20" s="46"/>
      <c r="AM20" s="46"/>
      <c r="AN20" s="46"/>
      <c r="AO20" s="46"/>
      <c r="AP20" s="46"/>
      <c r="AQ20" s="46"/>
      <c r="AR20" s="46"/>
      <c r="AS20" s="46"/>
      <c r="AT20" s="46"/>
      <c r="AU20" s="46"/>
      <c r="AV20" s="46"/>
    </row>
    <row r="21" spans="1:48" x14ac:dyDescent="0.35">
      <c r="A21" s="46"/>
      <c r="B21" s="44"/>
      <c r="C21" s="45"/>
      <c r="D21" s="46"/>
      <c r="E21" s="50"/>
      <c r="F21" s="50"/>
      <c r="G21" s="50"/>
      <c r="H21" s="50"/>
      <c r="I21" s="50"/>
      <c r="J21" s="46"/>
      <c r="K21" s="42" t="str">
        <f t="shared" si="0"/>
        <v/>
      </c>
      <c r="L21" s="42" t="str">
        <f t="shared" si="0"/>
        <v/>
      </c>
      <c r="M21" s="40"/>
      <c r="N21" s="42" t="str">
        <f t="shared" si="11"/>
        <v/>
      </c>
      <c r="O21" s="42" t="str">
        <f t="shared" si="11"/>
        <v/>
      </c>
      <c r="P21" s="41" t="str">
        <f t="shared" si="11"/>
        <v/>
      </c>
      <c r="Q21" s="41" t="str">
        <f t="shared" si="11"/>
        <v/>
      </c>
      <c r="R21" s="41" t="str">
        <f t="shared" si="11"/>
        <v/>
      </c>
      <c r="S21" s="41" t="str">
        <f t="shared" si="8"/>
        <v/>
      </c>
      <c r="T21" s="41" t="str">
        <f t="shared" si="9"/>
        <v/>
      </c>
      <c r="U21" s="41" t="str">
        <f t="shared" si="10"/>
        <v/>
      </c>
      <c r="V21" s="41" t="str">
        <f t="shared" si="3"/>
        <v/>
      </c>
      <c r="W21" s="41" t="str">
        <f t="shared" si="3"/>
        <v/>
      </c>
      <c r="X21" s="41" t="str">
        <f t="shared" si="3"/>
        <v/>
      </c>
      <c r="Y21" s="41" t="str">
        <f t="shared" si="4"/>
        <v/>
      </c>
      <c r="Z21" s="41" t="str">
        <f t="shared" si="4"/>
        <v/>
      </c>
      <c r="AA21" s="41" t="str">
        <f t="shared" si="4"/>
        <v/>
      </c>
      <c r="AB21" s="41" t="str">
        <f t="shared" si="5"/>
        <v/>
      </c>
      <c r="AC21" s="41" t="str">
        <f t="shared" si="5"/>
        <v/>
      </c>
      <c r="AD21" s="41" t="str">
        <f t="shared" si="5"/>
        <v/>
      </c>
      <c r="AE21" s="41" t="str">
        <f t="shared" si="6"/>
        <v/>
      </c>
      <c r="AF21" s="41" t="str">
        <f t="shared" si="6"/>
        <v/>
      </c>
      <c r="AG21" s="41" t="str">
        <f t="shared" si="6"/>
        <v/>
      </c>
      <c r="AH21" s="41" t="str">
        <f t="shared" si="7"/>
        <v/>
      </c>
      <c r="AI21" s="46"/>
      <c r="AJ21" s="46"/>
      <c r="AK21" s="46"/>
      <c r="AL21" s="46"/>
      <c r="AM21" s="46"/>
      <c r="AN21" s="46"/>
      <c r="AO21" s="46"/>
      <c r="AP21" s="46"/>
      <c r="AQ21" s="46"/>
      <c r="AR21" s="46"/>
      <c r="AS21" s="46"/>
      <c r="AT21" s="46"/>
      <c r="AU21" s="46"/>
      <c r="AV21" s="46"/>
    </row>
    <row r="22" spans="1:48" x14ac:dyDescent="0.35">
      <c r="A22" s="46"/>
      <c r="B22" s="44"/>
      <c r="C22" s="45"/>
      <c r="D22" s="46"/>
      <c r="E22" s="50"/>
      <c r="F22" s="50"/>
      <c r="G22" s="50"/>
      <c r="H22" s="50"/>
      <c r="I22" s="50"/>
      <c r="J22" s="46"/>
      <c r="K22" s="42" t="str">
        <f t="shared" si="0"/>
        <v/>
      </c>
      <c r="L22" s="42" t="str">
        <f t="shared" si="0"/>
        <v/>
      </c>
      <c r="M22" s="40"/>
      <c r="N22" s="42" t="str">
        <f t="shared" si="11"/>
        <v/>
      </c>
      <c r="O22" s="42" t="str">
        <f t="shared" si="11"/>
        <v/>
      </c>
      <c r="P22" s="41" t="str">
        <f t="shared" si="11"/>
        <v/>
      </c>
      <c r="Q22" s="41" t="str">
        <f t="shared" si="11"/>
        <v/>
      </c>
      <c r="R22" s="41" t="str">
        <f t="shared" si="11"/>
        <v/>
      </c>
      <c r="S22" s="41" t="str">
        <f t="shared" si="8"/>
        <v/>
      </c>
      <c r="T22" s="41" t="str">
        <f t="shared" si="9"/>
        <v/>
      </c>
      <c r="U22" s="41" t="str">
        <f t="shared" si="10"/>
        <v/>
      </c>
      <c r="V22" s="41" t="str">
        <f t="shared" si="3"/>
        <v/>
      </c>
      <c r="W22" s="41" t="str">
        <f t="shared" si="3"/>
        <v/>
      </c>
      <c r="X22" s="41" t="str">
        <f t="shared" si="3"/>
        <v/>
      </c>
      <c r="Y22" s="41" t="str">
        <f t="shared" si="4"/>
        <v/>
      </c>
      <c r="Z22" s="41" t="str">
        <f t="shared" si="4"/>
        <v/>
      </c>
      <c r="AA22" s="41" t="str">
        <f t="shared" si="4"/>
        <v/>
      </c>
      <c r="AB22" s="41" t="str">
        <f t="shared" si="5"/>
        <v/>
      </c>
      <c r="AC22" s="41" t="str">
        <f t="shared" si="5"/>
        <v/>
      </c>
      <c r="AD22" s="41" t="str">
        <f t="shared" si="5"/>
        <v/>
      </c>
      <c r="AE22" s="41" t="str">
        <f t="shared" si="6"/>
        <v/>
      </c>
      <c r="AF22" s="41" t="str">
        <f t="shared" si="6"/>
        <v/>
      </c>
      <c r="AG22" s="41" t="str">
        <f t="shared" si="6"/>
        <v/>
      </c>
      <c r="AH22" s="41" t="str">
        <f t="shared" si="7"/>
        <v/>
      </c>
      <c r="AI22" s="46"/>
      <c r="AJ22" s="46"/>
      <c r="AK22" s="46"/>
      <c r="AL22" s="46"/>
      <c r="AM22" s="46"/>
      <c r="AN22" s="46"/>
      <c r="AO22" s="46"/>
      <c r="AP22" s="46"/>
      <c r="AQ22" s="46"/>
      <c r="AR22" s="46"/>
      <c r="AS22" s="46"/>
      <c r="AT22" s="46"/>
      <c r="AU22" s="46"/>
      <c r="AV22" s="46"/>
    </row>
    <row r="23" spans="1:48" x14ac:dyDescent="0.35">
      <c r="A23" s="46"/>
      <c r="B23" s="44"/>
      <c r="C23" s="45"/>
      <c r="D23" s="46"/>
      <c r="E23" s="50"/>
      <c r="F23" s="50"/>
      <c r="G23" s="50"/>
      <c r="H23" s="50"/>
      <c r="I23" s="50"/>
      <c r="J23" s="46"/>
      <c r="K23" s="42" t="str">
        <f t="shared" si="0"/>
        <v/>
      </c>
      <c r="L23" s="42" t="str">
        <f t="shared" si="0"/>
        <v/>
      </c>
      <c r="M23" s="40"/>
      <c r="N23" s="42" t="str">
        <f t="shared" si="11"/>
        <v/>
      </c>
      <c r="O23" s="42" t="str">
        <f t="shared" si="11"/>
        <v/>
      </c>
      <c r="P23" s="41" t="str">
        <f t="shared" si="11"/>
        <v/>
      </c>
      <c r="Q23" s="41" t="str">
        <f t="shared" si="11"/>
        <v/>
      </c>
      <c r="R23" s="41" t="str">
        <f t="shared" si="11"/>
        <v/>
      </c>
      <c r="S23" s="41" t="str">
        <f t="shared" si="8"/>
        <v/>
      </c>
      <c r="T23" s="41" t="str">
        <f t="shared" si="9"/>
        <v/>
      </c>
      <c r="U23" s="41" t="str">
        <f t="shared" si="10"/>
        <v/>
      </c>
      <c r="V23" s="41" t="str">
        <f t="shared" si="3"/>
        <v/>
      </c>
      <c r="W23" s="41" t="str">
        <f t="shared" si="3"/>
        <v/>
      </c>
      <c r="X23" s="41" t="str">
        <f t="shared" si="3"/>
        <v/>
      </c>
      <c r="Y23" s="41" t="str">
        <f t="shared" si="4"/>
        <v/>
      </c>
      <c r="Z23" s="41" t="str">
        <f t="shared" si="4"/>
        <v/>
      </c>
      <c r="AA23" s="41" t="str">
        <f t="shared" si="4"/>
        <v/>
      </c>
      <c r="AB23" s="41" t="str">
        <f t="shared" si="5"/>
        <v/>
      </c>
      <c r="AC23" s="41" t="str">
        <f t="shared" si="5"/>
        <v/>
      </c>
      <c r="AD23" s="41" t="str">
        <f t="shared" si="5"/>
        <v/>
      </c>
      <c r="AE23" s="41" t="str">
        <f t="shared" si="6"/>
        <v/>
      </c>
      <c r="AF23" s="41" t="str">
        <f t="shared" si="6"/>
        <v/>
      </c>
      <c r="AG23" s="41" t="str">
        <f t="shared" si="6"/>
        <v/>
      </c>
      <c r="AH23" s="41" t="str">
        <f t="shared" si="7"/>
        <v/>
      </c>
      <c r="AI23" s="46"/>
      <c r="AJ23" s="46"/>
      <c r="AK23" s="46"/>
      <c r="AL23" s="46"/>
      <c r="AM23" s="46"/>
      <c r="AN23" s="46"/>
      <c r="AO23" s="46"/>
      <c r="AP23" s="46"/>
      <c r="AQ23" s="46"/>
      <c r="AR23" s="46"/>
      <c r="AS23" s="46"/>
      <c r="AT23" s="46"/>
      <c r="AU23" s="46"/>
      <c r="AV23" s="46"/>
    </row>
    <row r="24" spans="1:48" x14ac:dyDescent="0.35">
      <c r="A24" s="46"/>
      <c r="B24" s="44"/>
      <c r="C24" s="45"/>
      <c r="D24" s="46"/>
      <c r="E24" s="50"/>
      <c r="F24" s="50"/>
      <c r="G24" s="50"/>
      <c r="H24" s="50"/>
      <c r="I24" s="50"/>
      <c r="J24" s="46"/>
      <c r="K24" s="42" t="str">
        <f t="shared" si="0"/>
        <v/>
      </c>
      <c r="L24" s="42" t="str">
        <f t="shared" si="0"/>
        <v/>
      </c>
      <c r="M24" s="40"/>
      <c r="N24" s="42" t="str">
        <f t="shared" si="11"/>
        <v/>
      </c>
      <c r="O24" s="42" t="str">
        <f t="shared" si="11"/>
        <v/>
      </c>
      <c r="P24" s="41" t="str">
        <f t="shared" si="11"/>
        <v/>
      </c>
      <c r="Q24" s="41" t="str">
        <f t="shared" si="11"/>
        <v/>
      </c>
      <c r="R24" s="41" t="str">
        <f t="shared" si="11"/>
        <v/>
      </c>
      <c r="S24" s="41" t="str">
        <f t="shared" si="8"/>
        <v/>
      </c>
      <c r="T24" s="41" t="str">
        <f t="shared" si="9"/>
        <v/>
      </c>
      <c r="U24" s="41" t="str">
        <f t="shared" si="10"/>
        <v/>
      </c>
      <c r="V24" s="41" t="str">
        <f t="shared" si="3"/>
        <v/>
      </c>
      <c r="W24" s="41" t="str">
        <f t="shared" si="3"/>
        <v/>
      </c>
      <c r="X24" s="41" t="str">
        <f t="shared" si="3"/>
        <v/>
      </c>
      <c r="Y24" s="41" t="str">
        <f t="shared" si="4"/>
        <v/>
      </c>
      <c r="Z24" s="41" t="str">
        <f t="shared" si="4"/>
        <v/>
      </c>
      <c r="AA24" s="41" t="str">
        <f t="shared" si="4"/>
        <v/>
      </c>
      <c r="AB24" s="41" t="str">
        <f t="shared" si="5"/>
        <v/>
      </c>
      <c r="AC24" s="41" t="str">
        <f t="shared" si="5"/>
        <v/>
      </c>
      <c r="AD24" s="41" t="str">
        <f t="shared" si="5"/>
        <v/>
      </c>
      <c r="AE24" s="41" t="str">
        <f t="shared" si="6"/>
        <v/>
      </c>
      <c r="AF24" s="41" t="str">
        <f t="shared" si="6"/>
        <v/>
      </c>
      <c r="AG24" s="41" t="str">
        <f t="shared" si="6"/>
        <v/>
      </c>
      <c r="AH24" s="41" t="str">
        <f t="shared" si="7"/>
        <v/>
      </c>
      <c r="AI24" s="46"/>
      <c r="AJ24" s="46"/>
      <c r="AK24" s="46"/>
      <c r="AL24" s="46"/>
      <c r="AM24" s="46"/>
      <c r="AN24" s="46"/>
      <c r="AO24" s="46"/>
      <c r="AP24" s="46"/>
      <c r="AQ24" s="46"/>
      <c r="AR24" s="46"/>
      <c r="AS24" s="46"/>
      <c r="AT24" s="46"/>
      <c r="AU24" s="46"/>
      <c r="AV24" s="46"/>
    </row>
    <row r="25" spans="1:48" x14ac:dyDescent="0.35">
      <c r="A25" s="46"/>
      <c r="B25" s="44"/>
      <c r="C25" s="45"/>
      <c r="D25" s="46"/>
      <c r="E25" s="50"/>
      <c r="F25" s="50"/>
      <c r="G25" s="50"/>
      <c r="H25" s="50"/>
      <c r="I25" s="50"/>
      <c r="J25" s="46"/>
      <c r="K25" s="42" t="str">
        <f t="shared" si="0"/>
        <v/>
      </c>
      <c r="L25" s="42" t="str">
        <f t="shared" si="0"/>
        <v/>
      </c>
      <c r="M25" s="40"/>
      <c r="N25" s="42" t="str">
        <f t="shared" si="11"/>
        <v/>
      </c>
      <c r="O25" s="42" t="str">
        <f t="shared" si="11"/>
        <v/>
      </c>
      <c r="P25" s="41" t="str">
        <f t="shared" si="11"/>
        <v/>
      </c>
      <c r="Q25" s="41" t="str">
        <f t="shared" si="11"/>
        <v/>
      </c>
      <c r="R25" s="41" t="str">
        <f t="shared" si="11"/>
        <v/>
      </c>
      <c r="S25" s="41" t="str">
        <f t="shared" si="8"/>
        <v/>
      </c>
      <c r="T25" s="41" t="str">
        <f t="shared" si="9"/>
        <v/>
      </c>
      <c r="U25" s="41" t="str">
        <f t="shared" si="10"/>
        <v/>
      </c>
      <c r="V25" s="41" t="str">
        <f t="shared" si="3"/>
        <v/>
      </c>
      <c r="W25" s="41" t="str">
        <f t="shared" si="3"/>
        <v/>
      </c>
      <c r="X25" s="41" t="str">
        <f t="shared" si="3"/>
        <v/>
      </c>
      <c r="Y25" s="41" t="str">
        <f t="shared" si="4"/>
        <v/>
      </c>
      <c r="Z25" s="41" t="str">
        <f t="shared" si="4"/>
        <v/>
      </c>
      <c r="AA25" s="41" t="str">
        <f t="shared" si="4"/>
        <v/>
      </c>
      <c r="AB25" s="41" t="str">
        <f t="shared" si="5"/>
        <v/>
      </c>
      <c r="AC25" s="41" t="str">
        <f t="shared" si="5"/>
        <v/>
      </c>
      <c r="AD25" s="41" t="str">
        <f t="shared" si="5"/>
        <v/>
      </c>
      <c r="AE25" s="41" t="str">
        <f t="shared" si="6"/>
        <v/>
      </c>
      <c r="AF25" s="41" t="str">
        <f t="shared" si="6"/>
        <v/>
      </c>
      <c r="AG25" s="41" t="str">
        <f t="shared" si="6"/>
        <v/>
      </c>
      <c r="AH25" s="41" t="str">
        <f t="shared" si="7"/>
        <v/>
      </c>
      <c r="AI25" s="46"/>
      <c r="AJ25" s="46"/>
      <c r="AK25" s="46"/>
      <c r="AL25" s="46"/>
      <c r="AM25" s="46"/>
      <c r="AN25" s="46"/>
      <c r="AO25" s="46"/>
      <c r="AP25" s="46"/>
      <c r="AQ25" s="46"/>
      <c r="AR25" s="46"/>
      <c r="AS25" s="46"/>
      <c r="AT25" s="46"/>
      <c r="AU25" s="46"/>
      <c r="AV25" s="46"/>
    </row>
    <row r="26" spans="1:48" x14ac:dyDescent="0.35">
      <c r="A26" s="46"/>
      <c r="B26" s="44"/>
      <c r="C26" s="45"/>
      <c r="D26" s="46"/>
      <c r="E26" s="50"/>
      <c r="F26" s="50"/>
      <c r="G26" s="50"/>
      <c r="H26" s="50"/>
      <c r="I26" s="50"/>
      <c r="J26" s="46"/>
      <c r="K26" s="42" t="str">
        <f t="shared" si="0"/>
        <v/>
      </c>
      <c r="L26" s="42" t="str">
        <f t="shared" si="0"/>
        <v/>
      </c>
      <c r="M26" s="40"/>
      <c r="N26" s="42" t="str">
        <f t="shared" si="11"/>
        <v/>
      </c>
      <c r="O26" s="42" t="str">
        <f t="shared" si="11"/>
        <v/>
      </c>
      <c r="P26" s="41" t="str">
        <f t="shared" si="11"/>
        <v/>
      </c>
      <c r="Q26" s="41" t="str">
        <f t="shared" si="11"/>
        <v/>
      </c>
      <c r="R26" s="41" t="str">
        <f t="shared" si="11"/>
        <v/>
      </c>
      <c r="S26" s="41" t="str">
        <f t="shared" si="8"/>
        <v/>
      </c>
      <c r="T26" s="41" t="str">
        <f t="shared" si="9"/>
        <v/>
      </c>
      <c r="U26" s="41" t="str">
        <f t="shared" si="10"/>
        <v/>
      </c>
      <c r="V26" s="41" t="str">
        <f t="shared" si="3"/>
        <v/>
      </c>
      <c r="W26" s="41" t="str">
        <f t="shared" si="3"/>
        <v/>
      </c>
      <c r="X26" s="41" t="str">
        <f t="shared" si="3"/>
        <v/>
      </c>
      <c r="Y26" s="41" t="str">
        <f t="shared" si="4"/>
        <v/>
      </c>
      <c r="Z26" s="41" t="str">
        <f t="shared" si="4"/>
        <v/>
      </c>
      <c r="AA26" s="41" t="str">
        <f t="shared" si="4"/>
        <v/>
      </c>
      <c r="AB26" s="41" t="str">
        <f t="shared" si="5"/>
        <v/>
      </c>
      <c r="AC26" s="41" t="str">
        <f t="shared" si="5"/>
        <v/>
      </c>
      <c r="AD26" s="41" t="str">
        <f t="shared" si="5"/>
        <v/>
      </c>
      <c r="AE26" s="41" t="str">
        <f t="shared" si="6"/>
        <v/>
      </c>
      <c r="AF26" s="41" t="str">
        <f t="shared" si="6"/>
        <v/>
      </c>
      <c r="AG26" s="41" t="str">
        <f t="shared" si="6"/>
        <v/>
      </c>
      <c r="AH26" s="41" t="str">
        <f t="shared" si="7"/>
        <v/>
      </c>
      <c r="AI26" s="46"/>
      <c r="AJ26" s="46"/>
      <c r="AK26" s="46"/>
      <c r="AL26" s="46"/>
      <c r="AM26" s="46"/>
      <c r="AN26" s="46"/>
      <c r="AO26" s="46"/>
      <c r="AP26" s="46"/>
      <c r="AQ26" s="46"/>
      <c r="AR26" s="46"/>
      <c r="AS26" s="46"/>
      <c r="AT26" s="46"/>
      <c r="AU26" s="46"/>
      <c r="AV26" s="46"/>
    </row>
    <row r="27" spans="1:48" x14ac:dyDescent="0.35">
      <c r="A27" s="46"/>
      <c r="B27" s="44"/>
      <c r="C27" s="45"/>
      <c r="D27" s="46"/>
      <c r="E27" s="50"/>
      <c r="F27" s="50"/>
      <c r="G27" s="50"/>
      <c r="H27" s="50"/>
      <c r="I27" s="50"/>
      <c r="J27" s="46"/>
      <c r="K27" s="42" t="str">
        <f t="shared" si="0"/>
        <v/>
      </c>
      <c r="L27" s="42" t="str">
        <f t="shared" si="0"/>
        <v/>
      </c>
      <c r="M27" s="40"/>
      <c r="N27" s="42" t="str">
        <f t="shared" ref="N27:R36" si="12">IF($E27="","",IF(VLOOKUP($E27,specs_for_word2,N$3,0)="","",VLOOKUP($E27,specs_for_word2,N$3,0)))</f>
        <v/>
      </c>
      <c r="O27" s="42" t="str">
        <f t="shared" si="12"/>
        <v/>
      </c>
      <c r="P27" s="41" t="str">
        <f t="shared" si="12"/>
        <v/>
      </c>
      <c r="Q27" s="41" t="str">
        <f t="shared" si="12"/>
        <v/>
      </c>
      <c r="R27" s="41" t="str">
        <f t="shared" si="12"/>
        <v/>
      </c>
      <c r="S27" s="41" t="str">
        <f t="shared" si="8"/>
        <v/>
      </c>
      <c r="T27" s="41" t="str">
        <f t="shared" si="9"/>
        <v/>
      </c>
      <c r="U27" s="41" t="str">
        <f t="shared" si="10"/>
        <v/>
      </c>
      <c r="V27" s="41" t="str">
        <f t="shared" ref="V27:X46" si="13">IF($F27="","",IF(VLOOKUP($F27,specs_for_word2,V$3,0)="","",VLOOKUP($F27,specs_for_word2,V$3,0)))</f>
        <v/>
      </c>
      <c r="W27" s="41" t="str">
        <f t="shared" si="13"/>
        <v/>
      </c>
      <c r="X27" s="41" t="str">
        <f t="shared" si="13"/>
        <v/>
      </c>
      <c r="Y27" s="41" t="str">
        <f t="shared" ref="Y27:AA46" si="14">IF($G27="","",IF(VLOOKUP($G27,specs_for_word2,Y$3,0)="","",VLOOKUP($G27,specs_for_word2,Y$3,0)))</f>
        <v/>
      </c>
      <c r="Z27" s="41" t="str">
        <f t="shared" si="14"/>
        <v/>
      </c>
      <c r="AA27" s="41" t="str">
        <f t="shared" si="14"/>
        <v/>
      </c>
      <c r="AB27" s="41" t="str">
        <f t="shared" ref="AB27:AD46" si="15">IF($H27="","",IF(VLOOKUP($H27,specs_for_word2,AB$3,0)="","",VLOOKUP($H27,specs_for_word2,AB$3,0)))</f>
        <v/>
      </c>
      <c r="AC27" s="41" t="str">
        <f t="shared" si="15"/>
        <v/>
      </c>
      <c r="AD27" s="41" t="str">
        <f t="shared" si="15"/>
        <v/>
      </c>
      <c r="AE27" s="41" t="str">
        <f t="shared" ref="AE27:AG46" si="16">IF($I27="","",IF(VLOOKUP($I27,specs_for_word2,AE$3,0)="","",VLOOKUP($I27,specs_for_word2,AE$3,0)))</f>
        <v/>
      </c>
      <c r="AF27" s="41" t="str">
        <f t="shared" si="16"/>
        <v/>
      </c>
      <c r="AG27" s="41" t="str">
        <f t="shared" si="16"/>
        <v/>
      </c>
      <c r="AH27" s="41" t="str">
        <f t="shared" si="7"/>
        <v/>
      </c>
      <c r="AI27" s="46"/>
      <c r="AJ27" s="46"/>
      <c r="AK27" s="46"/>
      <c r="AL27" s="46"/>
      <c r="AM27" s="46"/>
      <c r="AN27" s="46"/>
      <c r="AO27" s="46"/>
      <c r="AP27" s="46"/>
      <c r="AQ27" s="46"/>
      <c r="AR27" s="46"/>
      <c r="AS27" s="46"/>
      <c r="AT27" s="46"/>
      <c r="AU27" s="46"/>
      <c r="AV27" s="46"/>
    </row>
    <row r="28" spans="1:48" x14ac:dyDescent="0.35">
      <c r="A28" s="46"/>
      <c r="B28" s="44"/>
      <c r="C28" s="45"/>
      <c r="D28" s="46"/>
      <c r="E28" s="50"/>
      <c r="F28" s="50"/>
      <c r="G28" s="50"/>
      <c r="H28" s="50"/>
      <c r="I28" s="50"/>
      <c r="J28" s="46"/>
      <c r="K28" s="42" t="str">
        <f t="shared" si="0"/>
        <v/>
      </c>
      <c r="L28" s="42" t="str">
        <f t="shared" si="0"/>
        <v/>
      </c>
      <c r="M28" s="40"/>
      <c r="N28" s="42" t="str">
        <f t="shared" si="12"/>
        <v/>
      </c>
      <c r="O28" s="42" t="str">
        <f t="shared" si="12"/>
        <v/>
      </c>
      <c r="P28" s="41" t="str">
        <f t="shared" si="12"/>
        <v/>
      </c>
      <c r="Q28" s="41" t="str">
        <f t="shared" si="12"/>
        <v/>
      </c>
      <c r="R28" s="41" t="str">
        <f t="shared" si="12"/>
        <v/>
      </c>
      <c r="S28" s="41" t="str">
        <f t="shared" si="8"/>
        <v/>
      </c>
      <c r="T28" s="41" t="str">
        <f t="shared" si="9"/>
        <v/>
      </c>
      <c r="U28" s="41" t="str">
        <f t="shared" si="10"/>
        <v/>
      </c>
      <c r="V28" s="41" t="str">
        <f t="shared" si="13"/>
        <v/>
      </c>
      <c r="W28" s="41" t="str">
        <f t="shared" si="13"/>
        <v/>
      </c>
      <c r="X28" s="41" t="str">
        <f t="shared" si="13"/>
        <v/>
      </c>
      <c r="Y28" s="41" t="str">
        <f t="shared" si="14"/>
        <v/>
      </c>
      <c r="Z28" s="41" t="str">
        <f t="shared" si="14"/>
        <v/>
      </c>
      <c r="AA28" s="41" t="str">
        <f t="shared" si="14"/>
        <v/>
      </c>
      <c r="AB28" s="41" t="str">
        <f t="shared" si="15"/>
        <v/>
      </c>
      <c r="AC28" s="41" t="str">
        <f t="shared" si="15"/>
        <v/>
      </c>
      <c r="AD28" s="41" t="str">
        <f t="shared" si="15"/>
        <v/>
      </c>
      <c r="AE28" s="41" t="str">
        <f t="shared" si="16"/>
        <v/>
      </c>
      <c r="AF28" s="41" t="str">
        <f t="shared" si="16"/>
        <v/>
      </c>
      <c r="AG28" s="41" t="str">
        <f t="shared" si="16"/>
        <v/>
      </c>
      <c r="AH28" s="41" t="str">
        <f t="shared" si="7"/>
        <v/>
      </c>
      <c r="AI28" s="46"/>
      <c r="AJ28" s="46"/>
      <c r="AK28" s="46"/>
      <c r="AL28" s="46"/>
      <c r="AM28" s="46"/>
      <c r="AN28" s="46"/>
      <c r="AO28" s="46"/>
      <c r="AP28" s="46"/>
      <c r="AQ28" s="46"/>
      <c r="AR28" s="46"/>
      <c r="AS28" s="46"/>
      <c r="AT28" s="46"/>
      <c r="AU28" s="46"/>
      <c r="AV28" s="46"/>
    </row>
    <row r="29" spans="1:48" x14ac:dyDescent="0.35">
      <c r="A29" s="46"/>
      <c r="B29" s="46"/>
      <c r="C29" s="46"/>
      <c r="D29" s="46"/>
      <c r="E29" s="50"/>
      <c r="F29" s="50"/>
      <c r="G29" s="50"/>
      <c r="H29" s="50"/>
      <c r="I29" s="50"/>
      <c r="J29" s="46"/>
      <c r="K29" s="42" t="str">
        <f t="shared" si="0"/>
        <v/>
      </c>
      <c r="L29" s="42" t="str">
        <f t="shared" si="0"/>
        <v/>
      </c>
      <c r="M29" s="40"/>
      <c r="N29" s="42" t="str">
        <f t="shared" si="12"/>
        <v/>
      </c>
      <c r="O29" s="42" t="str">
        <f t="shared" si="12"/>
        <v/>
      </c>
      <c r="P29" s="41" t="str">
        <f t="shared" si="12"/>
        <v/>
      </c>
      <c r="Q29" s="41" t="str">
        <f t="shared" si="12"/>
        <v/>
      </c>
      <c r="R29" s="41" t="str">
        <f t="shared" si="12"/>
        <v/>
      </c>
      <c r="S29" s="41" t="str">
        <f t="shared" si="8"/>
        <v/>
      </c>
      <c r="T29" s="41" t="str">
        <f t="shared" si="9"/>
        <v/>
      </c>
      <c r="U29" s="41" t="str">
        <f t="shared" si="10"/>
        <v/>
      </c>
      <c r="V29" s="41" t="str">
        <f t="shared" si="13"/>
        <v/>
      </c>
      <c r="W29" s="41" t="str">
        <f t="shared" si="13"/>
        <v/>
      </c>
      <c r="X29" s="41" t="str">
        <f t="shared" si="13"/>
        <v/>
      </c>
      <c r="Y29" s="41" t="str">
        <f t="shared" si="14"/>
        <v/>
      </c>
      <c r="Z29" s="41" t="str">
        <f t="shared" si="14"/>
        <v/>
      </c>
      <c r="AA29" s="41" t="str">
        <f t="shared" si="14"/>
        <v/>
      </c>
      <c r="AB29" s="41" t="str">
        <f t="shared" si="15"/>
        <v/>
      </c>
      <c r="AC29" s="41" t="str">
        <f t="shared" si="15"/>
        <v/>
      </c>
      <c r="AD29" s="41" t="str">
        <f t="shared" si="15"/>
        <v/>
      </c>
      <c r="AE29" s="41" t="str">
        <f t="shared" si="16"/>
        <v/>
      </c>
      <c r="AF29" s="41" t="str">
        <f t="shared" si="16"/>
        <v/>
      </c>
      <c r="AG29" s="41" t="str">
        <f t="shared" si="16"/>
        <v/>
      </c>
      <c r="AH29" s="41" t="str">
        <f t="shared" si="7"/>
        <v/>
      </c>
      <c r="AI29" s="46"/>
      <c r="AJ29" s="46"/>
      <c r="AK29" s="46"/>
      <c r="AL29" s="46"/>
      <c r="AM29" s="46"/>
      <c r="AN29" s="46"/>
      <c r="AO29" s="46"/>
      <c r="AP29" s="46"/>
      <c r="AQ29" s="46"/>
      <c r="AR29" s="46"/>
      <c r="AS29" s="46"/>
      <c r="AT29" s="46"/>
      <c r="AU29" s="46"/>
      <c r="AV29" s="46"/>
    </row>
    <row r="30" spans="1:48" x14ac:dyDescent="0.35">
      <c r="A30" s="46"/>
      <c r="B30" s="46"/>
      <c r="C30" s="46"/>
      <c r="D30" s="46"/>
      <c r="E30" s="50"/>
      <c r="F30" s="50"/>
      <c r="G30" s="50"/>
      <c r="H30" s="50"/>
      <c r="I30" s="50"/>
      <c r="J30" s="46"/>
      <c r="K30" s="42" t="str">
        <f t="shared" si="0"/>
        <v/>
      </c>
      <c r="L30" s="42" t="str">
        <f t="shared" si="0"/>
        <v/>
      </c>
      <c r="M30" s="40"/>
      <c r="N30" s="42" t="str">
        <f t="shared" si="12"/>
        <v/>
      </c>
      <c r="O30" s="42" t="str">
        <f t="shared" si="12"/>
        <v/>
      </c>
      <c r="P30" s="41" t="str">
        <f t="shared" si="12"/>
        <v/>
      </c>
      <c r="Q30" s="41" t="str">
        <f t="shared" si="12"/>
        <v/>
      </c>
      <c r="R30" s="41" t="str">
        <f t="shared" si="12"/>
        <v/>
      </c>
      <c r="S30" s="41" t="str">
        <f t="shared" si="8"/>
        <v/>
      </c>
      <c r="T30" s="41" t="str">
        <f t="shared" si="9"/>
        <v/>
      </c>
      <c r="U30" s="41" t="str">
        <f t="shared" si="10"/>
        <v/>
      </c>
      <c r="V30" s="41" t="str">
        <f t="shared" si="13"/>
        <v/>
      </c>
      <c r="W30" s="41" t="str">
        <f t="shared" si="13"/>
        <v/>
      </c>
      <c r="X30" s="41" t="str">
        <f t="shared" si="13"/>
        <v/>
      </c>
      <c r="Y30" s="41" t="str">
        <f t="shared" si="14"/>
        <v/>
      </c>
      <c r="Z30" s="41" t="str">
        <f t="shared" si="14"/>
        <v/>
      </c>
      <c r="AA30" s="41" t="str">
        <f t="shared" si="14"/>
        <v/>
      </c>
      <c r="AB30" s="41" t="str">
        <f t="shared" si="15"/>
        <v/>
      </c>
      <c r="AC30" s="41" t="str">
        <f t="shared" si="15"/>
        <v/>
      </c>
      <c r="AD30" s="41" t="str">
        <f t="shared" si="15"/>
        <v/>
      </c>
      <c r="AE30" s="41" t="str">
        <f t="shared" si="16"/>
        <v/>
      </c>
      <c r="AF30" s="41" t="str">
        <f t="shared" si="16"/>
        <v/>
      </c>
      <c r="AG30" s="41" t="str">
        <f t="shared" si="16"/>
        <v/>
      </c>
      <c r="AH30" s="41" t="str">
        <f t="shared" si="7"/>
        <v/>
      </c>
      <c r="AI30" s="46"/>
      <c r="AJ30" s="46"/>
      <c r="AK30" s="46"/>
      <c r="AL30" s="46"/>
      <c r="AM30" s="46"/>
      <c r="AN30" s="46"/>
      <c r="AO30" s="46"/>
      <c r="AP30" s="46"/>
      <c r="AQ30" s="46"/>
      <c r="AR30" s="46"/>
      <c r="AS30" s="46"/>
      <c r="AT30" s="46"/>
      <c r="AU30" s="46"/>
      <c r="AV30" s="46"/>
    </row>
    <row r="31" spans="1:48" x14ac:dyDescent="0.35">
      <c r="A31" s="46"/>
      <c r="B31" s="46"/>
      <c r="C31" s="46"/>
      <c r="D31" s="46"/>
      <c r="E31" s="50"/>
      <c r="F31" s="50"/>
      <c r="G31" s="50"/>
      <c r="H31" s="50"/>
      <c r="I31" s="50"/>
      <c r="J31" s="46"/>
      <c r="K31" s="42" t="str">
        <f t="shared" si="0"/>
        <v/>
      </c>
      <c r="L31" s="42" t="str">
        <f t="shared" si="0"/>
        <v/>
      </c>
      <c r="M31" s="40"/>
      <c r="N31" s="42" t="str">
        <f t="shared" si="12"/>
        <v/>
      </c>
      <c r="O31" s="42" t="str">
        <f t="shared" si="12"/>
        <v/>
      </c>
      <c r="P31" s="41" t="str">
        <f t="shared" si="12"/>
        <v/>
      </c>
      <c r="Q31" s="41" t="str">
        <f t="shared" si="12"/>
        <v/>
      </c>
      <c r="R31" s="41" t="str">
        <f t="shared" si="12"/>
        <v/>
      </c>
      <c r="S31" s="41" t="str">
        <f t="shared" si="8"/>
        <v/>
      </c>
      <c r="T31" s="41" t="str">
        <f t="shared" si="9"/>
        <v/>
      </c>
      <c r="U31" s="41" t="str">
        <f t="shared" si="10"/>
        <v/>
      </c>
      <c r="V31" s="41" t="str">
        <f t="shared" si="13"/>
        <v/>
      </c>
      <c r="W31" s="41" t="str">
        <f t="shared" si="13"/>
        <v/>
      </c>
      <c r="X31" s="41" t="str">
        <f t="shared" si="13"/>
        <v/>
      </c>
      <c r="Y31" s="41" t="str">
        <f t="shared" si="14"/>
        <v/>
      </c>
      <c r="Z31" s="41" t="str">
        <f t="shared" si="14"/>
        <v/>
      </c>
      <c r="AA31" s="41" t="str">
        <f t="shared" si="14"/>
        <v/>
      </c>
      <c r="AB31" s="41" t="str">
        <f t="shared" si="15"/>
        <v/>
      </c>
      <c r="AC31" s="41" t="str">
        <f t="shared" si="15"/>
        <v/>
      </c>
      <c r="AD31" s="41" t="str">
        <f t="shared" si="15"/>
        <v/>
      </c>
      <c r="AE31" s="41" t="str">
        <f t="shared" si="16"/>
        <v/>
      </c>
      <c r="AF31" s="41" t="str">
        <f t="shared" si="16"/>
        <v/>
      </c>
      <c r="AG31" s="41" t="str">
        <f t="shared" si="16"/>
        <v/>
      </c>
      <c r="AH31" s="41" t="str">
        <f t="shared" si="7"/>
        <v/>
      </c>
      <c r="AI31" s="46"/>
      <c r="AJ31" s="46"/>
      <c r="AK31" s="46"/>
      <c r="AL31" s="46"/>
      <c r="AM31" s="46"/>
      <c r="AN31" s="46"/>
      <c r="AO31" s="46"/>
      <c r="AP31" s="46"/>
      <c r="AQ31" s="46"/>
      <c r="AR31" s="46"/>
      <c r="AS31" s="46"/>
      <c r="AT31" s="46"/>
      <c r="AU31" s="46"/>
      <c r="AV31" s="46"/>
    </row>
    <row r="32" spans="1:48" x14ac:dyDescent="0.35">
      <c r="A32" s="46"/>
      <c r="B32" s="46"/>
      <c r="C32" s="46"/>
      <c r="D32" s="46"/>
      <c r="E32" s="50"/>
      <c r="F32" s="50"/>
      <c r="G32" s="50"/>
      <c r="H32" s="50"/>
      <c r="I32" s="50"/>
      <c r="J32" s="46"/>
      <c r="K32" s="42" t="str">
        <f t="shared" si="0"/>
        <v/>
      </c>
      <c r="L32" s="42" t="str">
        <f t="shared" si="0"/>
        <v/>
      </c>
      <c r="M32" s="40"/>
      <c r="N32" s="42" t="str">
        <f t="shared" si="12"/>
        <v/>
      </c>
      <c r="O32" s="42" t="str">
        <f t="shared" si="12"/>
        <v/>
      </c>
      <c r="P32" s="41" t="str">
        <f t="shared" si="12"/>
        <v/>
      </c>
      <c r="Q32" s="41" t="str">
        <f t="shared" si="12"/>
        <v/>
      </c>
      <c r="R32" s="41" t="str">
        <f t="shared" si="12"/>
        <v/>
      </c>
      <c r="S32" s="41" t="str">
        <f t="shared" si="8"/>
        <v/>
      </c>
      <c r="T32" s="41" t="str">
        <f t="shared" si="9"/>
        <v/>
      </c>
      <c r="U32" s="41" t="str">
        <f t="shared" si="10"/>
        <v/>
      </c>
      <c r="V32" s="41" t="str">
        <f t="shared" si="13"/>
        <v/>
      </c>
      <c r="W32" s="41" t="str">
        <f t="shared" si="13"/>
        <v/>
      </c>
      <c r="X32" s="41" t="str">
        <f t="shared" si="13"/>
        <v/>
      </c>
      <c r="Y32" s="41" t="str">
        <f t="shared" si="14"/>
        <v/>
      </c>
      <c r="Z32" s="41" t="str">
        <f t="shared" si="14"/>
        <v/>
      </c>
      <c r="AA32" s="41" t="str">
        <f t="shared" si="14"/>
        <v/>
      </c>
      <c r="AB32" s="41" t="str">
        <f t="shared" si="15"/>
        <v/>
      </c>
      <c r="AC32" s="41" t="str">
        <f t="shared" si="15"/>
        <v/>
      </c>
      <c r="AD32" s="41" t="str">
        <f t="shared" si="15"/>
        <v/>
      </c>
      <c r="AE32" s="41" t="str">
        <f t="shared" si="16"/>
        <v/>
      </c>
      <c r="AF32" s="41" t="str">
        <f t="shared" si="16"/>
        <v/>
      </c>
      <c r="AG32" s="41" t="str">
        <f t="shared" si="16"/>
        <v/>
      </c>
      <c r="AH32" s="41" t="str">
        <f t="shared" si="7"/>
        <v/>
      </c>
      <c r="AI32" s="46"/>
      <c r="AJ32" s="46"/>
      <c r="AK32" s="46"/>
      <c r="AL32" s="46"/>
      <c r="AM32" s="46"/>
      <c r="AN32" s="46"/>
      <c r="AO32" s="46"/>
      <c r="AP32" s="46"/>
      <c r="AQ32" s="46"/>
      <c r="AR32" s="46"/>
      <c r="AS32" s="46"/>
      <c r="AT32" s="46"/>
      <c r="AU32" s="46"/>
      <c r="AV32" s="46"/>
    </row>
    <row r="33" spans="1:48" x14ac:dyDescent="0.35">
      <c r="A33" s="46"/>
      <c r="B33" s="46"/>
      <c r="C33" s="46"/>
      <c r="D33" s="46"/>
      <c r="E33" s="50"/>
      <c r="F33" s="50"/>
      <c r="G33" s="50"/>
      <c r="H33" s="50"/>
      <c r="I33" s="50"/>
      <c r="J33" s="46"/>
      <c r="K33" s="42" t="str">
        <f t="shared" si="0"/>
        <v/>
      </c>
      <c r="L33" s="42" t="str">
        <f t="shared" si="0"/>
        <v/>
      </c>
      <c r="M33" s="40"/>
      <c r="N33" s="42" t="str">
        <f t="shared" si="12"/>
        <v/>
      </c>
      <c r="O33" s="42" t="str">
        <f t="shared" si="12"/>
        <v/>
      </c>
      <c r="P33" s="41" t="str">
        <f t="shared" si="12"/>
        <v/>
      </c>
      <c r="Q33" s="41" t="str">
        <f t="shared" si="12"/>
        <v/>
      </c>
      <c r="R33" s="41" t="str">
        <f t="shared" si="12"/>
        <v/>
      </c>
      <c r="S33" s="41" t="str">
        <f t="shared" si="8"/>
        <v/>
      </c>
      <c r="T33" s="41" t="str">
        <f t="shared" si="9"/>
        <v/>
      </c>
      <c r="U33" s="41" t="str">
        <f t="shared" si="10"/>
        <v/>
      </c>
      <c r="V33" s="41" t="str">
        <f t="shared" si="13"/>
        <v/>
      </c>
      <c r="W33" s="41" t="str">
        <f t="shared" si="13"/>
        <v/>
      </c>
      <c r="X33" s="41" t="str">
        <f t="shared" si="13"/>
        <v/>
      </c>
      <c r="Y33" s="41" t="str">
        <f t="shared" si="14"/>
        <v/>
      </c>
      <c r="Z33" s="41" t="str">
        <f t="shared" si="14"/>
        <v/>
      </c>
      <c r="AA33" s="41" t="str">
        <f t="shared" si="14"/>
        <v/>
      </c>
      <c r="AB33" s="41" t="str">
        <f t="shared" si="15"/>
        <v/>
      </c>
      <c r="AC33" s="41" t="str">
        <f t="shared" si="15"/>
        <v/>
      </c>
      <c r="AD33" s="41" t="str">
        <f t="shared" si="15"/>
        <v/>
      </c>
      <c r="AE33" s="41" t="str">
        <f t="shared" si="16"/>
        <v/>
      </c>
      <c r="AF33" s="41" t="str">
        <f t="shared" si="16"/>
        <v/>
      </c>
      <c r="AG33" s="41" t="str">
        <f t="shared" si="16"/>
        <v/>
      </c>
      <c r="AH33" s="41" t="str">
        <f t="shared" si="7"/>
        <v/>
      </c>
      <c r="AI33" s="46"/>
      <c r="AJ33" s="46"/>
      <c r="AK33" s="46"/>
      <c r="AL33" s="46"/>
      <c r="AM33" s="46"/>
      <c r="AN33" s="46"/>
      <c r="AO33" s="46"/>
      <c r="AP33" s="46"/>
      <c r="AQ33" s="46"/>
      <c r="AR33" s="46"/>
      <c r="AS33" s="46"/>
      <c r="AT33" s="46"/>
      <c r="AU33" s="46"/>
      <c r="AV33" s="46"/>
    </row>
    <row r="34" spans="1:48" x14ac:dyDescent="0.35">
      <c r="A34" s="46"/>
      <c r="B34" s="46"/>
      <c r="C34" s="46"/>
      <c r="D34" s="46"/>
      <c r="E34" s="50"/>
      <c r="F34" s="50"/>
      <c r="G34" s="50"/>
      <c r="H34" s="50"/>
      <c r="I34" s="50"/>
      <c r="J34" s="46"/>
      <c r="K34" s="42" t="str">
        <f t="shared" si="0"/>
        <v/>
      </c>
      <c r="L34" s="42" t="str">
        <f t="shared" si="0"/>
        <v/>
      </c>
      <c r="M34" s="40"/>
      <c r="N34" s="42" t="str">
        <f t="shared" si="12"/>
        <v/>
      </c>
      <c r="O34" s="42" t="str">
        <f t="shared" si="12"/>
        <v/>
      </c>
      <c r="P34" s="41" t="str">
        <f t="shared" si="12"/>
        <v/>
      </c>
      <c r="Q34" s="41" t="str">
        <f t="shared" si="12"/>
        <v/>
      </c>
      <c r="R34" s="41" t="str">
        <f t="shared" si="12"/>
        <v/>
      </c>
      <c r="S34" s="41" t="str">
        <f t="shared" si="8"/>
        <v/>
      </c>
      <c r="T34" s="41" t="str">
        <f t="shared" si="9"/>
        <v/>
      </c>
      <c r="U34" s="41" t="str">
        <f t="shared" si="10"/>
        <v/>
      </c>
      <c r="V34" s="41" t="str">
        <f t="shared" si="13"/>
        <v/>
      </c>
      <c r="W34" s="41" t="str">
        <f t="shared" si="13"/>
        <v/>
      </c>
      <c r="X34" s="41" t="str">
        <f t="shared" si="13"/>
        <v/>
      </c>
      <c r="Y34" s="41" t="str">
        <f t="shared" si="14"/>
        <v/>
      </c>
      <c r="Z34" s="41" t="str">
        <f t="shared" si="14"/>
        <v/>
      </c>
      <c r="AA34" s="41" t="str">
        <f t="shared" si="14"/>
        <v/>
      </c>
      <c r="AB34" s="41" t="str">
        <f t="shared" si="15"/>
        <v/>
      </c>
      <c r="AC34" s="41" t="str">
        <f t="shared" si="15"/>
        <v/>
      </c>
      <c r="AD34" s="41" t="str">
        <f t="shared" si="15"/>
        <v/>
      </c>
      <c r="AE34" s="41" t="str">
        <f t="shared" si="16"/>
        <v/>
      </c>
      <c r="AF34" s="41" t="str">
        <f t="shared" si="16"/>
        <v/>
      </c>
      <c r="AG34" s="41" t="str">
        <f t="shared" si="16"/>
        <v/>
      </c>
      <c r="AH34" s="41" t="str">
        <f t="shared" si="7"/>
        <v/>
      </c>
      <c r="AI34" s="46"/>
      <c r="AJ34" s="46"/>
      <c r="AK34" s="46"/>
      <c r="AL34" s="46"/>
      <c r="AM34" s="46"/>
      <c r="AN34" s="46"/>
      <c r="AO34" s="46"/>
      <c r="AP34" s="46"/>
      <c r="AQ34" s="46"/>
      <c r="AR34" s="46"/>
      <c r="AS34" s="46"/>
      <c r="AT34" s="46"/>
      <c r="AU34" s="46"/>
      <c r="AV34" s="46"/>
    </row>
    <row r="35" spans="1:48" x14ac:dyDescent="0.35">
      <c r="A35" s="46"/>
      <c r="B35" s="46"/>
      <c r="C35" s="46"/>
      <c r="D35" s="46"/>
      <c r="E35" s="50"/>
      <c r="F35" s="50"/>
      <c r="G35" s="50"/>
      <c r="H35" s="50"/>
      <c r="I35" s="50"/>
      <c r="J35" s="46"/>
      <c r="K35" s="42" t="str">
        <f t="shared" si="0"/>
        <v/>
      </c>
      <c r="L35" s="42" t="str">
        <f t="shared" si="0"/>
        <v/>
      </c>
      <c r="M35" s="40"/>
      <c r="N35" s="42" t="str">
        <f t="shared" si="12"/>
        <v/>
      </c>
      <c r="O35" s="42" t="str">
        <f t="shared" si="12"/>
        <v/>
      </c>
      <c r="P35" s="41" t="str">
        <f t="shared" si="12"/>
        <v/>
      </c>
      <c r="Q35" s="41" t="str">
        <f t="shared" si="12"/>
        <v/>
      </c>
      <c r="R35" s="41" t="str">
        <f t="shared" si="12"/>
        <v/>
      </c>
      <c r="S35" s="41" t="str">
        <f t="shared" si="8"/>
        <v/>
      </c>
      <c r="T35" s="41" t="str">
        <f t="shared" si="9"/>
        <v/>
      </c>
      <c r="U35" s="41" t="str">
        <f t="shared" si="10"/>
        <v/>
      </c>
      <c r="V35" s="41" t="str">
        <f t="shared" si="13"/>
        <v/>
      </c>
      <c r="W35" s="41" t="str">
        <f t="shared" si="13"/>
        <v/>
      </c>
      <c r="X35" s="41" t="str">
        <f t="shared" si="13"/>
        <v/>
      </c>
      <c r="Y35" s="41" t="str">
        <f t="shared" si="14"/>
        <v/>
      </c>
      <c r="Z35" s="41" t="str">
        <f t="shared" si="14"/>
        <v/>
      </c>
      <c r="AA35" s="41" t="str">
        <f t="shared" si="14"/>
        <v/>
      </c>
      <c r="AB35" s="41" t="str">
        <f t="shared" si="15"/>
        <v/>
      </c>
      <c r="AC35" s="41" t="str">
        <f t="shared" si="15"/>
        <v/>
      </c>
      <c r="AD35" s="41" t="str">
        <f t="shared" si="15"/>
        <v/>
      </c>
      <c r="AE35" s="41" t="str">
        <f t="shared" si="16"/>
        <v/>
      </c>
      <c r="AF35" s="41" t="str">
        <f t="shared" si="16"/>
        <v/>
      </c>
      <c r="AG35" s="41" t="str">
        <f t="shared" si="16"/>
        <v/>
      </c>
      <c r="AH35" s="41" t="str">
        <f t="shared" si="7"/>
        <v/>
      </c>
      <c r="AI35" s="46"/>
      <c r="AJ35" s="46"/>
      <c r="AK35" s="46"/>
      <c r="AL35" s="46"/>
      <c r="AM35" s="46"/>
      <c r="AN35" s="46"/>
      <c r="AO35" s="46"/>
      <c r="AP35" s="46"/>
      <c r="AQ35" s="46"/>
      <c r="AR35" s="46"/>
      <c r="AS35" s="46"/>
      <c r="AT35" s="46"/>
      <c r="AU35" s="46"/>
      <c r="AV35" s="46"/>
    </row>
    <row r="36" spans="1:48" x14ac:dyDescent="0.35">
      <c r="A36" s="46"/>
      <c r="B36" s="46"/>
      <c r="C36" s="46"/>
      <c r="D36" s="46"/>
      <c r="E36" s="50"/>
      <c r="F36" s="50"/>
      <c r="G36" s="50"/>
      <c r="H36" s="50"/>
      <c r="I36" s="50"/>
      <c r="J36" s="46"/>
      <c r="K36" s="42" t="str">
        <f t="shared" si="0"/>
        <v/>
      </c>
      <c r="L36" s="42" t="str">
        <f t="shared" si="0"/>
        <v/>
      </c>
      <c r="M36" s="40"/>
      <c r="N36" s="42" t="str">
        <f t="shared" si="12"/>
        <v/>
      </c>
      <c r="O36" s="42" t="str">
        <f t="shared" si="12"/>
        <v/>
      </c>
      <c r="P36" s="41" t="str">
        <f t="shared" si="12"/>
        <v/>
      </c>
      <c r="Q36" s="41" t="str">
        <f t="shared" si="12"/>
        <v/>
      </c>
      <c r="R36" s="41" t="str">
        <f t="shared" si="12"/>
        <v/>
      </c>
      <c r="S36" s="41" t="str">
        <f t="shared" si="8"/>
        <v/>
      </c>
      <c r="T36" s="41" t="str">
        <f t="shared" si="9"/>
        <v/>
      </c>
      <c r="U36" s="41" t="str">
        <f t="shared" si="10"/>
        <v/>
      </c>
      <c r="V36" s="41" t="str">
        <f t="shared" si="13"/>
        <v/>
      </c>
      <c r="W36" s="41" t="str">
        <f t="shared" si="13"/>
        <v/>
      </c>
      <c r="X36" s="41" t="str">
        <f t="shared" si="13"/>
        <v/>
      </c>
      <c r="Y36" s="41" t="str">
        <f t="shared" si="14"/>
        <v/>
      </c>
      <c r="Z36" s="41" t="str">
        <f t="shared" si="14"/>
        <v/>
      </c>
      <c r="AA36" s="41" t="str">
        <f t="shared" si="14"/>
        <v/>
      </c>
      <c r="AB36" s="41" t="str">
        <f t="shared" si="15"/>
        <v/>
      </c>
      <c r="AC36" s="41" t="str">
        <f t="shared" si="15"/>
        <v/>
      </c>
      <c r="AD36" s="41" t="str">
        <f t="shared" si="15"/>
        <v/>
      </c>
      <c r="AE36" s="41" t="str">
        <f t="shared" si="16"/>
        <v/>
      </c>
      <c r="AF36" s="41" t="str">
        <f t="shared" si="16"/>
        <v/>
      </c>
      <c r="AG36" s="41" t="str">
        <f t="shared" si="16"/>
        <v/>
      </c>
      <c r="AH36" s="41" t="str">
        <f t="shared" si="7"/>
        <v/>
      </c>
      <c r="AI36" s="46"/>
      <c r="AJ36" s="46"/>
      <c r="AK36" s="46"/>
      <c r="AL36" s="46"/>
      <c r="AM36" s="46"/>
      <c r="AN36" s="46"/>
      <c r="AO36" s="46"/>
      <c r="AP36" s="46"/>
      <c r="AQ36" s="46"/>
      <c r="AR36" s="46"/>
      <c r="AS36" s="46"/>
      <c r="AT36" s="46"/>
      <c r="AU36" s="46"/>
      <c r="AV36" s="46"/>
    </row>
    <row r="37" spans="1:48" x14ac:dyDescent="0.35">
      <c r="A37" s="46"/>
      <c r="B37" s="46"/>
      <c r="C37" s="46"/>
      <c r="D37" s="46"/>
      <c r="E37" s="50"/>
      <c r="F37" s="50"/>
      <c r="G37" s="50"/>
      <c r="H37" s="50"/>
      <c r="I37" s="50"/>
      <c r="J37" s="46"/>
      <c r="K37" s="42" t="str">
        <f t="shared" si="0"/>
        <v/>
      </c>
      <c r="L37" s="42" t="str">
        <f t="shared" si="0"/>
        <v/>
      </c>
      <c r="M37" s="40"/>
      <c r="N37" s="42" t="str">
        <f t="shared" ref="N37:R46" si="17">IF($E37="","",IF(VLOOKUP($E37,specs_for_word2,N$3,0)="","",VLOOKUP($E37,specs_for_word2,N$3,0)))</f>
        <v/>
      </c>
      <c r="O37" s="42" t="str">
        <f t="shared" si="17"/>
        <v/>
      </c>
      <c r="P37" s="41" t="str">
        <f t="shared" si="17"/>
        <v/>
      </c>
      <c r="Q37" s="41" t="str">
        <f t="shared" si="17"/>
        <v/>
      </c>
      <c r="R37" s="41" t="str">
        <f t="shared" si="17"/>
        <v/>
      </c>
      <c r="S37" s="41" t="str">
        <f t="shared" si="8"/>
        <v/>
      </c>
      <c r="T37" s="41" t="str">
        <f t="shared" si="9"/>
        <v/>
      </c>
      <c r="U37" s="41" t="str">
        <f t="shared" si="10"/>
        <v/>
      </c>
      <c r="V37" s="41" t="str">
        <f t="shared" si="13"/>
        <v/>
      </c>
      <c r="W37" s="41" t="str">
        <f t="shared" si="13"/>
        <v/>
      </c>
      <c r="X37" s="41" t="str">
        <f t="shared" si="13"/>
        <v/>
      </c>
      <c r="Y37" s="41" t="str">
        <f t="shared" si="14"/>
        <v/>
      </c>
      <c r="Z37" s="41" t="str">
        <f t="shared" si="14"/>
        <v/>
      </c>
      <c r="AA37" s="41" t="str">
        <f t="shared" si="14"/>
        <v/>
      </c>
      <c r="AB37" s="41" t="str">
        <f t="shared" si="15"/>
        <v/>
      </c>
      <c r="AC37" s="41" t="str">
        <f t="shared" si="15"/>
        <v/>
      </c>
      <c r="AD37" s="41" t="str">
        <f t="shared" si="15"/>
        <v/>
      </c>
      <c r="AE37" s="41" t="str">
        <f t="shared" si="16"/>
        <v/>
      </c>
      <c r="AF37" s="41" t="str">
        <f t="shared" si="16"/>
        <v/>
      </c>
      <c r="AG37" s="41" t="str">
        <f t="shared" si="16"/>
        <v/>
      </c>
      <c r="AH37" s="41" t="str">
        <f t="shared" si="7"/>
        <v/>
      </c>
      <c r="AI37" s="46"/>
      <c r="AJ37" s="46"/>
      <c r="AK37" s="46"/>
      <c r="AL37" s="46"/>
      <c r="AM37" s="46"/>
      <c r="AN37" s="46"/>
      <c r="AO37" s="46"/>
      <c r="AP37" s="46"/>
      <c r="AQ37" s="46"/>
      <c r="AR37" s="46"/>
      <c r="AS37" s="46"/>
      <c r="AT37" s="46"/>
      <c r="AU37" s="46"/>
      <c r="AV37" s="46"/>
    </row>
    <row r="38" spans="1:48" x14ac:dyDescent="0.35">
      <c r="A38" s="46"/>
      <c r="B38" s="46"/>
      <c r="C38" s="46"/>
      <c r="D38" s="46"/>
      <c r="E38" s="50"/>
      <c r="F38" s="50"/>
      <c r="G38" s="50"/>
      <c r="H38" s="50"/>
      <c r="I38" s="50"/>
      <c r="J38" s="46"/>
      <c r="K38" s="42" t="str">
        <f t="shared" si="0"/>
        <v/>
      </c>
      <c r="L38" s="42" t="str">
        <f t="shared" si="0"/>
        <v/>
      </c>
      <c r="M38" s="40"/>
      <c r="N38" s="42" t="str">
        <f t="shared" si="17"/>
        <v/>
      </c>
      <c r="O38" s="42" t="str">
        <f t="shared" si="17"/>
        <v/>
      </c>
      <c r="P38" s="41" t="str">
        <f t="shared" si="17"/>
        <v/>
      </c>
      <c r="Q38" s="41" t="str">
        <f t="shared" si="17"/>
        <v/>
      </c>
      <c r="R38" s="41" t="str">
        <f t="shared" si="17"/>
        <v/>
      </c>
      <c r="S38" s="41" t="str">
        <f t="shared" si="8"/>
        <v/>
      </c>
      <c r="T38" s="41" t="str">
        <f t="shared" si="9"/>
        <v/>
      </c>
      <c r="U38" s="41" t="str">
        <f t="shared" si="10"/>
        <v/>
      </c>
      <c r="V38" s="41" t="str">
        <f t="shared" si="13"/>
        <v/>
      </c>
      <c r="W38" s="41" t="str">
        <f t="shared" si="13"/>
        <v/>
      </c>
      <c r="X38" s="41" t="str">
        <f t="shared" si="13"/>
        <v/>
      </c>
      <c r="Y38" s="41" t="str">
        <f t="shared" si="14"/>
        <v/>
      </c>
      <c r="Z38" s="41" t="str">
        <f t="shared" si="14"/>
        <v/>
      </c>
      <c r="AA38" s="41" t="str">
        <f t="shared" si="14"/>
        <v/>
      </c>
      <c r="AB38" s="41" t="str">
        <f t="shared" si="15"/>
        <v/>
      </c>
      <c r="AC38" s="41" t="str">
        <f t="shared" si="15"/>
        <v/>
      </c>
      <c r="AD38" s="41" t="str">
        <f t="shared" si="15"/>
        <v/>
      </c>
      <c r="AE38" s="41" t="str">
        <f t="shared" si="16"/>
        <v/>
      </c>
      <c r="AF38" s="41" t="str">
        <f t="shared" si="16"/>
        <v/>
      </c>
      <c r="AG38" s="41" t="str">
        <f t="shared" si="16"/>
        <v/>
      </c>
      <c r="AH38" s="41" t="str">
        <f t="shared" si="7"/>
        <v/>
      </c>
      <c r="AI38" s="46"/>
      <c r="AJ38" s="46"/>
      <c r="AK38" s="46"/>
      <c r="AL38" s="46"/>
      <c r="AM38" s="46"/>
      <c r="AN38" s="46"/>
      <c r="AO38" s="46"/>
      <c r="AP38" s="46"/>
      <c r="AQ38" s="46"/>
      <c r="AR38" s="46"/>
      <c r="AS38" s="46"/>
      <c r="AT38" s="46"/>
      <c r="AU38" s="46"/>
      <c r="AV38" s="46"/>
    </row>
    <row r="39" spans="1:48" x14ac:dyDescent="0.35">
      <c r="A39" s="46"/>
      <c r="B39" s="46"/>
      <c r="C39" s="46"/>
      <c r="D39" s="46"/>
      <c r="E39" s="50"/>
      <c r="F39" s="50"/>
      <c r="G39" s="50"/>
      <c r="H39" s="50"/>
      <c r="I39" s="50"/>
      <c r="J39" s="46"/>
      <c r="K39" s="42" t="str">
        <f t="shared" ref="K39:L70" si="18">IF($E39="","",IF(VLOOKUP($E39,specs_for_word2,K$3,0)="","",VLOOKUP($E39,specs_for_word2,K$3,0)))</f>
        <v/>
      </c>
      <c r="L39" s="42" t="str">
        <f t="shared" si="18"/>
        <v/>
      </c>
      <c r="M39" s="40"/>
      <c r="N39" s="42" t="str">
        <f t="shared" si="17"/>
        <v/>
      </c>
      <c r="O39" s="42" t="str">
        <f t="shared" si="17"/>
        <v/>
      </c>
      <c r="P39" s="41" t="str">
        <f t="shared" si="17"/>
        <v/>
      </c>
      <c r="Q39" s="41" t="str">
        <f t="shared" si="17"/>
        <v/>
      </c>
      <c r="R39" s="41" t="str">
        <f t="shared" si="17"/>
        <v/>
      </c>
      <c r="S39" s="41" t="str">
        <f t="shared" si="8"/>
        <v/>
      </c>
      <c r="T39" s="41" t="str">
        <f t="shared" si="9"/>
        <v/>
      </c>
      <c r="U39" s="41" t="str">
        <f t="shared" si="10"/>
        <v/>
      </c>
      <c r="V39" s="41" t="str">
        <f t="shared" si="13"/>
        <v/>
      </c>
      <c r="W39" s="41" t="str">
        <f t="shared" si="13"/>
        <v/>
      </c>
      <c r="X39" s="41" t="str">
        <f t="shared" si="13"/>
        <v/>
      </c>
      <c r="Y39" s="41" t="str">
        <f t="shared" si="14"/>
        <v/>
      </c>
      <c r="Z39" s="41" t="str">
        <f t="shared" si="14"/>
        <v/>
      </c>
      <c r="AA39" s="41" t="str">
        <f t="shared" si="14"/>
        <v/>
      </c>
      <c r="AB39" s="41" t="str">
        <f t="shared" si="15"/>
        <v/>
      </c>
      <c r="AC39" s="41" t="str">
        <f t="shared" si="15"/>
        <v/>
      </c>
      <c r="AD39" s="41" t="str">
        <f t="shared" si="15"/>
        <v/>
      </c>
      <c r="AE39" s="41" t="str">
        <f t="shared" si="16"/>
        <v/>
      </c>
      <c r="AF39" s="41" t="str">
        <f t="shared" si="16"/>
        <v/>
      </c>
      <c r="AG39" s="41" t="str">
        <f t="shared" si="16"/>
        <v/>
      </c>
      <c r="AH39" s="41" t="str">
        <f t="shared" ref="AH39:AH70" si="19">IF($E39="","",IF(VLOOKUP($E39,specs_for_word2,AH$3,0)="","",VLOOKUP($E39,specs_for_word2,AH$3,0)))</f>
        <v/>
      </c>
      <c r="AI39" s="46"/>
      <c r="AJ39" s="46"/>
      <c r="AK39" s="46"/>
      <c r="AL39" s="46"/>
      <c r="AM39" s="46"/>
      <c r="AN39" s="46"/>
      <c r="AO39" s="46"/>
      <c r="AP39" s="46"/>
      <c r="AQ39" s="46"/>
      <c r="AR39" s="46"/>
      <c r="AS39" s="46"/>
      <c r="AT39" s="46"/>
      <c r="AU39" s="46"/>
      <c r="AV39" s="46"/>
    </row>
    <row r="40" spans="1:48" x14ac:dyDescent="0.35">
      <c r="A40" s="46"/>
      <c r="B40" s="46"/>
      <c r="C40" s="46"/>
      <c r="D40" s="46"/>
      <c r="E40" s="50"/>
      <c r="F40" s="50"/>
      <c r="G40" s="50"/>
      <c r="H40" s="50"/>
      <c r="I40" s="50"/>
      <c r="J40" s="46"/>
      <c r="K40" s="42" t="str">
        <f t="shared" si="18"/>
        <v/>
      </c>
      <c r="L40" s="42" t="str">
        <f t="shared" si="18"/>
        <v/>
      </c>
      <c r="M40" s="40"/>
      <c r="N40" s="42" t="str">
        <f t="shared" si="17"/>
        <v/>
      </c>
      <c r="O40" s="42" t="str">
        <f t="shared" si="17"/>
        <v/>
      </c>
      <c r="P40" s="41" t="str">
        <f t="shared" si="17"/>
        <v/>
      </c>
      <c r="Q40" s="41" t="str">
        <f t="shared" si="17"/>
        <v/>
      </c>
      <c r="R40" s="41" t="str">
        <f t="shared" si="17"/>
        <v/>
      </c>
      <c r="S40" s="41" t="str">
        <f t="shared" si="8"/>
        <v/>
      </c>
      <c r="T40" s="41" t="str">
        <f t="shared" si="9"/>
        <v/>
      </c>
      <c r="U40" s="41" t="str">
        <f t="shared" si="10"/>
        <v/>
      </c>
      <c r="V40" s="41" t="str">
        <f t="shared" si="13"/>
        <v/>
      </c>
      <c r="W40" s="41" t="str">
        <f t="shared" si="13"/>
        <v/>
      </c>
      <c r="X40" s="41" t="str">
        <f t="shared" si="13"/>
        <v/>
      </c>
      <c r="Y40" s="41" t="str">
        <f t="shared" si="14"/>
        <v/>
      </c>
      <c r="Z40" s="41" t="str">
        <f t="shared" si="14"/>
        <v/>
      </c>
      <c r="AA40" s="41" t="str">
        <f t="shared" si="14"/>
        <v/>
      </c>
      <c r="AB40" s="41" t="str">
        <f t="shared" si="15"/>
        <v/>
      </c>
      <c r="AC40" s="41" t="str">
        <f t="shared" si="15"/>
        <v/>
      </c>
      <c r="AD40" s="41" t="str">
        <f t="shared" si="15"/>
        <v/>
      </c>
      <c r="AE40" s="41" t="str">
        <f t="shared" si="16"/>
        <v/>
      </c>
      <c r="AF40" s="41" t="str">
        <f t="shared" si="16"/>
        <v/>
      </c>
      <c r="AG40" s="41" t="str">
        <f t="shared" si="16"/>
        <v/>
      </c>
      <c r="AH40" s="41" t="str">
        <f t="shared" si="19"/>
        <v/>
      </c>
      <c r="AI40" s="46"/>
      <c r="AJ40" s="46"/>
      <c r="AK40" s="46"/>
      <c r="AL40" s="46"/>
      <c r="AM40" s="46"/>
      <c r="AN40" s="46"/>
      <c r="AO40" s="46"/>
      <c r="AP40" s="46"/>
      <c r="AQ40" s="46"/>
      <c r="AR40" s="46"/>
      <c r="AS40" s="46"/>
      <c r="AT40" s="46"/>
      <c r="AU40" s="46"/>
      <c r="AV40" s="46"/>
    </row>
    <row r="41" spans="1:48" x14ac:dyDescent="0.35">
      <c r="A41" s="46"/>
      <c r="B41" s="46"/>
      <c r="C41" s="46"/>
      <c r="D41" s="46"/>
      <c r="E41" s="50"/>
      <c r="F41" s="50"/>
      <c r="G41" s="50"/>
      <c r="H41" s="50"/>
      <c r="I41" s="50"/>
      <c r="J41" s="46"/>
      <c r="K41" s="42" t="str">
        <f t="shared" si="18"/>
        <v/>
      </c>
      <c r="L41" s="42" t="str">
        <f t="shared" si="18"/>
        <v/>
      </c>
      <c r="M41" s="40"/>
      <c r="N41" s="42" t="str">
        <f t="shared" si="17"/>
        <v/>
      </c>
      <c r="O41" s="42" t="str">
        <f t="shared" si="17"/>
        <v/>
      </c>
      <c r="P41" s="41" t="str">
        <f t="shared" si="17"/>
        <v/>
      </c>
      <c r="Q41" s="41" t="str">
        <f t="shared" si="17"/>
        <v/>
      </c>
      <c r="R41" s="41" t="str">
        <f t="shared" si="17"/>
        <v/>
      </c>
      <c r="S41" s="41" t="str">
        <f t="shared" si="8"/>
        <v/>
      </c>
      <c r="T41" s="41" t="str">
        <f t="shared" si="9"/>
        <v/>
      </c>
      <c r="U41" s="41" t="str">
        <f t="shared" si="10"/>
        <v/>
      </c>
      <c r="V41" s="41" t="str">
        <f t="shared" si="13"/>
        <v/>
      </c>
      <c r="W41" s="41" t="str">
        <f t="shared" si="13"/>
        <v/>
      </c>
      <c r="X41" s="41" t="str">
        <f t="shared" si="13"/>
        <v/>
      </c>
      <c r="Y41" s="41" t="str">
        <f t="shared" si="14"/>
        <v/>
      </c>
      <c r="Z41" s="41" t="str">
        <f t="shared" si="14"/>
        <v/>
      </c>
      <c r="AA41" s="41" t="str">
        <f t="shared" si="14"/>
        <v/>
      </c>
      <c r="AB41" s="41" t="str">
        <f t="shared" si="15"/>
        <v/>
      </c>
      <c r="AC41" s="41" t="str">
        <f t="shared" si="15"/>
        <v/>
      </c>
      <c r="AD41" s="41" t="str">
        <f t="shared" si="15"/>
        <v/>
      </c>
      <c r="AE41" s="41" t="str">
        <f t="shared" si="16"/>
        <v/>
      </c>
      <c r="AF41" s="41" t="str">
        <f t="shared" si="16"/>
        <v/>
      </c>
      <c r="AG41" s="41" t="str">
        <f t="shared" si="16"/>
        <v/>
      </c>
      <c r="AH41" s="41" t="str">
        <f t="shared" si="19"/>
        <v/>
      </c>
      <c r="AI41" s="46"/>
      <c r="AJ41" s="46"/>
      <c r="AK41" s="46"/>
      <c r="AL41" s="46"/>
      <c r="AM41" s="46"/>
      <c r="AN41" s="46"/>
      <c r="AO41" s="46"/>
      <c r="AP41" s="46"/>
      <c r="AQ41" s="46"/>
      <c r="AR41" s="46"/>
      <c r="AS41" s="46"/>
      <c r="AT41" s="46"/>
      <c r="AU41" s="46"/>
      <c r="AV41" s="46"/>
    </row>
    <row r="42" spans="1:48" x14ac:dyDescent="0.35">
      <c r="A42" s="46"/>
      <c r="B42" s="46"/>
      <c r="C42" s="46"/>
      <c r="D42" s="46"/>
      <c r="E42" s="50"/>
      <c r="F42" s="50"/>
      <c r="G42" s="50"/>
      <c r="H42" s="50"/>
      <c r="I42" s="50"/>
      <c r="J42" s="46"/>
      <c r="K42" s="42" t="str">
        <f t="shared" si="18"/>
        <v/>
      </c>
      <c r="L42" s="42" t="str">
        <f t="shared" si="18"/>
        <v/>
      </c>
      <c r="M42" s="40"/>
      <c r="N42" s="42" t="str">
        <f t="shared" si="17"/>
        <v/>
      </c>
      <c r="O42" s="42" t="str">
        <f t="shared" si="17"/>
        <v/>
      </c>
      <c r="P42" s="41" t="str">
        <f t="shared" si="17"/>
        <v/>
      </c>
      <c r="Q42" s="41" t="str">
        <f t="shared" si="17"/>
        <v/>
      </c>
      <c r="R42" s="41" t="str">
        <f t="shared" si="17"/>
        <v/>
      </c>
      <c r="S42" s="41" t="str">
        <f t="shared" si="8"/>
        <v/>
      </c>
      <c r="T42" s="41" t="str">
        <f t="shared" si="9"/>
        <v/>
      </c>
      <c r="U42" s="41" t="str">
        <f t="shared" si="10"/>
        <v/>
      </c>
      <c r="V42" s="41" t="str">
        <f t="shared" si="13"/>
        <v/>
      </c>
      <c r="W42" s="41" t="str">
        <f t="shared" si="13"/>
        <v/>
      </c>
      <c r="X42" s="41" t="str">
        <f t="shared" si="13"/>
        <v/>
      </c>
      <c r="Y42" s="41" t="str">
        <f t="shared" si="14"/>
        <v/>
      </c>
      <c r="Z42" s="41" t="str">
        <f t="shared" si="14"/>
        <v/>
      </c>
      <c r="AA42" s="41" t="str">
        <f t="shared" si="14"/>
        <v/>
      </c>
      <c r="AB42" s="41" t="str">
        <f t="shared" si="15"/>
        <v/>
      </c>
      <c r="AC42" s="41" t="str">
        <f t="shared" si="15"/>
        <v/>
      </c>
      <c r="AD42" s="41" t="str">
        <f t="shared" si="15"/>
        <v/>
      </c>
      <c r="AE42" s="41" t="str">
        <f t="shared" si="16"/>
        <v/>
      </c>
      <c r="AF42" s="41" t="str">
        <f t="shared" si="16"/>
        <v/>
      </c>
      <c r="AG42" s="41" t="str">
        <f t="shared" si="16"/>
        <v/>
      </c>
      <c r="AH42" s="41" t="str">
        <f t="shared" si="19"/>
        <v/>
      </c>
      <c r="AI42" s="46"/>
      <c r="AJ42" s="46"/>
      <c r="AK42" s="46"/>
      <c r="AL42" s="46"/>
      <c r="AM42" s="46"/>
      <c r="AN42" s="46"/>
      <c r="AO42" s="46"/>
      <c r="AP42" s="46"/>
      <c r="AQ42" s="46"/>
      <c r="AR42" s="46"/>
      <c r="AS42" s="46"/>
      <c r="AT42" s="46"/>
      <c r="AU42" s="46"/>
      <c r="AV42" s="46"/>
    </row>
    <row r="43" spans="1:48" x14ac:dyDescent="0.35">
      <c r="A43" s="46"/>
      <c r="B43" s="46"/>
      <c r="C43" s="46"/>
      <c r="D43" s="46"/>
      <c r="E43" s="50"/>
      <c r="F43" s="50"/>
      <c r="G43" s="50"/>
      <c r="H43" s="50"/>
      <c r="I43" s="50"/>
      <c r="J43" s="46"/>
      <c r="K43" s="42" t="str">
        <f t="shared" si="18"/>
        <v/>
      </c>
      <c r="L43" s="42" t="str">
        <f t="shared" si="18"/>
        <v/>
      </c>
      <c r="M43" s="40"/>
      <c r="N43" s="42" t="str">
        <f t="shared" si="17"/>
        <v/>
      </c>
      <c r="O43" s="42" t="str">
        <f t="shared" si="17"/>
        <v/>
      </c>
      <c r="P43" s="41" t="str">
        <f t="shared" si="17"/>
        <v/>
      </c>
      <c r="Q43" s="41" t="str">
        <f t="shared" si="17"/>
        <v/>
      </c>
      <c r="R43" s="41" t="str">
        <f t="shared" si="17"/>
        <v/>
      </c>
      <c r="S43" s="41" t="str">
        <f t="shared" si="8"/>
        <v/>
      </c>
      <c r="T43" s="41" t="str">
        <f t="shared" si="9"/>
        <v/>
      </c>
      <c r="U43" s="41" t="str">
        <f t="shared" si="10"/>
        <v/>
      </c>
      <c r="V43" s="41" t="str">
        <f t="shared" si="13"/>
        <v/>
      </c>
      <c r="W43" s="41" t="str">
        <f t="shared" si="13"/>
        <v/>
      </c>
      <c r="X43" s="41" t="str">
        <f t="shared" si="13"/>
        <v/>
      </c>
      <c r="Y43" s="41" t="str">
        <f t="shared" si="14"/>
        <v/>
      </c>
      <c r="Z43" s="41" t="str">
        <f t="shared" si="14"/>
        <v/>
      </c>
      <c r="AA43" s="41" t="str">
        <f t="shared" si="14"/>
        <v/>
      </c>
      <c r="AB43" s="41" t="str">
        <f t="shared" si="15"/>
        <v/>
      </c>
      <c r="AC43" s="41" t="str">
        <f t="shared" si="15"/>
        <v/>
      </c>
      <c r="AD43" s="41" t="str">
        <f t="shared" si="15"/>
        <v/>
      </c>
      <c r="AE43" s="41" t="str">
        <f t="shared" si="16"/>
        <v/>
      </c>
      <c r="AF43" s="41" t="str">
        <f t="shared" si="16"/>
        <v/>
      </c>
      <c r="AG43" s="41" t="str">
        <f t="shared" si="16"/>
        <v/>
      </c>
      <c r="AH43" s="41" t="str">
        <f t="shared" si="19"/>
        <v/>
      </c>
      <c r="AI43" s="46"/>
      <c r="AJ43" s="46"/>
      <c r="AK43" s="46"/>
      <c r="AL43" s="46"/>
      <c r="AM43" s="46"/>
      <c r="AN43" s="46"/>
      <c r="AO43" s="46"/>
      <c r="AP43" s="46"/>
      <c r="AQ43" s="46"/>
      <c r="AR43" s="46"/>
      <c r="AS43" s="46"/>
      <c r="AT43" s="46"/>
      <c r="AU43" s="46"/>
      <c r="AV43" s="46"/>
    </row>
    <row r="44" spans="1:48" x14ac:dyDescent="0.35">
      <c r="A44" s="46"/>
      <c r="B44" s="46"/>
      <c r="C44" s="46"/>
      <c r="D44" s="46"/>
      <c r="E44" s="50"/>
      <c r="F44" s="50"/>
      <c r="G44" s="50"/>
      <c r="H44" s="50"/>
      <c r="I44" s="50"/>
      <c r="J44" s="46"/>
      <c r="K44" s="42" t="str">
        <f t="shared" si="18"/>
        <v/>
      </c>
      <c r="L44" s="42" t="str">
        <f t="shared" si="18"/>
        <v/>
      </c>
      <c r="M44" s="40"/>
      <c r="N44" s="42" t="str">
        <f t="shared" si="17"/>
        <v/>
      </c>
      <c r="O44" s="42" t="str">
        <f t="shared" si="17"/>
        <v/>
      </c>
      <c r="P44" s="41" t="str">
        <f t="shared" si="17"/>
        <v/>
      </c>
      <c r="Q44" s="41" t="str">
        <f t="shared" si="17"/>
        <v/>
      </c>
      <c r="R44" s="41" t="str">
        <f t="shared" si="17"/>
        <v/>
      </c>
      <c r="S44" s="41" t="str">
        <f t="shared" si="8"/>
        <v/>
      </c>
      <c r="T44" s="41" t="str">
        <f t="shared" si="9"/>
        <v/>
      </c>
      <c r="U44" s="41" t="str">
        <f t="shared" si="10"/>
        <v/>
      </c>
      <c r="V44" s="41" t="str">
        <f t="shared" si="13"/>
        <v/>
      </c>
      <c r="W44" s="41" t="str">
        <f t="shared" si="13"/>
        <v/>
      </c>
      <c r="X44" s="41" t="str">
        <f t="shared" si="13"/>
        <v/>
      </c>
      <c r="Y44" s="41" t="str">
        <f t="shared" si="14"/>
        <v/>
      </c>
      <c r="Z44" s="41" t="str">
        <f t="shared" si="14"/>
        <v/>
      </c>
      <c r="AA44" s="41" t="str">
        <f t="shared" si="14"/>
        <v/>
      </c>
      <c r="AB44" s="41" t="str">
        <f t="shared" si="15"/>
        <v/>
      </c>
      <c r="AC44" s="41" t="str">
        <f t="shared" si="15"/>
        <v/>
      </c>
      <c r="AD44" s="41" t="str">
        <f t="shared" si="15"/>
        <v/>
      </c>
      <c r="AE44" s="41" t="str">
        <f t="shared" si="16"/>
        <v/>
      </c>
      <c r="AF44" s="41" t="str">
        <f t="shared" si="16"/>
        <v/>
      </c>
      <c r="AG44" s="41" t="str">
        <f t="shared" si="16"/>
        <v/>
      </c>
      <c r="AH44" s="41" t="str">
        <f t="shared" si="19"/>
        <v/>
      </c>
      <c r="AI44" s="46"/>
      <c r="AJ44" s="46"/>
      <c r="AK44" s="46"/>
      <c r="AL44" s="46"/>
      <c r="AM44" s="46"/>
      <c r="AN44" s="46"/>
      <c r="AO44" s="46"/>
      <c r="AP44" s="46"/>
      <c r="AQ44" s="46"/>
      <c r="AR44" s="46"/>
      <c r="AS44" s="46"/>
      <c r="AT44" s="46"/>
      <c r="AU44" s="46"/>
      <c r="AV44" s="46"/>
    </row>
    <row r="45" spans="1:48" x14ac:dyDescent="0.35">
      <c r="A45" s="46"/>
      <c r="B45" s="46"/>
      <c r="C45" s="46"/>
      <c r="D45" s="46"/>
      <c r="E45" s="50"/>
      <c r="F45" s="50"/>
      <c r="G45" s="50"/>
      <c r="H45" s="50"/>
      <c r="I45" s="50"/>
      <c r="J45" s="46"/>
      <c r="K45" s="42" t="str">
        <f t="shared" si="18"/>
        <v/>
      </c>
      <c r="L45" s="42" t="str">
        <f t="shared" si="18"/>
        <v/>
      </c>
      <c r="M45" s="40"/>
      <c r="N45" s="42" t="str">
        <f t="shared" si="17"/>
        <v/>
      </c>
      <c r="O45" s="42" t="str">
        <f t="shared" si="17"/>
        <v/>
      </c>
      <c r="P45" s="41" t="str">
        <f t="shared" si="17"/>
        <v/>
      </c>
      <c r="Q45" s="41" t="str">
        <f t="shared" si="17"/>
        <v/>
      </c>
      <c r="R45" s="41" t="str">
        <f t="shared" si="17"/>
        <v/>
      </c>
      <c r="S45" s="41" t="str">
        <f t="shared" si="8"/>
        <v/>
      </c>
      <c r="T45" s="41" t="str">
        <f t="shared" si="9"/>
        <v/>
      </c>
      <c r="U45" s="41" t="str">
        <f t="shared" si="10"/>
        <v/>
      </c>
      <c r="V45" s="41" t="str">
        <f t="shared" si="13"/>
        <v/>
      </c>
      <c r="W45" s="41" t="str">
        <f t="shared" si="13"/>
        <v/>
      </c>
      <c r="X45" s="41" t="str">
        <f t="shared" si="13"/>
        <v/>
      </c>
      <c r="Y45" s="41" t="str">
        <f t="shared" si="14"/>
        <v/>
      </c>
      <c r="Z45" s="41" t="str">
        <f t="shared" si="14"/>
        <v/>
      </c>
      <c r="AA45" s="41" t="str">
        <f t="shared" si="14"/>
        <v/>
      </c>
      <c r="AB45" s="41" t="str">
        <f t="shared" si="15"/>
        <v/>
      </c>
      <c r="AC45" s="41" t="str">
        <f t="shared" si="15"/>
        <v/>
      </c>
      <c r="AD45" s="41" t="str">
        <f t="shared" si="15"/>
        <v/>
      </c>
      <c r="AE45" s="41" t="str">
        <f t="shared" si="16"/>
        <v/>
      </c>
      <c r="AF45" s="41" t="str">
        <f t="shared" si="16"/>
        <v/>
      </c>
      <c r="AG45" s="41" t="str">
        <f t="shared" si="16"/>
        <v/>
      </c>
      <c r="AH45" s="41" t="str">
        <f t="shared" si="19"/>
        <v/>
      </c>
      <c r="AI45" s="46"/>
      <c r="AJ45" s="46"/>
      <c r="AK45" s="46"/>
      <c r="AL45" s="46"/>
      <c r="AM45" s="46"/>
      <c r="AN45" s="46"/>
      <c r="AO45" s="46"/>
      <c r="AP45" s="46"/>
      <c r="AQ45" s="46"/>
      <c r="AR45" s="46"/>
      <c r="AS45" s="46"/>
      <c r="AT45" s="46"/>
      <c r="AU45" s="46"/>
      <c r="AV45" s="46"/>
    </row>
    <row r="46" spans="1:48" x14ac:dyDescent="0.35">
      <c r="A46" s="46"/>
      <c r="B46" s="46"/>
      <c r="C46" s="46"/>
      <c r="D46" s="46"/>
      <c r="E46" s="50"/>
      <c r="F46" s="50"/>
      <c r="G46" s="50"/>
      <c r="H46" s="50"/>
      <c r="I46" s="50"/>
      <c r="J46" s="46"/>
      <c r="K46" s="42" t="str">
        <f t="shared" si="18"/>
        <v/>
      </c>
      <c r="L46" s="42" t="str">
        <f t="shared" si="18"/>
        <v/>
      </c>
      <c r="M46" s="40"/>
      <c r="N46" s="42" t="str">
        <f t="shared" si="17"/>
        <v/>
      </c>
      <c r="O46" s="42" t="str">
        <f t="shared" si="17"/>
        <v/>
      </c>
      <c r="P46" s="41" t="str">
        <f t="shared" si="17"/>
        <v/>
      </c>
      <c r="Q46" s="41" t="str">
        <f t="shared" si="17"/>
        <v/>
      </c>
      <c r="R46" s="41" t="str">
        <f t="shared" si="17"/>
        <v/>
      </c>
      <c r="S46" s="41" t="str">
        <f t="shared" si="8"/>
        <v/>
      </c>
      <c r="T46" s="41" t="str">
        <f t="shared" si="9"/>
        <v/>
      </c>
      <c r="U46" s="41" t="str">
        <f t="shared" si="10"/>
        <v/>
      </c>
      <c r="V46" s="41" t="str">
        <f t="shared" si="13"/>
        <v/>
      </c>
      <c r="W46" s="41" t="str">
        <f t="shared" si="13"/>
        <v/>
      </c>
      <c r="X46" s="41" t="str">
        <f t="shared" si="13"/>
        <v/>
      </c>
      <c r="Y46" s="41" t="str">
        <f t="shared" si="14"/>
        <v/>
      </c>
      <c r="Z46" s="41" t="str">
        <f t="shared" si="14"/>
        <v/>
      </c>
      <c r="AA46" s="41" t="str">
        <f t="shared" si="14"/>
        <v/>
      </c>
      <c r="AB46" s="41" t="str">
        <f t="shared" si="15"/>
        <v/>
      </c>
      <c r="AC46" s="41" t="str">
        <f t="shared" si="15"/>
        <v/>
      </c>
      <c r="AD46" s="41" t="str">
        <f t="shared" si="15"/>
        <v/>
      </c>
      <c r="AE46" s="41" t="str">
        <f t="shared" si="16"/>
        <v/>
      </c>
      <c r="AF46" s="41" t="str">
        <f t="shared" si="16"/>
        <v/>
      </c>
      <c r="AG46" s="41" t="str">
        <f t="shared" si="16"/>
        <v/>
      </c>
      <c r="AH46" s="41" t="str">
        <f t="shared" si="19"/>
        <v/>
      </c>
      <c r="AI46" s="46"/>
      <c r="AJ46" s="46"/>
      <c r="AK46" s="46"/>
      <c r="AL46" s="46"/>
      <c r="AM46" s="46"/>
      <c r="AN46" s="46"/>
      <c r="AO46" s="46"/>
      <c r="AP46" s="46"/>
      <c r="AQ46" s="46"/>
      <c r="AR46" s="46"/>
      <c r="AS46" s="46"/>
      <c r="AT46" s="46"/>
      <c r="AU46" s="46"/>
      <c r="AV46" s="46"/>
    </row>
    <row r="47" spans="1:48" x14ac:dyDescent="0.35">
      <c r="A47" s="46"/>
      <c r="B47" s="46"/>
      <c r="C47" s="46"/>
      <c r="D47" s="46"/>
      <c r="E47" s="50"/>
      <c r="F47" s="50"/>
      <c r="G47" s="50"/>
      <c r="H47" s="50"/>
      <c r="I47" s="50"/>
      <c r="J47" s="46"/>
      <c r="K47" s="42" t="str">
        <f t="shared" si="18"/>
        <v/>
      </c>
      <c r="L47" s="42" t="str">
        <f t="shared" si="18"/>
        <v/>
      </c>
      <c r="M47" s="40"/>
      <c r="N47" s="42" t="str">
        <f t="shared" ref="N47:R56" si="20">IF($E47="","",IF(VLOOKUP($E47,specs_for_word2,N$3,0)="","",VLOOKUP($E47,specs_for_word2,N$3,0)))</f>
        <v/>
      </c>
      <c r="O47" s="42" t="str">
        <f t="shared" si="20"/>
        <v/>
      </c>
      <c r="P47" s="41" t="str">
        <f t="shared" si="20"/>
        <v/>
      </c>
      <c r="Q47" s="41" t="str">
        <f t="shared" si="20"/>
        <v/>
      </c>
      <c r="R47" s="41" t="str">
        <f t="shared" si="20"/>
        <v/>
      </c>
      <c r="S47" s="41" t="str">
        <f t="shared" si="8"/>
        <v/>
      </c>
      <c r="T47" s="41" t="str">
        <f t="shared" si="9"/>
        <v/>
      </c>
      <c r="U47" s="41" t="str">
        <f t="shared" si="10"/>
        <v/>
      </c>
      <c r="V47" s="41" t="str">
        <f t="shared" ref="V47:X66" si="21">IF($F47="","",IF(VLOOKUP($F47,specs_for_word2,V$3,0)="","",VLOOKUP($F47,specs_for_word2,V$3,0)))</f>
        <v/>
      </c>
      <c r="W47" s="41" t="str">
        <f t="shared" si="21"/>
        <v/>
      </c>
      <c r="X47" s="41" t="str">
        <f t="shared" si="21"/>
        <v/>
      </c>
      <c r="Y47" s="41" t="str">
        <f t="shared" ref="Y47:AA66" si="22">IF($G47="","",IF(VLOOKUP($G47,specs_for_word2,Y$3,0)="","",VLOOKUP($G47,specs_for_word2,Y$3,0)))</f>
        <v/>
      </c>
      <c r="Z47" s="41" t="str">
        <f t="shared" si="22"/>
        <v/>
      </c>
      <c r="AA47" s="41" t="str">
        <f t="shared" si="22"/>
        <v/>
      </c>
      <c r="AB47" s="41" t="str">
        <f t="shared" ref="AB47:AD66" si="23">IF($H47="","",IF(VLOOKUP($H47,specs_for_word2,AB$3,0)="","",VLOOKUP($H47,specs_for_word2,AB$3,0)))</f>
        <v/>
      </c>
      <c r="AC47" s="41" t="str">
        <f t="shared" si="23"/>
        <v/>
      </c>
      <c r="AD47" s="41" t="str">
        <f t="shared" si="23"/>
        <v/>
      </c>
      <c r="AE47" s="41" t="str">
        <f t="shared" ref="AE47:AG66" si="24">IF($I47="","",IF(VLOOKUP($I47,specs_for_word2,AE$3,0)="","",VLOOKUP($I47,specs_for_word2,AE$3,0)))</f>
        <v/>
      </c>
      <c r="AF47" s="41" t="str">
        <f t="shared" si="24"/>
        <v/>
      </c>
      <c r="AG47" s="41" t="str">
        <f t="shared" si="24"/>
        <v/>
      </c>
      <c r="AH47" s="41" t="str">
        <f t="shared" si="19"/>
        <v/>
      </c>
      <c r="AI47" s="46"/>
      <c r="AJ47" s="46"/>
      <c r="AK47" s="46"/>
      <c r="AL47" s="46"/>
      <c r="AM47" s="46"/>
      <c r="AN47" s="46"/>
      <c r="AO47" s="46"/>
      <c r="AP47" s="46"/>
      <c r="AQ47" s="46"/>
      <c r="AR47" s="46"/>
      <c r="AS47" s="46"/>
      <c r="AT47" s="46"/>
      <c r="AU47" s="46"/>
      <c r="AV47" s="46"/>
    </row>
    <row r="48" spans="1:48" x14ac:dyDescent="0.35">
      <c r="A48" s="46"/>
      <c r="B48" s="46"/>
      <c r="C48" s="46"/>
      <c r="D48" s="46"/>
      <c r="E48" s="50"/>
      <c r="F48" s="50"/>
      <c r="G48" s="50"/>
      <c r="H48" s="50"/>
      <c r="I48" s="50"/>
      <c r="J48" s="46"/>
      <c r="K48" s="42" t="str">
        <f t="shared" si="18"/>
        <v/>
      </c>
      <c r="L48" s="42" t="str">
        <f t="shared" si="18"/>
        <v/>
      </c>
      <c r="M48" s="40"/>
      <c r="N48" s="42" t="str">
        <f t="shared" si="20"/>
        <v/>
      </c>
      <c r="O48" s="42" t="str">
        <f t="shared" si="20"/>
        <v/>
      </c>
      <c r="P48" s="41" t="str">
        <f t="shared" si="20"/>
        <v/>
      </c>
      <c r="Q48" s="41" t="str">
        <f t="shared" si="20"/>
        <v/>
      </c>
      <c r="R48" s="41" t="str">
        <f t="shared" si="20"/>
        <v/>
      </c>
      <c r="S48" s="41" t="str">
        <f t="shared" si="8"/>
        <v/>
      </c>
      <c r="T48" s="41" t="str">
        <f t="shared" si="9"/>
        <v/>
      </c>
      <c r="U48" s="41" t="str">
        <f t="shared" si="10"/>
        <v/>
      </c>
      <c r="V48" s="41" t="str">
        <f t="shared" si="21"/>
        <v/>
      </c>
      <c r="W48" s="41" t="str">
        <f t="shared" si="21"/>
        <v/>
      </c>
      <c r="X48" s="41" t="str">
        <f t="shared" si="21"/>
        <v/>
      </c>
      <c r="Y48" s="41" t="str">
        <f t="shared" si="22"/>
        <v/>
      </c>
      <c r="Z48" s="41" t="str">
        <f t="shared" si="22"/>
        <v/>
      </c>
      <c r="AA48" s="41" t="str">
        <f t="shared" si="22"/>
        <v/>
      </c>
      <c r="AB48" s="41" t="str">
        <f t="shared" si="23"/>
        <v/>
      </c>
      <c r="AC48" s="41" t="str">
        <f t="shared" si="23"/>
        <v/>
      </c>
      <c r="AD48" s="41" t="str">
        <f t="shared" si="23"/>
        <v/>
      </c>
      <c r="AE48" s="41" t="str">
        <f t="shared" si="24"/>
        <v/>
      </c>
      <c r="AF48" s="41" t="str">
        <f t="shared" si="24"/>
        <v/>
      </c>
      <c r="AG48" s="41" t="str">
        <f t="shared" si="24"/>
        <v/>
      </c>
      <c r="AH48" s="41" t="str">
        <f t="shared" si="19"/>
        <v/>
      </c>
      <c r="AI48" s="46"/>
      <c r="AJ48" s="46"/>
      <c r="AK48" s="46"/>
      <c r="AL48" s="46"/>
      <c r="AM48" s="46"/>
      <c r="AN48" s="46"/>
      <c r="AO48" s="46"/>
      <c r="AP48" s="46"/>
      <c r="AQ48" s="46"/>
      <c r="AR48" s="46"/>
      <c r="AS48" s="46"/>
      <c r="AT48" s="46"/>
      <c r="AU48" s="46"/>
      <c r="AV48" s="46"/>
    </row>
    <row r="49" spans="1:48" x14ac:dyDescent="0.35">
      <c r="A49" s="46"/>
      <c r="B49" s="46"/>
      <c r="C49" s="46"/>
      <c r="D49" s="46"/>
      <c r="E49" s="50"/>
      <c r="F49" s="50"/>
      <c r="G49" s="50"/>
      <c r="H49" s="50"/>
      <c r="I49" s="50"/>
      <c r="J49" s="46"/>
      <c r="K49" s="42" t="str">
        <f t="shared" si="18"/>
        <v/>
      </c>
      <c r="L49" s="42" t="str">
        <f t="shared" si="18"/>
        <v/>
      </c>
      <c r="M49" s="40"/>
      <c r="N49" s="42" t="str">
        <f t="shared" si="20"/>
        <v/>
      </c>
      <c r="O49" s="42" t="str">
        <f t="shared" si="20"/>
        <v/>
      </c>
      <c r="P49" s="41" t="str">
        <f t="shared" si="20"/>
        <v/>
      </c>
      <c r="Q49" s="41" t="str">
        <f t="shared" si="20"/>
        <v/>
      </c>
      <c r="R49" s="41" t="str">
        <f t="shared" si="20"/>
        <v/>
      </c>
      <c r="S49" s="41" t="str">
        <f t="shared" si="8"/>
        <v/>
      </c>
      <c r="T49" s="41" t="str">
        <f t="shared" si="9"/>
        <v/>
      </c>
      <c r="U49" s="41" t="str">
        <f t="shared" si="10"/>
        <v/>
      </c>
      <c r="V49" s="41" t="str">
        <f t="shared" si="21"/>
        <v/>
      </c>
      <c r="W49" s="41" t="str">
        <f t="shared" si="21"/>
        <v/>
      </c>
      <c r="X49" s="41" t="str">
        <f t="shared" si="21"/>
        <v/>
      </c>
      <c r="Y49" s="41" t="str">
        <f t="shared" si="22"/>
        <v/>
      </c>
      <c r="Z49" s="41" t="str">
        <f t="shared" si="22"/>
        <v/>
      </c>
      <c r="AA49" s="41" t="str">
        <f t="shared" si="22"/>
        <v/>
      </c>
      <c r="AB49" s="41" t="str">
        <f t="shared" si="23"/>
        <v/>
      </c>
      <c r="AC49" s="41" t="str">
        <f t="shared" si="23"/>
        <v/>
      </c>
      <c r="AD49" s="41" t="str">
        <f t="shared" si="23"/>
        <v/>
      </c>
      <c r="AE49" s="41" t="str">
        <f t="shared" si="24"/>
        <v/>
      </c>
      <c r="AF49" s="41" t="str">
        <f t="shared" si="24"/>
        <v/>
      </c>
      <c r="AG49" s="41" t="str">
        <f t="shared" si="24"/>
        <v/>
      </c>
      <c r="AH49" s="41" t="str">
        <f t="shared" si="19"/>
        <v/>
      </c>
      <c r="AI49" s="46"/>
      <c r="AJ49" s="46"/>
      <c r="AK49" s="46"/>
      <c r="AL49" s="46"/>
      <c r="AM49" s="46"/>
      <c r="AN49" s="46"/>
      <c r="AO49" s="46"/>
      <c r="AP49" s="46"/>
      <c r="AQ49" s="46"/>
      <c r="AR49" s="46"/>
      <c r="AS49" s="46"/>
      <c r="AT49" s="46"/>
      <c r="AU49" s="46"/>
      <c r="AV49" s="46"/>
    </row>
    <row r="50" spans="1:48" x14ac:dyDescent="0.35">
      <c r="A50" s="46"/>
      <c r="B50" s="46"/>
      <c r="C50" s="46"/>
      <c r="D50" s="46"/>
      <c r="E50" s="50"/>
      <c r="F50" s="50"/>
      <c r="G50" s="50"/>
      <c r="H50" s="50"/>
      <c r="I50" s="50"/>
      <c r="J50" s="46"/>
      <c r="K50" s="42" t="str">
        <f t="shared" si="18"/>
        <v/>
      </c>
      <c r="L50" s="42" t="str">
        <f t="shared" si="18"/>
        <v/>
      </c>
      <c r="M50" s="40"/>
      <c r="N50" s="42" t="str">
        <f t="shared" si="20"/>
        <v/>
      </c>
      <c r="O50" s="42" t="str">
        <f t="shared" si="20"/>
        <v/>
      </c>
      <c r="P50" s="41" t="str">
        <f t="shared" si="20"/>
        <v/>
      </c>
      <c r="Q50" s="41" t="str">
        <f t="shared" si="20"/>
        <v/>
      </c>
      <c r="R50" s="41" t="str">
        <f t="shared" si="20"/>
        <v/>
      </c>
      <c r="S50" s="41" t="str">
        <f t="shared" si="8"/>
        <v/>
      </c>
      <c r="T50" s="41" t="str">
        <f t="shared" si="9"/>
        <v/>
      </c>
      <c r="U50" s="41" t="str">
        <f t="shared" si="10"/>
        <v/>
      </c>
      <c r="V50" s="41" t="str">
        <f t="shared" si="21"/>
        <v/>
      </c>
      <c r="W50" s="41" t="str">
        <f t="shared" si="21"/>
        <v/>
      </c>
      <c r="X50" s="41" t="str">
        <f t="shared" si="21"/>
        <v/>
      </c>
      <c r="Y50" s="41" t="str">
        <f t="shared" si="22"/>
        <v/>
      </c>
      <c r="Z50" s="41" t="str">
        <f t="shared" si="22"/>
        <v/>
      </c>
      <c r="AA50" s="41" t="str">
        <f t="shared" si="22"/>
        <v/>
      </c>
      <c r="AB50" s="41" t="str">
        <f t="shared" si="23"/>
        <v/>
      </c>
      <c r="AC50" s="41" t="str">
        <f t="shared" si="23"/>
        <v/>
      </c>
      <c r="AD50" s="41" t="str">
        <f t="shared" si="23"/>
        <v/>
      </c>
      <c r="AE50" s="41" t="str">
        <f t="shared" si="24"/>
        <v/>
      </c>
      <c r="AF50" s="41" t="str">
        <f t="shared" si="24"/>
        <v/>
      </c>
      <c r="AG50" s="41" t="str">
        <f t="shared" si="24"/>
        <v/>
      </c>
      <c r="AH50" s="41" t="str">
        <f t="shared" si="19"/>
        <v/>
      </c>
      <c r="AI50" s="46"/>
      <c r="AJ50" s="46"/>
      <c r="AK50" s="46"/>
      <c r="AL50" s="46"/>
      <c r="AM50" s="46"/>
      <c r="AN50" s="46"/>
      <c r="AO50" s="46"/>
      <c r="AP50" s="46"/>
      <c r="AQ50" s="46"/>
      <c r="AR50" s="46"/>
      <c r="AS50" s="46"/>
      <c r="AT50" s="46"/>
      <c r="AU50" s="46"/>
      <c r="AV50" s="46"/>
    </row>
    <row r="51" spans="1:48" x14ac:dyDescent="0.35">
      <c r="A51" s="46"/>
      <c r="B51" s="46"/>
      <c r="C51" s="46"/>
      <c r="D51" s="46"/>
      <c r="E51" s="50"/>
      <c r="F51" s="50"/>
      <c r="G51" s="50"/>
      <c r="H51" s="50"/>
      <c r="I51" s="50"/>
      <c r="J51" s="46"/>
      <c r="K51" s="42" t="str">
        <f t="shared" si="18"/>
        <v/>
      </c>
      <c r="L51" s="42" t="str">
        <f t="shared" si="18"/>
        <v/>
      </c>
      <c r="M51" s="40"/>
      <c r="N51" s="42" t="str">
        <f t="shared" si="20"/>
        <v/>
      </c>
      <c r="O51" s="42" t="str">
        <f t="shared" si="20"/>
        <v/>
      </c>
      <c r="P51" s="41" t="str">
        <f t="shared" si="20"/>
        <v/>
      </c>
      <c r="Q51" s="41" t="str">
        <f t="shared" si="20"/>
        <v/>
      </c>
      <c r="R51" s="41" t="str">
        <f t="shared" si="20"/>
        <v/>
      </c>
      <c r="S51" s="41" t="str">
        <f t="shared" si="8"/>
        <v/>
      </c>
      <c r="T51" s="41" t="str">
        <f t="shared" si="9"/>
        <v/>
      </c>
      <c r="U51" s="41" t="str">
        <f t="shared" si="10"/>
        <v/>
      </c>
      <c r="V51" s="41" t="str">
        <f t="shared" si="21"/>
        <v/>
      </c>
      <c r="W51" s="41" t="str">
        <f t="shared" si="21"/>
        <v/>
      </c>
      <c r="X51" s="41" t="str">
        <f t="shared" si="21"/>
        <v/>
      </c>
      <c r="Y51" s="41" t="str">
        <f t="shared" si="22"/>
        <v/>
      </c>
      <c r="Z51" s="41" t="str">
        <f t="shared" si="22"/>
        <v/>
      </c>
      <c r="AA51" s="41" t="str">
        <f t="shared" si="22"/>
        <v/>
      </c>
      <c r="AB51" s="41" t="str">
        <f t="shared" si="23"/>
        <v/>
      </c>
      <c r="AC51" s="41" t="str">
        <f t="shared" si="23"/>
        <v/>
      </c>
      <c r="AD51" s="41" t="str">
        <f t="shared" si="23"/>
        <v/>
      </c>
      <c r="AE51" s="41" t="str">
        <f t="shared" si="24"/>
        <v/>
      </c>
      <c r="AF51" s="41" t="str">
        <f t="shared" si="24"/>
        <v/>
      </c>
      <c r="AG51" s="41" t="str">
        <f t="shared" si="24"/>
        <v/>
      </c>
      <c r="AH51" s="41" t="str">
        <f t="shared" si="19"/>
        <v/>
      </c>
      <c r="AI51" s="46"/>
      <c r="AJ51" s="46"/>
      <c r="AK51" s="46"/>
      <c r="AL51" s="46"/>
      <c r="AM51" s="46"/>
      <c r="AN51" s="46"/>
      <c r="AO51" s="46"/>
      <c r="AP51" s="46"/>
      <c r="AQ51" s="46"/>
      <c r="AR51" s="46"/>
      <c r="AS51" s="46"/>
      <c r="AT51" s="46"/>
      <c r="AU51" s="46"/>
      <c r="AV51" s="46"/>
    </row>
    <row r="52" spans="1:48" x14ac:dyDescent="0.35">
      <c r="A52" s="46"/>
      <c r="B52" s="46"/>
      <c r="C52" s="46"/>
      <c r="D52" s="46"/>
      <c r="E52" s="50"/>
      <c r="F52" s="50"/>
      <c r="G52" s="50"/>
      <c r="H52" s="50"/>
      <c r="I52" s="50"/>
      <c r="J52" s="46"/>
      <c r="K52" s="42" t="str">
        <f t="shared" si="18"/>
        <v/>
      </c>
      <c r="L52" s="42" t="str">
        <f t="shared" si="18"/>
        <v/>
      </c>
      <c r="M52" s="40"/>
      <c r="N52" s="42" t="str">
        <f t="shared" si="20"/>
        <v/>
      </c>
      <c r="O52" s="42" t="str">
        <f t="shared" si="20"/>
        <v/>
      </c>
      <c r="P52" s="41" t="str">
        <f t="shared" si="20"/>
        <v/>
      </c>
      <c r="Q52" s="41" t="str">
        <f t="shared" si="20"/>
        <v/>
      </c>
      <c r="R52" s="41" t="str">
        <f t="shared" si="20"/>
        <v/>
      </c>
      <c r="S52" s="41" t="str">
        <f t="shared" si="8"/>
        <v/>
      </c>
      <c r="T52" s="41" t="str">
        <f t="shared" si="9"/>
        <v/>
      </c>
      <c r="U52" s="41" t="str">
        <f t="shared" si="10"/>
        <v/>
      </c>
      <c r="V52" s="41" t="str">
        <f t="shared" si="21"/>
        <v/>
      </c>
      <c r="W52" s="41" t="str">
        <f t="shared" si="21"/>
        <v/>
      </c>
      <c r="X52" s="41" t="str">
        <f t="shared" si="21"/>
        <v/>
      </c>
      <c r="Y52" s="41" t="str">
        <f t="shared" si="22"/>
        <v/>
      </c>
      <c r="Z52" s="41" t="str">
        <f t="shared" si="22"/>
        <v/>
      </c>
      <c r="AA52" s="41" t="str">
        <f t="shared" si="22"/>
        <v/>
      </c>
      <c r="AB52" s="41" t="str">
        <f t="shared" si="23"/>
        <v/>
      </c>
      <c r="AC52" s="41" t="str">
        <f t="shared" si="23"/>
        <v/>
      </c>
      <c r="AD52" s="41" t="str">
        <f t="shared" si="23"/>
        <v/>
      </c>
      <c r="AE52" s="41" t="str">
        <f t="shared" si="24"/>
        <v/>
      </c>
      <c r="AF52" s="41" t="str">
        <f t="shared" si="24"/>
        <v/>
      </c>
      <c r="AG52" s="41" t="str">
        <f t="shared" si="24"/>
        <v/>
      </c>
      <c r="AH52" s="41" t="str">
        <f t="shared" si="19"/>
        <v/>
      </c>
      <c r="AI52" s="46"/>
      <c r="AJ52" s="46"/>
      <c r="AK52" s="46"/>
      <c r="AL52" s="46"/>
      <c r="AM52" s="46"/>
      <c r="AN52" s="46"/>
      <c r="AO52" s="46"/>
      <c r="AP52" s="46"/>
      <c r="AQ52" s="46"/>
      <c r="AR52" s="46"/>
      <c r="AS52" s="46"/>
      <c r="AT52" s="46"/>
      <c r="AU52" s="46"/>
      <c r="AV52" s="46"/>
    </row>
    <row r="53" spans="1:48" x14ac:dyDescent="0.35">
      <c r="A53" s="46"/>
      <c r="B53" s="46"/>
      <c r="C53" s="46"/>
      <c r="D53" s="46"/>
      <c r="E53" s="50"/>
      <c r="F53" s="50"/>
      <c r="G53" s="50"/>
      <c r="H53" s="50"/>
      <c r="I53" s="50"/>
      <c r="J53" s="46"/>
      <c r="K53" s="42" t="str">
        <f t="shared" si="18"/>
        <v/>
      </c>
      <c r="L53" s="42" t="str">
        <f t="shared" si="18"/>
        <v/>
      </c>
      <c r="M53" s="40"/>
      <c r="N53" s="42" t="str">
        <f t="shared" si="20"/>
        <v/>
      </c>
      <c r="O53" s="42" t="str">
        <f t="shared" si="20"/>
        <v/>
      </c>
      <c r="P53" s="41" t="str">
        <f t="shared" si="20"/>
        <v/>
      </c>
      <c r="Q53" s="41" t="str">
        <f t="shared" si="20"/>
        <v/>
      </c>
      <c r="R53" s="41" t="str">
        <f t="shared" si="20"/>
        <v/>
      </c>
      <c r="S53" s="41" t="str">
        <f t="shared" si="8"/>
        <v/>
      </c>
      <c r="T53" s="41" t="str">
        <f t="shared" si="9"/>
        <v/>
      </c>
      <c r="U53" s="41" t="str">
        <f t="shared" si="10"/>
        <v/>
      </c>
      <c r="V53" s="41" t="str">
        <f t="shared" si="21"/>
        <v/>
      </c>
      <c r="W53" s="41" t="str">
        <f t="shared" si="21"/>
        <v/>
      </c>
      <c r="X53" s="41" t="str">
        <f t="shared" si="21"/>
        <v/>
      </c>
      <c r="Y53" s="41" t="str">
        <f t="shared" si="22"/>
        <v/>
      </c>
      <c r="Z53" s="41" t="str">
        <f t="shared" si="22"/>
        <v/>
      </c>
      <c r="AA53" s="41" t="str">
        <f t="shared" si="22"/>
        <v/>
      </c>
      <c r="AB53" s="41" t="str">
        <f t="shared" si="23"/>
        <v/>
      </c>
      <c r="AC53" s="41" t="str">
        <f t="shared" si="23"/>
        <v/>
      </c>
      <c r="AD53" s="41" t="str">
        <f t="shared" si="23"/>
        <v/>
      </c>
      <c r="AE53" s="41" t="str">
        <f t="shared" si="24"/>
        <v/>
      </c>
      <c r="AF53" s="41" t="str">
        <f t="shared" si="24"/>
        <v/>
      </c>
      <c r="AG53" s="41" t="str">
        <f t="shared" si="24"/>
        <v/>
      </c>
      <c r="AH53" s="41" t="str">
        <f t="shared" si="19"/>
        <v/>
      </c>
      <c r="AI53" s="46"/>
      <c r="AJ53" s="46"/>
      <c r="AK53" s="46"/>
      <c r="AL53" s="46"/>
      <c r="AM53" s="46"/>
      <c r="AN53" s="46"/>
      <c r="AO53" s="46"/>
      <c r="AP53" s="46"/>
      <c r="AQ53" s="46"/>
      <c r="AR53" s="46"/>
      <c r="AS53" s="46"/>
      <c r="AT53" s="46"/>
      <c r="AU53" s="46"/>
      <c r="AV53" s="46"/>
    </row>
    <row r="54" spans="1:48" x14ac:dyDescent="0.35">
      <c r="A54" s="46"/>
      <c r="B54" s="46"/>
      <c r="C54" s="46"/>
      <c r="D54" s="46"/>
      <c r="E54" s="50"/>
      <c r="F54" s="50"/>
      <c r="G54" s="50"/>
      <c r="H54" s="50"/>
      <c r="I54" s="50"/>
      <c r="J54" s="46"/>
      <c r="K54" s="42" t="str">
        <f t="shared" si="18"/>
        <v/>
      </c>
      <c r="L54" s="42" t="str">
        <f t="shared" si="18"/>
        <v/>
      </c>
      <c r="M54" s="40"/>
      <c r="N54" s="42" t="str">
        <f t="shared" si="20"/>
        <v/>
      </c>
      <c r="O54" s="42" t="str">
        <f t="shared" si="20"/>
        <v/>
      </c>
      <c r="P54" s="41" t="str">
        <f t="shared" si="20"/>
        <v/>
      </c>
      <c r="Q54" s="41" t="str">
        <f t="shared" si="20"/>
        <v/>
      </c>
      <c r="R54" s="41" t="str">
        <f t="shared" si="20"/>
        <v/>
      </c>
      <c r="S54" s="41" t="str">
        <f t="shared" si="8"/>
        <v/>
      </c>
      <c r="T54" s="41" t="str">
        <f t="shared" si="9"/>
        <v/>
      </c>
      <c r="U54" s="41" t="str">
        <f t="shared" si="10"/>
        <v/>
      </c>
      <c r="V54" s="41" t="str">
        <f t="shared" si="21"/>
        <v/>
      </c>
      <c r="W54" s="41" t="str">
        <f t="shared" si="21"/>
        <v/>
      </c>
      <c r="X54" s="41" t="str">
        <f t="shared" si="21"/>
        <v/>
      </c>
      <c r="Y54" s="41" t="str">
        <f t="shared" si="22"/>
        <v/>
      </c>
      <c r="Z54" s="41" t="str">
        <f t="shared" si="22"/>
        <v/>
      </c>
      <c r="AA54" s="41" t="str">
        <f t="shared" si="22"/>
        <v/>
      </c>
      <c r="AB54" s="41" t="str">
        <f t="shared" si="23"/>
        <v/>
      </c>
      <c r="AC54" s="41" t="str">
        <f t="shared" si="23"/>
        <v/>
      </c>
      <c r="AD54" s="41" t="str">
        <f t="shared" si="23"/>
        <v/>
      </c>
      <c r="AE54" s="41" t="str">
        <f t="shared" si="24"/>
        <v/>
      </c>
      <c r="AF54" s="41" t="str">
        <f t="shared" si="24"/>
        <v/>
      </c>
      <c r="AG54" s="41" t="str">
        <f t="shared" si="24"/>
        <v/>
      </c>
      <c r="AH54" s="41" t="str">
        <f t="shared" si="19"/>
        <v/>
      </c>
      <c r="AI54" s="46"/>
      <c r="AJ54" s="46"/>
      <c r="AK54" s="46"/>
      <c r="AL54" s="46"/>
      <c r="AM54" s="46"/>
      <c r="AN54" s="46"/>
      <c r="AO54" s="46"/>
      <c r="AP54" s="46"/>
      <c r="AQ54" s="46"/>
      <c r="AR54" s="46"/>
      <c r="AS54" s="46"/>
      <c r="AT54" s="46"/>
      <c r="AU54" s="46"/>
      <c r="AV54" s="46"/>
    </row>
    <row r="55" spans="1:48" x14ac:dyDescent="0.35">
      <c r="A55" s="46"/>
      <c r="B55" s="46"/>
      <c r="C55" s="46"/>
      <c r="D55" s="46"/>
      <c r="E55" s="50"/>
      <c r="F55" s="50"/>
      <c r="G55" s="50"/>
      <c r="H55" s="50"/>
      <c r="I55" s="50"/>
      <c r="J55" s="46"/>
      <c r="K55" s="42" t="str">
        <f t="shared" si="18"/>
        <v/>
      </c>
      <c r="L55" s="42" t="str">
        <f t="shared" si="18"/>
        <v/>
      </c>
      <c r="M55" s="40"/>
      <c r="N55" s="42" t="str">
        <f t="shared" si="20"/>
        <v/>
      </c>
      <c r="O55" s="42" t="str">
        <f t="shared" si="20"/>
        <v/>
      </c>
      <c r="P55" s="41" t="str">
        <f t="shared" si="20"/>
        <v/>
      </c>
      <c r="Q55" s="41" t="str">
        <f t="shared" si="20"/>
        <v/>
      </c>
      <c r="R55" s="41" t="str">
        <f t="shared" si="20"/>
        <v/>
      </c>
      <c r="S55" s="41" t="str">
        <f t="shared" si="8"/>
        <v/>
      </c>
      <c r="T55" s="41" t="str">
        <f t="shared" si="9"/>
        <v/>
      </c>
      <c r="U55" s="41" t="str">
        <f t="shared" si="10"/>
        <v/>
      </c>
      <c r="V55" s="41" t="str">
        <f t="shared" si="21"/>
        <v/>
      </c>
      <c r="W55" s="41" t="str">
        <f t="shared" si="21"/>
        <v/>
      </c>
      <c r="X55" s="41" t="str">
        <f t="shared" si="21"/>
        <v/>
      </c>
      <c r="Y55" s="41" t="str">
        <f t="shared" si="22"/>
        <v/>
      </c>
      <c r="Z55" s="41" t="str">
        <f t="shared" si="22"/>
        <v/>
      </c>
      <c r="AA55" s="41" t="str">
        <f t="shared" si="22"/>
        <v/>
      </c>
      <c r="AB55" s="41" t="str">
        <f t="shared" si="23"/>
        <v/>
      </c>
      <c r="AC55" s="41" t="str">
        <f t="shared" si="23"/>
        <v/>
      </c>
      <c r="AD55" s="41" t="str">
        <f t="shared" si="23"/>
        <v/>
      </c>
      <c r="AE55" s="41" t="str">
        <f t="shared" si="24"/>
        <v/>
      </c>
      <c r="AF55" s="41" t="str">
        <f t="shared" si="24"/>
        <v/>
      </c>
      <c r="AG55" s="41" t="str">
        <f t="shared" si="24"/>
        <v/>
      </c>
      <c r="AH55" s="41" t="str">
        <f t="shared" si="19"/>
        <v/>
      </c>
      <c r="AI55" s="46"/>
      <c r="AJ55" s="46"/>
      <c r="AK55" s="46"/>
      <c r="AL55" s="46"/>
      <c r="AM55" s="46"/>
      <c r="AN55" s="46"/>
      <c r="AO55" s="46"/>
      <c r="AP55" s="46"/>
      <c r="AQ55" s="46"/>
      <c r="AR55" s="46"/>
      <c r="AS55" s="46"/>
      <c r="AT55" s="46"/>
      <c r="AU55" s="46"/>
      <c r="AV55" s="46"/>
    </row>
    <row r="56" spans="1:48" x14ac:dyDescent="0.35">
      <c r="A56" s="46"/>
      <c r="B56" s="46"/>
      <c r="C56" s="46"/>
      <c r="D56" s="46"/>
      <c r="E56" s="50"/>
      <c r="F56" s="50"/>
      <c r="G56" s="50"/>
      <c r="H56" s="50"/>
      <c r="I56" s="50"/>
      <c r="J56" s="46"/>
      <c r="K56" s="42" t="str">
        <f t="shared" si="18"/>
        <v/>
      </c>
      <c r="L56" s="42" t="str">
        <f t="shared" si="18"/>
        <v/>
      </c>
      <c r="M56" s="40"/>
      <c r="N56" s="42" t="str">
        <f t="shared" si="20"/>
        <v/>
      </c>
      <c r="O56" s="42" t="str">
        <f t="shared" si="20"/>
        <v/>
      </c>
      <c r="P56" s="41" t="str">
        <f t="shared" si="20"/>
        <v/>
      </c>
      <c r="Q56" s="41" t="str">
        <f t="shared" si="20"/>
        <v/>
      </c>
      <c r="R56" s="41" t="str">
        <f t="shared" si="20"/>
        <v/>
      </c>
      <c r="S56" s="41" t="str">
        <f t="shared" si="8"/>
        <v/>
      </c>
      <c r="T56" s="41" t="str">
        <f t="shared" si="9"/>
        <v/>
      </c>
      <c r="U56" s="41" t="str">
        <f t="shared" si="10"/>
        <v/>
      </c>
      <c r="V56" s="41" t="str">
        <f t="shared" si="21"/>
        <v/>
      </c>
      <c r="W56" s="41" t="str">
        <f t="shared" si="21"/>
        <v/>
      </c>
      <c r="X56" s="41" t="str">
        <f t="shared" si="21"/>
        <v/>
      </c>
      <c r="Y56" s="41" t="str">
        <f t="shared" si="22"/>
        <v/>
      </c>
      <c r="Z56" s="41" t="str">
        <f t="shared" si="22"/>
        <v/>
      </c>
      <c r="AA56" s="41" t="str">
        <f t="shared" si="22"/>
        <v/>
      </c>
      <c r="AB56" s="41" t="str">
        <f t="shared" si="23"/>
        <v/>
      </c>
      <c r="AC56" s="41" t="str">
        <f t="shared" si="23"/>
        <v/>
      </c>
      <c r="AD56" s="41" t="str">
        <f t="shared" si="23"/>
        <v/>
      </c>
      <c r="AE56" s="41" t="str">
        <f t="shared" si="24"/>
        <v/>
      </c>
      <c r="AF56" s="41" t="str">
        <f t="shared" si="24"/>
        <v/>
      </c>
      <c r="AG56" s="41" t="str">
        <f t="shared" si="24"/>
        <v/>
      </c>
      <c r="AH56" s="41" t="str">
        <f t="shared" si="19"/>
        <v/>
      </c>
      <c r="AI56" s="46"/>
      <c r="AJ56" s="46"/>
      <c r="AK56" s="46"/>
      <c r="AL56" s="46"/>
      <c r="AM56" s="46"/>
      <c r="AN56" s="46"/>
      <c r="AO56" s="46"/>
      <c r="AP56" s="46"/>
      <c r="AQ56" s="46"/>
      <c r="AR56" s="46"/>
      <c r="AS56" s="46"/>
      <c r="AT56" s="46"/>
      <c r="AU56" s="46"/>
      <c r="AV56" s="46"/>
    </row>
    <row r="57" spans="1:48" x14ac:dyDescent="0.35">
      <c r="A57" s="46"/>
      <c r="B57" s="46"/>
      <c r="C57" s="46"/>
      <c r="D57" s="46"/>
      <c r="E57" s="50"/>
      <c r="F57" s="50"/>
      <c r="G57" s="50"/>
      <c r="H57" s="50"/>
      <c r="I57" s="50"/>
      <c r="J57" s="46"/>
      <c r="K57" s="42" t="str">
        <f t="shared" si="18"/>
        <v/>
      </c>
      <c r="L57" s="42" t="str">
        <f t="shared" si="18"/>
        <v/>
      </c>
      <c r="M57" s="40"/>
      <c r="N57" s="42" t="str">
        <f t="shared" ref="N57:R66" si="25">IF($E57="","",IF(VLOOKUP($E57,specs_for_word2,N$3,0)="","",VLOOKUP($E57,specs_for_word2,N$3,0)))</f>
        <v/>
      </c>
      <c r="O57" s="42" t="str">
        <f t="shared" si="25"/>
        <v/>
      </c>
      <c r="P57" s="41" t="str">
        <f t="shared" si="25"/>
        <v/>
      </c>
      <c r="Q57" s="41" t="str">
        <f t="shared" si="25"/>
        <v/>
      </c>
      <c r="R57" s="41" t="str">
        <f t="shared" si="25"/>
        <v/>
      </c>
      <c r="S57" s="41" t="str">
        <f t="shared" si="8"/>
        <v/>
      </c>
      <c r="T57" s="41" t="str">
        <f t="shared" si="9"/>
        <v/>
      </c>
      <c r="U57" s="41" t="str">
        <f t="shared" si="10"/>
        <v/>
      </c>
      <c r="V57" s="41" t="str">
        <f t="shared" si="21"/>
        <v/>
      </c>
      <c r="W57" s="41" t="str">
        <f t="shared" si="21"/>
        <v/>
      </c>
      <c r="X57" s="41" t="str">
        <f t="shared" si="21"/>
        <v/>
      </c>
      <c r="Y57" s="41" t="str">
        <f t="shared" si="22"/>
        <v/>
      </c>
      <c r="Z57" s="41" t="str">
        <f t="shared" si="22"/>
        <v/>
      </c>
      <c r="AA57" s="41" t="str">
        <f t="shared" si="22"/>
        <v/>
      </c>
      <c r="AB57" s="41" t="str">
        <f t="shared" si="23"/>
        <v/>
      </c>
      <c r="AC57" s="41" t="str">
        <f t="shared" si="23"/>
        <v/>
      </c>
      <c r="AD57" s="41" t="str">
        <f t="shared" si="23"/>
        <v/>
      </c>
      <c r="AE57" s="41" t="str">
        <f t="shared" si="24"/>
        <v/>
      </c>
      <c r="AF57" s="41" t="str">
        <f t="shared" si="24"/>
        <v/>
      </c>
      <c r="AG57" s="41" t="str">
        <f t="shared" si="24"/>
        <v/>
      </c>
      <c r="AH57" s="41" t="str">
        <f t="shared" si="19"/>
        <v/>
      </c>
      <c r="AI57" s="46"/>
      <c r="AJ57" s="46"/>
      <c r="AK57" s="46"/>
      <c r="AL57" s="46"/>
      <c r="AM57" s="46"/>
      <c r="AN57" s="46"/>
      <c r="AO57" s="46"/>
      <c r="AP57" s="46"/>
      <c r="AQ57" s="46"/>
      <c r="AR57" s="46"/>
      <c r="AS57" s="46"/>
      <c r="AT57" s="46"/>
      <c r="AU57" s="46"/>
      <c r="AV57" s="46"/>
    </row>
    <row r="58" spans="1:48" x14ac:dyDescent="0.35">
      <c r="A58" s="46"/>
      <c r="B58" s="46"/>
      <c r="C58" s="46"/>
      <c r="D58" s="46"/>
      <c r="E58" s="50"/>
      <c r="F58" s="50"/>
      <c r="G58" s="50"/>
      <c r="H58" s="50"/>
      <c r="I58" s="50"/>
      <c r="J58" s="46"/>
      <c r="K58" s="42" t="str">
        <f t="shared" si="18"/>
        <v/>
      </c>
      <c r="L58" s="42" t="str">
        <f t="shared" si="18"/>
        <v/>
      </c>
      <c r="M58" s="40"/>
      <c r="N58" s="42" t="str">
        <f t="shared" si="25"/>
        <v/>
      </c>
      <c r="O58" s="42" t="str">
        <f t="shared" si="25"/>
        <v/>
      </c>
      <c r="P58" s="41" t="str">
        <f t="shared" si="25"/>
        <v/>
      </c>
      <c r="Q58" s="41" t="str">
        <f t="shared" si="25"/>
        <v/>
      </c>
      <c r="R58" s="41" t="str">
        <f t="shared" si="25"/>
        <v/>
      </c>
      <c r="S58" s="41" t="str">
        <f t="shared" si="8"/>
        <v/>
      </c>
      <c r="T58" s="41" t="str">
        <f t="shared" si="9"/>
        <v/>
      </c>
      <c r="U58" s="41" t="str">
        <f t="shared" si="10"/>
        <v/>
      </c>
      <c r="V58" s="41" t="str">
        <f t="shared" si="21"/>
        <v/>
      </c>
      <c r="W58" s="41" t="str">
        <f t="shared" si="21"/>
        <v/>
      </c>
      <c r="X58" s="41" t="str">
        <f t="shared" si="21"/>
        <v/>
      </c>
      <c r="Y58" s="41" t="str">
        <f t="shared" si="22"/>
        <v/>
      </c>
      <c r="Z58" s="41" t="str">
        <f t="shared" si="22"/>
        <v/>
      </c>
      <c r="AA58" s="41" t="str">
        <f t="shared" si="22"/>
        <v/>
      </c>
      <c r="AB58" s="41" t="str">
        <f t="shared" si="23"/>
        <v/>
      </c>
      <c r="AC58" s="41" t="str">
        <f t="shared" si="23"/>
        <v/>
      </c>
      <c r="AD58" s="41" t="str">
        <f t="shared" si="23"/>
        <v/>
      </c>
      <c r="AE58" s="41" t="str">
        <f t="shared" si="24"/>
        <v/>
      </c>
      <c r="AF58" s="41" t="str">
        <f t="shared" si="24"/>
        <v/>
      </c>
      <c r="AG58" s="41" t="str">
        <f t="shared" si="24"/>
        <v/>
      </c>
      <c r="AH58" s="41" t="str">
        <f t="shared" si="19"/>
        <v/>
      </c>
      <c r="AI58" s="46"/>
      <c r="AJ58" s="46"/>
      <c r="AK58" s="46"/>
      <c r="AL58" s="46"/>
      <c r="AM58" s="46"/>
      <c r="AN58" s="46"/>
      <c r="AO58" s="46"/>
      <c r="AP58" s="46"/>
      <c r="AQ58" s="46"/>
      <c r="AR58" s="46"/>
      <c r="AS58" s="46"/>
      <c r="AT58" s="46"/>
      <c r="AU58" s="46"/>
      <c r="AV58" s="46"/>
    </row>
    <row r="59" spans="1:48" x14ac:dyDescent="0.35">
      <c r="A59" s="46"/>
      <c r="B59" s="46"/>
      <c r="C59" s="46"/>
      <c r="D59" s="46"/>
      <c r="E59" s="50"/>
      <c r="F59" s="50"/>
      <c r="G59" s="50"/>
      <c r="H59" s="50"/>
      <c r="I59" s="50"/>
      <c r="J59" s="46"/>
      <c r="K59" s="42" t="str">
        <f t="shared" si="18"/>
        <v/>
      </c>
      <c r="L59" s="42" t="str">
        <f t="shared" si="18"/>
        <v/>
      </c>
      <c r="M59" s="40"/>
      <c r="N59" s="42" t="str">
        <f t="shared" si="25"/>
        <v/>
      </c>
      <c r="O59" s="42" t="str">
        <f t="shared" si="25"/>
        <v/>
      </c>
      <c r="P59" s="41" t="str">
        <f t="shared" si="25"/>
        <v/>
      </c>
      <c r="Q59" s="41" t="str">
        <f t="shared" si="25"/>
        <v/>
      </c>
      <c r="R59" s="41" t="str">
        <f t="shared" si="25"/>
        <v/>
      </c>
      <c r="S59" s="41" t="str">
        <f t="shared" si="8"/>
        <v/>
      </c>
      <c r="T59" s="41" t="str">
        <f t="shared" si="9"/>
        <v/>
      </c>
      <c r="U59" s="41" t="str">
        <f t="shared" si="10"/>
        <v/>
      </c>
      <c r="V59" s="41" t="str">
        <f t="shared" si="21"/>
        <v/>
      </c>
      <c r="W59" s="41" t="str">
        <f t="shared" si="21"/>
        <v/>
      </c>
      <c r="X59" s="41" t="str">
        <f t="shared" si="21"/>
        <v/>
      </c>
      <c r="Y59" s="41" t="str">
        <f t="shared" si="22"/>
        <v/>
      </c>
      <c r="Z59" s="41" t="str">
        <f t="shared" si="22"/>
        <v/>
      </c>
      <c r="AA59" s="41" t="str">
        <f t="shared" si="22"/>
        <v/>
      </c>
      <c r="AB59" s="41" t="str">
        <f t="shared" si="23"/>
        <v/>
      </c>
      <c r="AC59" s="41" t="str">
        <f t="shared" si="23"/>
        <v/>
      </c>
      <c r="AD59" s="41" t="str">
        <f t="shared" si="23"/>
        <v/>
      </c>
      <c r="AE59" s="41" t="str">
        <f t="shared" si="24"/>
        <v/>
      </c>
      <c r="AF59" s="41" t="str">
        <f t="shared" si="24"/>
        <v/>
      </c>
      <c r="AG59" s="41" t="str">
        <f t="shared" si="24"/>
        <v/>
      </c>
      <c r="AH59" s="41" t="str">
        <f t="shared" si="19"/>
        <v/>
      </c>
      <c r="AI59" s="46"/>
      <c r="AJ59" s="46"/>
      <c r="AK59" s="46"/>
      <c r="AL59" s="46"/>
      <c r="AM59" s="46"/>
      <c r="AN59" s="46"/>
      <c r="AO59" s="46"/>
      <c r="AP59" s="46"/>
      <c r="AQ59" s="46"/>
      <c r="AR59" s="46"/>
      <c r="AS59" s="46"/>
      <c r="AT59" s="46"/>
      <c r="AU59" s="46"/>
      <c r="AV59" s="46"/>
    </row>
    <row r="60" spans="1:48" x14ac:dyDescent="0.35">
      <c r="A60" s="46"/>
      <c r="B60" s="46"/>
      <c r="C60" s="46"/>
      <c r="D60" s="46"/>
      <c r="E60" s="50"/>
      <c r="F60" s="50"/>
      <c r="G60" s="50"/>
      <c r="H60" s="50"/>
      <c r="I60" s="50"/>
      <c r="J60" s="46"/>
      <c r="K60" s="42" t="str">
        <f t="shared" si="18"/>
        <v/>
      </c>
      <c r="L60" s="42" t="str">
        <f t="shared" si="18"/>
        <v/>
      </c>
      <c r="M60" s="40"/>
      <c r="N60" s="42" t="str">
        <f t="shared" si="25"/>
        <v/>
      </c>
      <c r="O60" s="42" t="str">
        <f t="shared" si="25"/>
        <v/>
      </c>
      <c r="P60" s="41" t="str">
        <f t="shared" si="25"/>
        <v/>
      </c>
      <c r="Q60" s="41" t="str">
        <f t="shared" si="25"/>
        <v/>
      </c>
      <c r="R60" s="41" t="str">
        <f t="shared" si="25"/>
        <v/>
      </c>
      <c r="S60" s="41" t="str">
        <f t="shared" si="8"/>
        <v/>
      </c>
      <c r="T60" s="41" t="str">
        <f t="shared" si="9"/>
        <v/>
      </c>
      <c r="U60" s="41" t="str">
        <f t="shared" si="10"/>
        <v/>
      </c>
      <c r="V60" s="41" t="str">
        <f t="shared" si="21"/>
        <v/>
      </c>
      <c r="W60" s="41" t="str">
        <f t="shared" si="21"/>
        <v/>
      </c>
      <c r="X60" s="41" t="str">
        <f t="shared" si="21"/>
        <v/>
      </c>
      <c r="Y60" s="41" t="str">
        <f t="shared" si="22"/>
        <v/>
      </c>
      <c r="Z60" s="41" t="str">
        <f t="shared" si="22"/>
        <v/>
      </c>
      <c r="AA60" s="41" t="str">
        <f t="shared" si="22"/>
        <v/>
      </c>
      <c r="AB60" s="41" t="str">
        <f t="shared" si="23"/>
        <v/>
      </c>
      <c r="AC60" s="41" t="str">
        <f t="shared" si="23"/>
        <v/>
      </c>
      <c r="AD60" s="41" t="str">
        <f t="shared" si="23"/>
        <v/>
      </c>
      <c r="AE60" s="41" t="str">
        <f t="shared" si="24"/>
        <v/>
      </c>
      <c r="AF60" s="41" t="str">
        <f t="shared" si="24"/>
        <v/>
      </c>
      <c r="AG60" s="41" t="str">
        <f t="shared" si="24"/>
        <v/>
      </c>
      <c r="AH60" s="41" t="str">
        <f t="shared" si="19"/>
        <v/>
      </c>
      <c r="AI60" s="46"/>
      <c r="AJ60" s="46"/>
      <c r="AK60" s="46"/>
      <c r="AL60" s="46"/>
      <c r="AM60" s="46"/>
      <c r="AN60" s="46"/>
      <c r="AO60" s="46"/>
      <c r="AP60" s="46"/>
      <c r="AQ60" s="46"/>
      <c r="AR60" s="46"/>
      <c r="AS60" s="46"/>
      <c r="AT60" s="46"/>
      <c r="AU60" s="46"/>
      <c r="AV60" s="46"/>
    </row>
    <row r="61" spans="1:48" x14ac:dyDescent="0.35">
      <c r="A61" s="46"/>
      <c r="B61" s="46"/>
      <c r="C61" s="46"/>
      <c r="D61" s="46"/>
      <c r="E61" s="50"/>
      <c r="F61" s="50"/>
      <c r="G61" s="50"/>
      <c r="H61" s="50"/>
      <c r="I61" s="50"/>
      <c r="J61" s="46"/>
      <c r="K61" s="42" t="str">
        <f t="shared" si="18"/>
        <v/>
      </c>
      <c r="L61" s="42" t="str">
        <f t="shared" si="18"/>
        <v/>
      </c>
      <c r="M61" s="40"/>
      <c r="N61" s="42" t="str">
        <f t="shared" si="25"/>
        <v/>
      </c>
      <c r="O61" s="42" t="str">
        <f t="shared" si="25"/>
        <v/>
      </c>
      <c r="P61" s="41" t="str">
        <f t="shared" si="25"/>
        <v/>
      </c>
      <c r="Q61" s="41" t="str">
        <f t="shared" si="25"/>
        <v/>
      </c>
      <c r="R61" s="41" t="str">
        <f t="shared" si="25"/>
        <v/>
      </c>
      <c r="S61" s="41" t="str">
        <f t="shared" si="8"/>
        <v/>
      </c>
      <c r="T61" s="41" t="str">
        <f t="shared" si="9"/>
        <v/>
      </c>
      <c r="U61" s="41" t="str">
        <f t="shared" si="10"/>
        <v/>
      </c>
      <c r="V61" s="41" t="str">
        <f t="shared" si="21"/>
        <v/>
      </c>
      <c r="W61" s="41" t="str">
        <f t="shared" si="21"/>
        <v/>
      </c>
      <c r="X61" s="41" t="str">
        <f t="shared" si="21"/>
        <v/>
      </c>
      <c r="Y61" s="41" t="str">
        <f t="shared" si="22"/>
        <v/>
      </c>
      <c r="Z61" s="41" t="str">
        <f t="shared" si="22"/>
        <v/>
      </c>
      <c r="AA61" s="41" t="str">
        <f t="shared" si="22"/>
        <v/>
      </c>
      <c r="AB61" s="41" t="str">
        <f t="shared" si="23"/>
        <v/>
      </c>
      <c r="AC61" s="41" t="str">
        <f t="shared" si="23"/>
        <v/>
      </c>
      <c r="AD61" s="41" t="str">
        <f t="shared" si="23"/>
        <v/>
      </c>
      <c r="AE61" s="41" t="str">
        <f t="shared" si="24"/>
        <v/>
      </c>
      <c r="AF61" s="41" t="str">
        <f t="shared" si="24"/>
        <v/>
      </c>
      <c r="AG61" s="41" t="str">
        <f t="shared" si="24"/>
        <v/>
      </c>
      <c r="AH61" s="41" t="str">
        <f t="shared" si="19"/>
        <v/>
      </c>
      <c r="AI61" s="46"/>
      <c r="AJ61" s="46"/>
      <c r="AK61" s="46"/>
      <c r="AL61" s="46"/>
      <c r="AM61" s="46"/>
      <c r="AN61" s="46"/>
      <c r="AO61" s="46"/>
      <c r="AP61" s="46"/>
      <c r="AQ61" s="46"/>
      <c r="AR61" s="46"/>
      <c r="AS61" s="46"/>
      <c r="AT61" s="46"/>
      <c r="AU61" s="46"/>
      <c r="AV61" s="46"/>
    </row>
    <row r="62" spans="1:48" x14ac:dyDescent="0.35">
      <c r="A62" s="46"/>
      <c r="B62" s="46"/>
      <c r="C62" s="46"/>
      <c r="D62" s="46"/>
      <c r="E62" s="50"/>
      <c r="F62" s="50"/>
      <c r="G62" s="50"/>
      <c r="H62" s="50"/>
      <c r="I62" s="50"/>
      <c r="J62" s="46"/>
      <c r="K62" s="42" t="str">
        <f t="shared" si="18"/>
        <v/>
      </c>
      <c r="L62" s="42" t="str">
        <f t="shared" si="18"/>
        <v/>
      </c>
      <c r="M62" s="40"/>
      <c r="N62" s="42" t="str">
        <f t="shared" si="25"/>
        <v/>
      </c>
      <c r="O62" s="42" t="str">
        <f t="shared" si="25"/>
        <v/>
      </c>
      <c r="P62" s="41" t="str">
        <f t="shared" si="25"/>
        <v/>
      </c>
      <c r="Q62" s="41" t="str">
        <f t="shared" si="25"/>
        <v/>
      </c>
      <c r="R62" s="41" t="str">
        <f t="shared" si="25"/>
        <v/>
      </c>
      <c r="S62" s="41" t="str">
        <f t="shared" si="8"/>
        <v/>
      </c>
      <c r="T62" s="41" t="str">
        <f t="shared" si="9"/>
        <v/>
      </c>
      <c r="U62" s="41" t="str">
        <f t="shared" si="10"/>
        <v/>
      </c>
      <c r="V62" s="41" t="str">
        <f t="shared" si="21"/>
        <v/>
      </c>
      <c r="W62" s="41" t="str">
        <f t="shared" si="21"/>
        <v/>
      </c>
      <c r="X62" s="41" t="str">
        <f t="shared" si="21"/>
        <v/>
      </c>
      <c r="Y62" s="41" t="str">
        <f t="shared" si="22"/>
        <v/>
      </c>
      <c r="Z62" s="41" t="str">
        <f t="shared" si="22"/>
        <v/>
      </c>
      <c r="AA62" s="41" t="str">
        <f t="shared" si="22"/>
        <v/>
      </c>
      <c r="AB62" s="41" t="str">
        <f t="shared" si="23"/>
        <v/>
      </c>
      <c r="AC62" s="41" t="str">
        <f t="shared" si="23"/>
        <v/>
      </c>
      <c r="AD62" s="41" t="str">
        <f t="shared" si="23"/>
        <v/>
      </c>
      <c r="AE62" s="41" t="str">
        <f t="shared" si="24"/>
        <v/>
      </c>
      <c r="AF62" s="41" t="str">
        <f t="shared" si="24"/>
        <v/>
      </c>
      <c r="AG62" s="41" t="str">
        <f t="shared" si="24"/>
        <v/>
      </c>
      <c r="AH62" s="41" t="str">
        <f t="shared" si="19"/>
        <v/>
      </c>
      <c r="AI62" s="46"/>
      <c r="AJ62" s="46"/>
      <c r="AK62" s="46"/>
      <c r="AL62" s="46"/>
      <c r="AM62" s="46"/>
      <c r="AN62" s="46"/>
      <c r="AO62" s="46"/>
      <c r="AP62" s="46"/>
      <c r="AQ62" s="46"/>
      <c r="AR62" s="46"/>
      <c r="AS62" s="46"/>
      <c r="AT62" s="46"/>
      <c r="AU62" s="46"/>
      <c r="AV62" s="46"/>
    </row>
    <row r="63" spans="1:48" x14ac:dyDescent="0.35">
      <c r="A63" s="46"/>
      <c r="B63" s="46"/>
      <c r="C63" s="46"/>
      <c r="D63" s="46"/>
      <c r="E63" s="50"/>
      <c r="F63" s="50"/>
      <c r="G63" s="50"/>
      <c r="H63" s="50"/>
      <c r="I63" s="50"/>
      <c r="J63" s="46"/>
      <c r="K63" s="42" t="str">
        <f t="shared" si="18"/>
        <v/>
      </c>
      <c r="L63" s="42" t="str">
        <f t="shared" si="18"/>
        <v/>
      </c>
      <c r="M63" s="40"/>
      <c r="N63" s="42" t="str">
        <f t="shared" si="25"/>
        <v/>
      </c>
      <c r="O63" s="42" t="str">
        <f t="shared" si="25"/>
        <v/>
      </c>
      <c r="P63" s="41" t="str">
        <f t="shared" si="25"/>
        <v/>
      </c>
      <c r="Q63" s="41" t="str">
        <f t="shared" si="25"/>
        <v/>
      </c>
      <c r="R63" s="41" t="str">
        <f t="shared" si="25"/>
        <v/>
      </c>
      <c r="S63" s="41" t="str">
        <f t="shared" si="8"/>
        <v/>
      </c>
      <c r="T63" s="41" t="str">
        <f t="shared" si="9"/>
        <v/>
      </c>
      <c r="U63" s="41" t="str">
        <f t="shared" si="10"/>
        <v/>
      </c>
      <c r="V63" s="41" t="str">
        <f t="shared" si="21"/>
        <v/>
      </c>
      <c r="W63" s="41" t="str">
        <f t="shared" si="21"/>
        <v/>
      </c>
      <c r="X63" s="41" t="str">
        <f t="shared" si="21"/>
        <v/>
      </c>
      <c r="Y63" s="41" t="str">
        <f t="shared" si="22"/>
        <v/>
      </c>
      <c r="Z63" s="41" t="str">
        <f t="shared" si="22"/>
        <v/>
      </c>
      <c r="AA63" s="41" t="str">
        <f t="shared" si="22"/>
        <v/>
      </c>
      <c r="AB63" s="41" t="str">
        <f t="shared" si="23"/>
        <v/>
      </c>
      <c r="AC63" s="41" t="str">
        <f t="shared" si="23"/>
        <v/>
      </c>
      <c r="AD63" s="41" t="str">
        <f t="shared" si="23"/>
        <v/>
      </c>
      <c r="AE63" s="41" t="str">
        <f t="shared" si="24"/>
        <v/>
      </c>
      <c r="AF63" s="41" t="str">
        <f t="shared" si="24"/>
        <v/>
      </c>
      <c r="AG63" s="41" t="str">
        <f t="shared" si="24"/>
        <v/>
      </c>
      <c r="AH63" s="41" t="str">
        <f t="shared" si="19"/>
        <v/>
      </c>
      <c r="AI63" s="46"/>
      <c r="AJ63" s="46"/>
      <c r="AK63" s="46"/>
      <c r="AL63" s="46"/>
      <c r="AM63" s="46"/>
      <c r="AN63" s="46"/>
      <c r="AO63" s="46"/>
      <c r="AP63" s="46"/>
      <c r="AQ63" s="46"/>
      <c r="AR63" s="46"/>
      <c r="AS63" s="46"/>
      <c r="AT63" s="46"/>
      <c r="AU63" s="46"/>
      <c r="AV63" s="46"/>
    </row>
    <row r="64" spans="1:48" x14ac:dyDescent="0.35">
      <c r="A64" s="46"/>
      <c r="B64" s="46"/>
      <c r="C64" s="46"/>
      <c r="D64" s="46"/>
      <c r="E64" s="50"/>
      <c r="F64" s="50"/>
      <c r="G64" s="50"/>
      <c r="H64" s="50"/>
      <c r="I64" s="50"/>
      <c r="J64" s="46"/>
      <c r="K64" s="42" t="str">
        <f t="shared" si="18"/>
        <v/>
      </c>
      <c r="L64" s="42" t="str">
        <f t="shared" si="18"/>
        <v/>
      </c>
      <c r="M64" s="40"/>
      <c r="N64" s="42" t="str">
        <f t="shared" si="25"/>
        <v/>
      </c>
      <c r="O64" s="42" t="str">
        <f t="shared" si="25"/>
        <v/>
      </c>
      <c r="P64" s="41" t="str">
        <f t="shared" si="25"/>
        <v/>
      </c>
      <c r="Q64" s="41" t="str">
        <f t="shared" si="25"/>
        <v/>
      </c>
      <c r="R64" s="41" t="str">
        <f t="shared" si="25"/>
        <v/>
      </c>
      <c r="S64" s="41" t="str">
        <f t="shared" si="8"/>
        <v/>
      </c>
      <c r="T64" s="41" t="str">
        <f t="shared" si="9"/>
        <v/>
      </c>
      <c r="U64" s="41" t="str">
        <f t="shared" si="10"/>
        <v/>
      </c>
      <c r="V64" s="41" t="str">
        <f t="shared" si="21"/>
        <v/>
      </c>
      <c r="W64" s="41" t="str">
        <f t="shared" si="21"/>
        <v/>
      </c>
      <c r="X64" s="41" t="str">
        <f t="shared" si="21"/>
        <v/>
      </c>
      <c r="Y64" s="41" t="str">
        <f t="shared" si="22"/>
        <v/>
      </c>
      <c r="Z64" s="41" t="str">
        <f t="shared" si="22"/>
        <v/>
      </c>
      <c r="AA64" s="41" t="str">
        <f t="shared" si="22"/>
        <v/>
      </c>
      <c r="AB64" s="41" t="str">
        <f t="shared" si="23"/>
        <v/>
      </c>
      <c r="AC64" s="41" t="str">
        <f t="shared" si="23"/>
        <v/>
      </c>
      <c r="AD64" s="41" t="str">
        <f t="shared" si="23"/>
        <v/>
      </c>
      <c r="AE64" s="41" t="str">
        <f t="shared" si="24"/>
        <v/>
      </c>
      <c r="AF64" s="41" t="str">
        <f t="shared" si="24"/>
        <v/>
      </c>
      <c r="AG64" s="41" t="str">
        <f t="shared" si="24"/>
        <v/>
      </c>
      <c r="AH64" s="41" t="str">
        <f t="shared" si="19"/>
        <v/>
      </c>
      <c r="AI64" s="46"/>
      <c r="AJ64" s="46"/>
      <c r="AK64" s="46"/>
      <c r="AL64" s="46"/>
      <c r="AM64" s="46"/>
      <c r="AN64" s="46"/>
      <c r="AO64" s="46"/>
      <c r="AP64" s="46"/>
      <c r="AQ64" s="46"/>
      <c r="AR64" s="46"/>
      <c r="AS64" s="46"/>
      <c r="AT64" s="46"/>
      <c r="AU64" s="46"/>
      <c r="AV64" s="46"/>
    </row>
    <row r="65" spans="1:48" x14ac:dyDescent="0.35">
      <c r="A65" s="46"/>
      <c r="B65" s="46"/>
      <c r="C65" s="46"/>
      <c r="D65" s="46"/>
      <c r="E65" s="50"/>
      <c r="F65" s="50"/>
      <c r="G65" s="50"/>
      <c r="H65" s="50"/>
      <c r="I65" s="50"/>
      <c r="J65" s="46"/>
      <c r="K65" s="42" t="str">
        <f t="shared" si="18"/>
        <v/>
      </c>
      <c r="L65" s="42" t="str">
        <f t="shared" si="18"/>
        <v/>
      </c>
      <c r="M65" s="40"/>
      <c r="N65" s="42" t="str">
        <f t="shared" si="25"/>
        <v/>
      </c>
      <c r="O65" s="42" t="str">
        <f t="shared" si="25"/>
        <v/>
      </c>
      <c r="P65" s="41" t="str">
        <f t="shared" si="25"/>
        <v/>
      </c>
      <c r="Q65" s="41" t="str">
        <f t="shared" si="25"/>
        <v/>
      </c>
      <c r="R65" s="41" t="str">
        <f t="shared" si="25"/>
        <v/>
      </c>
      <c r="S65" s="41" t="str">
        <f t="shared" si="8"/>
        <v/>
      </c>
      <c r="T65" s="41" t="str">
        <f t="shared" si="9"/>
        <v/>
      </c>
      <c r="U65" s="41" t="str">
        <f t="shared" si="10"/>
        <v/>
      </c>
      <c r="V65" s="41" t="str">
        <f t="shared" si="21"/>
        <v/>
      </c>
      <c r="W65" s="41" t="str">
        <f t="shared" si="21"/>
        <v/>
      </c>
      <c r="X65" s="41" t="str">
        <f t="shared" si="21"/>
        <v/>
      </c>
      <c r="Y65" s="41" t="str">
        <f t="shared" si="22"/>
        <v/>
      </c>
      <c r="Z65" s="41" t="str">
        <f t="shared" si="22"/>
        <v/>
      </c>
      <c r="AA65" s="41" t="str">
        <f t="shared" si="22"/>
        <v/>
      </c>
      <c r="AB65" s="41" t="str">
        <f t="shared" si="23"/>
        <v/>
      </c>
      <c r="AC65" s="41" t="str">
        <f t="shared" si="23"/>
        <v/>
      </c>
      <c r="AD65" s="41" t="str">
        <f t="shared" si="23"/>
        <v/>
      </c>
      <c r="AE65" s="41" t="str">
        <f t="shared" si="24"/>
        <v/>
      </c>
      <c r="AF65" s="41" t="str">
        <f t="shared" si="24"/>
        <v/>
      </c>
      <c r="AG65" s="41" t="str">
        <f t="shared" si="24"/>
        <v/>
      </c>
      <c r="AH65" s="41" t="str">
        <f t="shared" si="19"/>
        <v/>
      </c>
      <c r="AI65" s="46"/>
      <c r="AJ65" s="46"/>
      <c r="AK65" s="46"/>
      <c r="AL65" s="46"/>
      <c r="AM65" s="46"/>
      <c r="AN65" s="46"/>
      <c r="AO65" s="46"/>
      <c r="AP65" s="46"/>
      <c r="AQ65" s="46"/>
      <c r="AR65" s="46"/>
      <c r="AS65" s="46"/>
      <c r="AT65" s="46"/>
      <c r="AU65" s="46"/>
      <c r="AV65" s="46"/>
    </row>
    <row r="66" spans="1:48" x14ac:dyDescent="0.35">
      <c r="A66" s="46"/>
      <c r="B66" s="46"/>
      <c r="C66" s="46"/>
      <c r="D66" s="46"/>
      <c r="E66" s="50"/>
      <c r="F66" s="50"/>
      <c r="G66" s="50"/>
      <c r="H66" s="50"/>
      <c r="I66" s="50"/>
      <c r="J66" s="46"/>
      <c r="K66" s="42" t="str">
        <f t="shared" si="18"/>
        <v/>
      </c>
      <c r="L66" s="42" t="str">
        <f t="shared" si="18"/>
        <v/>
      </c>
      <c r="M66" s="40"/>
      <c r="N66" s="42" t="str">
        <f t="shared" si="25"/>
        <v/>
      </c>
      <c r="O66" s="42" t="str">
        <f t="shared" si="25"/>
        <v/>
      </c>
      <c r="P66" s="41" t="str">
        <f t="shared" si="25"/>
        <v/>
      </c>
      <c r="Q66" s="41" t="str">
        <f t="shared" si="25"/>
        <v/>
      </c>
      <c r="R66" s="41" t="str">
        <f t="shared" si="25"/>
        <v/>
      </c>
      <c r="S66" s="41" t="str">
        <f t="shared" si="8"/>
        <v/>
      </c>
      <c r="T66" s="41" t="str">
        <f t="shared" si="9"/>
        <v/>
      </c>
      <c r="U66" s="41" t="str">
        <f t="shared" si="10"/>
        <v/>
      </c>
      <c r="V66" s="41" t="str">
        <f t="shared" si="21"/>
        <v/>
      </c>
      <c r="W66" s="41" t="str">
        <f t="shared" si="21"/>
        <v/>
      </c>
      <c r="X66" s="41" t="str">
        <f t="shared" si="21"/>
        <v/>
      </c>
      <c r="Y66" s="41" t="str">
        <f t="shared" si="22"/>
        <v/>
      </c>
      <c r="Z66" s="41" t="str">
        <f t="shared" si="22"/>
        <v/>
      </c>
      <c r="AA66" s="41" t="str">
        <f t="shared" si="22"/>
        <v/>
      </c>
      <c r="AB66" s="41" t="str">
        <f t="shared" si="23"/>
        <v/>
      </c>
      <c r="AC66" s="41" t="str">
        <f t="shared" si="23"/>
        <v/>
      </c>
      <c r="AD66" s="41" t="str">
        <f t="shared" si="23"/>
        <v/>
      </c>
      <c r="AE66" s="41" t="str">
        <f t="shared" si="24"/>
        <v/>
      </c>
      <c r="AF66" s="41" t="str">
        <f t="shared" si="24"/>
        <v/>
      </c>
      <c r="AG66" s="41" t="str">
        <f t="shared" si="24"/>
        <v/>
      </c>
      <c r="AH66" s="41" t="str">
        <f t="shared" si="19"/>
        <v/>
      </c>
      <c r="AI66" s="46"/>
      <c r="AJ66" s="46"/>
      <c r="AK66" s="46"/>
      <c r="AL66" s="46"/>
      <c r="AM66" s="46"/>
      <c r="AN66" s="46"/>
      <c r="AO66" s="46"/>
      <c r="AP66" s="46"/>
      <c r="AQ66" s="46"/>
      <c r="AR66" s="46"/>
      <c r="AS66" s="46"/>
      <c r="AT66" s="46"/>
      <c r="AU66" s="46"/>
      <c r="AV66" s="46"/>
    </row>
    <row r="67" spans="1:48" x14ac:dyDescent="0.35">
      <c r="A67" s="46"/>
      <c r="B67" s="46"/>
      <c r="C67" s="46"/>
      <c r="D67" s="46"/>
      <c r="E67" s="50"/>
      <c r="F67" s="50"/>
      <c r="G67" s="50"/>
      <c r="H67" s="50"/>
      <c r="I67" s="50"/>
      <c r="J67" s="46"/>
      <c r="K67" s="42" t="str">
        <f t="shared" si="18"/>
        <v/>
      </c>
      <c r="L67" s="42" t="str">
        <f t="shared" si="18"/>
        <v/>
      </c>
      <c r="M67" s="40"/>
      <c r="N67" s="42" t="str">
        <f t="shared" ref="N67:R76" si="26">IF($E67="","",IF(VLOOKUP($E67,specs_for_word2,N$3,0)="","",VLOOKUP($E67,specs_for_word2,N$3,0)))</f>
        <v/>
      </c>
      <c r="O67" s="42" t="str">
        <f t="shared" si="26"/>
        <v/>
      </c>
      <c r="P67" s="41" t="str">
        <f t="shared" si="26"/>
        <v/>
      </c>
      <c r="Q67" s="41" t="str">
        <f t="shared" si="26"/>
        <v/>
      </c>
      <c r="R67" s="41" t="str">
        <f t="shared" si="26"/>
        <v/>
      </c>
      <c r="S67" s="41" t="str">
        <f t="shared" si="8"/>
        <v/>
      </c>
      <c r="T67" s="41" t="str">
        <f t="shared" si="9"/>
        <v/>
      </c>
      <c r="U67" s="41" t="str">
        <f t="shared" si="10"/>
        <v/>
      </c>
      <c r="V67" s="41" t="str">
        <f t="shared" ref="V67:X86" si="27">IF($F67="","",IF(VLOOKUP($F67,specs_for_word2,V$3,0)="","",VLOOKUP($F67,specs_for_word2,V$3,0)))</f>
        <v/>
      </c>
      <c r="W67" s="41" t="str">
        <f t="shared" si="27"/>
        <v/>
      </c>
      <c r="X67" s="41" t="str">
        <f t="shared" si="27"/>
        <v/>
      </c>
      <c r="Y67" s="41" t="str">
        <f t="shared" ref="Y67:AA86" si="28">IF($G67="","",IF(VLOOKUP($G67,specs_for_word2,Y$3,0)="","",VLOOKUP($G67,specs_for_word2,Y$3,0)))</f>
        <v/>
      </c>
      <c r="Z67" s="41" t="str">
        <f t="shared" si="28"/>
        <v/>
      </c>
      <c r="AA67" s="41" t="str">
        <f t="shared" si="28"/>
        <v/>
      </c>
      <c r="AB67" s="41" t="str">
        <f t="shared" ref="AB67:AD86" si="29">IF($H67="","",IF(VLOOKUP($H67,specs_for_word2,AB$3,0)="","",VLOOKUP($H67,specs_for_word2,AB$3,0)))</f>
        <v/>
      </c>
      <c r="AC67" s="41" t="str">
        <f t="shared" si="29"/>
        <v/>
      </c>
      <c r="AD67" s="41" t="str">
        <f t="shared" si="29"/>
        <v/>
      </c>
      <c r="AE67" s="41" t="str">
        <f t="shared" ref="AE67:AG86" si="30">IF($I67="","",IF(VLOOKUP($I67,specs_for_word2,AE$3,0)="","",VLOOKUP($I67,specs_for_word2,AE$3,0)))</f>
        <v/>
      </c>
      <c r="AF67" s="41" t="str">
        <f t="shared" si="30"/>
        <v/>
      </c>
      <c r="AG67" s="41" t="str">
        <f t="shared" si="30"/>
        <v/>
      </c>
      <c r="AH67" s="41" t="str">
        <f t="shared" si="19"/>
        <v/>
      </c>
      <c r="AI67" s="46"/>
      <c r="AJ67" s="46"/>
      <c r="AK67" s="46"/>
      <c r="AL67" s="46"/>
      <c r="AM67" s="46"/>
      <c r="AN67" s="46"/>
      <c r="AO67" s="46"/>
      <c r="AP67" s="46"/>
      <c r="AQ67" s="46"/>
      <c r="AR67" s="46"/>
      <c r="AS67" s="46"/>
      <c r="AT67" s="46"/>
      <c r="AU67" s="46"/>
      <c r="AV67" s="46"/>
    </row>
    <row r="68" spans="1:48" x14ac:dyDescent="0.35">
      <c r="A68" s="46"/>
      <c r="B68" s="46"/>
      <c r="C68" s="46"/>
      <c r="D68" s="46"/>
      <c r="E68" s="50"/>
      <c r="F68" s="50"/>
      <c r="G68" s="50"/>
      <c r="H68" s="50"/>
      <c r="I68" s="50"/>
      <c r="J68" s="46"/>
      <c r="K68" s="42" t="str">
        <f t="shared" si="18"/>
        <v/>
      </c>
      <c r="L68" s="42" t="str">
        <f t="shared" si="18"/>
        <v/>
      </c>
      <c r="M68" s="40"/>
      <c r="N68" s="42" t="str">
        <f t="shared" si="26"/>
        <v/>
      </c>
      <c r="O68" s="42" t="str">
        <f t="shared" si="26"/>
        <v/>
      </c>
      <c r="P68" s="41" t="str">
        <f t="shared" si="26"/>
        <v/>
      </c>
      <c r="Q68" s="41" t="str">
        <f t="shared" si="26"/>
        <v/>
      </c>
      <c r="R68" s="41" t="str">
        <f t="shared" si="26"/>
        <v/>
      </c>
      <c r="S68" s="41" t="str">
        <f t="shared" si="8"/>
        <v/>
      </c>
      <c r="T68" s="41" t="str">
        <f t="shared" si="9"/>
        <v/>
      </c>
      <c r="U68" s="41" t="str">
        <f t="shared" si="10"/>
        <v/>
      </c>
      <c r="V68" s="41" t="str">
        <f t="shared" si="27"/>
        <v/>
      </c>
      <c r="W68" s="41" t="str">
        <f t="shared" si="27"/>
        <v/>
      </c>
      <c r="X68" s="41" t="str">
        <f t="shared" si="27"/>
        <v/>
      </c>
      <c r="Y68" s="41" t="str">
        <f t="shared" si="28"/>
        <v/>
      </c>
      <c r="Z68" s="41" t="str">
        <f t="shared" si="28"/>
        <v/>
      </c>
      <c r="AA68" s="41" t="str">
        <f t="shared" si="28"/>
        <v/>
      </c>
      <c r="AB68" s="41" t="str">
        <f t="shared" si="29"/>
        <v/>
      </c>
      <c r="AC68" s="41" t="str">
        <f t="shared" si="29"/>
        <v/>
      </c>
      <c r="AD68" s="41" t="str">
        <f t="shared" si="29"/>
        <v/>
      </c>
      <c r="AE68" s="41" t="str">
        <f t="shared" si="30"/>
        <v/>
      </c>
      <c r="AF68" s="41" t="str">
        <f t="shared" si="30"/>
        <v/>
      </c>
      <c r="AG68" s="41" t="str">
        <f t="shared" si="30"/>
        <v/>
      </c>
      <c r="AH68" s="41" t="str">
        <f t="shared" si="19"/>
        <v/>
      </c>
      <c r="AI68" s="46"/>
      <c r="AJ68" s="46"/>
      <c r="AK68" s="46"/>
      <c r="AL68" s="46"/>
      <c r="AM68" s="46"/>
      <c r="AN68" s="46"/>
      <c r="AO68" s="46"/>
      <c r="AP68" s="46"/>
      <c r="AQ68" s="46"/>
      <c r="AR68" s="46"/>
      <c r="AS68" s="46"/>
      <c r="AT68" s="46"/>
      <c r="AU68" s="46"/>
      <c r="AV68" s="46"/>
    </row>
    <row r="69" spans="1:48" x14ac:dyDescent="0.35">
      <c r="A69" s="46"/>
      <c r="B69" s="46"/>
      <c r="C69" s="46"/>
      <c r="D69" s="46"/>
      <c r="E69" s="50"/>
      <c r="F69" s="50"/>
      <c r="G69" s="50"/>
      <c r="H69" s="50"/>
      <c r="I69" s="50"/>
      <c r="J69" s="46"/>
      <c r="K69" s="42" t="str">
        <f t="shared" si="18"/>
        <v/>
      </c>
      <c r="L69" s="42" t="str">
        <f t="shared" si="18"/>
        <v/>
      </c>
      <c r="M69" s="40"/>
      <c r="N69" s="42" t="str">
        <f t="shared" si="26"/>
        <v/>
      </c>
      <c r="O69" s="42" t="str">
        <f t="shared" si="26"/>
        <v/>
      </c>
      <c r="P69" s="41" t="str">
        <f t="shared" si="26"/>
        <v/>
      </c>
      <c r="Q69" s="41" t="str">
        <f t="shared" si="26"/>
        <v/>
      </c>
      <c r="R69" s="41" t="str">
        <f t="shared" si="26"/>
        <v/>
      </c>
      <c r="S69" s="41" t="str">
        <f t="shared" si="8"/>
        <v/>
      </c>
      <c r="T69" s="41" t="str">
        <f t="shared" si="9"/>
        <v/>
      </c>
      <c r="U69" s="41" t="str">
        <f t="shared" si="10"/>
        <v/>
      </c>
      <c r="V69" s="41" t="str">
        <f t="shared" si="27"/>
        <v/>
      </c>
      <c r="W69" s="41" t="str">
        <f t="shared" si="27"/>
        <v/>
      </c>
      <c r="X69" s="41" t="str">
        <f t="shared" si="27"/>
        <v/>
      </c>
      <c r="Y69" s="41" t="str">
        <f t="shared" si="28"/>
        <v/>
      </c>
      <c r="Z69" s="41" t="str">
        <f t="shared" si="28"/>
        <v/>
      </c>
      <c r="AA69" s="41" t="str">
        <f t="shared" si="28"/>
        <v/>
      </c>
      <c r="AB69" s="41" t="str">
        <f t="shared" si="29"/>
        <v/>
      </c>
      <c r="AC69" s="41" t="str">
        <f t="shared" si="29"/>
        <v/>
      </c>
      <c r="AD69" s="41" t="str">
        <f t="shared" si="29"/>
        <v/>
      </c>
      <c r="AE69" s="41" t="str">
        <f t="shared" si="30"/>
        <v/>
      </c>
      <c r="AF69" s="41" t="str">
        <f t="shared" si="30"/>
        <v/>
      </c>
      <c r="AG69" s="41" t="str">
        <f t="shared" si="30"/>
        <v/>
      </c>
      <c r="AH69" s="41" t="str">
        <f t="shared" si="19"/>
        <v/>
      </c>
      <c r="AI69" s="46"/>
      <c r="AJ69" s="46"/>
      <c r="AK69" s="46"/>
      <c r="AL69" s="46"/>
      <c r="AM69" s="46"/>
      <c r="AN69" s="46"/>
      <c r="AO69" s="46"/>
      <c r="AP69" s="46"/>
      <c r="AQ69" s="46"/>
      <c r="AR69" s="46"/>
      <c r="AS69" s="46"/>
      <c r="AT69" s="46"/>
      <c r="AU69" s="46"/>
      <c r="AV69" s="46"/>
    </row>
    <row r="70" spans="1:48" x14ac:dyDescent="0.35">
      <c r="A70" s="46"/>
      <c r="B70" s="46"/>
      <c r="C70" s="46"/>
      <c r="D70" s="46"/>
      <c r="E70" s="50"/>
      <c r="F70" s="50"/>
      <c r="G70" s="50"/>
      <c r="H70" s="50"/>
      <c r="I70" s="50"/>
      <c r="J70" s="46"/>
      <c r="K70" s="42" t="str">
        <f t="shared" si="18"/>
        <v/>
      </c>
      <c r="L70" s="42" t="str">
        <f t="shared" si="18"/>
        <v/>
      </c>
      <c r="M70" s="40"/>
      <c r="N70" s="42" t="str">
        <f t="shared" si="26"/>
        <v/>
      </c>
      <c r="O70" s="42" t="str">
        <f t="shared" si="26"/>
        <v/>
      </c>
      <c r="P70" s="41" t="str">
        <f t="shared" si="26"/>
        <v/>
      </c>
      <c r="Q70" s="41" t="str">
        <f t="shared" si="26"/>
        <v/>
      </c>
      <c r="R70" s="41" t="str">
        <f t="shared" si="26"/>
        <v/>
      </c>
      <c r="S70" s="41" t="str">
        <f t="shared" si="8"/>
        <v/>
      </c>
      <c r="T70" s="41" t="str">
        <f t="shared" si="9"/>
        <v/>
      </c>
      <c r="U70" s="41" t="str">
        <f t="shared" si="10"/>
        <v/>
      </c>
      <c r="V70" s="41" t="str">
        <f t="shared" si="27"/>
        <v/>
      </c>
      <c r="W70" s="41" t="str">
        <f t="shared" si="27"/>
        <v/>
      </c>
      <c r="X70" s="41" t="str">
        <f t="shared" si="27"/>
        <v/>
      </c>
      <c r="Y70" s="41" t="str">
        <f t="shared" si="28"/>
        <v/>
      </c>
      <c r="Z70" s="41" t="str">
        <f t="shared" si="28"/>
        <v/>
      </c>
      <c r="AA70" s="41" t="str">
        <f t="shared" si="28"/>
        <v/>
      </c>
      <c r="AB70" s="41" t="str">
        <f t="shared" si="29"/>
        <v/>
      </c>
      <c r="AC70" s="41" t="str">
        <f t="shared" si="29"/>
        <v/>
      </c>
      <c r="AD70" s="41" t="str">
        <f t="shared" si="29"/>
        <v/>
      </c>
      <c r="AE70" s="41" t="str">
        <f t="shared" si="30"/>
        <v/>
      </c>
      <c r="AF70" s="41" t="str">
        <f t="shared" si="30"/>
        <v/>
      </c>
      <c r="AG70" s="41" t="str">
        <f t="shared" si="30"/>
        <v/>
      </c>
      <c r="AH70" s="41" t="str">
        <f t="shared" si="19"/>
        <v/>
      </c>
      <c r="AI70" s="46"/>
      <c r="AJ70" s="46"/>
      <c r="AK70" s="46"/>
      <c r="AL70" s="46"/>
      <c r="AM70" s="46"/>
      <c r="AN70" s="46"/>
      <c r="AO70" s="46"/>
      <c r="AP70" s="46"/>
      <c r="AQ70" s="46"/>
      <c r="AR70" s="46"/>
      <c r="AS70" s="46"/>
      <c r="AT70" s="46"/>
      <c r="AU70" s="46"/>
      <c r="AV70" s="46"/>
    </row>
    <row r="71" spans="1:48" x14ac:dyDescent="0.35">
      <c r="A71" s="46"/>
      <c r="B71" s="46"/>
      <c r="C71" s="46"/>
      <c r="D71" s="46"/>
      <c r="E71" s="50"/>
      <c r="F71" s="50"/>
      <c r="G71" s="50"/>
      <c r="H71" s="50"/>
      <c r="I71" s="50"/>
      <c r="J71" s="46"/>
      <c r="K71" s="42" t="str">
        <f t="shared" ref="K71:L101" si="31">IF($E71="","",IF(VLOOKUP($E71,specs_for_word2,K$3,0)="","",VLOOKUP($E71,specs_for_word2,K$3,0)))</f>
        <v/>
      </c>
      <c r="L71" s="42" t="str">
        <f t="shared" si="31"/>
        <v/>
      </c>
      <c r="M71" s="40"/>
      <c r="N71" s="42" t="str">
        <f t="shared" si="26"/>
        <v/>
      </c>
      <c r="O71" s="42" t="str">
        <f t="shared" si="26"/>
        <v/>
      </c>
      <c r="P71" s="41" t="str">
        <f t="shared" si="26"/>
        <v/>
      </c>
      <c r="Q71" s="41" t="str">
        <f t="shared" si="26"/>
        <v/>
      </c>
      <c r="R71" s="41" t="str">
        <f t="shared" si="26"/>
        <v/>
      </c>
      <c r="S71" s="41" t="str">
        <f t="shared" si="8"/>
        <v/>
      </c>
      <c r="T71" s="41" t="str">
        <f t="shared" si="9"/>
        <v/>
      </c>
      <c r="U71" s="41" t="str">
        <f t="shared" si="10"/>
        <v/>
      </c>
      <c r="V71" s="41" t="str">
        <f t="shared" si="27"/>
        <v/>
      </c>
      <c r="W71" s="41" t="str">
        <f t="shared" si="27"/>
        <v/>
      </c>
      <c r="X71" s="41" t="str">
        <f t="shared" si="27"/>
        <v/>
      </c>
      <c r="Y71" s="41" t="str">
        <f t="shared" si="28"/>
        <v/>
      </c>
      <c r="Z71" s="41" t="str">
        <f t="shared" si="28"/>
        <v/>
      </c>
      <c r="AA71" s="41" t="str">
        <f t="shared" si="28"/>
        <v/>
      </c>
      <c r="AB71" s="41" t="str">
        <f t="shared" si="29"/>
        <v/>
      </c>
      <c r="AC71" s="41" t="str">
        <f t="shared" si="29"/>
        <v/>
      </c>
      <c r="AD71" s="41" t="str">
        <f t="shared" si="29"/>
        <v/>
      </c>
      <c r="AE71" s="41" t="str">
        <f t="shared" si="30"/>
        <v/>
      </c>
      <c r="AF71" s="41" t="str">
        <f t="shared" si="30"/>
        <v/>
      </c>
      <c r="AG71" s="41" t="str">
        <f t="shared" si="30"/>
        <v/>
      </c>
      <c r="AH71" s="41" t="str">
        <f t="shared" ref="AH71:AH101" si="32">IF($E71="","",IF(VLOOKUP($E71,specs_for_word2,AH$3,0)="","",VLOOKUP($E71,specs_for_word2,AH$3,0)))</f>
        <v/>
      </c>
      <c r="AI71" s="46"/>
      <c r="AJ71" s="46"/>
      <c r="AK71" s="46"/>
      <c r="AL71" s="46"/>
      <c r="AM71" s="46"/>
      <c r="AN71" s="46"/>
      <c r="AO71" s="46"/>
      <c r="AP71" s="46"/>
      <c r="AQ71" s="46"/>
      <c r="AR71" s="46"/>
      <c r="AS71" s="46"/>
      <c r="AT71" s="46"/>
      <c r="AU71" s="46"/>
      <c r="AV71" s="46"/>
    </row>
    <row r="72" spans="1:48" x14ac:dyDescent="0.35">
      <c r="A72" s="46"/>
      <c r="B72" s="46"/>
      <c r="C72" s="46"/>
      <c r="D72" s="46"/>
      <c r="E72" s="50"/>
      <c r="F72" s="50"/>
      <c r="G72" s="50"/>
      <c r="H72" s="50"/>
      <c r="I72" s="50"/>
      <c r="J72" s="46"/>
      <c r="K72" s="42" t="str">
        <f t="shared" si="31"/>
        <v/>
      </c>
      <c r="L72" s="42" t="str">
        <f t="shared" si="31"/>
        <v/>
      </c>
      <c r="M72" s="40"/>
      <c r="N72" s="42" t="str">
        <f t="shared" si="26"/>
        <v/>
      </c>
      <c r="O72" s="42" t="str">
        <f t="shared" si="26"/>
        <v/>
      </c>
      <c r="P72" s="41" t="str">
        <f t="shared" si="26"/>
        <v/>
      </c>
      <c r="Q72" s="41" t="str">
        <f t="shared" si="26"/>
        <v/>
      </c>
      <c r="R72" s="41" t="str">
        <f t="shared" si="26"/>
        <v/>
      </c>
      <c r="S72" s="41" t="str">
        <f t="shared" si="8"/>
        <v/>
      </c>
      <c r="T72" s="41" t="str">
        <f t="shared" si="9"/>
        <v/>
      </c>
      <c r="U72" s="41" t="str">
        <f t="shared" si="10"/>
        <v/>
      </c>
      <c r="V72" s="41" t="str">
        <f t="shared" si="27"/>
        <v/>
      </c>
      <c r="W72" s="41" t="str">
        <f t="shared" si="27"/>
        <v/>
      </c>
      <c r="X72" s="41" t="str">
        <f t="shared" si="27"/>
        <v/>
      </c>
      <c r="Y72" s="41" t="str">
        <f t="shared" si="28"/>
        <v/>
      </c>
      <c r="Z72" s="41" t="str">
        <f t="shared" si="28"/>
        <v/>
      </c>
      <c r="AA72" s="41" t="str">
        <f t="shared" si="28"/>
        <v/>
      </c>
      <c r="AB72" s="41" t="str">
        <f t="shared" si="29"/>
        <v/>
      </c>
      <c r="AC72" s="41" t="str">
        <f t="shared" si="29"/>
        <v/>
      </c>
      <c r="AD72" s="41" t="str">
        <f t="shared" si="29"/>
        <v/>
      </c>
      <c r="AE72" s="41" t="str">
        <f t="shared" si="30"/>
        <v/>
      </c>
      <c r="AF72" s="41" t="str">
        <f t="shared" si="30"/>
        <v/>
      </c>
      <c r="AG72" s="41" t="str">
        <f t="shared" si="30"/>
        <v/>
      </c>
      <c r="AH72" s="41" t="str">
        <f t="shared" si="32"/>
        <v/>
      </c>
      <c r="AI72" s="46"/>
      <c r="AJ72" s="46"/>
      <c r="AK72" s="46"/>
      <c r="AL72" s="46"/>
      <c r="AM72" s="46"/>
      <c r="AN72" s="46"/>
      <c r="AO72" s="46"/>
      <c r="AP72" s="46"/>
      <c r="AQ72" s="46"/>
      <c r="AR72" s="46"/>
      <c r="AS72" s="46"/>
      <c r="AT72" s="46"/>
      <c r="AU72" s="46"/>
      <c r="AV72" s="46"/>
    </row>
    <row r="73" spans="1:48" x14ac:dyDescent="0.35">
      <c r="A73" s="46"/>
      <c r="B73" s="46"/>
      <c r="C73" s="46"/>
      <c r="D73" s="46"/>
      <c r="E73" s="50"/>
      <c r="F73" s="50"/>
      <c r="G73" s="50"/>
      <c r="H73" s="50"/>
      <c r="I73" s="50"/>
      <c r="J73" s="46"/>
      <c r="K73" s="42" t="str">
        <f t="shared" si="31"/>
        <v/>
      </c>
      <c r="L73" s="42" t="str">
        <f t="shared" si="31"/>
        <v/>
      </c>
      <c r="M73" s="40"/>
      <c r="N73" s="42" t="str">
        <f t="shared" si="26"/>
        <v/>
      </c>
      <c r="O73" s="42" t="str">
        <f t="shared" si="26"/>
        <v/>
      </c>
      <c r="P73" s="41" t="str">
        <f t="shared" si="26"/>
        <v/>
      </c>
      <c r="Q73" s="41" t="str">
        <f t="shared" si="26"/>
        <v/>
      </c>
      <c r="R73" s="41" t="str">
        <f t="shared" si="26"/>
        <v/>
      </c>
      <c r="S73" s="41" t="str">
        <f t="shared" ref="S73:S101" si="33">P73</f>
        <v/>
      </c>
      <c r="T73" s="41" t="str">
        <f t="shared" si="9"/>
        <v/>
      </c>
      <c r="U73" s="41" t="str">
        <f t="shared" si="10"/>
        <v/>
      </c>
      <c r="V73" s="41" t="str">
        <f t="shared" si="27"/>
        <v/>
      </c>
      <c r="W73" s="41" t="str">
        <f t="shared" si="27"/>
        <v/>
      </c>
      <c r="X73" s="41" t="str">
        <f t="shared" si="27"/>
        <v/>
      </c>
      <c r="Y73" s="41" t="str">
        <f t="shared" si="28"/>
        <v/>
      </c>
      <c r="Z73" s="41" t="str">
        <f t="shared" si="28"/>
        <v/>
      </c>
      <c r="AA73" s="41" t="str">
        <f t="shared" si="28"/>
        <v/>
      </c>
      <c r="AB73" s="41" t="str">
        <f t="shared" si="29"/>
        <v/>
      </c>
      <c r="AC73" s="41" t="str">
        <f t="shared" si="29"/>
        <v/>
      </c>
      <c r="AD73" s="41" t="str">
        <f t="shared" si="29"/>
        <v/>
      </c>
      <c r="AE73" s="41" t="str">
        <f t="shared" si="30"/>
        <v/>
      </c>
      <c r="AF73" s="41" t="str">
        <f t="shared" si="30"/>
        <v/>
      </c>
      <c r="AG73" s="41" t="str">
        <f t="shared" si="30"/>
        <v/>
      </c>
      <c r="AH73" s="41" t="str">
        <f t="shared" si="32"/>
        <v/>
      </c>
      <c r="AI73" s="46"/>
      <c r="AJ73" s="46"/>
      <c r="AK73" s="46"/>
      <c r="AL73" s="46"/>
      <c r="AM73" s="46"/>
      <c r="AN73" s="46"/>
      <c r="AO73" s="46"/>
      <c r="AP73" s="46"/>
      <c r="AQ73" s="46"/>
      <c r="AR73" s="46"/>
      <c r="AS73" s="46"/>
      <c r="AT73" s="46"/>
      <c r="AU73" s="46"/>
      <c r="AV73" s="46"/>
    </row>
    <row r="74" spans="1:48" x14ac:dyDescent="0.35">
      <c r="A74" s="46"/>
      <c r="B74" s="46"/>
      <c r="C74" s="46"/>
      <c r="D74" s="46"/>
      <c r="E74" s="50"/>
      <c r="F74" s="50"/>
      <c r="G74" s="50"/>
      <c r="H74" s="50"/>
      <c r="I74" s="50"/>
      <c r="J74" s="46"/>
      <c r="K74" s="42" t="str">
        <f t="shared" si="31"/>
        <v/>
      </c>
      <c r="L74" s="42" t="str">
        <f t="shared" si="31"/>
        <v/>
      </c>
      <c r="M74" s="40"/>
      <c r="N74" s="42" t="str">
        <f t="shared" si="26"/>
        <v/>
      </c>
      <c r="O74" s="42" t="str">
        <f t="shared" si="26"/>
        <v/>
      </c>
      <c r="P74" s="41" t="str">
        <f t="shared" si="26"/>
        <v/>
      </c>
      <c r="Q74" s="41" t="str">
        <f t="shared" si="26"/>
        <v/>
      </c>
      <c r="R74" s="41" t="str">
        <f t="shared" si="26"/>
        <v/>
      </c>
      <c r="S74" s="41" t="str">
        <f t="shared" si="33"/>
        <v/>
      </c>
      <c r="T74" s="41" t="str">
        <f t="shared" ref="T74:T101" si="34">Q74</f>
        <v/>
      </c>
      <c r="U74" s="41" t="str">
        <f t="shared" ref="U74:U101" si="35">R74</f>
        <v/>
      </c>
      <c r="V74" s="41" t="str">
        <f t="shared" si="27"/>
        <v/>
      </c>
      <c r="W74" s="41" t="str">
        <f t="shared" si="27"/>
        <v/>
      </c>
      <c r="X74" s="41" t="str">
        <f t="shared" si="27"/>
        <v/>
      </c>
      <c r="Y74" s="41" t="str">
        <f t="shared" si="28"/>
        <v/>
      </c>
      <c r="Z74" s="41" t="str">
        <f t="shared" si="28"/>
        <v/>
      </c>
      <c r="AA74" s="41" t="str">
        <f t="shared" si="28"/>
        <v/>
      </c>
      <c r="AB74" s="41" t="str">
        <f t="shared" si="29"/>
        <v/>
      </c>
      <c r="AC74" s="41" t="str">
        <f t="shared" si="29"/>
        <v/>
      </c>
      <c r="AD74" s="41" t="str">
        <f t="shared" si="29"/>
        <v/>
      </c>
      <c r="AE74" s="41" t="str">
        <f t="shared" si="30"/>
        <v/>
      </c>
      <c r="AF74" s="41" t="str">
        <f t="shared" si="30"/>
        <v/>
      </c>
      <c r="AG74" s="41" t="str">
        <f t="shared" si="30"/>
        <v/>
      </c>
      <c r="AH74" s="41" t="str">
        <f t="shared" si="32"/>
        <v/>
      </c>
      <c r="AI74" s="46"/>
      <c r="AJ74" s="46"/>
      <c r="AK74" s="46"/>
      <c r="AL74" s="46"/>
      <c r="AM74" s="46"/>
      <c r="AN74" s="46"/>
      <c r="AO74" s="46"/>
      <c r="AP74" s="46"/>
      <c r="AQ74" s="46"/>
      <c r="AR74" s="46"/>
      <c r="AS74" s="46"/>
      <c r="AT74" s="46"/>
      <c r="AU74" s="46"/>
      <c r="AV74" s="46"/>
    </row>
    <row r="75" spans="1:48" x14ac:dyDescent="0.35">
      <c r="A75" s="46"/>
      <c r="B75" s="46"/>
      <c r="C75" s="46"/>
      <c r="D75" s="46"/>
      <c r="E75" s="50"/>
      <c r="F75" s="50"/>
      <c r="G75" s="50"/>
      <c r="H75" s="50"/>
      <c r="I75" s="50"/>
      <c r="J75" s="46"/>
      <c r="K75" s="42" t="str">
        <f t="shared" si="31"/>
        <v/>
      </c>
      <c r="L75" s="42" t="str">
        <f t="shared" si="31"/>
        <v/>
      </c>
      <c r="M75" s="40"/>
      <c r="N75" s="42" t="str">
        <f t="shared" si="26"/>
        <v/>
      </c>
      <c r="O75" s="42" t="str">
        <f t="shared" si="26"/>
        <v/>
      </c>
      <c r="P75" s="41" t="str">
        <f t="shared" si="26"/>
        <v/>
      </c>
      <c r="Q75" s="41" t="str">
        <f t="shared" si="26"/>
        <v/>
      </c>
      <c r="R75" s="41" t="str">
        <f t="shared" si="26"/>
        <v/>
      </c>
      <c r="S75" s="41" t="str">
        <f t="shared" si="33"/>
        <v/>
      </c>
      <c r="T75" s="41" t="str">
        <f t="shared" si="34"/>
        <v/>
      </c>
      <c r="U75" s="41" t="str">
        <f t="shared" si="35"/>
        <v/>
      </c>
      <c r="V75" s="41" t="str">
        <f t="shared" si="27"/>
        <v/>
      </c>
      <c r="W75" s="41" t="str">
        <f t="shared" si="27"/>
        <v/>
      </c>
      <c r="X75" s="41" t="str">
        <f t="shared" si="27"/>
        <v/>
      </c>
      <c r="Y75" s="41" t="str">
        <f t="shared" si="28"/>
        <v/>
      </c>
      <c r="Z75" s="41" t="str">
        <f t="shared" si="28"/>
        <v/>
      </c>
      <c r="AA75" s="41" t="str">
        <f t="shared" si="28"/>
        <v/>
      </c>
      <c r="AB75" s="41" t="str">
        <f t="shared" si="29"/>
        <v/>
      </c>
      <c r="AC75" s="41" t="str">
        <f t="shared" si="29"/>
        <v/>
      </c>
      <c r="AD75" s="41" t="str">
        <f t="shared" si="29"/>
        <v/>
      </c>
      <c r="AE75" s="41" t="str">
        <f t="shared" si="30"/>
        <v/>
      </c>
      <c r="AF75" s="41" t="str">
        <f t="shared" si="30"/>
        <v/>
      </c>
      <c r="AG75" s="41" t="str">
        <f t="shared" si="30"/>
        <v/>
      </c>
      <c r="AH75" s="41" t="str">
        <f t="shared" si="32"/>
        <v/>
      </c>
      <c r="AI75" s="46"/>
      <c r="AJ75" s="46"/>
      <c r="AK75" s="46"/>
      <c r="AL75" s="46"/>
      <c r="AM75" s="46"/>
      <c r="AN75" s="46"/>
      <c r="AO75" s="46"/>
      <c r="AP75" s="46"/>
      <c r="AQ75" s="46"/>
      <c r="AR75" s="46"/>
      <c r="AS75" s="46"/>
      <c r="AT75" s="46"/>
      <c r="AU75" s="46"/>
      <c r="AV75" s="46"/>
    </row>
    <row r="76" spans="1:48" x14ac:dyDescent="0.35">
      <c r="A76" s="46"/>
      <c r="B76" s="46"/>
      <c r="C76" s="46"/>
      <c r="D76" s="46"/>
      <c r="E76" s="50"/>
      <c r="F76" s="50"/>
      <c r="G76" s="50"/>
      <c r="H76" s="50"/>
      <c r="I76" s="50"/>
      <c r="J76" s="46"/>
      <c r="K76" s="42" t="str">
        <f t="shared" si="31"/>
        <v/>
      </c>
      <c r="L76" s="42" t="str">
        <f t="shared" si="31"/>
        <v/>
      </c>
      <c r="M76" s="40"/>
      <c r="N76" s="42" t="str">
        <f t="shared" si="26"/>
        <v/>
      </c>
      <c r="O76" s="42" t="str">
        <f t="shared" si="26"/>
        <v/>
      </c>
      <c r="P76" s="41" t="str">
        <f t="shared" si="26"/>
        <v/>
      </c>
      <c r="Q76" s="41" t="str">
        <f t="shared" si="26"/>
        <v/>
      </c>
      <c r="R76" s="41" t="str">
        <f t="shared" si="26"/>
        <v/>
      </c>
      <c r="S76" s="41" t="str">
        <f t="shared" si="33"/>
        <v/>
      </c>
      <c r="T76" s="41" t="str">
        <f t="shared" si="34"/>
        <v/>
      </c>
      <c r="U76" s="41" t="str">
        <f t="shared" si="35"/>
        <v/>
      </c>
      <c r="V76" s="41" t="str">
        <f t="shared" si="27"/>
        <v/>
      </c>
      <c r="W76" s="41" t="str">
        <f t="shared" si="27"/>
        <v/>
      </c>
      <c r="X76" s="41" t="str">
        <f t="shared" si="27"/>
        <v/>
      </c>
      <c r="Y76" s="41" t="str">
        <f t="shared" si="28"/>
        <v/>
      </c>
      <c r="Z76" s="41" t="str">
        <f t="shared" si="28"/>
        <v/>
      </c>
      <c r="AA76" s="41" t="str">
        <f t="shared" si="28"/>
        <v/>
      </c>
      <c r="AB76" s="41" t="str">
        <f t="shared" si="29"/>
        <v/>
      </c>
      <c r="AC76" s="41" t="str">
        <f t="shared" si="29"/>
        <v/>
      </c>
      <c r="AD76" s="41" t="str">
        <f t="shared" si="29"/>
        <v/>
      </c>
      <c r="AE76" s="41" t="str">
        <f t="shared" si="30"/>
        <v/>
      </c>
      <c r="AF76" s="41" t="str">
        <f t="shared" si="30"/>
        <v/>
      </c>
      <c r="AG76" s="41" t="str">
        <f t="shared" si="30"/>
        <v/>
      </c>
      <c r="AH76" s="41" t="str">
        <f t="shared" si="32"/>
        <v/>
      </c>
      <c r="AI76" s="46"/>
      <c r="AJ76" s="46"/>
      <c r="AK76" s="46"/>
      <c r="AL76" s="46"/>
      <c r="AM76" s="46"/>
      <c r="AN76" s="46"/>
      <c r="AO76" s="46"/>
      <c r="AP76" s="46"/>
      <c r="AQ76" s="46"/>
      <c r="AR76" s="46"/>
      <c r="AS76" s="46"/>
      <c r="AT76" s="46"/>
      <c r="AU76" s="46"/>
      <c r="AV76" s="46"/>
    </row>
    <row r="77" spans="1:48" x14ac:dyDescent="0.35">
      <c r="A77" s="46"/>
      <c r="B77" s="46"/>
      <c r="C77" s="46"/>
      <c r="D77" s="46"/>
      <c r="E77" s="50"/>
      <c r="F77" s="50"/>
      <c r="G77" s="50"/>
      <c r="H77" s="50"/>
      <c r="I77" s="50"/>
      <c r="J77" s="46"/>
      <c r="K77" s="42" t="str">
        <f t="shared" si="31"/>
        <v/>
      </c>
      <c r="L77" s="42" t="str">
        <f t="shared" si="31"/>
        <v/>
      </c>
      <c r="M77" s="40"/>
      <c r="N77" s="42" t="str">
        <f t="shared" ref="N77:R86" si="36">IF($E77="","",IF(VLOOKUP($E77,specs_for_word2,N$3,0)="","",VLOOKUP($E77,specs_for_word2,N$3,0)))</f>
        <v/>
      </c>
      <c r="O77" s="42" t="str">
        <f t="shared" si="36"/>
        <v/>
      </c>
      <c r="P77" s="41" t="str">
        <f t="shared" si="36"/>
        <v/>
      </c>
      <c r="Q77" s="41" t="str">
        <f t="shared" si="36"/>
        <v/>
      </c>
      <c r="R77" s="41" t="str">
        <f t="shared" si="36"/>
        <v/>
      </c>
      <c r="S77" s="41" t="str">
        <f t="shared" si="33"/>
        <v/>
      </c>
      <c r="T77" s="41" t="str">
        <f t="shared" si="34"/>
        <v/>
      </c>
      <c r="U77" s="41" t="str">
        <f t="shared" si="35"/>
        <v/>
      </c>
      <c r="V77" s="41" t="str">
        <f t="shared" si="27"/>
        <v/>
      </c>
      <c r="W77" s="41" t="str">
        <f t="shared" si="27"/>
        <v/>
      </c>
      <c r="X77" s="41" t="str">
        <f t="shared" si="27"/>
        <v/>
      </c>
      <c r="Y77" s="41" t="str">
        <f t="shared" si="28"/>
        <v/>
      </c>
      <c r="Z77" s="41" t="str">
        <f t="shared" si="28"/>
        <v/>
      </c>
      <c r="AA77" s="41" t="str">
        <f t="shared" si="28"/>
        <v/>
      </c>
      <c r="AB77" s="41" t="str">
        <f t="shared" si="29"/>
        <v/>
      </c>
      <c r="AC77" s="41" t="str">
        <f t="shared" si="29"/>
        <v/>
      </c>
      <c r="AD77" s="41" t="str">
        <f t="shared" si="29"/>
        <v/>
      </c>
      <c r="AE77" s="41" t="str">
        <f t="shared" si="30"/>
        <v/>
      </c>
      <c r="AF77" s="41" t="str">
        <f t="shared" si="30"/>
        <v/>
      </c>
      <c r="AG77" s="41" t="str">
        <f t="shared" si="30"/>
        <v/>
      </c>
      <c r="AH77" s="41" t="str">
        <f t="shared" si="32"/>
        <v/>
      </c>
      <c r="AI77" s="46"/>
      <c r="AJ77" s="46"/>
      <c r="AK77" s="46"/>
      <c r="AL77" s="46"/>
      <c r="AM77" s="46"/>
      <c r="AN77" s="46"/>
      <c r="AO77" s="46"/>
      <c r="AP77" s="46"/>
      <c r="AQ77" s="46"/>
      <c r="AR77" s="46"/>
      <c r="AS77" s="46"/>
      <c r="AT77" s="46"/>
      <c r="AU77" s="46"/>
      <c r="AV77" s="46"/>
    </row>
    <row r="78" spans="1:48" x14ac:dyDescent="0.35">
      <c r="A78" s="46"/>
      <c r="B78" s="46"/>
      <c r="C78" s="46"/>
      <c r="D78" s="46"/>
      <c r="E78" s="50"/>
      <c r="F78" s="50"/>
      <c r="G78" s="50"/>
      <c r="H78" s="50"/>
      <c r="I78" s="50"/>
      <c r="J78" s="46"/>
      <c r="K78" s="42" t="str">
        <f t="shared" si="31"/>
        <v/>
      </c>
      <c r="L78" s="42" t="str">
        <f t="shared" si="31"/>
        <v/>
      </c>
      <c r="M78" s="40"/>
      <c r="N78" s="42" t="str">
        <f t="shared" si="36"/>
        <v/>
      </c>
      <c r="O78" s="42" t="str">
        <f t="shared" si="36"/>
        <v/>
      </c>
      <c r="P78" s="41" t="str">
        <f t="shared" si="36"/>
        <v/>
      </c>
      <c r="Q78" s="41" t="str">
        <f t="shared" si="36"/>
        <v/>
      </c>
      <c r="R78" s="41" t="str">
        <f t="shared" si="36"/>
        <v/>
      </c>
      <c r="S78" s="41" t="str">
        <f t="shared" si="33"/>
        <v/>
      </c>
      <c r="T78" s="41" t="str">
        <f t="shared" si="34"/>
        <v/>
      </c>
      <c r="U78" s="41" t="str">
        <f t="shared" si="35"/>
        <v/>
      </c>
      <c r="V78" s="41" t="str">
        <f t="shared" si="27"/>
        <v/>
      </c>
      <c r="W78" s="41" t="str">
        <f t="shared" si="27"/>
        <v/>
      </c>
      <c r="X78" s="41" t="str">
        <f t="shared" si="27"/>
        <v/>
      </c>
      <c r="Y78" s="41" t="str">
        <f t="shared" si="28"/>
        <v/>
      </c>
      <c r="Z78" s="41" t="str">
        <f t="shared" si="28"/>
        <v/>
      </c>
      <c r="AA78" s="41" t="str">
        <f t="shared" si="28"/>
        <v/>
      </c>
      <c r="AB78" s="41" t="str">
        <f t="shared" si="29"/>
        <v/>
      </c>
      <c r="AC78" s="41" t="str">
        <f t="shared" si="29"/>
        <v/>
      </c>
      <c r="AD78" s="41" t="str">
        <f t="shared" si="29"/>
        <v/>
      </c>
      <c r="AE78" s="41" t="str">
        <f t="shared" si="30"/>
        <v/>
      </c>
      <c r="AF78" s="41" t="str">
        <f t="shared" si="30"/>
        <v/>
      </c>
      <c r="AG78" s="41" t="str">
        <f t="shared" si="30"/>
        <v/>
      </c>
      <c r="AH78" s="41" t="str">
        <f t="shared" si="32"/>
        <v/>
      </c>
      <c r="AI78" s="46"/>
      <c r="AJ78" s="46"/>
      <c r="AK78" s="46"/>
      <c r="AL78" s="46"/>
      <c r="AM78" s="46"/>
      <c r="AN78" s="46"/>
      <c r="AO78" s="46"/>
      <c r="AP78" s="46"/>
      <c r="AQ78" s="46"/>
      <c r="AR78" s="46"/>
      <c r="AS78" s="46"/>
      <c r="AT78" s="46"/>
      <c r="AU78" s="46"/>
      <c r="AV78" s="46"/>
    </row>
    <row r="79" spans="1:48" x14ac:dyDescent="0.35">
      <c r="A79" s="46"/>
      <c r="B79" s="46"/>
      <c r="C79" s="46"/>
      <c r="D79" s="46"/>
      <c r="E79" s="50"/>
      <c r="F79" s="50"/>
      <c r="G79" s="50"/>
      <c r="H79" s="50"/>
      <c r="I79" s="50"/>
      <c r="J79" s="46"/>
      <c r="K79" s="42" t="str">
        <f t="shared" si="31"/>
        <v/>
      </c>
      <c r="L79" s="42" t="str">
        <f t="shared" si="31"/>
        <v/>
      </c>
      <c r="M79" s="40"/>
      <c r="N79" s="42" t="str">
        <f t="shared" si="36"/>
        <v/>
      </c>
      <c r="O79" s="42" t="str">
        <f t="shared" si="36"/>
        <v/>
      </c>
      <c r="P79" s="41" t="str">
        <f t="shared" si="36"/>
        <v/>
      </c>
      <c r="Q79" s="41" t="str">
        <f t="shared" si="36"/>
        <v/>
      </c>
      <c r="R79" s="41" t="str">
        <f t="shared" si="36"/>
        <v/>
      </c>
      <c r="S79" s="41" t="str">
        <f t="shared" si="33"/>
        <v/>
      </c>
      <c r="T79" s="41" t="str">
        <f t="shared" si="34"/>
        <v/>
      </c>
      <c r="U79" s="41" t="str">
        <f t="shared" si="35"/>
        <v/>
      </c>
      <c r="V79" s="41" t="str">
        <f t="shared" si="27"/>
        <v/>
      </c>
      <c r="W79" s="41" t="str">
        <f t="shared" si="27"/>
        <v/>
      </c>
      <c r="X79" s="41" t="str">
        <f t="shared" si="27"/>
        <v/>
      </c>
      <c r="Y79" s="41" t="str">
        <f t="shared" si="28"/>
        <v/>
      </c>
      <c r="Z79" s="41" t="str">
        <f t="shared" si="28"/>
        <v/>
      </c>
      <c r="AA79" s="41" t="str">
        <f t="shared" si="28"/>
        <v/>
      </c>
      <c r="AB79" s="41" t="str">
        <f t="shared" si="29"/>
        <v/>
      </c>
      <c r="AC79" s="41" t="str">
        <f t="shared" si="29"/>
        <v/>
      </c>
      <c r="AD79" s="41" t="str">
        <f t="shared" si="29"/>
        <v/>
      </c>
      <c r="AE79" s="41" t="str">
        <f t="shared" si="30"/>
        <v/>
      </c>
      <c r="AF79" s="41" t="str">
        <f t="shared" si="30"/>
        <v/>
      </c>
      <c r="AG79" s="41" t="str">
        <f t="shared" si="30"/>
        <v/>
      </c>
      <c r="AH79" s="41" t="str">
        <f t="shared" si="32"/>
        <v/>
      </c>
      <c r="AI79" s="46"/>
      <c r="AJ79" s="46"/>
      <c r="AK79" s="46"/>
      <c r="AL79" s="46"/>
      <c r="AM79" s="46"/>
      <c r="AN79" s="46"/>
      <c r="AO79" s="46"/>
      <c r="AP79" s="46"/>
      <c r="AQ79" s="46"/>
      <c r="AR79" s="46"/>
      <c r="AS79" s="46"/>
      <c r="AT79" s="46"/>
      <c r="AU79" s="46"/>
      <c r="AV79" s="46"/>
    </row>
    <row r="80" spans="1:48" x14ac:dyDescent="0.35">
      <c r="A80" s="46"/>
      <c r="B80" s="46"/>
      <c r="C80" s="46"/>
      <c r="D80" s="46"/>
      <c r="E80" s="50"/>
      <c r="F80" s="50"/>
      <c r="G80" s="50"/>
      <c r="H80" s="50"/>
      <c r="I80" s="50"/>
      <c r="J80" s="46"/>
      <c r="K80" s="42" t="str">
        <f t="shared" si="31"/>
        <v/>
      </c>
      <c r="L80" s="42" t="str">
        <f t="shared" si="31"/>
        <v/>
      </c>
      <c r="M80" s="40"/>
      <c r="N80" s="42" t="str">
        <f t="shared" si="36"/>
        <v/>
      </c>
      <c r="O80" s="42" t="str">
        <f t="shared" si="36"/>
        <v/>
      </c>
      <c r="P80" s="41" t="str">
        <f t="shared" si="36"/>
        <v/>
      </c>
      <c r="Q80" s="41" t="str">
        <f t="shared" si="36"/>
        <v/>
      </c>
      <c r="R80" s="41" t="str">
        <f t="shared" si="36"/>
        <v/>
      </c>
      <c r="S80" s="41" t="str">
        <f t="shared" si="33"/>
        <v/>
      </c>
      <c r="T80" s="41" t="str">
        <f t="shared" si="34"/>
        <v/>
      </c>
      <c r="U80" s="41" t="str">
        <f t="shared" si="35"/>
        <v/>
      </c>
      <c r="V80" s="41" t="str">
        <f t="shared" si="27"/>
        <v/>
      </c>
      <c r="W80" s="41" t="str">
        <f t="shared" si="27"/>
        <v/>
      </c>
      <c r="X80" s="41" t="str">
        <f t="shared" si="27"/>
        <v/>
      </c>
      <c r="Y80" s="41" t="str">
        <f t="shared" si="28"/>
        <v/>
      </c>
      <c r="Z80" s="41" t="str">
        <f t="shared" si="28"/>
        <v/>
      </c>
      <c r="AA80" s="41" t="str">
        <f t="shared" si="28"/>
        <v/>
      </c>
      <c r="AB80" s="41" t="str">
        <f t="shared" si="29"/>
        <v/>
      </c>
      <c r="AC80" s="41" t="str">
        <f t="shared" si="29"/>
        <v/>
      </c>
      <c r="AD80" s="41" t="str">
        <f t="shared" si="29"/>
        <v/>
      </c>
      <c r="AE80" s="41" t="str">
        <f t="shared" si="30"/>
        <v/>
      </c>
      <c r="AF80" s="41" t="str">
        <f t="shared" si="30"/>
        <v/>
      </c>
      <c r="AG80" s="41" t="str">
        <f t="shared" si="30"/>
        <v/>
      </c>
      <c r="AH80" s="41" t="str">
        <f t="shared" si="32"/>
        <v/>
      </c>
      <c r="AI80" s="46"/>
      <c r="AJ80" s="46"/>
      <c r="AK80" s="46"/>
      <c r="AL80" s="46"/>
      <c r="AM80" s="46"/>
      <c r="AN80" s="46"/>
      <c r="AO80" s="46"/>
      <c r="AP80" s="46"/>
      <c r="AQ80" s="46"/>
      <c r="AR80" s="46"/>
      <c r="AS80" s="46"/>
      <c r="AT80" s="46"/>
      <c r="AU80" s="46"/>
      <c r="AV80" s="46"/>
    </row>
    <row r="81" spans="1:48" x14ac:dyDescent="0.35">
      <c r="A81" s="46"/>
      <c r="B81" s="46"/>
      <c r="C81" s="46"/>
      <c r="D81" s="46"/>
      <c r="E81" s="50"/>
      <c r="F81" s="50"/>
      <c r="G81" s="50"/>
      <c r="H81" s="50"/>
      <c r="I81" s="50"/>
      <c r="J81" s="46"/>
      <c r="K81" s="42" t="str">
        <f t="shared" si="31"/>
        <v/>
      </c>
      <c r="L81" s="42" t="str">
        <f t="shared" si="31"/>
        <v/>
      </c>
      <c r="M81" s="40"/>
      <c r="N81" s="42" t="str">
        <f t="shared" si="36"/>
        <v/>
      </c>
      <c r="O81" s="42" t="str">
        <f t="shared" si="36"/>
        <v/>
      </c>
      <c r="P81" s="41" t="str">
        <f t="shared" si="36"/>
        <v/>
      </c>
      <c r="Q81" s="41" t="str">
        <f t="shared" si="36"/>
        <v/>
      </c>
      <c r="R81" s="41" t="str">
        <f t="shared" si="36"/>
        <v/>
      </c>
      <c r="S81" s="41" t="str">
        <f t="shared" si="33"/>
        <v/>
      </c>
      <c r="T81" s="41" t="str">
        <f t="shared" si="34"/>
        <v/>
      </c>
      <c r="U81" s="41" t="str">
        <f t="shared" si="35"/>
        <v/>
      </c>
      <c r="V81" s="41" t="str">
        <f t="shared" si="27"/>
        <v/>
      </c>
      <c r="W81" s="41" t="str">
        <f t="shared" si="27"/>
        <v/>
      </c>
      <c r="X81" s="41" t="str">
        <f t="shared" si="27"/>
        <v/>
      </c>
      <c r="Y81" s="41" t="str">
        <f t="shared" si="28"/>
        <v/>
      </c>
      <c r="Z81" s="41" t="str">
        <f t="shared" si="28"/>
        <v/>
      </c>
      <c r="AA81" s="41" t="str">
        <f t="shared" si="28"/>
        <v/>
      </c>
      <c r="AB81" s="41" t="str">
        <f t="shared" si="29"/>
        <v/>
      </c>
      <c r="AC81" s="41" t="str">
        <f t="shared" si="29"/>
        <v/>
      </c>
      <c r="AD81" s="41" t="str">
        <f t="shared" si="29"/>
        <v/>
      </c>
      <c r="AE81" s="41" t="str">
        <f t="shared" si="30"/>
        <v/>
      </c>
      <c r="AF81" s="41" t="str">
        <f t="shared" si="30"/>
        <v/>
      </c>
      <c r="AG81" s="41" t="str">
        <f t="shared" si="30"/>
        <v/>
      </c>
      <c r="AH81" s="41" t="str">
        <f t="shared" si="32"/>
        <v/>
      </c>
      <c r="AI81" s="46"/>
      <c r="AJ81" s="46"/>
      <c r="AK81" s="46"/>
      <c r="AL81" s="46"/>
      <c r="AM81" s="46"/>
      <c r="AN81" s="46"/>
      <c r="AO81" s="46"/>
      <c r="AP81" s="46"/>
      <c r="AQ81" s="46"/>
      <c r="AR81" s="46"/>
      <c r="AS81" s="46"/>
      <c r="AT81" s="46"/>
      <c r="AU81" s="46"/>
      <c r="AV81" s="46"/>
    </row>
    <row r="82" spans="1:48" x14ac:dyDescent="0.35">
      <c r="A82" s="46"/>
      <c r="B82" s="46"/>
      <c r="C82" s="46"/>
      <c r="D82" s="46"/>
      <c r="E82" s="50"/>
      <c r="F82" s="50"/>
      <c r="G82" s="50"/>
      <c r="H82" s="50"/>
      <c r="I82" s="50"/>
      <c r="J82" s="46"/>
      <c r="K82" s="42" t="str">
        <f t="shared" si="31"/>
        <v/>
      </c>
      <c r="L82" s="42" t="str">
        <f t="shared" si="31"/>
        <v/>
      </c>
      <c r="M82" s="40"/>
      <c r="N82" s="42" t="str">
        <f t="shared" si="36"/>
        <v/>
      </c>
      <c r="O82" s="42" t="str">
        <f t="shared" si="36"/>
        <v/>
      </c>
      <c r="P82" s="41" t="str">
        <f t="shared" si="36"/>
        <v/>
      </c>
      <c r="Q82" s="41" t="str">
        <f t="shared" si="36"/>
        <v/>
      </c>
      <c r="R82" s="41" t="str">
        <f t="shared" si="36"/>
        <v/>
      </c>
      <c r="S82" s="41" t="str">
        <f t="shared" si="33"/>
        <v/>
      </c>
      <c r="T82" s="41" t="str">
        <f t="shared" si="34"/>
        <v/>
      </c>
      <c r="U82" s="41" t="str">
        <f t="shared" si="35"/>
        <v/>
      </c>
      <c r="V82" s="41" t="str">
        <f t="shared" si="27"/>
        <v/>
      </c>
      <c r="W82" s="41" t="str">
        <f t="shared" si="27"/>
        <v/>
      </c>
      <c r="X82" s="41" t="str">
        <f t="shared" si="27"/>
        <v/>
      </c>
      <c r="Y82" s="41" t="str">
        <f t="shared" si="28"/>
        <v/>
      </c>
      <c r="Z82" s="41" t="str">
        <f t="shared" si="28"/>
        <v/>
      </c>
      <c r="AA82" s="41" t="str">
        <f t="shared" si="28"/>
        <v/>
      </c>
      <c r="AB82" s="41" t="str">
        <f t="shared" si="29"/>
        <v/>
      </c>
      <c r="AC82" s="41" t="str">
        <f t="shared" si="29"/>
        <v/>
      </c>
      <c r="AD82" s="41" t="str">
        <f t="shared" si="29"/>
        <v/>
      </c>
      <c r="AE82" s="41" t="str">
        <f t="shared" si="30"/>
        <v/>
      </c>
      <c r="AF82" s="41" t="str">
        <f t="shared" si="30"/>
        <v/>
      </c>
      <c r="AG82" s="41" t="str">
        <f t="shared" si="30"/>
        <v/>
      </c>
      <c r="AH82" s="41" t="str">
        <f t="shared" si="32"/>
        <v/>
      </c>
      <c r="AI82" s="46"/>
      <c r="AJ82" s="46"/>
      <c r="AK82" s="46"/>
      <c r="AL82" s="46"/>
      <c r="AM82" s="46"/>
      <c r="AN82" s="46"/>
      <c r="AO82" s="46"/>
      <c r="AP82" s="46"/>
      <c r="AQ82" s="46"/>
      <c r="AR82" s="46"/>
      <c r="AS82" s="46"/>
      <c r="AT82" s="46"/>
      <c r="AU82" s="46"/>
      <c r="AV82" s="46"/>
    </row>
    <row r="83" spans="1:48" x14ac:dyDescent="0.35">
      <c r="A83" s="46"/>
      <c r="B83" s="46"/>
      <c r="C83" s="46"/>
      <c r="D83" s="46"/>
      <c r="E83" s="50"/>
      <c r="F83" s="50"/>
      <c r="G83" s="50"/>
      <c r="H83" s="50"/>
      <c r="I83" s="50"/>
      <c r="J83" s="46"/>
      <c r="K83" s="42" t="str">
        <f t="shared" si="31"/>
        <v/>
      </c>
      <c r="L83" s="42" t="str">
        <f t="shared" si="31"/>
        <v/>
      </c>
      <c r="M83" s="40"/>
      <c r="N83" s="42" t="str">
        <f t="shared" si="36"/>
        <v/>
      </c>
      <c r="O83" s="42" t="str">
        <f t="shared" si="36"/>
        <v/>
      </c>
      <c r="P83" s="41" t="str">
        <f t="shared" si="36"/>
        <v/>
      </c>
      <c r="Q83" s="41" t="str">
        <f t="shared" si="36"/>
        <v/>
      </c>
      <c r="R83" s="41" t="str">
        <f t="shared" si="36"/>
        <v/>
      </c>
      <c r="S83" s="41" t="str">
        <f t="shared" si="33"/>
        <v/>
      </c>
      <c r="T83" s="41" t="str">
        <f t="shared" si="34"/>
        <v/>
      </c>
      <c r="U83" s="41" t="str">
        <f t="shared" si="35"/>
        <v/>
      </c>
      <c r="V83" s="41" t="str">
        <f t="shared" si="27"/>
        <v/>
      </c>
      <c r="W83" s="41" t="str">
        <f t="shared" si="27"/>
        <v/>
      </c>
      <c r="X83" s="41" t="str">
        <f t="shared" si="27"/>
        <v/>
      </c>
      <c r="Y83" s="41" t="str">
        <f t="shared" si="28"/>
        <v/>
      </c>
      <c r="Z83" s="41" t="str">
        <f t="shared" si="28"/>
        <v/>
      </c>
      <c r="AA83" s="41" t="str">
        <f t="shared" si="28"/>
        <v/>
      </c>
      <c r="AB83" s="41" t="str">
        <f t="shared" si="29"/>
        <v/>
      </c>
      <c r="AC83" s="41" t="str">
        <f t="shared" si="29"/>
        <v/>
      </c>
      <c r="AD83" s="41" t="str">
        <f t="shared" si="29"/>
        <v/>
      </c>
      <c r="AE83" s="41" t="str">
        <f t="shared" si="30"/>
        <v/>
      </c>
      <c r="AF83" s="41" t="str">
        <f t="shared" si="30"/>
        <v/>
      </c>
      <c r="AG83" s="41" t="str">
        <f t="shared" si="30"/>
        <v/>
      </c>
      <c r="AH83" s="41" t="str">
        <f t="shared" si="32"/>
        <v/>
      </c>
      <c r="AI83" s="46"/>
      <c r="AJ83" s="46"/>
      <c r="AK83" s="46"/>
      <c r="AL83" s="46"/>
      <c r="AM83" s="46"/>
      <c r="AN83" s="46"/>
      <c r="AO83" s="46"/>
      <c r="AP83" s="46"/>
      <c r="AQ83" s="46"/>
      <c r="AR83" s="46"/>
      <c r="AS83" s="46"/>
      <c r="AT83" s="46"/>
      <c r="AU83" s="46"/>
      <c r="AV83" s="46"/>
    </row>
    <row r="84" spans="1:48" x14ac:dyDescent="0.35">
      <c r="A84" s="46"/>
      <c r="B84" s="46"/>
      <c r="C84" s="46"/>
      <c r="D84" s="46"/>
      <c r="E84" s="50"/>
      <c r="F84" s="50"/>
      <c r="G84" s="50"/>
      <c r="H84" s="50"/>
      <c r="I84" s="50"/>
      <c r="J84" s="46"/>
      <c r="K84" s="42" t="str">
        <f t="shared" si="31"/>
        <v/>
      </c>
      <c r="L84" s="42" t="str">
        <f t="shared" si="31"/>
        <v/>
      </c>
      <c r="M84" s="40"/>
      <c r="N84" s="42" t="str">
        <f t="shared" si="36"/>
        <v/>
      </c>
      <c r="O84" s="42" t="str">
        <f t="shared" si="36"/>
        <v/>
      </c>
      <c r="P84" s="41" t="str">
        <f t="shared" si="36"/>
        <v/>
      </c>
      <c r="Q84" s="41" t="str">
        <f t="shared" si="36"/>
        <v/>
      </c>
      <c r="R84" s="41" t="str">
        <f t="shared" si="36"/>
        <v/>
      </c>
      <c r="S84" s="41" t="str">
        <f t="shared" si="33"/>
        <v/>
      </c>
      <c r="T84" s="41" t="str">
        <f t="shared" si="34"/>
        <v/>
      </c>
      <c r="U84" s="41" t="str">
        <f t="shared" si="35"/>
        <v/>
      </c>
      <c r="V84" s="41" t="str">
        <f t="shared" si="27"/>
        <v/>
      </c>
      <c r="W84" s="41" t="str">
        <f t="shared" si="27"/>
        <v/>
      </c>
      <c r="X84" s="41" t="str">
        <f t="shared" si="27"/>
        <v/>
      </c>
      <c r="Y84" s="41" t="str">
        <f t="shared" si="28"/>
        <v/>
      </c>
      <c r="Z84" s="41" t="str">
        <f t="shared" si="28"/>
        <v/>
      </c>
      <c r="AA84" s="41" t="str">
        <f t="shared" si="28"/>
        <v/>
      </c>
      <c r="AB84" s="41" t="str">
        <f t="shared" si="29"/>
        <v/>
      </c>
      <c r="AC84" s="41" t="str">
        <f t="shared" si="29"/>
        <v/>
      </c>
      <c r="AD84" s="41" t="str">
        <f t="shared" si="29"/>
        <v/>
      </c>
      <c r="AE84" s="41" t="str">
        <f t="shared" si="30"/>
        <v/>
      </c>
      <c r="AF84" s="41" t="str">
        <f t="shared" si="30"/>
        <v/>
      </c>
      <c r="AG84" s="41" t="str">
        <f t="shared" si="30"/>
        <v/>
      </c>
      <c r="AH84" s="41" t="str">
        <f t="shared" si="32"/>
        <v/>
      </c>
      <c r="AI84" s="46"/>
      <c r="AJ84" s="46"/>
      <c r="AK84" s="46"/>
      <c r="AL84" s="46"/>
      <c r="AM84" s="46"/>
      <c r="AN84" s="46"/>
      <c r="AO84" s="46"/>
      <c r="AP84" s="46"/>
      <c r="AQ84" s="46"/>
      <c r="AR84" s="46"/>
      <c r="AS84" s="46"/>
      <c r="AT84" s="46"/>
      <c r="AU84" s="46"/>
      <c r="AV84" s="46"/>
    </row>
    <row r="85" spans="1:48" x14ac:dyDescent="0.35">
      <c r="A85" s="46"/>
      <c r="B85" s="46"/>
      <c r="C85" s="46"/>
      <c r="D85" s="46"/>
      <c r="E85" s="50"/>
      <c r="F85" s="50"/>
      <c r="G85" s="50"/>
      <c r="H85" s="50"/>
      <c r="I85" s="50"/>
      <c r="J85" s="46"/>
      <c r="K85" s="42" t="str">
        <f t="shared" si="31"/>
        <v/>
      </c>
      <c r="L85" s="42" t="str">
        <f t="shared" si="31"/>
        <v/>
      </c>
      <c r="M85" s="40"/>
      <c r="N85" s="42" t="str">
        <f t="shared" si="36"/>
        <v/>
      </c>
      <c r="O85" s="42" t="str">
        <f t="shared" si="36"/>
        <v/>
      </c>
      <c r="P85" s="41" t="str">
        <f t="shared" si="36"/>
        <v/>
      </c>
      <c r="Q85" s="41" t="str">
        <f t="shared" si="36"/>
        <v/>
      </c>
      <c r="R85" s="41" t="str">
        <f t="shared" si="36"/>
        <v/>
      </c>
      <c r="S85" s="41" t="str">
        <f t="shared" si="33"/>
        <v/>
      </c>
      <c r="T85" s="41" t="str">
        <f t="shared" si="34"/>
        <v/>
      </c>
      <c r="U85" s="41" t="str">
        <f t="shared" si="35"/>
        <v/>
      </c>
      <c r="V85" s="41" t="str">
        <f t="shared" si="27"/>
        <v/>
      </c>
      <c r="W85" s="41" t="str">
        <f t="shared" si="27"/>
        <v/>
      </c>
      <c r="X85" s="41" t="str">
        <f t="shared" si="27"/>
        <v/>
      </c>
      <c r="Y85" s="41" t="str">
        <f t="shared" si="28"/>
        <v/>
      </c>
      <c r="Z85" s="41" t="str">
        <f t="shared" si="28"/>
        <v/>
      </c>
      <c r="AA85" s="41" t="str">
        <f t="shared" si="28"/>
        <v/>
      </c>
      <c r="AB85" s="41" t="str">
        <f t="shared" si="29"/>
        <v/>
      </c>
      <c r="AC85" s="41" t="str">
        <f t="shared" si="29"/>
        <v/>
      </c>
      <c r="AD85" s="41" t="str">
        <f t="shared" si="29"/>
        <v/>
      </c>
      <c r="AE85" s="41" t="str">
        <f t="shared" si="30"/>
        <v/>
      </c>
      <c r="AF85" s="41" t="str">
        <f t="shared" si="30"/>
        <v/>
      </c>
      <c r="AG85" s="41" t="str">
        <f t="shared" si="30"/>
        <v/>
      </c>
      <c r="AH85" s="41" t="str">
        <f t="shared" si="32"/>
        <v/>
      </c>
      <c r="AI85" s="46"/>
      <c r="AJ85" s="46"/>
      <c r="AK85" s="46"/>
      <c r="AL85" s="46"/>
      <c r="AM85" s="46"/>
      <c r="AN85" s="46"/>
      <c r="AO85" s="46"/>
      <c r="AP85" s="46"/>
      <c r="AQ85" s="46"/>
      <c r="AR85" s="46"/>
      <c r="AS85" s="46"/>
      <c r="AT85" s="46"/>
      <c r="AU85" s="46"/>
      <c r="AV85" s="46"/>
    </row>
    <row r="86" spans="1:48" x14ac:dyDescent="0.35">
      <c r="A86" s="46"/>
      <c r="B86" s="46"/>
      <c r="C86" s="46"/>
      <c r="D86" s="46"/>
      <c r="E86" s="50"/>
      <c r="F86" s="50"/>
      <c r="G86" s="50"/>
      <c r="H86" s="50"/>
      <c r="I86" s="50"/>
      <c r="J86" s="46"/>
      <c r="K86" s="42" t="str">
        <f t="shared" si="31"/>
        <v/>
      </c>
      <c r="L86" s="42" t="str">
        <f t="shared" si="31"/>
        <v/>
      </c>
      <c r="M86" s="40"/>
      <c r="N86" s="42" t="str">
        <f t="shared" si="36"/>
        <v/>
      </c>
      <c r="O86" s="42" t="str">
        <f t="shared" si="36"/>
        <v/>
      </c>
      <c r="P86" s="41" t="str">
        <f t="shared" si="36"/>
        <v/>
      </c>
      <c r="Q86" s="41" t="str">
        <f t="shared" si="36"/>
        <v/>
      </c>
      <c r="R86" s="41" t="str">
        <f t="shared" si="36"/>
        <v/>
      </c>
      <c r="S86" s="41" t="str">
        <f t="shared" si="33"/>
        <v/>
      </c>
      <c r="T86" s="41" t="str">
        <f t="shared" si="34"/>
        <v/>
      </c>
      <c r="U86" s="41" t="str">
        <f t="shared" si="35"/>
        <v/>
      </c>
      <c r="V86" s="41" t="str">
        <f t="shared" si="27"/>
        <v/>
      </c>
      <c r="W86" s="41" t="str">
        <f t="shared" si="27"/>
        <v/>
      </c>
      <c r="X86" s="41" t="str">
        <f t="shared" si="27"/>
        <v/>
      </c>
      <c r="Y86" s="41" t="str">
        <f t="shared" si="28"/>
        <v/>
      </c>
      <c r="Z86" s="41" t="str">
        <f t="shared" si="28"/>
        <v/>
      </c>
      <c r="AA86" s="41" t="str">
        <f t="shared" si="28"/>
        <v/>
      </c>
      <c r="AB86" s="41" t="str">
        <f t="shared" si="29"/>
        <v/>
      </c>
      <c r="AC86" s="41" t="str">
        <f t="shared" si="29"/>
        <v/>
      </c>
      <c r="AD86" s="41" t="str">
        <f t="shared" si="29"/>
        <v/>
      </c>
      <c r="AE86" s="41" t="str">
        <f t="shared" si="30"/>
        <v/>
      </c>
      <c r="AF86" s="41" t="str">
        <f t="shared" si="30"/>
        <v/>
      </c>
      <c r="AG86" s="41" t="str">
        <f t="shared" si="30"/>
        <v/>
      </c>
      <c r="AH86" s="41" t="str">
        <f t="shared" si="32"/>
        <v/>
      </c>
      <c r="AI86" s="46"/>
      <c r="AJ86" s="46"/>
      <c r="AK86" s="46"/>
      <c r="AL86" s="46"/>
      <c r="AM86" s="46"/>
      <c r="AN86" s="46"/>
      <c r="AO86" s="46"/>
      <c r="AP86" s="46"/>
      <c r="AQ86" s="46"/>
      <c r="AR86" s="46"/>
      <c r="AS86" s="46"/>
      <c r="AT86" s="46"/>
      <c r="AU86" s="46"/>
      <c r="AV86" s="46"/>
    </row>
    <row r="87" spans="1:48" x14ac:dyDescent="0.35">
      <c r="A87" s="46"/>
      <c r="B87" s="46"/>
      <c r="C87" s="46"/>
      <c r="D87" s="46"/>
      <c r="E87" s="50"/>
      <c r="F87" s="50"/>
      <c r="G87" s="50"/>
      <c r="H87" s="50"/>
      <c r="I87" s="50"/>
      <c r="J87" s="46"/>
      <c r="K87" s="42" t="str">
        <f t="shared" si="31"/>
        <v/>
      </c>
      <c r="L87" s="42" t="str">
        <f t="shared" si="31"/>
        <v/>
      </c>
      <c r="M87" s="40"/>
      <c r="N87" s="42" t="str">
        <f t="shared" ref="N87:R101" si="37">IF($E87="","",IF(VLOOKUP($E87,specs_for_word2,N$3,0)="","",VLOOKUP($E87,specs_for_word2,N$3,0)))</f>
        <v/>
      </c>
      <c r="O87" s="42" t="str">
        <f t="shared" si="37"/>
        <v/>
      </c>
      <c r="P87" s="41" t="str">
        <f t="shared" si="37"/>
        <v/>
      </c>
      <c r="Q87" s="41" t="str">
        <f t="shared" si="37"/>
        <v/>
      </c>
      <c r="R87" s="41" t="str">
        <f t="shared" si="37"/>
        <v/>
      </c>
      <c r="S87" s="41" t="str">
        <f t="shared" si="33"/>
        <v/>
      </c>
      <c r="T87" s="41" t="str">
        <f t="shared" si="34"/>
        <v/>
      </c>
      <c r="U87" s="41" t="str">
        <f t="shared" si="35"/>
        <v/>
      </c>
      <c r="V87" s="41" t="str">
        <f t="shared" ref="V87:X101" si="38">IF($F87="","",IF(VLOOKUP($F87,specs_for_word2,V$3,0)="","",VLOOKUP($F87,specs_for_word2,V$3,0)))</f>
        <v/>
      </c>
      <c r="W87" s="41" t="str">
        <f t="shared" si="38"/>
        <v/>
      </c>
      <c r="X87" s="41" t="str">
        <f t="shared" si="38"/>
        <v/>
      </c>
      <c r="Y87" s="41" t="str">
        <f t="shared" ref="Y87:AA101" si="39">IF($G87="","",IF(VLOOKUP($G87,specs_for_word2,Y$3,0)="","",VLOOKUP($G87,specs_for_word2,Y$3,0)))</f>
        <v/>
      </c>
      <c r="Z87" s="41" t="str">
        <f t="shared" si="39"/>
        <v/>
      </c>
      <c r="AA87" s="41" t="str">
        <f t="shared" si="39"/>
        <v/>
      </c>
      <c r="AB87" s="41" t="str">
        <f t="shared" ref="AB87:AD101" si="40">IF($H87="","",IF(VLOOKUP($H87,specs_for_word2,AB$3,0)="","",VLOOKUP($H87,specs_for_word2,AB$3,0)))</f>
        <v/>
      </c>
      <c r="AC87" s="41" t="str">
        <f t="shared" si="40"/>
        <v/>
      </c>
      <c r="AD87" s="41" t="str">
        <f t="shared" si="40"/>
        <v/>
      </c>
      <c r="AE87" s="41" t="str">
        <f t="shared" ref="AE87:AG101" si="41">IF($I87="","",IF(VLOOKUP($I87,specs_for_word2,AE$3,0)="","",VLOOKUP($I87,specs_for_word2,AE$3,0)))</f>
        <v/>
      </c>
      <c r="AF87" s="41" t="str">
        <f t="shared" si="41"/>
        <v/>
      </c>
      <c r="AG87" s="41" t="str">
        <f t="shared" si="41"/>
        <v/>
      </c>
      <c r="AH87" s="41" t="str">
        <f t="shared" si="32"/>
        <v/>
      </c>
      <c r="AI87" s="46"/>
      <c r="AJ87" s="46"/>
      <c r="AK87" s="46"/>
      <c r="AL87" s="46"/>
      <c r="AM87" s="46"/>
      <c r="AN87" s="46"/>
      <c r="AO87" s="46"/>
      <c r="AP87" s="46"/>
      <c r="AQ87" s="46"/>
      <c r="AR87" s="46"/>
      <c r="AS87" s="46"/>
      <c r="AT87" s="46"/>
      <c r="AU87" s="46"/>
      <c r="AV87" s="46"/>
    </row>
    <row r="88" spans="1:48" x14ac:dyDescent="0.35">
      <c r="A88" s="46"/>
      <c r="B88" s="46"/>
      <c r="C88" s="46"/>
      <c r="D88" s="46"/>
      <c r="E88" s="50"/>
      <c r="F88" s="50"/>
      <c r="G88" s="50"/>
      <c r="H88" s="50"/>
      <c r="I88" s="50"/>
      <c r="J88" s="46"/>
      <c r="K88" s="42" t="str">
        <f t="shared" si="31"/>
        <v/>
      </c>
      <c r="L88" s="42" t="str">
        <f t="shared" si="31"/>
        <v/>
      </c>
      <c r="M88" s="40"/>
      <c r="N88" s="42" t="str">
        <f t="shared" si="37"/>
        <v/>
      </c>
      <c r="O88" s="42" t="str">
        <f t="shared" si="37"/>
        <v/>
      </c>
      <c r="P88" s="41" t="str">
        <f t="shared" si="37"/>
        <v/>
      </c>
      <c r="Q88" s="41" t="str">
        <f t="shared" si="37"/>
        <v/>
      </c>
      <c r="R88" s="41" t="str">
        <f t="shared" si="37"/>
        <v/>
      </c>
      <c r="S88" s="41" t="str">
        <f t="shared" si="33"/>
        <v/>
      </c>
      <c r="T88" s="41" t="str">
        <f t="shared" si="34"/>
        <v/>
      </c>
      <c r="U88" s="41" t="str">
        <f t="shared" si="35"/>
        <v/>
      </c>
      <c r="V88" s="41" t="str">
        <f t="shared" si="38"/>
        <v/>
      </c>
      <c r="W88" s="41" t="str">
        <f t="shared" si="38"/>
        <v/>
      </c>
      <c r="X88" s="41" t="str">
        <f t="shared" si="38"/>
        <v/>
      </c>
      <c r="Y88" s="41" t="str">
        <f t="shared" si="39"/>
        <v/>
      </c>
      <c r="Z88" s="41" t="str">
        <f t="shared" si="39"/>
        <v/>
      </c>
      <c r="AA88" s="41" t="str">
        <f t="shared" si="39"/>
        <v/>
      </c>
      <c r="AB88" s="41" t="str">
        <f t="shared" si="40"/>
        <v/>
      </c>
      <c r="AC88" s="41" t="str">
        <f t="shared" si="40"/>
        <v/>
      </c>
      <c r="AD88" s="41" t="str">
        <f t="shared" si="40"/>
        <v/>
      </c>
      <c r="AE88" s="41" t="str">
        <f t="shared" si="41"/>
        <v/>
      </c>
      <c r="AF88" s="41" t="str">
        <f t="shared" si="41"/>
        <v/>
      </c>
      <c r="AG88" s="41" t="str">
        <f t="shared" si="41"/>
        <v/>
      </c>
      <c r="AH88" s="41" t="str">
        <f t="shared" si="32"/>
        <v/>
      </c>
      <c r="AI88" s="46"/>
      <c r="AJ88" s="46"/>
      <c r="AK88" s="46"/>
      <c r="AL88" s="46"/>
      <c r="AM88" s="46"/>
      <c r="AN88" s="46"/>
      <c r="AO88" s="46"/>
      <c r="AP88" s="46"/>
      <c r="AQ88" s="46"/>
      <c r="AR88" s="46"/>
      <c r="AS88" s="46"/>
      <c r="AT88" s="46"/>
      <c r="AU88" s="46"/>
      <c r="AV88" s="46"/>
    </row>
    <row r="89" spans="1:48" x14ac:dyDescent="0.35">
      <c r="A89" s="46"/>
      <c r="B89" s="46"/>
      <c r="C89" s="46"/>
      <c r="D89" s="46"/>
      <c r="E89" s="50"/>
      <c r="F89" s="50"/>
      <c r="G89" s="50"/>
      <c r="H89" s="50"/>
      <c r="I89" s="50"/>
      <c r="J89" s="46"/>
      <c r="K89" s="42" t="str">
        <f t="shared" si="31"/>
        <v/>
      </c>
      <c r="L89" s="42" t="str">
        <f t="shared" si="31"/>
        <v/>
      </c>
      <c r="M89" s="40"/>
      <c r="N89" s="42" t="str">
        <f t="shared" si="37"/>
        <v/>
      </c>
      <c r="O89" s="42" t="str">
        <f t="shared" si="37"/>
        <v/>
      </c>
      <c r="P89" s="41" t="str">
        <f t="shared" si="37"/>
        <v/>
      </c>
      <c r="Q89" s="41" t="str">
        <f t="shared" si="37"/>
        <v/>
      </c>
      <c r="R89" s="41" t="str">
        <f t="shared" si="37"/>
        <v/>
      </c>
      <c r="S89" s="41" t="str">
        <f t="shared" si="33"/>
        <v/>
      </c>
      <c r="T89" s="41" t="str">
        <f t="shared" si="34"/>
        <v/>
      </c>
      <c r="U89" s="41" t="str">
        <f t="shared" si="35"/>
        <v/>
      </c>
      <c r="V89" s="41" t="str">
        <f t="shared" si="38"/>
        <v/>
      </c>
      <c r="W89" s="41" t="str">
        <f t="shared" si="38"/>
        <v/>
      </c>
      <c r="X89" s="41" t="str">
        <f t="shared" si="38"/>
        <v/>
      </c>
      <c r="Y89" s="41" t="str">
        <f t="shared" si="39"/>
        <v/>
      </c>
      <c r="Z89" s="41" t="str">
        <f t="shared" si="39"/>
        <v/>
      </c>
      <c r="AA89" s="41" t="str">
        <f t="shared" si="39"/>
        <v/>
      </c>
      <c r="AB89" s="41" t="str">
        <f t="shared" si="40"/>
        <v/>
      </c>
      <c r="AC89" s="41" t="str">
        <f t="shared" si="40"/>
        <v/>
      </c>
      <c r="AD89" s="41" t="str">
        <f t="shared" si="40"/>
        <v/>
      </c>
      <c r="AE89" s="41" t="str">
        <f t="shared" si="41"/>
        <v/>
      </c>
      <c r="AF89" s="41" t="str">
        <f t="shared" si="41"/>
        <v/>
      </c>
      <c r="AG89" s="41" t="str">
        <f t="shared" si="41"/>
        <v/>
      </c>
      <c r="AH89" s="41" t="str">
        <f t="shared" si="32"/>
        <v/>
      </c>
      <c r="AI89" s="46"/>
      <c r="AJ89" s="46"/>
      <c r="AK89" s="46"/>
      <c r="AL89" s="46"/>
      <c r="AM89" s="46"/>
      <c r="AN89" s="46"/>
      <c r="AO89" s="46"/>
      <c r="AP89" s="46"/>
      <c r="AQ89" s="46"/>
      <c r="AR89" s="46"/>
      <c r="AS89" s="46"/>
      <c r="AT89" s="46"/>
      <c r="AU89" s="46"/>
      <c r="AV89" s="46"/>
    </row>
    <row r="90" spans="1:48" x14ac:dyDescent="0.35">
      <c r="A90" s="46"/>
      <c r="B90" s="46"/>
      <c r="C90" s="46"/>
      <c r="D90" s="46"/>
      <c r="E90" s="50"/>
      <c r="F90" s="50"/>
      <c r="G90" s="50"/>
      <c r="H90" s="50"/>
      <c r="I90" s="50"/>
      <c r="J90" s="46"/>
      <c r="K90" s="42" t="str">
        <f t="shared" si="31"/>
        <v/>
      </c>
      <c r="L90" s="42" t="str">
        <f t="shared" si="31"/>
        <v/>
      </c>
      <c r="M90" s="40"/>
      <c r="N90" s="42" t="str">
        <f t="shared" si="37"/>
        <v/>
      </c>
      <c r="O90" s="42" t="str">
        <f t="shared" si="37"/>
        <v/>
      </c>
      <c r="P90" s="41" t="str">
        <f t="shared" si="37"/>
        <v/>
      </c>
      <c r="Q90" s="41" t="str">
        <f t="shared" si="37"/>
        <v/>
      </c>
      <c r="R90" s="41" t="str">
        <f t="shared" si="37"/>
        <v/>
      </c>
      <c r="S90" s="41" t="str">
        <f t="shared" si="33"/>
        <v/>
      </c>
      <c r="T90" s="41" t="str">
        <f t="shared" si="34"/>
        <v/>
      </c>
      <c r="U90" s="41" t="str">
        <f t="shared" si="35"/>
        <v/>
      </c>
      <c r="V90" s="41" t="str">
        <f t="shared" si="38"/>
        <v/>
      </c>
      <c r="W90" s="41" t="str">
        <f t="shared" si="38"/>
        <v/>
      </c>
      <c r="X90" s="41" t="str">
        <f t="shared" si="38"/>
        <v/>
      </c>
      <c r="Y90" s="41" t="str">
        <f t="shared" si="39"/>
        <v/>
      </c>
      <c r="Z90" s="41" t="str">
        <f t="shared" si="39"/>
        <v/>
      </c>
      <c r="AA90" s="41" t="str">
        <f t="shared" si="39"/>
        <v/>
      </c>
      <c r="AB90" s="41" t="str">
        <f t="shared" si="40"/>
        <v/>
      </c>
      <c r="AC90" s="41" t="str">
        <f t="shared" si="40"/>
        <v/>
      </c>
      <c r="AD90" s="41" t="str">
        <f t="shared" si="40"/>
        <v/>
      </c>
      <c r="AE90" s="41" t="str">
        <f t="shared" si="41"/>
        <v/>
      </c>
      <c r="AF90" s="41" t="str">
        <f t="shared" si="41"/>
        <v/>
      </c>
      <c r="AG90" s="41" t="str">
        <f t="shared" si="41"/>
        <v/>
      </c>
      <c r="AH90" s="41" t="str">
        <f t="shared" si="32"/>
        <v/>
      </c>
      <c r="AI90" s="46"/>
      <c r="AJ90" s="46"/>
      <c r="AK90" s="46"/>
      <c r="AL90" s="46"/>
      <c r="AM90" s="46"/>
      <c r="AN90" s="46"/>
      <c r="AO90" s="46"/>
      <c r="AP90" s="46"/>
      <c r="AQ90" s="46"/>
      <c r="AR90" s="46"/>
      <c r="AS90" s="46"/>
      <c r="AT90" s="46"/>
      <c r="AU90" s="46"/>
      <c r="AV90" s="46"/>
    </row>
    <row r="91" spans="1:48" x14ac:dyDescent="0.35">
      <c r="A91" s="46"/>
      <c r="B91" s="46"/>
      <c r="C91" s="46"/>
      <c r="D91" s="46"/>
      <c r="E91" s="50"/>
      <c r="F91" s="50"/>
      <c r="G91" s="50"/>
      <c r="H91" s="50"/>
      <c r="I91" s="50"/>
      <c r="J91" s="46"/>
      <c r="K91" s="42" t="str">
        <f t="shared" si="31"/>
        <v/>
      </c>
      <c r="L91" s="42" t="str">
        <f t="shared" si="31"/>
        <v/>
      </c>
      <c r="M91" s="40"/>
      <c r="N91" s="42" t="str">
        <f t="shared" si="37"/>
        <v/>
      </c>
      <c r="O91" s="42" t="str">
        <f t="shared" si="37"/>
        <v/>
      </c>
      <c r="P91" s="41" t="str">
        <f t="shared" si="37"/>
        <v/>
      </c>
      <c r="Q91" s="41" t="str">
        <f t="shared" si="37"/>
        <v/>
      </c>
      <c r="R91" s="41" t="str">
        <f t="shared" si="37"/>
        <v/>
      </c>
      <c r="S91" s="41" t="str">
        <f t="shared" si="33"/>
        <v/>
      </c>
      <c r="T91" s="41" t="str">
        <f t="shared" si="34"/>
        <v/>
      </c>
      <c r="U91" s="41" t="str">
        <f t="shared" si="35"/>
        <v/>
      </c>
      <c r="V91" s="41" t="str">
        <f t="shared" si="38"/>
        <v/>
      </c>
      <c r="W91" s="41" t="str">
        <f t="shared" si="38"/>
        <v/>
      </c>
      <c r="X91" s="41" t="str">
        <f t="shared" si="38"/>
        <v/>
      </c>
      <c r="Y91" s="41" t="str">
        <f t="shared" si="39"/>
        <v/>
      </c>
      <c r="Z91" s="41" t="str">
        <f t="shared" si="39"/>
        <v/>
      </c>
      <c r="AA91" s="41" t="str">
        <f t="shared" si="39"/>
        <v/>
      </c>
      <c r="AB91" s="41" t="str">
        <f t="shared" si="40"/>
        <v/>
      </c>
      <c r="AC91" s="41" t="str">
        <f t="shared" si="40"/>
        <v/>
      </c>
      <c r="AD91" s="41" t="str">
        <f t="shared" si="40"/>
        <v/>
      </c>
      <c r="AE91" s="41" t="str">
        <f t="shared" si="41"/>
        <v/>
      </c>
      <c r="AF91" s="41" t="str">
        <f t="shared" si="41"/>
        <v/>
      </c>
      <c r="AG91" s="41" t="str">
        <f t="shared" si="41"/>
        <v/>
      </c>
      <c r="AH91" s="41" t="str">
        <f t="shared" si="32"/>
        <v/>
      </c>
      <c r="AI91" s="46"/>
      <c r="AJ91" s="46"/>
      <c r="AK91" s="46"/>
      <c r="AL91" s="46"/>
      <c r="AM91" s="46"/>
      <c r="AN91" s="46"/>
      <c r="AO91" s="46"/>
      <c r="AP91" s="46"/>
      <c r="AQ91" s="46"/>
      <c r="AR91" s="46"/>
      <c r="AS91" s="46"/>
      <c r="AT91" s="46"/>
      <c r="AU91" s="46"/>
      <c r="AV91" s="46"/>
    </row>
    <row r="92" spans="1:48" x14ac:dyDescent="0.35">
      <c r="A92" s="46"/>
      <c r="B92" s="46"/>
      <c r="C92" s="46"/>
      <c r="D92" s="46"/>
      <c r="E92" s="50"/>
      <c r="F92" s="50"/>
      <c r="G92" s="50"/>
      <c r="H92" s="50"/>
      <c r="I92" s="50"/>
      <c r="J92" s="46"/>
      <c r="K92" s="42" t="str">
        <f t="shared" si="31"/>
        <v/>
      </c>
      <c r="L92" s="42" t="str">
        <f t="shared" si="31"/>
        <v/>
      </c>
      <c r="M92" s="40"/>
      <c r="N92" s="42" t="str">
        <f t="shared" si="37"/>
        <v/>
      </c>
      <c r="O92" s="42" t="str">
        <f t="shared" si="37"/>
        <v/>
      </c>
      <c r="P92" s="41" t="str">
        <f t="shared" si="37"/>
        <v/>
      </c>
      <c r="Q92" s="41" t="str">
        <f t="shared" si="37"/>
        <v/>
      </c>
      <c r="R92" s="41" t="str">
        <f t="shared" si="37"/>
        <v/>
      </c>
      <c r="S92" s="41" t="str">
        <f t="shared" si="33"/>
        <v/>
      </c>
      <c r="T92" s="41" t="str">
        <f t="shared" si="34"/>
        <v/>
      </c>
      <c r="U92" s="41" t="str">
        <f t="shared" si="35"/>
        <v/>
      </c>
      <c r="V92" s="41" t="str">
        <f t="shared" si="38"/>
        <v/>
      </c>
      <c r="W92" s="41" t="str">
        <f t="shared" si="38"/>
        <v/>
      </c>
      <c r="X92" s="41" t="str">
        <f t="shared" si="38"/>
        <v/>
      </c>
      <c r="Y92" s="41" t="str">
        <f t="shared" si="39"/>
        <v/>
      </c>
      <c r="Z92" s="41" t="str">
        <f t="shared" si="39"/>
        <v/>
      </c>
      <c r="AA92" s="41" t="str">
        <f t="shared" si="39"/>
        <v/>
      </c>
      <c r="AB92" s="41" t="str">
        <f t="shared" si="40"/>
        <v/>
      </c>
      <c r="AC92" s="41" t="str">
        <f t="shared" si="40"/>
        <v/>
      </c>
      <c r="AD92" s="41" t="str">
        <f t="shared" si="40"/>
        <v/>
      </c>
      <c r="AE92" s="41" t="str">
        <f t="shared" si="41"/>
        <v/>
      </c>
      <c r="AF92" s="41" t="str">
        <f t="shared" si="41"/>
        <v/>
      </c>
      <c r="AG92" s="41" t="str">
        <f t="shared" si="41"/>
        <v/>
      </c>
      <c r="AH92" s="41" t="str">
        <f t="shared" si="32"/>
        <v/>
      </c>
      <c r="AI92" s="46"/>
      <c r="AJ92" s="46"/>
      <c r="AK92" s="46"/>
      <c r="AL92" s="46"/>
      <c r="AM92" s="46"/>
      <c r="AN92" s="46"/>
      <c r="AO92" s="46"/>
      <c r="AP92" s="46"/>
      <c r="AQ92" s="46"/>
      <c r="AR92" s="46"/>
      <c r="AS92" s="46"/>
      <c r="AT92" s="46"/>
      <c r="AU92" s="46"/>
      <c r="AV92" s="46"/>
    </row>
    <row r="93" spans="1:48" x14ac:dyDescent="0.35">
      <c r="A93" s="46"/>
      <c r="B93" s="46"/>
      <c r="C93" s="46"/>
      <c r="D93" s="46"/>
      <c r="E93" s="50"/>
      <c r="F93" s="50"/>
      <c r="G93" s="50"/>
      <c r="H93" s="50"/>
      <c r="I93" s="50"/>
      <c r="J93" s="46"/>
      <c r="K93" s="42" t="str">
        <f t="shared" si="31"/>
        <v/>
      </c>
      <c r="L93" s="42" t="str">
        <f t="shared" si="31"/>
        <v/>
      </c>
      <c r="M93" s="40"/>
      <c r="N93" s="42" t="str">
        <f t="shared" si="37"/>
        <v/>
      </c>
      <c r="O93" s="42" t="str">
        <f t="shared" si="37"/>
        <v/>
      </c>
      <c r="P93" s="41" t="str">
        <f t="shared" si="37"/>
        <v/>
      </c>
      <c r="Q93" s="41" t="str">
        <f t="shared" si="37"/>
        <v/>
      </c>
      <c r="R93" s="41" t="str">
        <f t="shared" si="37"/>
        <v/>
      </c>
      <c r="S93" s="41" t="str">
        <f t="shared" si="33"/>
        <v/>
      </c>
      <c r="T93" s="41" t="str">
        <f t="shared" si="34"/>
        <v/>
      </c>
      <c r="U93" s="41" t="str">
        <f t="shared" si="35"/>
        <v/>
      </c>
      <c r="V93" s="41" t="str">
        <f t="shared" si="38"/>
        <v/>
      </c>
      <c r="W93" s="41" t="str">
        <f t="shared" si="38"/>
        <v/>
      </c>
      <c r="X93" s="41" t="str">
        <f t="shared" si="38"/>
        <v/>
      </c>
      <c r="Y93" s="41" t="str">
        <f t="shared" si="39"/>
        <v/>
      </c>
      <c r="Z93" s="41" t="str">
        <f t="shared" si="39"/>
        <v/>
      </c>
      <c r="AA93" s="41" t="str">
        <f t="shared" si="39"/>
        <v/>
      </c>
      <c r="AB93" s="41" t="str">
        <f t="shared" si="40"/>
        <v/>
      </c>
      <c r="AC93" s="41" t="str">
        <f t="shared" si="40"/>
        <v/>
      </c>
      <c r="AD93" s="41" t="str">
        <f t="shared" si="40"/>
        <v/>
      </c>
      <c r="AE93" s="41" t="str">
        <f t="shared" si="41"/>
        <v/>
      </c>
      <c r="AF93" s="41" t="str">
        <f t="shared" si="41"/>
        <v/>
      </c>
      <c r="AG93" s="41" t="str">
        <f t="shared" si="41"/>
        <v/>
      </c>
      <c r="AH93" s="41" t="str">
        <f t="shared" si="32"/>
        <v/>
      </c>
      <c r="AI93" s="46"/>
      <c r="AJ93" s="46"/>
      <c r="AK93" s="46"/>
      <c r="AL93" s="46"/>
      <c r="AM93" s="46"/>
      <c r="AN93" s="46"/>
      <c r="AO93" s="46"/>
      <c r="AP93" s="46"/>
      <c r="AQ93" s="46"/>
      <c r="AR93" s="46"/>
      <c r="AS93" s="46"/>
      <c r="AT93" s="46"/>
      <c r="AU93" s="46"/>
      <c r="AV93" s="46"/>
    </row>
    <row r="94" spans="1:48" x14ac:dyDescent="0.35">
      <c r="A94" s="46"/>
      <c r="B94" s="46"/>
      <c r="C94" s="46"/>
      <c r="D94" s="46"/>
      <c r="E94" s="50"/>
      <c r="F94" s="50"/>
      <c r="G94" s="50"/>
      <c r="H94" s="50"/>
      <c r="I94" s="50"/>
      <c r="J94" s="46"/>
      <c r="K94" s="42" t="str">
        <f t="shared" si="31"/>
        <v/>
      </c>
      <c r="L94" s="42" t="str">
        <f t="shared" si="31"/>
        <v/>
      </c>
      <c r="M94" s="40"/>
      <c r="N94" s="42" t="str">
        <f t="shared" si="37"/>
        <v/>
      </c>
      <c r="O94" s="42" t="str">
        <f t="shared" si="37"/>
        <v/>
      </c>
      <c r="P94" s="41" t="str">
        <f t="shared" si="37"/>
        <v/>
      </c>
      <c r="Q94" s="41" t="str">
        <f t="shared" si="37"/>
        <v/>
      </c>
      <c r="R94" s="41" t="str">
        <f t="shared" si="37"/>
        <v/>
      </c>
      <c r="S94" s="41" t="str">
        <f t="shared" si="33"/>
        <v/>
      </c>
      <c r="T94" s="41" t="str">
        <f t="shared" si="34"/>
        <v/>
      </c>
      <c r="U94" s="41" t="str">
        <f t="shared" si="35"/>
        <v/>
      </c>
      <c r="V94" s="41" t="str">
        <f t="shared" si="38"/>
        <v/>
      </c>
      <c r="W94" s="41" t="str">
        <f t="shared" si="38"/>
        <v/>
      </c>
      <c r="X94" s="41" t="str">
        <f t="shared" si="38"/>
        <v/>
      </c>
      <c r="Y94" s="41" t="str">
        <f t="shared" si="39"/>
        <v/>
      </c>
      <c r="Z94" s="41" t="str">
        <f t="shared" si="39"/>
        <v/>
      </c>
      <c r="AA94" s="41" t="str">
        <f t="shared" si="39"/>
        <v/>
      </c>
      <c r="AB94" s="41" t="str">
        <f t="shared" si="40"/>
        <v/>
      </c>
      <c r="AC94" s="41" t="str">
        <f t="shared" si="40"/>
        <v/>
      </c>
      <c r="AD94" s="41" t="str">
        <f t="shared" si="40"/>
        <v/>
      </c>
      <c r="AE94" s="41" t="str">
        <f t="shared" si="41"/>
        <v/>
      </c>
      <c r="AF94" s="41" t="str">
        <f t="shared" si="41"/>
        <v/>
      </c>
      <c r="AG94" s="41" t="str">
        <f t="shared" si="41"/>
        <v/>
      </c>
      <c r="AH94" s="41" t="str">
        <f t="shared" si="32"/>
        <v/>
      </c>
      <c r="AI94" s="46"/>
      <c r="AJ94" s="46"/>
      <c r="AK94" s="46"/>
      <c r="AL94" s="46"/>
      <c r="AM94" s="46"/>
      <c r="AN94" s="46"/>
      <c r="AO94" s="46"/>
      <c r="AP94" s="46"/>
      <c r="AQ94" s="46"/>
      <c r="AR94" s="46"/>
      <c r="AS94" s="46"/>
      <c r="AT94" s="46"/>
      <c r="AU94" s="46"/>
      <c r="AV94" s="46"/>
    </row>
    <row r="95" spans="1:48" x14ac:dyDescent="0.35">
      <c r="A95" s="46"/>
      <c r="B95" s="46"/>
      <c r="C95" s="46"/>
      <c r="D95" s="46"/>
      <c r="E95" s="50"/>
      <c r="F95" s="50"/>
      <c r="G95" s="50"/>
      <c r="H95" s="50"/>
      <c r="I95" s="50"/>
      <c r="J95" s="46"/>
      <c r="K95" s="42" t="str">
        <f t="shared" si="31"/>
        <v/>
      </c>
      <c r="L95" s="42" t="str">
        <f t="shared" si="31"/>
        <v/>
      </c>
      <c r="M95" s="40"/>
      <c r="N95" s="42" t="str">
        <f t="shared" si="37"/>
        <v/>
      </c>
      <c r="O95" s="42" t="str">
        <f t="shared" si="37"/>
        <v/>
      </c>
      <c r="P95" s="41" t="str">
        <f t="shared" si="37"/>
        <v/>
      </c>
      <c r="Q95" s="41" t="str">
        <f t="shared" si="37"/>
        <v/>
      </c>
      <c r="R95" s="41" t="str">
        <f t="shared" si="37"/>
        <v/>
      </c>
      <c r="S95" s="41" t="str">
        <f t="shared" si="33"/>
        <v/>
      </c>
      <c r="T95" s="41" t="str">
        <f t="shared" si="34"/>
        <v/>
      </c>
      <c r="U95" s="41" t="str">
        <f t="shared" si="35"/>
        <v/>
      </c>
      <c r="V95" s="41" t="str">
        <f t="shared" si="38"/>
        <v/>
      </c>
      <c r="W95" s="41" t="str">
        <f t="shared" si="38"/>
        <v/>
      </c>
      <c r="X95" s="41" t="str">
        <f t="shared" si="38"/>
        <v/>
      </c>
      <c r="Y95" s="41" t="str">
        <f t="shared" si="39"/>
        <v/>
      </c>
      <c r="Z95" s="41" t="str">
        <f t="shared" si="39"/>
        <v/>
      </c>
      <c r="AA95" s="41" t="str">
        <f t="shared" si="39"/>
        <v/>
      </c>
      <c r="AB95" s="41" t="str">
        <f t="shared" si="40"/>
        <v/>
      </c>
      <c r="AC95" s="41" t="str">
        <f t="shared" si="40"/>
        <v/>
      </c>
      <c r="AD95" s="41" t="str">
        <f t="shared" si="40"/>
        <v/>
      </c>
      <c r="AE95" s="41" t="str">
        <f t="shared" si="41"/>
        <v/>
      </c>
      <c r="AF95" s="41" t="str">
        <f t="shared" si="41"/>
        <v/>
      </c>
      <c r="AG95" s="41" t="str">
        <f t="shared" si="41"/>
        <v/>
      </c>
      <c r="AH95" s="41" t="str">
        <f t="shared" si="32"/>
        <v/>
      </c>
      <c r="AI95" s="46"/>
      <c r="AJ95" s="46"/>
      <c r="AK95" s="46"/>
      <c r="AL95" s="46"/>
      <c r="AM95" s="46"/>
      <c r="AN95" s="46"/>
      <c r="AO95" s="46"/>
      <c r="AP95" s="46"/>
      <c r="AQ95" s="46"/>
      <c r="AR95" s="46"/>
      <c r="AS95" s="46"/>
      <c r="AT95" s="46"/>
      <c r="AU95" s="46"/>
      <c r="AV95" s="46"/>
    </row>
    <row r="96" spans="1:48" x14ac:dyDescent="0.35">
      <c r="A96" s="46"/>
      <c r="B96" s="46"/>
      <c r="C96" s="46"/>
      <c r="D96" s="46"/>
      <c r="E96" s="50"/>
      <c r="F96" s="50"/>
      <c r="G96" s="50"/>
      <c r="H96" s="50"/>
      <c r="I96" s="50"/>
      <c r="J96" s="46"/>
      <c r="K96" s="42" t="str">
        <f t="shared" si="31"/>
        <v/>
      </c>
      <c r="L96" s="42" t="str">
        <f t="shared" si="31"/>
        <v/>
      </c>
      <c r="M96" s="40"/>
      <c r="N96" s="42" t="str">
        <f t="shared" si="37"/>
        <v/>
      </c>
      <c r="O96" s="42" t="str">
        <f t="shared" si="37"/>
        <v/>
      </c>
      <c r="P96" s="41" t="str">
        <f t="shared" si="37"/>
        <v/>
      </c>
      <c r="Q96" s="41" t="str">
        <f t="shared" si="37"/>
        <v/>
      </c>
      <c r="R96" s="41" t="str">
        <f t="shared" si="37"/>
        <v/>
      </c>
      <c r="S96" s="41" t="str">
        <f t="shared" si="33"/>
        <v/>
      </c>
      <c r="T96" s="41" t="str">
        <f t="shared" si="34"/>
        <v/>
      </c>
      <c r="U96" s="41" t="str">
        <f t="shared" si="35"/>
        <v/>
      </c>
      <c r="V96" s="41" t="str">
        <f t="shared" si="38"/>
        <v/>
      </c>
      <c r="W96" s="41" t="str">
        <f t="shared" si="38"/>
        <v/>
      </c>
      <c r="X96" s="41" t="str">
        <f t="shared" si="38"/>
        <v/>
      </c>
      <c r="Y96" s="41" t="str">
        <f t="shared" si="39"/>
        <v/>
      </c>
      <c r="Z96" s="41" t="str">
        <f t="shared" si="39"/>
        <v/>
      </c>
      <c r="AA96" s="41" t="str">
        <f t="shared" si="39"/>
        <v/>
      </c>
      <c r="AB96" s="41" t="str">
        <f t="shared" si="40"/>
        <v/>
      </c>
      <c r="AC96" s="41" t="str">
        <f t="shared" si="40"/>
        <v/>
      </c>
      <c r="AD96" s="41" t="str">
        <f t="shared" si="40"/>
        <v/>
      </c>
      <c r="AE96" s="41" t="str">
        <f t="shared" si="41"/>
        <v/>
      </c>
      <c r="AF96" s="41" t="str">
        <f t="shared" si="41"/>
        <v/>
      </c>
      <c r="AG96" s="41" t="str">
        <f t="shared" si="41"/>
        <v/>
      </c>
      <c r="AH96" s="41" t="str">
        <f t="shared" si="32"/>
        <v/>
      </c>
      <c r="AI96" s="46"/>
      <c r="AJ96" s="46"/>
      <c r="AK96" s="46"/>
      <c r="AL96" s="46"/>
      <c r="AM96" s="46"/>
      <c r="AN96" s="46"/>
      <c r="AO96" s="46"/>
      <c r="AP96" s="46"/>
      <c r="AQ96" s="46"/>
      <c r="AR96" s="46"/>
      <c r="AS96" s="46"/>
      <c r="AT96" s="46"/>
      <c r="AU96" s="46"/>
      <c r="AV96" s="46"/>
    </row>
    <row r="97" spans="1:48" x14ac:dyDescent="0.35">
      <c r="A97" s="46"/>
      <c r="B97" s="46"/>
      <c r="C97" s="46"/>
      <c r="D97" s="46"/>
      <c r="E97" s="50"/>
      <c r="F97" s="50"/>
      <c r="G97" s="50"/>
      <c r="H97" s="50"/>
      <c r="I97" s="50"/>
      <c r="J97" s="46"/>
      <c r="K97" s="42" t="str">
        <f t="shared" si="31"/>
        <v/>
      </c>
      <c r="L97" s="42" t="str">
        <f t="shared" si="31"/>
        <v/>
      </c>
      <c r="M97" s="40"/>
      <c r="N97" s="42" t="str">
        <f t="shared" si="37"/>
        <v/>
      </c>
      <c r="O97" s="42" t="str">
        <f t="shared" si="37"/>
        <v/>
      </c>
      <c r="P97" s="41" t="str">
        <f t="shared" si="37"/>
        <v/>
      </c>
      <c r="Q97" s="41" t="str">
        <f t="shared" si="37"/>
        <v/>
      </c>
      <c r="R97" s="41" t="str">
        <f t="shared" si="37"/>
        <v/>
      </c>
      <c r="S97" s="41" t="str">
        <f t="shared" si="33"/>
        <v/>
      </c>
      <c r="T97" s="41" t="str">
        <f t="shared" si="34"/>
        <v/>
      </c>
      <c r="U97" s="41" t="str">
        <f t="shared" si="35"/>
        <v/>
      </c>
      <c r="V97" s="41" t="str">
        <f t="shared" si="38"/>
        <v/>
      </c>
      <c r="W97" s="41" t="str">
        <f t="shared" si="38"/>
        <v/>
      </c>
      <c r="X97" s="41" t="str">
        <f t="shared" si="38"/>
        <v/>
      </c>
      <c r="Y97" s="41" t="str">
        <f t="shared" si="39"/>
        <v/>
      </c>
      <c r="Z97" s="41" t="str">
        <f t="shared" si="39"/>
        <v/>
      </c>
      <c r="AA97" s="41" t="str">
        <f t="shared" si="39"/>
        <v/>
      </c>
      <c r="AB97" s="41" t="str">
        <f t="shared" si="40"/>
        <v/>
      </c>
      <c r="AC97" s="41" t="str">
        <f t="shared" si="40"/>
        <v/>
      </c>
      <c r="AD97" s="41" t="str">
        <f t="shared" si="40"/>
        <v/>
      </c>
      <c r="AE97" s="41" t="str">
        <f t="shared" si="41"/>
        <v/>
      </c>
      <c r="AF97" s="41" t="str">
        <f t="shared" si="41"/>
        <v/>
      </c>
      <c r="AG97" s="41" t="str">
        <f t="shared" si="41"/>
        <v/>
      </c>
      <c r="AH97" s="41" t="str">
        <f t="shared" si="32"/>
        <v/>
      </c>
      <c r="AI97" s="46"/>
      <c r="AJ97" s="46"/>
      <c r="AK97" s="46"/>
      <c r="AL97" s="46"/>
      <c r="AM97" s="46"/>
      <c r="AN97" s="46"/>
      <c r="AO97" s="46"/>
      <c r="AP97" s="46"/>
      <c r="AQ97" s="46"/>
      <c r="AR97" s="46"/>
      <c r="AS97" s="46"/>
      <c r="AT97" s="46"/>
      <c r="AU97" s="46"/>
      <c r="AV97" s="46"/>
    </row>
    <row r="98" spans="1:48" x14ac:dyDescent="0.35">
      <c r="A98" s="46"/>
      <c r="B98" s="46"/>
      <c r="C98" s="46"/>
      <c r="D98" s="46"/>
      <c r="E98" s="50"/>
      <c r="F98" s="50"/>
      <c r="G98" s="50"/>
      <c r="H98" s="50"/>
      <c r="I98" s="50"/>
      <c r="J98" s="46"/>
      <c r="K98" s="42" t="str">
        <f t="shared" si="31"/>
        <v/>
      </c>
      <c r="L98" s="42" t="str">
        <f t="shared" si="31"/>
        <v/>
      </c>
      <c r="M98" s="40"/>
      <c r="N98" s="42" t="str">
        <f t="shared" si="37"/>
        <v/>
      </c>
      <c r="O98" s="42" t="str">
        <f t="shared" si="37"/>
        <v/>
      </c>
      <c r="P98" s="41" t="str">
        <f t="shared" si="37"/>
        <v/>
      </c>
      <c r="Q98" s="41" t="str">
        <f t="shared" si="37"/>
        <v/>
      </c>
      <c r="R98" s="41" t="str">
        <f t="shared" si="37"/>
        <v/>
      </c>
      <c r="S98" s="41" t="str">
        <f t="shared" si="33"/>
        <v/>
      </c>
      <c r="T98" s="41" t="str">
        <f t="shared" si="34"/>
        <v/>
      </c>
      <c r="U98" s="41" t="str">
        <f t="shared" si="35"/>
        <v/>
      </c>
      <c r="V98" s="41" t="str">
        <f t="shared" si="38"/>
        <v/>
      </c>
      <c r="W98" s="41" t="str">
        <f t="shared" si="38"/>
        <v/>
      </c>
      <c r="X98" s="41" t="str">
        <f t="shared" si="38"/>
        <v/>
      </c>
      <c r="Y98" s="41" t="str">
        <f t="shared" si="39"/>
        <v/>
      </c>
      <c r="Z98" s="41" t="str">
        <f t="shared" si="39"/>
        <v/>
      </c>
      <c r="AA98" s="41" t="str">
        <f t="shared" si="39"/>
        <v/>
      </c>
      <c r="AB98" s="41" t="str">
        <f t="shared" si="40"/>
        <v/>
      </c>
      <c r="AC98" s="41" t="str">
        <f t="shared" si="40"/>
        <v/>
      </c>
      <c r="AD98" s="41" t="str">
        <f t="shared" si="40"/>
        <v/>
      </c>
      <c r="AE98" s="41" t="str">
        <f t="shared" si="41"/>
        <v/>
      </c>
      <c r="AF98" s="41" t="str">
        <f t="shared" si="41"/>
        <v/>
      </c>
      <c r="AG98" s="41" t="str">
        <f t="shared" si="41"/>
        <v/>
      </c>
      <c r="AH98" s="41" t="str">
        <f t="shared" si="32"/>
        <v/>
      </c>
      <c r="AI98" s="46"/>
      <c r="AJ98" s="46"/>
      <c r="AK98" s="46"/>
      <c r="AL98" s="46"/>
      <c r="AM98" s="46"/>
      <c r="AN98" s="46"/>
      <c r="AO98" s="46"/>
      <c r="AP98" s="46"/>
      <c r="AQ98" s="46"/>
      <c r="AR98" s="46"/>
      <c r="AS98" s="46"/>
      <c r="AT98" s="46"/>
      <c r="AU98" s="46"/>
      <c r="AV98" s="46"/>
    </row>
    <row r="99" spans="1:48" x14ac:dyDescent="0.35">
      <c r="A99" s="46"/>
      <c r="B99" s="46"/>
      <c r="C99" s="46"/>
      <c r="D99" s="46"/>
      <c r="E99" s="50"/>
      <c r="F99" s="50"/>
      <c r="G99" s="50"/>
      <c r="H99" s="50"/>
      <c r="I99" s="50"/>
      <c r="J99" s="46"/>
      <c r="K99" s="42" t="str">
        <f t="shared" si="31"/>
        <v/>
      </c>
      <c r="L99" s="42" t="str">
        <f t="shared" si="31"/>
        <v/>
      </c>
      <c r="M99" s="40"/>
      <c r="N99" s="42" t="str">
        <f t="shared" si="37"/>
        <v/>
      </c>
      <c r="O99" s="42" t="str">
        <f t="shared" si="37"/>
        <v/>
      </c>
      <c r="P99" s="41" t="str">
        <f t="shared" si="37"/>
        <v/>
      </c>
      <c r="Q99" s="41" t="str">
        <f t="shared" si="37"/>
        <v/>
      </c>
      <c r="R99" s="41" t="str">
        <f t="shared" si="37"/>
        <v/>
      </c>
      <c r="S99" s="41" t="str">
        <f t="shared" si="33"/>
        <v/>
      </c>
      <c r="T99" s="41" t="str">
        <f t="shared" si="34"/>
        <v/>
      </c>
      <c r="U99" s="41" t="str">
        <f t="shared" si="35"/>
        <v/>
      </c>
      <c r="V99" s="41" t="str">
        <f t="shared" si="38"/>
        <v/>
      </c>
      <c r="W99" s="41" t="str">
        <f t="shared" si="38"/>
        <v/>
      </c>
      <c r="X99" s="41" t="str">
        <f t="shared" si="38"/>
        <v/>
      </c>
      <c r="Y99" s="41" t="str">
        <f t="shared" si="39"/>
        <v/>
      </c>
      <c r="Z99" s="41" t="str">
        <f t="shared" si="39"/>
        <v/>
      </c>
      <c r="AA99" s="41" t="str">
        <f t="shared" si="39"/>
        <v/>
      </c>
      <c r="AB99" s="41" t="str">
        <f t="shared" si="40"/>
        <v/>
      </c>
      <c r="AC99" s="41" t="str">
        <f t="shared" si="40"/>
        <v/>
      </c>
      <c r="AD99" s="41" t="str">
        <f t="shared" si="40"/>
        <v/>
      </c>
      <c r="AE99" s="41" t="str">
        <f t="shared" si="41"/>
        <v/>
      </c>
      <c r="AF99" s="41" t="str">
        <f t="shared" si="41"/>
        <v/>
      </c>
      <c r="AG99" s="41" t="str">
        <f t="shared" si="41"/>
        <v/>
      </c>
      <c r="AH99" s="41" t="str">
        <f t="shared" si="32"/>
        <v/>
      </c>
      <c r="AI99" s="46"/>
      <c r="AJ99" s="46"/>
      <c r="AK99" s="46"/>
      <c r="AL99" s="46"/>
      <c r="AM99" s="46"/>
      <c r="AN99" s="46"/>
      <c r="AO99" s="46"/>
      <c r="AP99" s="46"/>
      <c r="AQ99" s="46"/>
      <c r="AR99" s="46"/>
      <c r="AS99" s="46"/>
      <c r="AT99" s="46"/>
      <c r="AU99" s="46"/>
      <c r="AV99" s="46"/>
    </row>
    <row r="100" spans="1:48" x14ac:dyDescent="0.35">
      <c r="A100" s="46"/>
      <c r="B100" s="46"/>
      <c r="C100" s="46"/>
      <c r="D100" s="46"/>
      <c r="E100" s="50"/>
      <c r="F100" s="50"/>
      <c r="G100" s="50"/>
      <c r="H100" s="50"/>
      <c r="I100" s="50"/>
      <c r="J100" s="46"/>
      <c r="K100" s="42" t="str">
        <f t="shared" si="31"/>
        <v/>
      </c>
      <c r="L100" s="42" t="str">
        <f t="shared" si="31"/>
        <v/>
      </c>
      <c r="M100" s="40"/>
      <c r="N100" s="42" t="str">
        <f t="shared" si="37"/>
        <v/>
      </c>
      <c r="O100" s="42" t="str">
        <f t="shared" si="37"/>
        <v/>
      </c>
      <c r="P100" s="41" t="str">
        <f t="shared" si="37"/>
        <v/>
      </c>
      <c r="Q100" s="41" t="str">
        <f t="shared" si="37"/>
        <v/>
      </c>
      <c r="R100" s="41" t="str">
        <f t="shared" si="37"/>
        <v/>
      </c>
      <c r="S100" s="41" t="str">
        <f t="shared" si="33"/>
        <v/>
      </c>
      <c r="T100" s="41" t="str">
        <f t="shared" si="34"/>
        <v/>
      </c>
      <c r="U100" s="41" t="str">
        <f t="shared" si="35"/>
        <v/>
      </c>
      <c r="V100" s="41" t="str">
        <f t="shared" si="38"/>
        <v/>
      </c>
      <c r="W100" s="41" t="str">
        <f t="shared" si="38"/>
        <v/>
      </c>
      <c r="X100" s="41" t="str">
        <f t="shared" si="38"/>
        <v/>
      </c>
      <c r="Y100" s="41" t="str">
        <f t="shared" si="39"/>
        <v/>
      </c>
      <c r="Z100" s="41" t="str">
        <f t="shared" si="39"/>
        <v/>
      </c>
      <c r="AA100" s="41" t="str">
        <f t="shared" si="39"/>
        <v/>
      </c>
      <c r="AB100" s="41" t="str">
        <f t="shared" si="40"/>
        <v/>
      </c>
      <c r="AC100" s="41" t="str">
        <f t="shared" si="40"/>
        <v/>
      </c>
      <c r="AD100" s="41" t="str">
        <f t="shared" si="40"/>
        <v/>
      </c>
      <c r="AE100" s="41" t="str">
        <f t="shared" si="41"/>
        <v/>
      </c>
      <c r="AF100" s="41" t="str">
        <f t="shared" si="41"/>
        <v/>
      </c>
      <c r="AG100" s="41" t="str">
        <f t="shared" si="41"/>
        <v/>
      </c>
      <c r="AH100" s="41" t="str">
        <f t="shared" si="32"/>
        <v/>
      </c>
      <c r="AI100" s="46"/>
      <c r="AJ100" s="46"/>
      <c r="AK100" s="46"/>
      <c r="AL100" s="46"/>
      <c r="AM100" s="46"/>
      <c r="AN100" s="46"/>
      <c r="AO100" s="46"/>
      <c r="AP100" s="46"/>
      <c r="AQ100" s="46"/>
      <c r="AR100" s="46"/>
      <c r="AS100" s="46"/>
      <c r="AT100" s="46"/>
      <c r="AU100" s="46"/>
      <c r="AV100" s="46"/>
    </row>
    <row r="101" spans="1:48" x14ac:dyDescent="0.35">
      <c r="A101" s="46"/>
      <c r="B101" s="46"/>
      <c r="C101" s="46"/>
      <c r="D101" s="46"/>
      <c r="E101" s="50"/>
      <c r="F101" s="50"/>
      <c r="G101" s="50"/>
      <c r="H101" s="50"/>
      <c r="I101" s="50"/>
      <c r="J101" s="46"/>
      <c r="K101" s="42" t="str">
        <f t="shared" si="31"/>
        <v/>
      </c>
      <c r="L101" s="42" t="str">
        <f t="shared" si="31"/>
        <v/>
      </c>
      <c r="M101" s="40"/>
      <c r="N101" s="42" t="str">
        <f t="shared" si="37"/>
        <v/>
      </c>
      <c r="O101" s="42" t="str">
        <f t="shared" si="37"/>
        <v/>
      </c>
      <c r="P101" s="41" t="str">
        <f t="shared" si="37"/>
        <v/>
      </c>
      <c r="Q101" s="41" t="str">
        <f t="shared" si="37"/>
        <v/>
      </c>
      <c r="R101" s="41" t="str">
        <f t="shared" si="37"/>
        <v/>
      </c>
      <c r="S101" s="41" t="str">
        <f t="shared" si="33"/>
        <v/>
      </c>
      <c r="T101" s="41" t="str">
        <f t="shared" si="34"/>
        <v/>
      </c>
      <c r="U101" s="41" t="str">
        <f t="shared" si="35"/>
        <v/>
      </c>
      <c r="V101" s="41" t="str">
        <f t="shared" si="38"/>
        <v/>
      </c>
      <c r="W101" s="41" t="str">
        <f t="shared" si="38"/>
        <v/>
      </c>
      <c r="X101" s="41" t="str">
        <f t="shared" si="38"/>
        <v/>
      </c>
      <c r="Y101" s="41" t="str">
        <f t="shared" si="39"/>
        <v/>
      </c>
      <c r="Z101" s="41" t="str">
        <f t="shared" si="39"/>
        <v/>
      </c>
      <c r="AA101" s="41" t="str">
        <f t="shared" si="39"/>
        <v/>
      </c>
      <c r="AB101" s="41" t="str">
        <f t="shared" si="40"/>
        <v/>
      </c>
      <c r="AC101" s="41" t="str">
        <f t="shared" si="40"/>
        <v/>
      </c>
      <c r="AD101" s="41" t="str">
        <f t="shared" si="40"/>
        <v/>
      </c>
      <c r="AE101" s="41" t="str">
        <f t="shared" si="41"/>
        <v/>
      </c>
      <c r="AF101" s="41" t="str">
        <f t="shared" si="41"/>
        <v/>
      </c>
      <c r="AG101" s="41" t="str">
        <f t="shared" si="41"/>
        <v/>
      </c>
      <c r="AH101" s="41" t="str">
        <f t="shared" si="32"/>
        <v/>
      </c>
      <c r="AI101" s="46"/>
      <c r="AJ101" s="46"/>
      <c r="AK101" s="46"/>
      <c r="AL101" s="46"/>
      <c r="AM101" s="46"/>
      <c r="AN101" s="46"/>
      <c r="AO101" s="46"/>
      <c r="AP101" s="46"/>
      <c r="AQ101" s="46"/>
      <c r="AR101" s="46"/>
      <c r="AS101" s="46"/>
      <c r="AT101" s="46"/>
      <c r="AU101" s="46"/>
      <c r="AV101" s="46"/>
    </row>
    <row r="102" spans="1:48" x14ac:dyDescent="0.35">
      <c r="A102" s="46"/>
      <c r="B102" s="46"/>
      <c r="C102" s="46"/>
      <c r="D102" s="46"/>
      <c r="E102" s="49"/>
      <c r="F102" s="49"/>
      <c r="G102" s="49"/>
      <c r="H102" s="49"/>
      <c r="I102" s="49"/>
      <c r="J102" s="46"/>
      <c r="K102" s="46"/>
      <c r="L102" s="46"/>
      <c r="M102" s="46"/>
      <c r="N102" s="46"/>
      <c r="O102" s="46"/>
      <c r="P102" s="46"/>
      <c r="Q102" s="46"/>
      <c r="R102" s="46"/>
      <c r="S102" s="46"/>
      <c r="T102" s="46"/>
      <c r="U102" s="46"/>
      <c r="V102" s="46"/>
      <c r="W102" s="46"/>
      <c r="X102" s="46"/>
      <c r="Y102" s="46"/>
      <c r="Z102" s="46"/>
      <c r="AA102" s="46"/>
      <c r="AB102" s="46"/>
      <c r="AC102" s="46"/>
      <c r="AD102" s="46"/>
      <c r="AE102" s="46"/>
      <c r="AF102" s="46"/>
      <c r="AG102" s="46"/>
      <c r="AH102" s="46"/>
      <c r="AI102" s="46"/>
      <c r="AJ102" s="46"/>
      <c r="AK102" s="46"/>
      <c r="AL102" s="46"/>
      <c r="AM102" s="46"/>
      <c r="AN102" s="46"/>
      <c r="AO102" s="46"/>
      <c r="AP102" s="46"/>
      <c r="AQ102" s="46"/>
      <c r="AR102" s="46"/>
      <c r="AS102" s="46"/>
      <c r="AT102" s="46"/>
      <c r="AU102" s="46"/>
      <c r="AV102" s="46"/>
    </row>
    <row r="103" spans="1:48" x14ac:dyDescent="0.35">
      <c r="A103" s="46"/>
      <c r="B103" s="46"/>
      <c r="C103" s="46"/>
      <c r="D103" s="46"/>
      <c r="E103" s="49"/>
      <c r="F103" s="49"/>
      <c r="G103" s="49"/>
      <c r="H103" s="49"/>
      <c r="I103" s="49"/>
      <c r="J103" s="46"/>
      <c r="K103" s="46"/>
      <c r="L103" s="46"/>
      <c r="M103" s="46"/>
      <c r="N103" s="46"/>
      <c r="O103" s="46"/>
      <c r="P103" s="46"/>
      <c r="Q103" s="46"/>
      <c r="R103" s="46"/>
      <c r="S103" s="46"/>
      <c r="T103" s="46"/>
      <c r="U103" s="46"/>
      <c r="V103" s="46"/>
      <c r="W103" s="46"/>
      <c r="X103" s="46"/>
      <c r="Y103" s="46"/>
      <c r="Z103" s="46"/>
      <c r="AA103" s="46"/>
      <c r="AB103" s="46"/>
      <c r="AC103" s="46"/>
      <c r="AD103" s="46"/>
      <c r="AE103" s="46"/>
      <c r="AF103" s="46"/>
      <c r="AG103" s="46"/>
      <c r="AH103" s="46"/>
      <c r="AI103" s="46"/>
      <c r="AJ103" s="46"/>
      <c r="AK103" s="46"/>
      <c r="AL103" s="46"/>
      <c r="AM103" s="46"/>
      <c r="AN103" s="46"/>
      <c r="AO103" s="46"/>
      <c r="AP103" s="46"/>
      <c r="AQ103" s="46"/>
      <c r="AR103" s="46"/>
      <c r="AS103" s="46"/>
      <c r="AT103" s="46"/>
      <c r="AU103" s="46"/>
      <c r="AV103" s="46"/>
    </row>
    <row r="104" spans="1:48" x14ac:dyDescent="0.35">
      <c r="A104" s="46"/>
      <c r="B104" s="46"/>
      <c r="C104" s="46"/>
      <c r="D104" s="46"/>
      <c r="E104" s="49"/>
      <c r="F104" s="49"/>
      <c r="G104" s="49"/>
      <c r="H104" s="49"/>
      <c r="I104" s="49"/>
      <c r="J104" s="46"/>
      <c r="K104" s="46"/>
      <c r="L104" s="46"/>
      <c r="M104" s="46"/>
      <c r="N104" s="46"/>
      <c r="O104" s="46"/>
      <c r="P104" s="46"/>
      <c r="Q104" s="46"/>
      <c r="R104" s="46"/>
      <c r="S104" s="46"/>
      <c r="T104" s="46"/>
      <c r="U104" s="46"/>
      <c r="V104" s="46"/>
      <c r="W104" s="46"/>
      <c r="X104" s="46"/>
      <c r="Y104" s="46"/>
      <c r="Z104" s="46"/>
      <c r="AA104" s="46"/>
      <c r="AB104" s="46"/>
      <c r="AC104" s="46"/>
      <c r="AD104" s="46"/>
      <c r="AE104" s="46"/>
      <c r="AF104" s="46"/>
      <c r="AG104" s="46"/>
      <c r="AH104" s="46"/>
      <c r="AI104" s="46"/>
      <c r="AJ104" s="46"/>
      <c r="AK104" s="46"/>
      <c r="AL104" s="46"/>
      <c r="AM104" s="46"/>
      <c r="AN104" s="46"/>
      <c r="AO104" s="46"/>
      <c r="AP104" s="46"/>
      <c r="AQ104" s="46"/>
      <c r="AR104" s="46"/>
      <c r="AS104" s="46"/>
      <c r="AT104" s="46"/>
      <c r="AU104" s="46"/>
      <c r="AV104" s="46"/>
    </row>
    <row r="105" spans="1:48" x14ac:dyDescent="0.35">
      <c r="A105" s="46"/>
      <c r="B105" s="46"/>
      <c r="C105" s="46"/>
      <c r="D105" s="46"/>
      <c r="E105" s="49"/>
      <c r="F105" s="49"/>
      <c r="G105" s="49"/>
      <c r="H105" s="49"/>
      <c r="I105" s="49"/>
      <c r="J105" s="46"/>
      <c r="K105" s="46"/>
      <c r="L105" s="46"/>
      <c r="M105" s="46"/>
      <c r="N105" s="46"/>
      <c r="O105" s="46"/>
      <c r="P105" s="46"/>
      <c r="Q105" s="46"/>
      <c r="R105" s="46"/>
      <c r="S105" s="46"/>
      <c r="T105" s="46"/>
      <c r="U105" s="46"/>
      <c r="V105" s="46"/>
      <c r="W105" s="46"/>
      <c r="X105" s="46"/>
      <c r="Y105" s="46"/>
      <c r="Z105" s="46"/>
      <c r="AA105" s="46"/>
      <c r="AB105" s="46"/>
      <c r="AC105" s="46"/>
      <c r="AD105" s="46"/>
      <c r="AE105" s="46"/>
      <c r="AF105" s="46"/>
      <c r="AG105" s="46"/>
      <c r="AH105" s="46"/>
      <c r="AI105" s="46"/>
      <c r="AJ105" s="46"/>
      <c r="AK105" s="46"/>
      <c r="AL105" s="46"/>
      <c r="AM105" s="46"/>
      <c r="AN105" s="46"/>
      <c r="AO105" s="46"/>
      <c r="AP105" s="46"/>
      <c r="AQ105" s="46"/>
      <c r="AR105" s="46"/>
      <c r="AS105" s="46"/>
      <c r="AT105" s="46"/>
      <c r="AU105" s="46"/>
      <c r="AV105" s="46"/>
    </row>
    <row r="106" spans="1:48" x14ac:dyDescent="0.35">
      <c r="A106" s="46"/>
      <c r="B106" s="46"/>
      <c r="C106" s="46"/>
      <c r="D106" s="46"/>
      <c r="E106" s="49"/>
      <c r="F106" s="49"/>
      <c r="G106" s="49"/>
      <c r="H106" s="49"/>
      <c r="I106" s="49"/>
      <c r="J106" s="46"/>
      <c r="K106" s="46"/>
      <c r="L106" s="46"/>
      <c r="M106" s="46"/>
      <c r="N106" s="46"/>
      <c r="O106" s="46"/>
      <c r="P106" s="46"/>
      <c r="Q106" s="46"/>
      <c r="R106" s="46"/>
      <c r="S106" s="46"/>
      <c r="T106" s="46"/>
      <c r="U106" s="46"/>
      <c r="V106" s="46"/>
      <c r="W106" s="46"/>
      <c r="X106" s="46"/>
      <c r="Y106" s="46"/>
      <c r="Z106" s="46"/>
      <c r="AA106" s="46"/>
      <c r="AB106" s="46"/>
      <c r="AC106" s="46"/>
      <c r="AD106" s="46"/>
      <c r="AE106" s="46"/>
      <c r="AF106" s="46"/>
      <c r="AG106" s="46"/>
      <c r="AH106" s="46"/>
      <c r="AI106" s="46"/>
      <c r="AJ106" s="46"/>
      <c r="AK106" s="46"/>
      <c r="AL106" s="46"/>
      <c r="AM106" s="46"/>
      <c r="AN106" s="46"/>
      <c r="AO106" s="46"/>
      <c r="AP106" s="46"/>
      <c r="AQ106" s="46"/>
      <c r="AR106" s="46"/>
      <c r="AS106" s="46"/>
      <c r="AT106" s="46"/>
      <c r="AU106" s="46"/>
      <c r="AV106" s="46"/>
    </row>
    <row r="107" spans="1:48" x14ac:dyDescent="0.35">
      <c r="A107" s="46"/>
      <c r="B107" s="46"/>
      <c r="C107" s="46"/>
      <c r="D107" s="46"/>
      <c r="E107" s="49"/>
      <c r="F107" s="49"/>
      <c r="G107" s="49"/>
      <c r="H107" s="49"/>
      <c r="I107" s="49"/>
      <c r="J107" s="46"/>
      <c r="K107" s="46"/>
      <c r="L107" s="46"/>
      <c r="M107" s="46"/>
      <c r="N107" s="46"/>
      <c r="O107" s="46"/>
      <c r="P107" s="46"/>
      <c r="Q107" s="46"/>
      <c r="R107" s="46"/>
      <c r="S107" s="46"/>
      <c r="T107" s="46"/>
      <c r="U107" s="46"/>
      <c r="V107" s="46"/>
      <c r="W107" s="46"/>
      <c r="X107" s="46"/>
      <c r="Y107" s="46"/>
      <c r="Z107" s="46"/>
      <c r="AA107" s="46"/>
      <c r="AB107" s="46"/>
      <c r="AC107" s="46"/>
      <c r="AD107" s="46"/>
      <c r="AE107" s="46"/>
      <c r="AF107" s="46"/>
      <c r="AG107" s="46"/>
      <c r="AH107" s="46"/>
      <c r="AI107" s="46"/>
      <c r="AJ107" s="46"/>
      <c r="AK107" s="46"/>
      <c r="AL107" s="46"/>
      <c r="AM107" s="46"/>
      <c r="AN107" s="46"/>
      <c r="AO107" s="46"/>
      <c r="AP107" s="46"/>
      <c r="AQ107" s="46"/>
      <c r="AR107" s="46"/>
      <c r="AS107" s="46"/>
      <c r="AT107" s="46"/>
      <c r="AU107" s="46"/>
      <c r="AV107" s="46"/>
    </row>
    <row r="108" spans="1:48" x14ac:dyDescent="0.35">
      <c r="A108" s="46"/>
      <c r="B108" s="46"/>
      <c r="C108" s="46"/>
      <c r="D108" s="46"/>
      <c r="E108" s="49"/>
      <c r="F108" s="49"/>
      <c r="G108" s="49"/>
      <c r="H108" s="49"/>
      <c r="I108" s="49"/>
      <c r="J108" s="46"/>
      <c r="K108" s="46"/>
      <c r="L108" s="46"/>
      <c r="M108" s="46"/>
      <c r="N108" s="46"/>
      <c r="O108" s="46"/>
      <c r="P108" s="46"/>
      <c r="Q108" s="46"/>
      <c r="R108" s="46"/>
      <c r="S108" s="46"/>
      <c r="T108" s="46"/>
      <c r="U108" s="46"/>
      <c r="V108" s="46"/>
      <c r="W108" s="46"/>
      <c r="X108" s="46"/>
      <c r="Y108" s="46"/>
      <c r="Z108" s="46"/>
      <c r="AA108" s="46"/>
      <c r="AB108" s="46"/>
      <c r="AC108" s="46"/>
      <c r="AD108" s="46"/>
      <c r="AE108" s="46"/>
      <c r="AF108" s="46"/>
      <c r="AG108" s="46"/>
      <c r="AH108" s="46"/>
      <c r="AI108" s="46"/>
      <c r="AJ108" s="46"/>
      <c r="AK108" s="46"/>
      <c r="AL108" s="46"/>
      <c r="AM108" s="46"/>
      <c r="AN108" s="46"/>
      <c r="AO108" s="46"/>
      <c r="AP108" s="46"/>
      <c r="AQ108" s="46"/>
      <c r="AR108" s="46"/>
      <c r="AS108" s="46"/>
      <c r="AT108" s="46"/>
      <c r="AU108" s="46"/>
      <c r="AV108" s="46"/>
    </row>
    <row r="109" spans="1:48" x14ac:dyDescent="0.35">
      <c r="A109" s="46"/>
      <c r="B109" s="46"/>
      <c r="C109" s="46"/>
      <c r="D109" s="46"/>
      <c r="E109" s="49"/>
      <c r="F109" s="49"/>
      <c r="G109" s="49"/>
      <c r="H109" s="49"/>
      <c r="I109" s="49"/>
      <c r="J109" s="46"/>
      <c r="K109" s="46"/>
      <c r="L109" s="46"/>
      <c r="M109" s="46"/>
      <c r="N109" s="46"/>
      <c r="O109" s="46"/>
      <c r="P109" s="46"/>
      <c r="Q109" s="46"/>
      <c r="R109" s="46"/>
      <c r="S109" s="46"/>
      <c r="T109" s="46"/>
      <c r="U109" s="46"/>
      <c r="V109" s="46"/>
      <c r="W109" s="46"/>
      <c r="X109" s="46"/>
      <c r="Y109" s="46"/>
      <c r="Z109" s="46"/>
      <c r="AA109" s="46"/>
      <c r="AB109" s="46"/>
      <c r="AC109" s="46"/>
      <c r="AD109" s="46"/>
      <c r="AE109" s="46"/>
      <c r="AF109" s="46"/>
      <c r="AG109" s="46"/>
      <c r="AH109" s="46"/>
      <c r="AI109" s="46"/>
      <c r="AJ109" s="46"/>
      <c r="AK109" s="46"/>
      <c r="AL109" s="46"/>
      <c r="AM109" s="46"/>
      <c r="AN109" s="46"/>
      <c r="AO109" s="46"/>
      <c r="AP109" s="46"/>
      <c r="AQ109" s="46"/>
      <c r="AR109" s="46"/>
      <c r="AS109" s="46"/>
      <c r="AT109" s="46"/>
      <c r="AU109" s="46"/>
      <c r="AV109" s="46"/>
    </row>
    <row r="110" spans="1:48" x14ac:dyDescent="0.35">
      <c r="A110" s="46"/>
      <c r="B110" s="46"/>
      <c r="C110" s="46"/>
      <c r="D110" s="46"/>
      <c r="E110" s="49"/>
      <c r="F110" s="49"/>
      <c r="G110" s="49"/>
      <c r="H110" s="49"/>
      <c r="I110" s="49"/>
      <c r="J110" s="46"/>
      <c r="K110" s="46"/>
      <c r="L110" s="46"/>
      <c r="M110" s="46"/>
      <c r="N110" s="46"/>
      <c r="O110" s="46"/>
      <c r="P110" s="46"/>
      <c r="Q110" s="46"/>
      <c r="R110" s="46"/>
      <c r="S110" s="46"/>
      <c r="T110" s="46"/>
      <c r="U110" s="46"/>
      <c r="V110" s="46"/>
      <c r="W110" s="46"/>
      <c r="X110" s="46"/>
      <c r="Y110" s="46"/>
      <c r="Z110" s="46"/>
      <c r="AA110" s="46"/>
      <c r="AB110" s="46"/>
      <c r="AC110" s="46"/>
      <c r="AD110" s="46"/>
      <c r="AE110" s="46"/>
      <c r="AF110" s="46"/>
      <c r="AG110" s="46"/>
      <c r="AH110" s="46"/>
      <c r="AI110" s="46"/>
      <c r="AJ110" s="46"/>
      <c r="AK110" s="46"/>
      <c r="AL110" s="46"/>
      <c r="AM110" s="46"/>
      <c r="AN110" s="46"/>
      <c r="AO110" s="46"/>
      <c r="AP110" s="46"/>
      <c r="AQ110" s="46"/>
      <c r="AR110" s="46"/>
      <c r="AS110" s="46"/>
      <c r="AT110" s="46"/>
      <c r="AU110" s="46"/>
      <c r="AV110" s="46"/>
    </row>
    <row r="111" spans="1:48" x14ac:dyDescent="0.35">
      <c r="A111" s="46"/>
      <c r="B111" s="46"/>
      <c r="C111" s="46"/>
      <c r="D111" s="46"/>
      <c r="E111" s="49"/>
      <c r="F111" s="49"/>
      <c r="G111" s="49"/>
      <c r="H111" s="49"/>
      <c r="I111" s="49"/>
      <c r="J111" s="46"/>
      <c r="K111" s="46"/>
      <c r="L111" s="46"/>
      <c r="M111" s="46"/>
      <c r="N111" s="46"/>
      <c r="O111" s="46"/>
      <c r="P111" s="46"/>
      <c r="Q111" s="46"/>
      <c r="R111" s="46"/>
      <c r="S111" s="46"/>
      <c r="T111" s="46"/>
      <c r="U111" s="46"/>
      <c r="V111" s="46"/>
      <c r="W111" s="46"/>
      <c r="X111" s="46"/>
      <c r="Y111" s="46"/>
      <c r="Z111" s="46"/>
      <c r="AA111" s="46"/>
      <c r="AB111" s="46"/>
      <c r="AC111" s="46"/>
      <c r="AD111" s="46"/>
      <c r="AE111" s="46"/>
      <c r="AF111" s="46"/>
      <c r="AG111" s="46"/>
      <c r="AH111" s="46"/>
      <c r="AI111" s="46"/>
      <c r="AJ111" s="46"/>
      <c r="AK111" s="46"/>
      <c r="AL111" s="46"/>
      <c r="AM111" s="46"/>
      <c r="AN111" s="46"/>
      <c r="AO111" s="46"/>
      <c r="AP111" s="46"/>
      <c r="AQ111" s="46"/>
      <c r="AR111" s="46"/>
      <c r="AS111" s="46"/>
      <c r="AT111" s="46"/>
      <c r="AU111" s="46"/>
      <c r="AV111" s="46"/>
    </row>
    <row r="112" spans="1:48" x14ac:dyDescent="0.35">
      <c r="A112" s="46"/>
      <c r="B112" s="46"/>
      <c r="C112" s="46"/>
      <c r="D112" s="46"/>
      <c r="E112" s="49"/>
      <c r="F112" s="49"/>
      <c r="G112" s="49"/>
      <c r="H112" s="49"/>
      <c r="I112" s="49"/>
      <c r="J112" s="46"/>
      <c r="K112" s="46"/>
      <c r="L112" s="46"/>
      <c r="M112" s="46"/>
      <c r="N112" s="46"/>
      <c r="O112" s="46"/>
      <c r="P112" s="46"/>
      <c r="Q112" s="46"/>
      <c r="R112" s="46"/>
      <c r="S112" s="46"/>
      <c r="T112" s="46"/>
      <c r="U112" s="46"/>
      <c r="V112" s="46"/>
      <c r="W112" s="46"/>
      <c r="X112" s="46"/>
      <c r="Y112" s="46"/>
      <c r="Z112" s="46"/>
      <c r="AA112" s="46"/>
      <c r="AB112" s="46"/>
      <c r="AC112" s="46"/>
      <c r="AD112" s="46"/>
      <c r="AE112" s="46"/>
      <c r="AF112" s="46"/>
      <c r="AG112" s="46"/>
      <c r="AH112" s="46"/>
      <c r="AI112" s="46"/>
      <c r="AJ112" s="46"/>
      <c r="AK112" s="46"/>
      <c r="AL112" s="46"/>
      <c r="AM112" s="46"/>
      <c r="AN112" s="46"/>
      <c r="AO112" s="46"/>
      <c r="AP112" s="46"/>
      <c r="AQ112" s="46"/>
      <c r="AR112" s="46"/>
      <c r="AS112" s="46"/>
      <c r="AT112" s="46"/>
      <c r="AU112" s="46"/>
      <c r="AV112" s="46"/>
    </row>
    <row r="113" spans="1:48" x14ac:dyDescent="0.35">
      <c r="A113" s="46"/>
      <c r="B113" s="46"/>
      <c r="C113" s="46"/>
      <c r="D113" s="46"/>
      <c r="E113" s="49"/>
      <c r="F113" s="49"/>
      <c r="G113" s="49"/>
      <c r="H113" s="49"/>
      <c r="I113" s="49"/>
      <c r="J113" s="46"/>
      <c r="K113" s="46"/>
      <c r="L113" s="46"/>
      <c r="M113" s="46"/>
      <c r="N113" s="46"/>
      <c r="O113" s="46"/>
      <c r="P113" s="46"/>
      <c r="Q113" s="46"/>
      <c r="R113" s="46"/>
      <c r="S113" s="46"/>
      <c r="T113" s="46"/>
      <c r="U113" s="46"/>
      <c r="V113" s="46"/>
      <c r="W113" s="46"/>
      <c r="X113" s="46"/>
      <c r="Y113" s="46"/>
      <c r="Z113" s="46"/>
      <c r="AA113" s="46"/>
      <c r="AB113" s="46"/>
      <c r="AC113" s="46"/>
      <c r="AD113" s="46"/>
      <c r="AE113" s="46"/>
      <c r="AF113" s="46"/>
      <c r="AG113" s="46"/>
      <c r="AH113" s="46"/>
      <c r="AI113" s="46"/>
      <c r="AJ113" s="46"/>
      <c r="AK113" s="46"/>
      <c r="AL113" s="46"/>
      <c r="AM113" s="46"/>
      <c r="AN113" s="46"/>
      <c r="AO113" s="46"/>
      <c r="AP113" s="46"/>
      <c r="AQ113" s="46"/>
      <c r="AR113" s="46"/>
      <c r="AS113" s="46"/>
      <c r="AT113" s="46"/>
      <c r="AU113" s="46"/>
      <c r="AV113" s="46"/>
    </row>
    <row r="114" spans="1:48" x14ac:dyDescent="0.35">
      <c r="A114" s="46"/>
      <c r="B114" s="46"/>
      <c r="C114" s="46"/>
      <c r="D114" s="46"/>
      <c r="E114" s="49"/>
      <c r="F114" s="49"/>
      <c r="G114" s="49"/>
      <c r="H114" s="49"/>
      <c r="I114" s="49"/>
      <c r="J114" s="46"/>
      <c r="K114" s="46"/>
      <c r="L114" s="46"/>
      <c r="M114" s="46"/>
      <c r="N114" s="46"/>
      <c r="O114" s="46"/>
      <c r="P114" s="46"/>
      <c r="Q114" s="46"/>
      <c r="R114" s="46"/>
      <c r="S114" s="46"/>
      <c r="T114" s="46"/>
      <c r="U114" s="46"/>
      <c r="V114" s="46"/>
      <c r="W114" s="46"/>
      <c r="X114" s="46"/>
      <c r="Y114" s="46"/>
      <c r="Z114" s="46"/>
      <c r="AA114" s="46"/>
      <c r="AB114" s="46"/>
      <c r="AC114" s="46"/>
      <c r="AD114" s="46"/>
      <c r="AE114" s="46"/>
      <c r="AF114" s="46"/>
      <c r="AG114" s="46"/>
      <c r="AH114" s="46"/>
      <c r="AI114" s="46"/>
      <c r="AJ114" s="46"/>
      <c r="AK114" s="46"/>
      <c r="AL114" s="46"/>
      <c r="AM114" s="46"/>
      <c r="AN114" s="46"/>
      <c r="AO114" s="46"/>
      <c r="AP114" s="46"/>
      <c r="AQ114" s="46"/>
      <c r="AR114" s="46"/>
      <c r="AS114" s="46"/>
      <c r="AT114" s="46"/>
      <c r="AU114" s="46"/>
      <c r="AV114" s="46"/>
    </row>
    <row r="115" spans="1:48" x14ac:dyDescent="0.35">
      <c r="A115" s="46"/>
      <c r="B115" s="46"/>
      <c r="C115" s="46"/>
      <c r="D115" s="46"/>
      <c r="E115" s="49"/>
      <c r="F115" s="49"/>
      <c r="G115" s="49"/>
      <c r="H115" s="49"/>
      <c r="I115" s="49"/>
      <c r="J115" s="46"/>
      <c r="K115" s="46"/>
      <c r="L115" s="46"/>
      <c r="M115" s="46"/>
      <c r="N115" s="46"/>
      <c r="O115" s="46"/>
      <c r="P115" s="46"/>
      <c r="Q115" s="46"/>
      <c r="R115" s="46"/>
      <c r="S115" s="46"/>
      <c r="T115" s="46"/>
      <c r="U115" s="46"/>
      <c r="V115" s="46"/>
      <c r="W115" s="46"/>
      <c r="X115" s="46"/>
      <c r="Y115" s="46"/>
      <c r="Z115" s="46"/>
      <c r="AA115" s="46"/>
      <c r="AB115" s="46"/>
      <c r="AC115" s="46"/>
      <c r="AD115" s="46"/>
      <c r="AE115" s="46"/>
      <c r="AF115" s="46"/>
      <c r="AG115" s="46"/>
      <c r="AH115" s="46"/>
      <c r="AI115" s="46"/>
      <c r="AJ115" s="46"/>
      <c r="AK115" s="46"/>
      <c r="AL115" s="46"/>
      <c r="AM115" s="46"/>
      <c r="AN115" s="46"/>
      <c r="AO115" s="46"/>
      <c r="AP115" s="46"/>
      <c r="AQ115" s="46"/>
      <c r="AR115" s="46"/>
      <c r="AS115" s="46"/>
      <c r="AT115" s="46"/>
      <c r="AU115" s="46"/>
      <c r="AV115" s="46"/>
    </row>
    <row r="116" spans="1:48" x14ac:dyDescent="0.35">
      <c r="A116" s="46"/>
      <c r="B116" s="46"/>
      <c r="C116" s="46"/>
      <c r="D116" s="46"/>
      <c r="E116" s="49"/>
      <c r="F116" s="49"/>
      <c r="G116" s="49"/>
      <c r="H116" s="49"/>
      <c r="I116" s="49"/>
      <c r="J116" s="46"/>
      <c r="K116" s="46"/>
      <c r="L116" s="46"/>
      <c r="M116" s="46"/>
      <c r="N116" s="46"/>
      <c r="O116" s="46"/>
      <c r="P116" s="46"/>
      <c r="Q116" s="46"/>
      <c r="R116" s="46"/>
      <c r="S116" s="46"/>
      <c r="T116" s="46"/>
      <c r="U116" s="46"/>
      <c r="V116" s="46"/>
      <c r="W116" s="46"/>
      <c r="X116" s="46"/>
      <c r="Y116" s="46"/>
      <c r="Z116" s="46"/>
      <c r="AA116" s="46"/>
      <c r="AB116" s="46"/>
      <c r="AC116" s="46"/>
      <c r="AD116" s="46"/>
      <c r="AE116" s="46"/>
      <c r="AF116" s="46"/>
      <c r="AG116" s="46"/>
      <c r="AH116" s="46"/>
      <c r="AI116" s="46"/>
      <c r="AJ116" s="46"/>
      <c r="AK116" s="46"/>
      <c r="AL116" s="46"/>
      <c r="AM116" s="46"/>
      <c r="AN116" s="46"/>
      <c r="AO116" s="46"/>
      <c r="AP116" s="46"/>
      <c r="AQ116" s="46"/>
      <c r="AR116" s="46"/>
      <c r="AS116" s="46"/>
      <c r="AT116" s="46"/>
      <c r="AU116" s="46"/>
      <c r="AV116" s="46"/>
    </row>
    <row r="117" spans="1:48" x14ac:dyDescent="0.35">
      <c r="A117" s="46"/>
      <c r="B117" s="46"/>
      <c r="C117" s="46"/>
      <c r="D117" s="46"/>
      <c r="E117" s="49"/>
      <c r="F117" s="49"/>
      <c r="G117" s="49"/>
      <c r="H117" s="49"/>
      <c r="I117" s="49"/>
      <c r="J117" s="46"/>
      <c r="K117" s="46"/>
      <c r="L117" s="46"/>
      <c r="M117" s="46"/>
      <c r="N117" s="46"/>
      <c r="O117" s="46"/>
      <c r="P117" s="46"/>
      <c r="Q117" s="46"/>
      <c r="R117" s="46"/>
      <c r="S117" s="46"/>
      <c r="T117" s="46"/>
      <c r="U117" s="46"/>
      <c r="V117" s="46"/>
      <c r="W117" s="46"/>
      <c r="X117" s="46"/>
      <c r="Y117" s="46"/>
      <c r="Z117" s="46"/>
      <c r="AA117" s="46"/>
      <c r="AB117" s="46"/>
      <c r="AC117" s="46"/>
      <c r="AD117" s="46"/>
      <c r="AE117" s="46"/>
      <c r="AF117" s="46"/>
      <c r="AG117" s="46"/>
      <c r="AH117" s="46"/>
      <c r="AI117" s="46"/>
      <c r="AJ117" s="46"/>
      <c r="AK117" s="46"/>
      <c r="AL117" s="46"/>
      <c r="AM117" s="46"/>
      <c r="AN117" s="46"/>
      <c r="AO117" s="46"/>
      <c r="AP117" s="46"/>
      <c r="AQ117" s="46"/>
      <c r="AR117" s="46"/>
      <c r="AS117" s="46"/>
      <c r="AT117" s="46"/>
      <c r="AU117" s="46"/>
      <c r="AV117" s="46"/>
    </row>
    <row r="118" spans="1:48" x14ac:dyDescent="0.35">
      <c r="A118" s="46"/>
      <c r="B118" s="46"/>
      <c r="C118" s="46"/>
      <c r="D118" s="46"/>
      <c r="E118" s="49"/>
      <c r="F118" s="49"/>
      <c r="G118" s="49"/>
      <c r="H118" s="49"/>
      <c r="I118" s="49"/>
      <c r="J118" s="46"/>
      <c r="K118" s="46"/>
      <c r="L118" s="46"/>
      <c r="M118" s="46"/>
      <c r="N118" s="46"/>
      <c r="O118" s="46"/>
      <c r="P118" s="46"/>
      <c r="Q118" s="46"/>
      <c r="R118" s="46"/>
      <c r="S118" s="46"/>
      <c r="T118" s="46"/>
      <c r="U118" s="46"/>
      <c r="V118" s="46"/>
      <c r="W118" s="46"/>
      <c r="X118" s="46"/>
      <c r="Y118" s="46"/>
      <c r="Z118" s="46"/>
      <c r="AA118" s="46"/>
      <c r="AB118" s="46"/>
      <c r="AC118" s="46"/>
      <c r="AD118" s="46"/>
      <c r="AE118" s="46"/>
      <c r="AF118" s="46"/>
      <c r="AG118" s="46"/>
      <c r="AH118" s="46"/>
      <c r="AI118" s="46"/>
      <c r="AJ118" s="46"/>
      <c r="AK118" s="46"/>
      <c r="AL118" s="46"/>
      <c r="AM118" s="46"/>
      <c r="AN118" s="46"/>
      <c r="AO118" s="46"/>
      <c r="AP118" s="46"/>
      <c r="AQ118" s="46"/>
      <c r="AR118" s="46"/>
      <c r="AS118" s="46"/>
      <c r="AT118" s="46"/>
      <c r="AU118" s="46"/>
      <c r="AV118" s="46"/>
    </row>
    <row r="119" spans="1:48" x14ac:dyDescent="0.35">
      <c r="A119" s="46"/>
      <c r="B119" s="46"/>
      <c r="C119" s="46"/>
      <c r="D119" s="46"/>
      <c r="E119" s="49"/>
      <c r="F119" s="49"/>
      <c r="G119" s="49"/>
      <c r="H119" s="49"/>
      <c r="I119" s="49"/>
      <c r="J119" s="46"/>
      <c r="K119" s="46"/>
      <c r="L119" s="46"/>
      <c r="M119" s="46"/>
      <c r="N119" s="46"/>
      <c r="O119" s="46"/>
      <c r="P119" s="46"/>
      <c r="Q119" s="46"/>
      <c r="R119" s="46"/>
      <c r="S119" s="46"/>
      <c r="T119" s="46"/>
      <c r="U119" s="46"/>
      <c r="V119" s="46"/>
      <c r="W119" s="46"/>
      <c r="X119" s="46"/>
      <c r="Y119" s="46"/>
      <c r="Z119" s="46"/>
      <c r="AA119" s="46"/>
      <c r="AB119" s="46"/>
      <c r="AC119" s="46"/>
      <c r="AD119" s="46"/>
      <c r="AE119" s="46"/>
      <c r="AF119" s="46"/>
      <c r="AG119" s="46"/>
      <c r="AH119" s="46"/>
      <c r="AI119" s="46"/>
      <c r="AJ119" s="46"/>
      <c r="AK119" s="46"/>
      <c r="AL119" s="46"/>
      <c r="AM119" s="46"/>
      <c r="AN119" s="46"/>
      <c r="AO119" s="46"/>
      <c r="AP119" s="46"/>
      <c r="AQ119" s="46"/>
      <c r="AR119" s="46"/>
      <c r="AS119" s="46"/>
      <c r="AT119" s="46"/>
      <c r="AU119" s="46"/>
      <c r="AV119" s="46"/>
    </row>
    <row r="120" spans="1:48" x14ac:dyDescent="0.35">
      <c r="A120" s="46"/>
      <c r="B120" s="46"/>
      <c r="C120" s="46"/>
      <c r="D120" s="46"/>
      <c r="E120" s="49"/>
      <c r="F120" s="49"/>
      <c r="G120" s="49"/>
      <c r="H120" s="49"/>
      <c r="I120" s="49"/>
      <c r="J120" s="46"/>
      <c r="K120" s="46"/>
      <c r="L120" s="46"/>
      <c r="M120" s="46"/>
      <c r="N120" s="46"/>
      <c r="O120" s="46"/>
      <c r="P120" s="46"/>
      <c r="Q120" s="46"/>
      <c r="R120" s="46"/>
      <c r="S120" s="46"/>
      <c r="T120" s="46"/>
      <c r="U120" s="46"/>
      <c r="V120" s="46"/>
      <c r="W120" s="46"/>
      <c r="X120" s="46"/>
      <c r="Y120" s="46"/>
      <c r="Z120" s="46"/>
      <c r="AA120" s="46"/>
      <c r="AB120" s="46"/>
      <c r="AC120" s="46"/>
      <c r="AD120" s="46"/>
      <c r="AE120" s="46"/>
      <c r="AF120" s="46"/>
      <c r="AG120" s="46"/>
      <c r="AH120" s="46"/>
      <c r="AI120" s="46"/>
      <c r="AJ120" s="46"/>
      <c r="AK120" s="46"/>
      <c r="AL120" s="46"/>
      <c r="AM120" s="46"/>
      <c r="AN120" s="46"/>
      <c r="AO120" s="46"/>
      <c r="AP120" s="46"/>
      <c r="AQ120" s="46"/>
      <c r="AR120" s="46"/>
      <c r="AS120" s="46"/>
      <c r="AT120" s="46"/>
      <c r="AU120" s="46"/>
      <c r="AV120" s="46"/>
    </row>
    <row r="121" spans="1:48" x14ac:dyDescent="0.35">
      <c r="A121" s="46"/>
      <c r="B121" s="46"/>
      <c r="C121" s="46"/>
      <c r="D121" s="46"/>
      <c r="E121" s="49"/>
      <c r="F121" s="49"/>
      <c r="G121" s="49"/>
      <c r="H121" s="49"/>
      <c r="I121" s="49"/>
      <c r="J121" s="46"/>
      <c r="K121" s="46"/>
      <c r="L121" s="46"/>
      <c r="M121" s="46"/>
      <c r="N121" s="46"/>
      <c r="O121" s="46"/>
      <c r="P121" s="46"/>
      <c r="Q121" s="46"/>
      <c r="R121" s="46"/>
      <c r="S121" s="46"/>
      <c r="T121" s="46"/>
      <c r="U121" s="46"/>
      <c r="V121" s="46"/>
      <c r="W121" s="46"/>
      <c r="X121" s="46"/>
      <c r="Y121" s="46"/>
      <c r="Z121" s="46"/>
      <c r="AA121" s="46"/>
      <c r="AB121" s="46"/>
      <c r="AC121" s="46"/>
      <c r="AD121" s="46"/>
      <c r="AE121" s="46"/>
      <c r="AF121" s="46"/>
      <c r="AG121" s="46"/>
      <c r="AH121" s="46"/>
      <c r="AI121" s="46"/>
      <c r="AJ121" s="46"/>
      <c r="AK121" s="46"/>
      <c r="AL121" s="46"/>
      <c r="AM121" s="46"/>
      <c r="AN121" s="46"/>
      <c r="AO121" s="46"/>
      <c r="AP121" s="46"/>
      <c r="AQ121" s="46"/>
      <c r="AR121" s="46"/>
      <c r="AS121" s="46"/>
      <c r="AT121" s="46"/>
      <c r="AU121" s="46"/>
      <c r="AV121" s="46"/>
    </row>
    <row r="122" spans="1:48" x14ac:dyDescent="0.35">
      <c r="A122" s="46"/>
      <c r="B122" s="46"/>
      <c r="C122" s="46"/>
      <c r="D122" s="46"/>
      <c r="E122" s="49"/>
      <c r="F122" s="49"/>
      <c r="G122" s="49"/>
      <c r="H122" s="49"/>
      <c r="I122" s="49"/>
      <c r="J122" s="46"/>
      <c r="K122" s="46"/>
      <c r="L122" s="46"/>
      <c r="M122" s="46"/>
      <c r="N122" s="46"/>
      <c r="O122" s="46"/>
      <c r="P122" s="46"/>
      <c r="Q122" s="46"/>
      <c r="R122" s="46"/>
      <c r="S122" s="46"/>
      <c r="T122" s="46"/>
      <c r="U122" s="46"/>
      <c r="V122" s="46"/>
      <c r="W122" s="46"/>
      <c r="X122" s="46"/>
      <c r="Y122" s="46"/>
      <c r="Z122" s="46"/>
      <c r="AA122" s="46"/>
      <c r="AB122" s="46"/>
      <c r="AC122" s="46"/>
      <c r="AD122" s="46"/>
      <c r="AE122" s="46"/>
      <c r="AF122" s="46"/>
      <c r="AG122" s="46"/>
      <c r="AH122" s="46"/>
      <c r="AI122" s="46"/>
      <c r="AJ122" s="46"/>
      <c r="AK122" s="46"/>
      <c r="AL122" s="46"/>
      <c r="AM122" s="46"/>
      <c r="AN122" s="46"/>
      <c r="AO122" s="46"/>
      <c r="AP122" s="46"/>
      <c r="AQ122" s="46"/>
      <c r="AR122" s="46"/>
      <c r="AS122" s="46"/>
      <c r="AT122" s="46"/>
      <c r="AU122" s="46"/>
      <c r="AV122" s="46"/>
    </row>
    <row r="123" spans="1:48" x14ac:dyDescent="0.35">
      <c r="A123" s="46"/>
      <c r="B123" s="46"/>
      <c r="C123" s="46"/>
      <c r="D123" s="46"/>
      <c r="E123" s="49"/>
      <c r="F123" s="49"/>
      <c r="G123" s="49"/>
      <c r="H123" s="49"/>
      <c r="I123" s="49"/>
      <c r="J123" s="46"/>
      <c r="K123" s="46"/>
      <c r="L123" s="46"/>
      <c r="M123" s="46"/>
      <c r="N123" s="46"/>
      <c r="O123" s="46"/>
      <c r="P123" s="46"/>
      <c r="Q123" s="46"/>
      <c r="R123" s="46"/>
      <c r="S123" s="46"/>
      <c r="T123" s="46"/>
      <c r="U123" s="46"/>
      <c r="V123" s="46"/>
      <c r="W123" s="46"/>
      <c r="X123" s="46"/>
      <c r="Y123" s="46"/>
      <c r="Z123" s="46"/>
      <c r="AA123" s="46"/>
      <c r="AB123" s="46"/>
      <c r="AC123" s="46"/>
      <c r="AD123" s="46"/>
      <c r="AE123" s="46"/>
      <c r="AF123" s="46"/>
      <c r="AG123" s="46"/>
      <c r="AH123" s="46"/>
      <c r="AI123" s="46"/>
      <c r="AJ123" s="46"/>
      <c r="AK123" s="46"/>
      <c r="AL123" s="46"/>
      <c r="AM123" s="46"/>
      <c r="AN123" s="46"/>
      <c r="AO123" s="46"/>
      <c r="AP123" s="46"/>
      <c r="AQ123" s="46"/>
      <c r="AR123" s="46"/>
      <c r="AS123" s="46"/>
      <c r="AT123" s="46"/>
      <c r="AU123" s="46"/>
      <c r="AV123" s="46"/>
    </row>
    <row r="124" spans="1:48" x14ac:dyDescent="0.35">
      <c r="A124" s="46"/>
      <c r="B124" s="46"/>
      <c r="C124" s="46"/>
      <c r="D124" s="46"/>
      <c r="E124" s="49"/>
      <c r="F124" s="49"/>
      <c r="G124" s="49"/>
      <c r="H124" s="49"/>
      <c r="I124" s="49"/>
      <c r="J124" s="46"/>
      <c r="K124" s="46"/>
      <c r="L124" s="46"/>
      <c r="M124" s="46"/>
      <c r="N124" s="46"/>
      <c r="O124" s="46"/>
      <c r="P124" s="46"/>
      <c r="Q124" s="46"/>
      <c r="R124" s="46"/>
      <c r="S124" s="46"/>
      <c r="T124" s="46"/>
      <c r="U124" s="46"/>
      <c r="V124" s="46"/>
      <c r="W124" s="46"/>
      <c r="X124" s="46"/>
      <c r="Y124" s="46"/>
      <c r="Z124" s="46"/>
      <c r="AA124" s="46"/>
      <c r="AB124" s="46"/>
      <c r="AC124" s="46"/>
      <c r="AD124" s="46"/>
      <c r="AE124" s="46"/>
      <c r="AF124" s="46"/>
      <c r="AG124" s="46"/>
      <c r="AH124" s="46"/>
      <c r="AI124" s="46"/>
      <c r="AJ124" s="46"/>
      <c r="AK124" s="46"/>
      <c r="AL124" s="46"/>
      <c r="AM124" s="46"/>
      <c r="AN124" s="46"/>
      <c r="AO124" s="46"/>
      <c r="AP124" s="46"/>
      <c r="AQ124" s="46"/>
      <c r="AR124" s="46"/>
      <c r="AS124" s="46"/>
      <c r="AT124" s="46"/>
      <c r="AU124" s="46"/>
      <c r="AV124" s="46"/>
    </row>
    <row r="125" spans="1:48" x14ac:dyDescent="0.35">
      <c r="A125" s="46"/>
      <c r="B125" s="46"/>
      <c r="C125" s="46"/>
      <c r="D125" s="46"/>
      <c r="E125" s="49"/>
      <c r="F125" s="49"/>
      <c r="G125" s="49"/>
      <c r="H125" s="49"/>
      <c r="I125" s="49"/>
      <c r="J125" s="46"/>
      <c r="K125" s="46"/>
      <c r="L125" s="46"/>
      <c r="M125" s="46"/>
      <c r="N125" s="46"/>
      <c r="O125" s="46"/>
      <c r="P125" s="46"/>
      <c r="Q125" s="46"/>
      <c r="R125" s="46"/>
      <c r="S125" s="46"/>
      <c r="T125" s="46"/>
      <c r="U125" s="46"/>
      <c r="V125" s="46"/>
      <c r="W125" s="46"/>
      <c r="X125" s="46"/>
      <c r="Y125" s="46"/>
      <c r="Z125" s="46"/>
      <c r="AA125" s="46"/>
      <c r="AB125" s="46"/>
      <c r="AC125" s="46"/>
      <c r="AD125" s="46"/>
      <c r="AE125" s="46"/>
      <c r="AF125" s="46"/>
      <c r="AG125" s="46"/>
      <c r="AH125" s="46"/>
      <c r="AI125" s="46"/>
      <c r="AJ125" s="46"/>
      <c r="AK125" s="46"/>
      <c r="AL125" s="46"/>
      <c r="AM125" s="46"/>
      <c r="AN125" s="46"/>
      <c r="AO125" s="46"/>
      <c r="AP125" s="46"/>
      <c r="AQ125" s="46"/>
      <c r="AR125" s="46"/>
      <c r="AS125" s="46"/>
      <c r="AT125" s="46"/>
      <c r="AU125" s="46"/>
      <c r="AV125" s="46"/>
    </row>
    <row r="126" spans="1:48" x14ac:dyDescent="0.35">
      <c r="A126" s="46"/>
      <c r="B126" s="46"/>
      <c r="C126" s="46"/>
      <c r="D126" s="46"/>
      <c r="E126" s="49"/>
      <c r="F126" s="49"/>
      <c r="G126" s="49"/>
      <c r="H126" s="49"/>
      <c r="I126" s="49"/>
      <c r="J126" s="46"/>
      <c r="K126" s="46"/>
      <c r="L126" s="46"/>
      <c r="M126" s="46"/>
      <c r="N126" s="46"/>
      <c r="O126" s="46"/>
      <c r="P126" s="46"/>
      <c r="Q126" s="46"/>
      <c r="R126" s="46"/>
      <c r="S126" s="46"/>
      <c r="T126" s="46"/>
      <c r="U126" s="46"/>
      <c r="V126" s="46"/>
      <c r="W126" s="46"/>
      <c r="X126" s="46"/>
      <c r="Y126" s="46"/>
      <c r="Z126" s="46"/>
      <c r="AA126" s="46"/>
      <c r="AB126" s="46"/>
      <c r="AC126" s="46"/>
      <c r="AD126" s="46"/>
      <c r="AE126" s="46"/>
      <c r="AF126" s="46"/>
      <c r="AG126" s="46"/>
      <c r="AH126" s="46"/>
      <c r="AI126" s="46"/>
      <c r="AJ126" s="46"/>
      <c r="AK126" s="46"/>
      <c r="AL126" s="46"/>
      <c r="AM126" s="46"/>
      <c r="AN126" s="46"/>
      <c r="AO126" s="46"/>
      <c r="AP126" s="46"/>
      <c r="AQ126" s="46"/>
      <c r="AR126" s="46"/>
      <c r="AS126" s="46"/>
      <c r="AT126" s="46"/>
      <c r="AU126" s="46"/>
      <c r="AV126" s="46"/>
    </row>
    <row r="127" spans="1:48" x14ac:dyDescent="0.35">
      <c r="A127" s="46"/>
      <c r="B127" s="46"/>
      <c r="C127" s="46"/>
      <c r="D127" s="46"/>
      <c r="E127" s="49"/>
      <c r="F127" s="49"/>
      <c r="G127" s="49"/>
      <c r="H127" s="49"/>
      <c r="I127" s="49"/>
      <c r="J127" s="46"/>
      <c r="K127" s="46"/>
      <c r="L127" s="46"/>
      <c r="M127" s="46"/>
      <c r="N127" s="46"/>
      <c r="O127" s="46"/>
      <c r="P127" s="46"/>
      <c r="Q127" s="46"/>
      <c r="R127" s="46"/>
      <c r="S127" s="46"/>
      <c r="T127" s="46"/>
      <c r="U127" s="46"/>
      <c r="V127" s="46"/>
      <c r="W127" s="46"/>
      <c r="X127" s="46"/>
      <c r="Y127" s="46"/>
      <c r="Z127" s="46"/>
      <c r="AA127" s="46"/>
      <c r="AB127" s="46"/>
      <c r="AC127" s="46"/>
      <c r="AD127" s="46"/>
      <c r="AE127" s="46"/>
      <c r="AF127" s="46"/>
      <c r="AG127" s="46"/>
      <c r="AH127" s="46"/>
      <c r="AI127" s="46"/>
      <c r="AJ127" s="46"/>
      <c r="AK127" s="46"/>
      <c r="AL127" s="46"/>
      <c r="AM127" s="46"/>
      <c r="AN127" s="46"/>
      <c r="AO127" s="46"/>
      <c r="AP127" s="46"/>
      <c r="AQ127" s="46"/>
      <c r="AR127" s="46"/>
      <c r="AS127" s="46"/>
      <c r="AT127" s="46"/>
      <c r="AU127" s="46"/>
      <c r="AV127" s="46"/>
    </row>
    <row r="128" spans="1:48" x14ac:dyDescent="0.35">
      <c r="A128" s="46"/>
      <c r="B128" s="46"/>
      <c r="C128" s="46"/>
      <c r="D128" s="46"/>
      <c r="E128" s="49"/>
      <c r="F128" s="49"/>
      <c r="G128" s="49"/>
      <c r="H128" s="49"/>
      <c r="I128" s="49"/>
      <c r="J128" s="46"/>
      <c r="K128" s="46"/>
      <c r="L128" s="46"/>
      <c r="M128" s="46"/>
      <c r="N128" s="46"/>
      <c r="O128" s="46"/>
      <c r="P128" s="46"/>
      <c r="Q128" s="46"/>
      <c r="R128" s="46"/>
      <c r="S128" s="46"/>
      <c r="T128" s="46"/>
      <c r="U128" s="46"/>
      <c r="V128" s="46"/>
      <c r="W128" s="46"/>
      <c r="X128" s="46"/>
      <c r="Y128" s="46"/>
      <c r="Z128" s="46"/>
      <c r="AA128" s="46"/>
      <c r="AB128" s="46"/>
      <c r="AC128" s="46"/>
      <c r="AD128" s="46"/>
      <c r="AE128" s="46"/>
      <c r="AF128" s="46"/>
      <c r="AG128" s="46"/>
      <c r="AH128" s="46"/>
      <c r="AI128" s="46"/>
      <c r="AJ128" s="46"/>
      <c r="AK128" s="46"/>
      <c r="AL128" s="46"/>
      <c r="AM128" s="46"/>
      <c r="AN128" s="46"/>
      <c r="AO128" s="46"/>
      <c r="AP128" s="46"/>
      <c r="AQ128" s="46"/>
      <c r="AR128" s="46"/>
      <c r="AS128" s="46"/>
      <c r="AT128" s="46"/>
      <c r="AU128" s="46"/>
      <c r="AV128" s="46"/>
    </row>
    <row r="129" spans="1:48" x14ac:dyDescent="0.35">
      <c r="A129" s="46"/>
      <c r="B129" s="46"/>
      <c r="C129" s="46"/>
      <c r="D129" s="46"/>
      <c r="E129" s="49"/>
      <c r="F129" s="49"/>
      <c r="G129" s="49"/>
      <c r="H129" s="49"/>
      <c r="I129" s="49"/>
      <c r="J129" s="46"/>
      <c r="K129" s="46"/>
      <c r="L129" s="46"/>
      <c r="M129" s="46"/>
      <c r="N129" s="46"/>
      <c r="O129" s="46"/>
      <c r="P129" s="46"/>
      <c r="Q129" s="46"/>
      <c r="R129" s="46"/>
      <c r="S129" s="46"/>
      <c r="T129" s="46"/>
      <c r="U129" s="46"/>
      <c r="V129" s="46"/>
      <c r="W129" s="46"/>
      <c r="X129" s="46"/>
      <c r="Y129" s="46"/>
      <c r="Z129" s="46"/>
      <c r="AA129" s="46"/>
      <c r="AB129" s="46"/>
      <c r="AC129" s="46"/>
      <c r="AD129" s="46"/>
      <c r="AE129" s="46"/>
      <c r="AF129" s="46"/>
      <c r="AG129" s="46"/>
      <c r="AH129" s="46"/>
      <c r="AI129" s="46"/>
      <c r="AJ129" s="46"/>
      <c r="AK129" s="46"/>
      <c r="AL129" s="46"/>
      <c r="AM129" s="46"/>
      <c r="AN129" s="46"/>
      <c r="AO129" s="46"/>
      <c r="AP129" s="46"/>
      <c r="AQ129" s="46"/>
      <c r="AR129" s="46"/>
      <c r="AS129" s="46"/>
      <c r="AT129" s="46"/>
      <c r="AU129" s="46"/>
      <c r="AV129" s="46"/>
    </row>
    <row r="130" spans="1:48" x14ac:dyDescent="0.35">
      <c r="A130" s="46"/>
      <c r="B130" s="46"/>
      <c r="C130" s="46"/>
      <c r="D130" s="46"/>
      <c r="E130" s="49"/>
      <c r="F130" s="49"/>
      <c r="G130" s="49"/>
      <c r="H130" s="49"/>
      <c r="I130" s="49"/>
      <c r="J130" s="46"/>
      <c r="K130" s="46"/>
      <c r="L130" s="46"/>
      <c r="M130" s="46"/>
      <c r="N130" s="46"/>
      <c r="O130" s="46"/>
      <c r="P130" s="46"/>
      <c r="Q130" s="46"/>
      <c r="R130" s="46"/>
      <c r="S130" s="46"/>
      <c r="T130" s="46"/>
      <c r="U130" s="46"/>
      <c r="V130" s="46"/>
      <c r="W130" s="46"/>
      <c r="X130" s="46"/>
      <c r="Y130" s="46"/>
      <c r="Z130" s="46"/>
      <c r="AA130" s="46"/>
      <c r="AB130" s="46"/>
      <c r="AC130" s="46"/>
      <c r="AD130" s="46"/>
      <c r="AE130" s="46"/>
      <c r="AF130" s="46"/>
      <c r="AG130" s="46"/>
      <c r="AH130" s="46"/>
      <c r="AI130" s="46"/>
      <c r="AJ130" s="46"/>
      <c r="AK130" s="46"/>
      <c r="AL130" s="46"/>
      <c r="AM130" s="46"/>
      <c r="AN130" s="46"/>
      <c r="AO130" s="46"/>
      <c r="AP130" s="46"/>
      <c r="AQ130" s="46"/>
      <c r="AR130" s="46"/>
      <c r="AS130" s="46"/>
      <c r="AT130" s="46"/>
      <c r="AU130" s="46"/>
      <c r="AV130" s="46"/>
    </row>
    <row r="131" spans="1:48" x14ac:dyDescent="0.35">
      <c r="A131" s="46"/>
      <c r="B131" s="46"/>
      <c r="C131" s="46"/>
      <c r="D131" s="46"/>
      <c r="E131" s="49"/>
      <c r="F131" s="49"/>
      <c r="G131" s="49"/>
      <c r="H131" s="49"/>
      <c r="I131" s="49"/>
      <c r="J131" s="46"/>
      <c r="K131" s="46"/>
      <c r="L131" s="46"/>
      <c r="M131" s="46"/>
      <c r="N131" s="46"/>
      <c r="O131" s="46"/>
      <c r="P131" s="46"/>
      <c r="Q131" s="46"/>
      <c r="R131" s="46"/>
      <c r="S131" s="46"/>
      <c r="T131" s="46"/>
      <c r="U131" s="46"/>
      <c r="V131" s="46"/>
      <c r="W131" s="46"/>
      <c r="X131" s="46"/>
      <c r="Y131" s="46"/>
      <c r="Z131" s="46"/>
      <c r="AA131" s="46"/>
      <c r="AB131" s="46"/>
      <c r="AC131" s="46"/>
      <c r="AD131" s="46"/>
      <c r="AE131" s="46"/>
      <c r="AF131" s="46"/>
      <c r="AG131" s="46"/>
      <c r="AH131" s="46"/>
      <c r="AI131" s="46"/>
      <c r="AJ131" s="46"/>
      <c r="AK131" s="46"/>
      <c r="AL131" s="46"/>
      <c r="AM131" s="46"/>
      <c r="AN131" s="46"/>
      <c r="AO131" s="46"/>
      <c r="AP131" s="46"/>
      <c r="AQ131" s="46"/>
      <c r="AR131" s="46"/>
      <c r="AS131" s="46"/>
      <c r="AT131" s="46"/>
      <c r="AU131" s="46"/>
      <c r="AV131" s="46"/>
    </row>
    <row r="132" spans="1:48" x14ac:dyDescent="0.35">
      <c r="A132" s="46"/>
      <c r="B132" s="46"/>
      <c r="C132" s="46"/>
      <c r="D132" s="46"/>
      <c r="E132" s="49"/>
      <c r="F132" s="49"/>
      <c r="G132" s="49"/>
      <c r="H132" s="49"/>
      <c r="I132" s="49"/>
      <c r="J132" s="46"/>
      <c r="K132" s="46"/>
      <c r="L132" s="46"/>
      <c r="M132" s="46"/>
      <c r="N132" s="46"/>
      <c r="O132" s="46"/>
      <c r="P132" s="46"/>
      <c r="Q132" s="46"/>
      <c r="R132" s="46"/>
      <c r="S132" s="46"/>
      <c r="T132" s="46"/>
      <c r="U132" s="46"/>
      <c r="V132" s="46"/>
      <c r="W132" s="46"/>
      <c r="X132" s="46"/>
      <c r="Y132" s="46"/>
      <c r="Z132" s="46"/>
      <c r="AA132" s="46"/>
      <c r="AB132" s="46"/>
      <c r="AC132" s="46"/>
      <c r="AD132" s="46"/>
      <c r="AE132" s="46"/>
      <c r="AF132" s="46"/>
      <c r="AG132" s="46"/>
      <c r="AH132" s="46"/>
      <c r="AI132" s="46"/>
      <c r="AJ132" s="46"/>
      <c r="AK132" s="46"/>
      <c r="AL132" s="46"/>
      <c r="AM132" s="46"/>
      <c r="AN132" s="46"/>
      <c r="AO132" s="46"/>
      <c r="AP132" s="46"/>
      <c r="AQ132" s="46"/>
      <c r="AR132" s="46"/>
      <c r="AS132" s="46"/>
      <c r="AT132" s="46"/>
      <c r="AU132" s="46"/>
      <c r="AV132" s="46"/>
    </row>
  </sheetData>
  <customSheetViews>
    <customSheetView guid="{00D35A15-206C-4C0C-8347-C5B4FB706EF6}" scale="85" showPageBreaks="1" hiddenRows="1" hiddenColumns="1">
      <pane ySplit="6" topLeftCell="A11" activePane="bottomLeft" state="frozenSplit"/>
      <selection pane="bottomLeft" activeCell="I30" sqref="I30"/>
      <pageMargins left="0.7" right="0.7" top="0.75" bottom="0.75" header="0.3" footer="0.3"/>
    </customSheetView>
  </customSheetViews>
  <mergeCells count="20">
    <mergeCell ref="K2:AH2"/>
    <mergeCell ref="F5:F6"/>
    <mergeCell ref="G5:G6"/>
    <mergeCell ref="H5:H6"/>
    <mergeCell ref="I5:I6"/>
    <mergeCell ref="AE5:AG5"/>
    <mergeCell ref="V5:X5"/>
    <mergeCell ref="P5:P6"/>
    <mergeCell ref="Q5:Q6"/>
    <mergeCell ref="AH5:AH6"/>
    <mergeCell ref="O5:O6"/>
    <mergeCell ref="N5:N6"/>
    <mergeCell ref="S5:U5"/>
    <mergeCell ref="Y5:AA5"/>
    <mergeCell ref="AB5:AD5"/>
    <mergeCell ref="R5:R6"/>
    <mergeCell ref="K5:K6"/>
    <mergeCell ref="L5:M5"/>
    <mergeCell ref="B5:C6"/>
    <mergeCell ref="E5:E6"/>
  </mergeCells>
  <phoneticPr fontId="0" type="noConversion"/>
  <dataValidations count="2">
    <dataValidation type="list" allowBlank="1" showInputMessage="1" showErrorMessage="1" sqref="C7" xr:uid="{00000000-0002-0000-0700-000000000000}">
      <formula1>"1,2,3,4,5"</formula1>
    </dataValidation>
    <dataValidation type="list" allowBlank="1" showInputMessage="1" showErrorMessage="1" sqref="C8:C10" xr:uid="{00000000-0002-0000-0700-000001000000}">
      <formula1>"Y,N"</formula1>
    </dataValidation>
  </dataValidation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B2:K43"/>
  <sheetViews>
    <sheetView showGridLines="0" topLeftCell="A23" zoomScaleNormal="100" workbookViewId="0">
      <selection activeCell="B2" sqref="B2:B3"/>
    </sheetView>
  </sheetViews>
  <sheetFormatPr defaultColWidth="9.36328125" defaultRowHeight="14" x14ac:dyDescent="0.3"/>
  <cols>
    <col min="1" max="1" width="9.36328125" style="56"/>
    <col min="2" max="2" width="9.6328125" style="56" customWidth="1"/>
    <col min="3" max="3" width="16" style="56" customWidth="1"/>
    <col min="4" max="5" width="16.6328125" style="56" customWidth="1"/>
    <col min="6" max="6" width="15.6328125" style="56" customWidth="1"/>
    <col min="7" max="7" width="21.6328125" style="56" customWidth="1"/>
    <col min="8" max="8" width="17.36328125" style="56" customWidth="1"/>
    <col min="9" max="9" width="12.54296875" style="56" hidden="1" customWidth="1"/>
    <col min="10" max="10" width="2.36328125" style="56" hidden="1" customWidth="1"/>
    <col min="11" max="11" width="17.54296875" style="56" customWidth="1"/>
    <col min="12" max="14" width="7.453125" style="56" customWidth="1"/>
    <col min="15" max="16384" width="9.36328125" style="56"/>
  </cols>
  <sheetData>
    <row r="2" spans="2:11" ht="52" x14ac:dyDescent="0.3">
      <c r="B2" s="407"/>
      <c r="C2" s="54" t="s">
        <v>1</v>
      </c>
      <c r="D2" s="55" t="s">
        <v>1085</v>
      </c>
      <c r="E2" s="55" t="s">
        <v>1325</v>
      </c>
      <c r="F2" s="55" t="s">
        <v>1325</v>
      </c>
      <c r="G2" s="55" t="s">
        <v>1327</v>
      </c>
      <c r="H2" s="54" t="s">
        <v>1375</v>
      </c>
      <c r="I2" s="55" t="s">
        <v>26</v>
      </c>
      <c r="J2" s="54" t="s">
        <v>1087</v>
      </c>
      <c r="K2" s="54" t="s">
        <v>1377</v>
      </c>
    </row>
    <row r="3" spans="2:11" x14ac:dyDescent="0.3">
      <c r="B3" s="408"/>
      <c r="C3" s="54" t="s">
        <v>2</v>
      </c>
      <c r="D3" s="54" t="s">
        <v>1372</v>
      </c>
      <c r="E3" s="54" t="s">
        <v>1373</v>
      </c>
      <c r="F3" s="54" t="s">
        <v>1337</v>
      </c>
      <c r="G3" s="54" t="s">
        <v>1374</v>
      </c>
      <c r="H3" s="54" t="s">
        <v>1376</v>
      </c>
      <c r="I3" s="54" t="s">
        <v>1096</v>
      </c>
      <c r="J3" s="54">
        <v>14680</v>
      </c>
      <c r="K3" s="54" t="s">
        <v>1378</v>
      </c>
    </row>
    <row r="4" spans="2:11" ht="14.5" x14ac:dyDescent="0.3">
      <c r="B4" s="149"/>
      <c r="C4" s="57" t="s">
        <v>7</v>
      </c>
      <c r="D4" s="151" t="s">
        <v>1379</v>
      </c>
      <c r="E4" s="151" t="s">
        <v>1379</v>
      </c>
      <c r="F4" s="151" t="s">
        <v>1447</v>
      </c>
      <c r="G4" s="151" t="s">
        <v>1448</v>
      </c>
      <c r="H4" s="151" t="s">
        <v>1469</v>
      </c>
      <c r="I4" s="150"/>
      <c r="J4" s="150"/>
      <c r="K4" s="151" t="s">
        <v>1379</v>
      </c>
    </row>
    <row r="5" spans="2:11" ht="63" customHeight="1" x14ac:dyDescent="0.3">
      <c r="B5" s="405" t="s">
        <v>24</v>
      </c>
      <c r="C5" s="57" t="s">
        <v>3</v>
      </c>
      <c r="D5" s="88" t="s">
        <v>1326</v>
      </c>
      <c r="E5" s="88" t="s">
        <v>1326</v>
      </c>
      <c r="F5" s="88" t="s">
        <v>1430</v>
      </c>
      <c r="G5" s="88" t="s">
        <v>1477</v>
      </c>
      <c r="H5" s="88" t="s">
        <v>1326</v>
      </c>
      <c r="I5" s="63" t="s">
        <v>1086</v>
      </c>
      <c r="J5" s="63" t="s">
        <v>1089</v>
      </c>
      <c r="K5" s="88" t="s">
        <v>1415</v>
      </c>
    </row>
    <row r="6" spans="2:11" ht="14.5" x14ac:dyDescent="0.3">
      <c r="B6" s="406"/>
      <c r="C6" s="57" t="s">
        <v>4</v>
      </c>
      <c r="D6" s="88">
        <v>170</v>
      </c>
      <c r="E6" s="88">
        <v>120</v>
      </c>
      <c r="F6" s="88" t="s">
        <v>1431</v>
      </c>
      <c r="G6" s="62">
        <v>100</v>
      </c>
      <c r="H6" s="62">
        <v>120</v>
      </c>
      <c r="I6" s="62">
        <v>48</v>
      </c>
      <c r="J6" s="62">
        <v>96</v>
      </c>
      <c r="K6" s="158">
        <v>180</v>
      </c>
    </row>
    <row r="7" spans="2:11" ht="14.5" x14ac:dyDescent="0.3">
      <c r="B7" s="406"/>
      <c r="C7" s="57" t="s">
        <v>1385</v>
      </c>
      <c r="D7" s="148" t="s">
        <v>1386</v>
      </c>
      <c r="E7" s="148" t="s">
        <v>1420</v>
      </c>
      <c r="F7" s="148" t="s">
        <v>1432</v>
      </c>
      <c r="G7" s="148" t="s">
        <v>1478</v>
      </c>
      <c r="H7" s="148"/>
      <c r="I7" s="148" t="s">
        <v>934</v>
      </c>
      <c r="J7" s="148" t="s">
        <v>934</v>
      </c>
      <c r="K7" s="158" t="s">
        <v>1387</v>
      </c>
    </row>
    <row r="8" spans="2:11" ht="14.5" x14ac:dyDescent="0.3">
      <c r="B8" s="406"/>
      <c r="C8" s="57" t="s">
        <v>5</v>
      </c>
      <c r="D8" s="157" t="s">
        <v>1381</v>
      </c>
      <c r="E8" s="64">
        <v>256</v>
      </c>
      <c r="F8" s="64" t="s">
        <v>1450</v>
      </c>
      <c r="G8" s="64" t="s">
        <v>1449</v>
      </c>
      <c r="H8" s="64" t="s">
        <v>1381</v>
      </c>
      <c r="I8" s="64" t="s">
        <v>1097</v>
      </c>
      <c r="J8" s="64">
        <v>1024</v>
      </c>
      <c r="K8" s="157">
        <v>256</v>
      </c>
    </row>
    <row r="9" spans="2:11" ht="14.5" x14ac:dyDescent="0.3">
      <c r="B9" s="406"/>
      <c r="C9" s="57" t="s">
        <v>6</v>
      </c>
      <c r="D9" s="157" t="s">
        <v>1382</v>
      </c>
      <c r="E9" s="61">
        <v>48</v>
      </c>
      <c r="F9" s="61" t="s">
        <v>1451</v>
      </c>
      <c r="G9" s="155" t="s">
        <v>1452</v>
      </c>
      <c r="H9" s="61" t="s">
        <v>1439</v>
      </c>
      <c r="I9" s="63">
        <v>64</v>
      </c>
      <c r="J9" s="63">
        <v>128</v>
      </c>
      <c r="K9" s="157">
        <v>64</v>
      </c>
    </row>
    <row r="10" spans="2:11" ht="112.5" x14ac:dyDescent="0.3">
      <c r="B10" s="406"/>
      <c r="C10" s="57" t="s">
        <v>1328</v>
      </c>
      <c r="D10" s="64" t="s">
        <v>1383</v>
      </c>
      <c r="E10" s="61" t="s">
        <v>934</v>
      </c>
      <c r="F10" s="61" t="s">
        <v>934</v>
      </c>
      <c r="G10" s="61" t="s">
        <v>933</v>
      </c>
      <c r="H10" s="61" t="s">
        <v>934</v>
      </c>
      <c r="I10" s="63"/>
      <c r="J10" s="63" t="s">
        <v>1329</v>
      </c>
      <c r="K10" s="153" t="s">
        <v>1384</v>
      </c>
    </row>
    <row r="11" spans="2:11" ht="50.5" x14ac:dyDescent="0.3">
      <c r="B11" s="138"/>
      <c r="C11" s="57" t="s">
        <v>1416</v>
      </c>
      <c r="D11" s="153" t="s">
        <v>1417</v>
      </c>
      <c r="E11" s="61">
        <v>0</v>
      </c>
      <c r="F11" s="162" t="s">
        <v>1437</v>
      </c>
      <c r="G11" s="61" t="s">
        <v>933</v>
      </c>
      <c r="H11" s="61" t="s">
        <v>933</v>
      </c>
      <c r="I11" s="63"/>
      <c r="J11" s="63"/>
      <c r="K11" s="61" t="s">
        <v>1418</v>
      </c>
    </row>
    <row r="12" spans="2:11" ht="25" x14ac:dyDescent="0.3">
      <c r="B12" s="66"/>
      <c r="C12" s="57" t="s">
        <v>1380</v>
      </c>
      <c r="D12" s="68" t="s">
        <v>28</v>
      </c>
      <c r="E12" s="68" t="s">
        <v>28</v>
      </c>
      <c r="F12" s="68" t="s">
        <v>28</v>
      </c>
      <c r="G12" s="68" t="s">
        <v>1468</v>
      </c>
      <c r="H12" s="68" t="s">
        <v>28</v>
      </c>
      <c r="I12" s="67" t="s">
        <v>27</v>
      </c>
      <c r="J12" s="67" t="s">
        <v>1090</v>
      </c>
      <c r="K12" s="67" t="s">
        <v>28</v>
      </c>
    </row>
    <row r="13" spans="2:11" ht="14.15" customHeight="1" x14ac:dyDescent="0.3">
      <c r="B13" s="409" t="s">
        <v>23</v>
      </c>
      <c r="C13" s="58" t="s">
        <v>8</v>
      </c>
      <c r="D13" s="159" t="s">
        <v>1388</v>
      </c>
      <c r="E13" s="90">
        <v>3</v>
      </c>
      <c r="F13" s="411" t="s">
        <v>1438</v>
      </c>
      <c r="G13" s="90">
        <v>3</v>
      </c>
      <c r="H13" s="64" t="s">
        <v>1402</v>
      </c>
      <c r="I13" s="64"/>
      <c r="J13" s="64"/>
      <c r="K13" s="399">
        <v>5</v>
      </c>
    </row>
    <row r="14" spans="2:11" ht="14.5" x14ac:dyDescent="0.3">
      <c r="B14" s="410"/>
      <c r="C14" s="58" t="s">
        <v>9</v>
      </c>
      <c r="D14" s="159" t="s">
        <v>1389</v>
      </c>
      <c r="E14" s="90">
        <v>2</v>
      </c>
      <c r="F14" s="412"/>
      <c r="G14" s="90">
        <v>3</v>
      </c>
      <c r="H14" s="61">
        <v>2</v>
      </c>
      <c r="I14" s="64"/>
      <c r="J14" s="64"/>
      <c r="K14" s="400"/>
    </row>
    <row r="15" spans="2:11" ht="14.5" x14ac:dyDescent="0.3">
      <c r="B15" s="410"/>
      <c r="C15" s="58" t="s">
        <v>10</v>
      </c>
      <c r="D15" s="159" t="s">
        <v>1389</v>
      </c>
      <c r="E15" s="90">
        <v>2</v>
      </c>
      <c r="F15" s="413"/>
      <c r="G15" s="90">
        <v>3</v>
      </c>
      <c r="H15" s="61">
        <v>2</v>
      </c>
      <c r="I15" s="64"/>
      <c r="J15" s="64"/>
      <c r="K15" s="401"/>
    </row>
    <row r="16" spans="2:11" ht="14.5" x14ac:dyDescent="0.3">
      <c r="B16" s="410"/>
      <c r="C16" s="58" t="s">
        <v>980</v>
      </c>
      <c r="D16" s="159" t="s">
        <v>934</v>
      </c>
      <c r="E16" s="90">
        <v>0</v>
      </c>
      <c r="F16" s="61">
        <v>0</v>
      </c>
      <c r="G16" s="60">
        <v>0</v>
      </c>
      <c r="H16" s="61">
        <v>0</v>
      </c>
      <c r="I16" s="64"/>
      <c r="J16" s="64"/>
      <c r="K16" s="152" t="s">
        <v>99</v>
      </c>
    </row>
    <row r="17" spans="2:11" ht="14.5" x14ac:dyDescent="0.3">
      <c r="B17" s="410"/>
      <c r="C17" s="58" t="s">
        <v>1419</v>
      </c>
      <c r="D17" s="159" t="s">
        <v>934</v>
      </c>
      <c r="E17" s="90">
        <v>0</v>
      </c>
      <c r="F17" s="61" t="s">
        <v>934</v>
      </c>
      <c r="G17" s="60">
        <v>0</v>
      </c>
      <c r="H17" s="61">
        <v>0</v>
      </c>
      <c r="I17" s="64"/>
      <c r="J17" s="64"/>
      <c r="K17" s="152" t="s">
        <v>99</v>
      </c>
    </row>
    <row r="18" spans="2:11" ht="14.5" x14ac:dyDescent="0.3">
      <c r="B18" s="410"/>
      <c r="C18" s="58" t="s">
        <v>1390</v>
      </c>
      <c r="D18" s="159" t="s">
        <v>1391</v>
      </c>
      <c r="E18" s="90">
        <v>0</v>
      </c>
      <c r="F18" s="61">
        <v>0</v>
      </c>
      <c r="G18" s="60">
        <v>1</v>
      </c>
      <c r="H18" s="61">
        <v>1</v>
      </c>
      <c r="I18" s="64"/>
      <c r="J18" s="64"/>
      <c r="K18" s="152">
        <v>2</v>
      </c>
    </row>
    <row r="19" spans="2:11" ht="39" x14ac:dyDescent="0.3">
      <c r="B19" s="410"/>
      <c r="C19" s="58" t="s">
        <v>1465</v>
      </c>
      <c r="D19" s="61" t="s">
        <v>1392</v>
      </c>
      <c r="E19" s="90" t="s">
        <v>1392</v>
      </c>
      <c r="F19" s="61" t="s">
        <v>1445</v>
      </c>
      <c r="G19" s="60" t="s">
        <v>1392</v>
      </c>
      <c r="H19" s="61" t="s">
        <v>1476</v>
      </c>
      <c r="I19" s="64"/>
      <c r="J19" s="64"/>
      <c r="K19" s="160" t="s">
        <v>1393</v>
      </c>
    </row>
    <row r="20" spans="2:11" ht="26.75" customHeight="1" x14ac:dyDescent="0.3">
      <c r="B20" s="410"/>
      <c r="C20" s="58" t="s">
        <v>1394</v>
      </c>
      <c r="D20" s="61">
        <v>2</v>
      </c>
      <c r="E20" s="64">
        <v>0</v>
      </c>
      <c r="F20" s="160">
        <v>20</v>
      </c>
      <c r="G20" s="411">
        <v>9</v>
      </c>
      <c r="H20" s="64"/>
      <c r="I20" s="64"/>
      <c r="J20" s="64"/>
      <c r="K20" s="154">
        <v>4</v>
      </c>
    </row>
    <row r="21" spans="2:11" ht="26.75" customHeight="1" x14ac:dyDescent="0.35">
      <c r="B21" s="139"/>
      <c r="C21" s="58" t="s">
        <v>1395</v>
      </c>
      <c r="D21" s="159" t="s">
        <v>1396</v>
      </c>
      <c r="E21" s="61">
        <v>12</v>
      </c>
      <c r="F21" s="61">
        <v>0</v>
      </c>
      <c r="G21" s="413"/>
      <c r="H21" s="61"/>
      <c r="I21" s="61"/>
      <c r="J21" s="61"/>
      <c r="K21" s="159">
        <v>20</v>
      </c>
    </row>
    <row r="22" spans="2:11" ht="26.75" customHeight="1" x14ac:dyDescent="0.35">
      <c r="B22" s="147"/>
      <c r="C22" s="58" t="s">
        <v>1456</v>
      </c>
      <c r="D22" s="156">
        <v>0</v>
      </c>
      <c r="E22" s="61">
        <v>0</v>
      </c>
      <c r="F22" s="61">
        <v>0</v>
      </c>
      <c r="G22" s="61" t="s">
        <v>1455</v>
      </c>
      <c r="H22" s="61"/>
      <c r="I22" s="61"/>
      <c r="J22" s="61"/>
      <c r="K22" s="159">
        <v>0</v>
      </c>
    </row>
    <row r="23" spans="2:11" ht="37.5" x14ac:dyDescent="0.3">
      <c r="B23" s="87"/>
      <c r="C23" s="58" t="s">
        <v>1088</v>
      </c>
      <c r="D23" s="61" t="s">
        <v>1407</v>
      </c>
      <c r="E23" s="61" t="s">
        <v>1426</v>
      </c>
      <c r="F23" s="153" t="s">
        <v>1440</v>
      </c>
      <c r="G23" s="61"/>
      <c r="H23" s="61" t="s">
        <v>1472</v>
      </c>
      <c r="I23" s="61"/>
      <c r="J23" s="61"/>
      <c r="K23" s="153" t="s">
        <v>1408</v>
      </c>
    </row>
    <row r="24" spans="2:11" x14ac:dyDescent="0.3">
      <c r="B24" s="402" t="s">
        <v>20</v>
      </c>
      <c r="C24" s="59" t="s">
        <v>11</v>
      </c>
      <c r="D24" s="64" t="s">
        <v>12</v>
      </c>
      <c r="E24" s="64" t="s">
        <v>12</v>
      </c>
      <c r="F24" s="64" t="s">
        <v>12</v>
      </c>
      <c r="G24" s="64" t="s">
        <v>12</v>
      </c>
      <c r="H24" s="64" t="s">
        <v>12</v>
      </c>
      <c r="I24" s="64"/>
      <c r="J24" s="64"/>
      <c r="K24" s="64" t="s">
        <v>12</v>
      </c>
    </row>
    <row r="25" spans="2:11" ht="26" x14ac:dyDescent="0.3">
      <c r="B25" s="403"/>
      <c r="C25" s="59" t="s">
        <v>13</v>
      </c>
      <c r="D25" s="64" t="s">
        <v>1397</v>
      </c>
      <c r="E25" s="64" t="s">
        <v>1423</v>
      </c>
      <c r="F25" s="64" t="s">
        <v>1441</v>
      </c>
      <c r="G25" s="64" t="s">
        <v>1453</v>
      </c>
      <c r="H25" s="64" t="s">
        <v>1397</v>
      </c>
      <c r="I25" s="63"/>
      <c r="J25" s="63"/>
      <c r="K25" s="64" t="s">
        <v>1397</v>
      </c>
    </row>
    <row r="26" spans="2:11" x14ac:dyDescent="0.3">
      <c r="B26" s="403"/>
      <c r="C26" s="59" t="s">
        <v>1398</v>
      </c>
      <c r="D26" s="65" t="s">
        <v>1399</v>
      </c>
      <c r="E26" s="64" t="s">
        <v>1428</v>
      </c>
      <c r="F26" s="64" t="s">
        <v>1442</v>
      </c>
      <c r="G26" s="64" t="s">
        <v>1454</v>
      </c>
      <c r="H26" s="64"/>
      <c r="I26" s="63"/>
      <c r="J26" s="63"/>
      <c r="K26" s="65" t="s">
        <v>1401</v>
      </c>
    </row>
    <row r="27" spans="2:11" ht="26" x14ac:dyDescent="0.3">
      <c r="B27" s="403"/>
      <c r="C27" s="59" t="s">
        <v>14</v>
      </c>
      <c r="D27" s="64" t="s">
        <v>1400</v>
      </c>
      <c r="E27" s="64" t="s">
        <v>1429</v>
      </c>
      <c r="F27" s="64">
        <v>1000</v>
      </c>
      <c r="G27" s="64">
        <v>3500</v>
      </c>
      <c r="H27" s="64" t="s">
        <v>1473</v>
      </c>
      <c r="I27" s="64"/>
      <c r="J27" s="64"/>
      <c r="K27" s="154" t="s">
        <v>1479</v>
      </c>
    </row>
    <row r="28" spans="2:11" ht="26" x14ac:dyDescent="0.3">
      <c r="B28" s="403"/>
      <c r="C28" s="59" t="s">
        <v>15</v>
      </c>
      <c r="D28" s="61" t="s">
        <v>1402</v>
      </c>
      <c r="E28" s="61">
        <v>2</v>
      </c>
      <c r="F28" s="64">
        <v>5</v>
      </c>
      <c r="G28" s="60">
        <v>3</v>
      </c>
      <c r="H28" s="60" t="s">
        <v>1404</v>
      </c>
      <c r="I28" s="61"/>
      <c r="J28" s="61"/>
      <c r="K28" s="60">
        <v>5</v>
      </c>
    </row>
    <row r="29" spans="2:11" x14ac:dyDescent="0.3">
      <c r="B29" s="403"/>
      <c r="C29" s="59" t="s">
        <v>1403</v>
      </c>
      <c r="D29" s="61">
        <v>0</v>
      </c>
      <c r="E29" s="61">
        <v>0</v>
      </c>
      <c r="F29" s="61">
        <v>0</v>
      </c>
      <c r="G29" s="60">
        <v>0</v>
      </c>
      <c r="H29" s="60">
        <v>0</v>
      </c>
      <c r="I29" s="61"/>
      <c r="J29" s="61"/>
      <c r="K29" s="161">
        <v>1</v>
      </c>
    </row>
    <row r="30" spans="2:11" ht="25" x14ac:dyDescent="0.3">
      <c r="B30" s="403"/>
      <c r="C30" s="59" t="s">
        <v>16</v>
      </c>
      <c r="D30" s="61" t="s">
        <v>1404</v>
      </c>
      <c r="E30" s="61">
        <v>0</v>
      </c>
      <c r="F30" s="61">
        <v>0</v>
      </c>
      <c r="G30" s="60">
        <v>3</v>
      </c>
      <c r="H30" s="60" t="s">
        <v>1404</v>
      </c>
      <c r="I30" s="64"/>
      <c r="J30" s="64"/>
      <c r="K30" s="60" t="s">
        <v>1405</v>
      </c>
    </row>
    <row r="31" spans="2:11" x14ac:dyDescent="0.3">
      <c r="B31" s="403"/>
      <c r="C31" s="59" t="s">
        <v>17</v>
      </c>
      <c r="D31" s="63" t="s">
        <v>1406</v>
      </c>
      <c r="E31" s="63" t="s">
        <v>1424</v>
      </c>
      <c r="F31" s="61">
        <v>0</v>
      </c>
      <c r="G31" s="61">
        <v>3</v>
      </c>
      <c r="H31" s="61"/>
      <c r="I31" s="64"/>
      <c r="J31" s="64"/>
      <c r="K31" s="61" t="s">
        <v>1425</v>
      </c>
    </row>
    <row r="32" spans="2:11" x14ac:dyDescent="0.3">
      <c r="B32" s="404"/>
      <c r="C32" s="59" t="s">
        <v>25</v>
      </c>
      <c r="D32" s="63" t="s">
        <v>934</v>
      </c>
      <c r="E32" s="63" t="s">
        <v>934</v>
      </c>
      <c r="F32" s="63" t="s">
        <v>934</v>
      </c>
      <c r="G32" s="63"/>
      <c r="H32" s="63"/>
      <c r="I32" s="63"/>
      <c r="J32" s="63"/>
      <c r="K32" s="63" t="s">
        <v>934</v>
      </c>
    </row>
    <row r="33" spans="2:11" x14ac:dyDescent="0.3">
      <c r="B33" s="137"/>
      <c r="C33" s="59" t="s">
        <v>1409</v>
      </c>
      <c r="D33" s="63" t="s">
        <v>1410</v>
      </c>
      <c r="E33" s="63" t="s">
        <v>1427</v>
      </c>
      <c r="F33" s="63" t="s">
        <v>1443</v>
      </c>
      <c r="G33" s="63"/>
      <c r="H33" s="63" t="s">
        <v>1474</v>
      </c>
      <c r="I33" s="63"/>
      <c r="J33" s="63"/>
      <c r="K33" s="63" t="s">
        <v>1411</v>
      </c>
    </row>
    <row r="34" spans="2:11" ht="50" x14ac:dyDescent="0.3">
      <c r="B34" s="146"/>
      <c r="C34" s="59" t="s">
        <v>1457</v>
      </c>
      <c r="D34" s="63" t="s">
        <v>1460</v>
      </c>
      <c r="E34" s="63" t="s">
        <v>99</v>
      </c>
      <c r="F34" s="63" t="s">
        <v>99</v>
      </c>
      <c r="G34" s="63" t="s">
        <v>1459</v>
      </c>
      <c r="H34" s="63" t="s">
        <v>1475</v>
      </c>
      <c r="I34" s="63"/>
      <c r="J34" s="63"/>
      <c r="K34" s="63" t="s">
        <v>1461</v>
      </c>
    </row>
    <row r="35" spans="2:11" x14ac:dyDescent="0.3">
      <c r="B35" s="146"/>
      <c r="C35" s="59" t="s">
        <v>1458</v>
      </c>
      <c r="D35" s="63" t="s">
        <v>1463</v>
      </c>
      <c r="E35" s="63" t="s">
        <v>1464</v>
      </c>
      <c r="F35" s="63" t="s">
        <v>1464</v>
      </c>
      <c r="G35" s="63" t="s">
        <v>1464</v>
      </c>
      <c r="H35" s="63" t="s">
        <v>1463</v>
      </c>
      <c r="I35" s="63"/>
      <c r="J35" s="63"/>
      <c r="K35" s="63" t="s">
        <v>1462</v>
      </c>
    </row>
    <row r="36" spans="2:11" x14ac:dyDescent="0.3">
      <c r="B36" s="54"/>
      <c r="C36" s="54" t="s">
        <v>18</v>
      </c>
      <c r="D36" s="73" t="s">
        <v>1422</v>
      </c>
      <c r="E36" s="73" t="s">
        <v>1446</v>
      </c>
      <c r="F36" s="73" t="s">
        <v>1439</v>
      </c>
      <c r="G36" s="73" t="s">
        <v>1467</v>
      </c>
      <c r="H36" s="73" t="s">
        <v>1470</v>
      </c>
      <c r="I36" s="73"/>
      <c r="J36" s="89"/>
      <c r="K36" s="92" t="s">
        <v>1412</v>
      </c>
    </row>
    <row r="37" spans="2:11" ht="62.5" x14ac:dyDescent="0.3">
      <c r="B37" s="54" t="s">
        <v>22</v>
      </c>
      <c r="C37" s="54" t="s">
        <v>19</v>
      </c>
      <c r="D37" s="73" t="s">
        <v>1413</v>
      </c>
      <c r="E37" s="73" t="s">
        <v>1421</v>
      </c>
      <c r="F37" s="73" t="s">
        <v>1444</v>
      </c>
      <c r="G37" s="73" t="s">
        <v>1466</v>
      </c>
      <c r="H37" s="73" t="s">
        <v>1471</v>
      </c>
      <c r="I37" s="73"/>
      <c r="J37" s="73"/>
      <c r="K37" s="91" t="s">
        <v>1414</v>
      </c>
    </row>
    <row r="38" spans="2:11" ht="7.25" customHeight="1" x14ac:dyDescent="0.3">
      <c r="B38" s="69"/>
      <c r="C38" s="69"/>
      <c r="F38" s="70"/>
      <c r="G38" s="70"/>
      <c r="H38" s="70"/>
      <c r="I38" s="71"/>
      <c r="J38" s="71"/>
      <c r="K38" s="70"/>
    </row>
    <row r="39" spans="2:11" x14ac:dyDescent="0.3">
      <c r="B39" s="69"/>
      <c r="C39" s="69"/>
      <c r="F39" s="69"/>
      <c r="G39" s="69"/>
      <c r="H39" s="69"/>
      <c r="I39" s="69"/>
      <c r="J39" s="69"/>
      <c r="K39" s="69"/>
    </row>
    <row r="40" spans="2:11" ht="15" customHeight="1" x14ac:dyDescent="0.3">
      <c r="B40" s="69"/>
      <c r="C40" s="69"/>
      <c r="F40" s="69"/>
      <c r="G40" s="69"/>
      <c r="H40" s="69"/>
      <c r="I40" s="72"/>
      <c r="J40" s="72"/>
      <c r="K40" s="72"/>
    </row>
    <row r="41" spans="2:11" x14ac:dyDescent="0.3">
      <c r="B41" s="69"/>
      <c r="C41" s="69"/>
      <c r="F41" s="69"/>
      <c r="G41" s="69"/>
      <c r="H41" s="69"/>
      <c r="I41" s="72"/>
      <c r="J41" s="72"/>
      <c r="K41" s="72"/>
    </row>
    <row r="42" spans="2:11" x14ac:dyDescent="0.3">
      <c r="B42" s="69"/>
      <c r="C42" s="69"/>
      <c r="F42" s="69"/>
      <c r="G42" s="69"/>
      <c r="H42" s="69"/>
      <c r="I42" s="72"/>
      <c r="J42" s="72"/>
      <c r="K42" s="72"/>
    </row>
    <row r="43" spans="2:11" x14ac:dyDescent="0.3">
      <c r="B43" s="69"/>
      <c r="C43" s="69"/>
      <c r="F43" s="69"/>
      <c r="G43" s="69"/>
      <c r="H43" s="69"/>
      <c r="I43" s="72"/>
      <c r="J43" s="72"/>
      <c r="K43" s="72"/>
    </row>
  </sheetData>
  <customSheetViews>
    <customSheetView guid="{00D35A15-206C-4C0C-8347-C5B4FB706EF6}" showPageBreaks="1" showGridLines="0" topLeftCell="A47">
      <selection activeCell="D49" sqref="D49"/>
      <pageMargins left="0.7" right="0.7" top="0.75" bottom="0.75" header="0.3" footer="0.3"/>
      <pageSetup orientation="portrait" r:id="rId1"/>
    </customSheetView>
  </customSheetViews>
  <mergeCells count="7">
    <mergeCell ref="K13:K15"/>
    <mergeCell ref="B24:B32"/>
    <mergeCell ref="B5:B10"/>
    <mergeCell ref="B2:B3"/>
    <mergeCell ref="B13:B20"/>
    <mergeCell ref="F13:F15"/>
    <mergeCell ref="G20:G21"/>
  </mergeCells>
  <phoneticPr fontId="0" type="noConversion"/>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B2:M31"/>
  <sheetViews>
    <sheetView topLeftCell="A3" zoomScaleNormal="100" workbookViewId="0">
      <selection activeCell="E42" sqref="E42"/>
    </sheetView>
  </sheetViews>
  <sheetFormatPr defaultColWidth="9.36328125" defaultRowHeight="14" x14ac:dyDescent="0.3"/>
  <cols>
    <col min="1" max="1" width="9.36328125" style="56"/>
    <col min="2" max="2" width="16.6328125" style="56" customWidth="1"/>
    <col min="3" max="3" width="13.54296875" style="56" customWidth="1"/>
    <col min="4" max="4" width="14.36328125" style="56" customWidth="1"/>
    <col min="5" max="7" width="12.54296875" style="56" customWidth="1"/>
    <col min="8" max="8" width="13.453125" style="56" customWidth="1"/>
    <col min="9" max="9" width="12.54296875" style="56" customWidth="1"/>
    <col min="10" max="17" width="7.453125" style="56" customWidth="1"/>
    <col min="18" max="16384" width="9.36328125" style="56"/>
  </cols>
  <sheetData>
    <row r="2" spans="2:7" x14ac:dyDescent="0.3">
      <c r="B2" s="56" t="s">
        <v>29</v>
      </c>
    </row>
    <row r="3" spans="2:7" ht="15" customHeight="1" x14ac:dyDescent="0.3">
      <c r="B3" s="416" t="s">
        <v>34</v>
      </c>
      <c r="C3" s="414" t="s">
        <v>49</v>
      </c>
      <c r="D3" s="415"/>
      <c r="E3" s="415"/>
      <c r="F3" s="415"/>
    </row>
    <row r="4" spans="2:7" ht="14.5" thickBot="1" x14ac:dyDescent="0.35">
      <c r="B4" s="417"/>
      <c r="C4" s="75" t="s">
        <v>30</v>
      </c>
      <c r="D4" s="75" t="s">
        <v>31</v>
      </c>
      <c r="E4" s="75" t="s">
        <v>32</v>
      </c>
      <c r="F4" s="75" t="s">
        <v>33</v>
      </c>
    </row>
    <row r="5" spans="2:7" ht="14.5" thickBot="1" x14ac:dyDescent="0.35">
      <c r="B5" s="140" t="s">
        <v>35</v>
      </c>
      <c r="C5" s="141"/>
      <c r="D5" s="141"/>
      <c r="E5" s="141"/>
      <c r="F5" s="141"/>
    </row>
    <row r="6" spans="2:7" ht="14.5" thickBot="1" x14ac:dyDescent="0.35">
      <c r="B6" s="142" t="s">
        <v>38</v>
      </c>
      <c r="C6" s="143" t="s">
        <v>934</v>
      </c>
      <c r="D6" s="143" t="s">
        <v>933</v>
      </c>
      <c r="E6" s="143" t="s">
        <v>933</v>
      </c>
      <c r="F6" s="143" t="s">
        <v>933</v>
      </c>
    </row>
    <row r="7" spans="2:7" ht="14.5" thickBot="1" x14ac:dyDescent="0.35">
      <c r="B7" s="142" t="s">
        <v>39</v>
      </c>
      <c r="C7" s="143" t="s">
        <v>934</v>
      </c>
      <c r="D7" s="143" t="s">
        <v>934</v>
      </c>
      <c r="E7" s="143" t="s">
        <v>933</v>
      </c>
      <c r="F7" s="143" t="s">
        <v>933</v>
      </c>
    </row>
    <row r="8" spans="2:7" ht="14.5" thickBot="1" x14ac:dyDescent="0.35">
      <c r="B8" s="142" t="s">
        <v>40</v>
      </c>
      <c r="C8" s="143" t="s">
        <v>934</v>
      </c>
      <c r="D8" s="143" t="s">
        <v>934</v>
      </c>
      <c r="E8" s="143" t="s">
        <v>934</v>
      </c>
      <c r="F8" s="143" t="s">
        <v>934</v>
      </c>
    </row>
    <row r="9" spans="2:7" ht="14.5" thickBot="1" x14ac:dyDescent="0.35">
      <c r="B9" s="142" t="s">
        <v>37</v>
      </c>
      <c r="C9" s="143" t="s">
        <v>934</v>
      </c>
      <c r="D9" s="143" t="s">
        <v>934</v>
      </c>
      <c r="E9" s="143" t="s">
        <v>933</v>
      </c>
      <c r="F9" s="143" t="s">
        <v>933</v>
      </c>
    </row>
    <row r="10" spans="2:7" ht="14.5" thickBot="1" x14ac:dyDescent="0.35">
      <c r="B10" s="142" t="s">
        <v>36</v>
      </c>
      <c r="C10" s="143" t="s">
        <v>934</v>
      </c>
      <c r="D10" s="143" t="s">
        <v>934</v>
      </c>
      <c r="E10" s="143" t="s">
        <v>934</v>
      </c>
      <c r="F10" s="143" t="s">
        <v>933</v>
      </c>
    </row>
    <row r="11" spans="2:7" ht="14.5" thickBot="1" x14ac:dyDescent="0.35">
      <c r="B11" s="142" t="s">
        <v>1620</v>
      </c>
      <c r="C11" s="143" t="s">
        <v>934</v>
      </c>
      <c r="D11" s="143" t="s">
        <v>934</v>
      </c>
      <c r="E11" s="143" t="s">
        <v>933</v>
      </c>
      <c r="F11" s="143" t="s">
        <v>933</v>
      </c>
    </row>
    <row r="12" spans="2:7" x14ac:dyDescent="0.3">
      <c r="B12" s="77" t="s">
        <v>41</v>
      </c>
      <c r="C12" s="15"/>
      <c r="D12" s="15"/>
      <c r="E12" s="15"/>
      <c r="F12" s="15"/>
    </row>
    <row r="13" spans="2:7" x14ac:dyDescent="0.3">
      <c r="B13" s="76" t="s">
        <v>1094</v>
      </c>
      <c r="C13" s="15" t="s">
        <v>934</v>
      </c>
      <c r="D13" s="15" t="s">
        <v>934</v>
      </c>
      <c r="E13" s="15" t="s">
        <v>934</v>
      </c>
      <c r="F13" s="15" t="s">
        <v>934</v>
      </c>
    </row>
    <row r="14" spans="2:7" x14ac:dyDescent="0.3">
      <c r="B14" s="77" t="s">
        <v>42</v>
      </c>
      <c r="C14" s="15"/>
      <c r="D14" s="15"/>
      <c r="E14" s="15"/>
      <c r="F14" s="15"/>
    </row>
    <row r="15" spans="2:7" ht="14.5" x14ac:dyDescent="0.35">
      <c r="B15" s="76" t="s">
        <v>43</v>
      </c>
      <c r="C15" s="15" t="s">
        <v>934</v>
      </c>
      <c r="D15" s="15" t="s">
        <v>934</v>
      </c>
      <c r="E15" s="15" t="s">
        <v>933</v>
      </c>
      <c r="F15" s="15" t="s">
        <v>933</v>
      </c>
      <c r="G15"/>
    </row>
    <row r="16" spans="2:7" x14ac:dyDescent="0.3">
      <c r="B16" s="76" t="s">
        <v>44</v>
      </c>
      <c r="C16" s="15" t="s">
        <v>934</v>
      </c>
      <c r="D16" s="15" t="s">
        <v>934</v>
      </c>
      <c r="E16" s="15" t="s">
        <v>934</v>
      </c>
      <c r="F16" s="15" t="s">
        <v>933</v>
      </c>
    </row>
    <row r="17" spans="2:13" x14ac:dyDescent="0.3">
      <c r="B17" s="76" t="s">
        <v>1370</v>
      </c>
      <c r="C17" s="15" t="s">
        <v>934</v>
      </c>
      <c r="D17" s="15" t="s">
        <v>934</v>
      </c>
      <c r="E17" s="15" t="s">
        <v>933</v>
      </c>
      <c r="F17" s="15" t="s">
        <v>933</v>
      </c>
    </row>
    <row r="18" spans="2:13" ht="14.5" thickBot="1" x14ac:dyDescent="0.35">
      <c r="B18" s="77" t="s">
        <v>45</v>
      </c>
      <c r="C18" s="15"/>
      <c r="D18" s="15"/>
      <c r="E18" s="15"/>
      <c r="F18" s="15"/>
    </row>
    <row r="19" spans="2:13" ht="15" customHeight="1" thickBot="1" x14ac:dyDescent="0.35">
      <c r="B19" s="144" t="s">
        <v>1371</v>
      </c>
      <c r="C19" s="145" t="s">
        <v>934</v>
      </c>
      <c r="D19" s="145" t="s">
        <v>933</v>
      </c>
      <c r="E19" s="145" t="s">
        <v>933</v>
      </c>
      <c r="F19" s="145" t="s">
        <v>933</v>
      </c>
    </row>
    <row r="20" spans="2:13" x14ac:dyDescent="0.3">
      <c r="B20" s="77" t="s">
        <v>46</v>
      </c>
      <c r="C20" s="15"/>
      <c r="D20" s="15"/>
      <c r="E20" s="15"/>
      <c r="F20" s="15"/>
    </row>
    <row r="21" spans="2:13" x14ac:dyDescent="0.3">
      <c r="B21" s="76" t="s">
        <v>47</v>
      </c>
      <c r="C21" s="15" t="s">
        <v>934</v>
      </c>
      <c r="D21" s="15" t="s">
        <v>934</v>
      </c>
      <c r="E21" s="15" t="s">
        <v>934</v>
      </c>
      <c r="F21" s="15" t="s">
        <v>934</v>
      </c>
    </row>
    <row r="22" spans="2:13" x14ac:dyDescent="0.3">
      <c r="B22" s="76" t="s">
        <v>1619</v>
      </c>
      <c r="C22" s="15" t="s">
        <v>934</v>
      </c>
      <c r="D22" s="15" t="s">
        <v>934</v>
      </c>
      <c r="E22" s="15" t="s">
        <v>933</v>
      </c>
      <c r="F22" s="15" t="s">
        <v>933</v>
      </c>
    </row>
    <row r="23" spans="2:13" x14ac:dyDescent="0.3">
      <c r="B23" s="77" t="s">
        <v>48</v>
      </c>
      <c r="C23" s="15"/>
      <c r="D23" s="15"/>
      <c r="E23" s="15"/>
      <c r="F23" s="15"/>
    </row>
    <row r="24" spans="2:13" x14ac:dyDescent="0.3">
      <c r="B24" s="76" t="s">
        <v>21</v>
      </c>
      <c r="C24" s="15" t="s">
        <v>934</v>
      </c>
      <c r="D24" s="15" t="s">
        <v>934</v>
      </c>
      <c r="E24" s="15" t="s">
        <v>934</v>
      </c>
      <c r="F24" s="15" t="s">
        <v>934</v>
      </c>
    </row>
    <row r="25" spans="2:13" x14ac:dyDescent="0.3">
      <c r="M25" s="74"/>
    </row>
    <row r="29" spans="2:13" ht="7.25" customHeight="1" x14ac:dyDescent="0.3"/>
    <row r="31" spans="2:13" ht="15" customHeight="1" x14ac:dyDescent="0.3"/>
  </sheetData>
  <customSheetViews>
    <customSheetView guid="{00D35A15-206C-4C0C-8347-C5B4FB706EF6}" showPageBreaks="1">
      <selection activeCell="I30" sqref="I30"/>
      <pageMargins left="0.7" right="0.7" top="0.75" bottom="0.75" header="0.3" footer="0.3"/>
      <pageSetup orientation="portrait" r:id="rId1"/>
    </customSheetView>
  </customSheetViews>
  <mergeCells count="2">
    <mergeCell ref="C3:F3"/>
    <mergeCell ref="B3:B4"/>
  </mergeCells>
  <phoneticPr fontId="0" type="noConversion"/>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vt:i4>
      </vt:variant>
    </vt:vector>
  </HeadingPairs>
  <TitlesOfParts>
    <vt:vector size="14" baseType="lpstr">
      <vt:lpstr>dcon</vt:lpstr>
      <vt:lpstr>instructions</vt:lpstr>
      <vt:lpstr>Specifications</vt:lpstr>
      <vt:lpstr>boilerplate specs</vt:lpstr>
      <vt:lpstr>specs_for_word</vt:lpstr>
      <vt:lpstr>functional</vt:lpstr>
      <vt:lpstr>Datasheet Template</vt:lpstr>
      <vt:lpstr>Competition</vt:lpstr>
      <vt:lpstr>Block_modes</vt:lpstr>
      <vt:lpstr>chip_level</vt:lpstr>
      <vt:lpstr>publishRange</vt:lpstr>
      <vt:lpstr>specs_for_word</vt:lpstr>
      <vt:lpstr>specs_for_word2</vt:lpstr>
      <vt:lpstr>tempname</vt:lpstr>
    </vt:vector>
  </TitlesOfParts>
  <Company>Cypress Semiconductor,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EXTERNAL REQUIREMENT OBJECTIVE SPEC (EROS) TEMPLATE</dc:title>
  <dc:subject>01-02002</dc:subject>
  <dc:creator>Cypress Employee</dc:creator>
  <dc:description>AL</dc:description>
  <cp:lastModifiedBy>Prakash Sanjana (CSS ICW ENG CPS SVHW V1)</cp:lastModifiedBy>
  <dcterms:created xsi:type="dcterms:W3CDTF">2007-12-17T17:07:43Z</dcterms:created>
  <dcterms:modified xsi:type="dcterms:W3CDTF">2025-04-25T04:59:43Z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oogle.Documents.Tracking">
    <vt:lpwstr>true</vt:lpwstr>
  </property>
  <property fmtid="{D5CDD505-2E9C-101B-9397-08002B2CF9AE}" pid="3" name="Google.Documents.DocumentId">
    <vt:lpwstr>1gj2pLpdz-OrhfeueFElsDVmOkygD2DI8tnkuCsGRd8E</vt:lpwstr>
  </property>
  <property fmtid="{D5CDD505-2E9C-101B-9397-08002B2CF9AE}" pid="4" name="Google.Documents.RevisionId">
    <vt:lpwstr>00783621796661436281</vt:lpwstr>
  </property>
  <property fmtid="{D5CDD505-2E9C-101B-9397-08002B2CF9AE}" pid="5" name="Google.Documents.PluginVersion">
    <vt:lpwstr>2.0.2154.5604</vt:lpwstr>
  </property>
  <property fmtid="{D5CDD505-2E9C-101B-9397-08002B2CF9AE}" pid="6" name="Google.Documents.MergeIncapabilityFlags">
    <vt:i4>0</vt:i4>
  </property>
  <property fmtid="{D5CDD505-2E9C-101B-9397-08002B2CF9AE}" pid="7" name="MSIP_Label_a15a25aa-e944-415d-b7a7-40f6b9180b6b_Enabled">
    <vt:lpwstr>true</vt:lpwstr>
  </property>
  <property fmtid="{D5CDD505-2E9C-101B-9397-08002B2CF9AE}" pid="8" name="MSIP_Label_a15a25aa-e944-415d-b7a7-40f6b9180b6b_SetDate">
    <vt:lpwstr>2025-04-21 10:43:45Z</vt:lpwstr>
  </property>
  <property fmtid="{D5CDD505-2E9C-101B-9397-08002B2CF9AE}" pid="9" name="MSIP_Label_a15a25aa-e944-415d-b7a7-40f6b9180b6b_Method">
    <vt:lpwstr>Privileged</vt:lpwstr>
  </property>
  <property fmtid="{D5CDD505-2E9C-101B-9397-08002B2CF9AE}" pid="10" name="MSIP_Label_a15a25aa-e944-415d-b7a7-40f6b9180b6b_Name">
    <vt:lpwstr>a15a25aa-e944-415d-b7a7-40f6b9180b6b</vt:lpwstr>
  </property>
  <property fmtid="{D5CDD505-2E9C-101B-9397-08002B2CF9AE}" pid="11" name="MSIP_Label_a15a25aa-e944-415d-b7a7-40f6b9180b6b_SiteId">
    <vt:lpwstr>eeb8d0e8-3544-41d3-aac6-934c309faf5a</vt:lpwstr>
  </property>
  <property fmtid="{D5CDD505-2E9C-101B-9397-08002B2CF9AE}" pid="12" name="MSIP_Label_a15a25aa-e944-415d-b7a7-40f6b9180b6b_ActionId">
    <vt:lpwstr>2ca67171-d517-42eb-93b5-ac3ec5b374da</vt:lpwstr>
  </property>
  <property fmtid="{D5CDD505-2E9C-101B-9397-08002B2CF9AE}" pid="13" name="MSIP_Label_a15a25aa-e944-415d-b7a7-40f6b9180b6b_ContentBits">
    <vt:lpwstr>0</vt:lpwstr>
  </property>
</Properties>
</file>